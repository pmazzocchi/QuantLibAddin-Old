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/>
  </bookViews>
  <sheets>
    <sheet name="GeneralSettings" sheetId="1" r:id="rId1"/>
    <sheet name="EURSTD" sheetId="2" r:id="rId2"/>
    <sheet name="EUR3M" sheetId="10" r:id="rId3"/>
    <sheet name="EUR6M" sheetId="11" r:id="rId4"/>
    <sheet name="EUR1Y" sheetId="13" r:id="rId5"/>
    <sheet name="EUR1M" sheetId="12" r:id="rId6"/>
    <sheet name="EURON" sheetId="14" r:id="rId7"/>
    <sheet name="Euribor" sheetId="16" r:id="rId8"/>
    <sheet name="PastedValue" sheetId="8" r:id="rId9"/>
  </sheets>
  <definedNames>
    <definedName name="Calendar">GeneralSettings!$D$5</definedName>
    <definedName name="Currency">GeneralSettings!$D$4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GeneralSettings!$D$9</definedName>
    <definedName name="Evaluationdate">GeneralSettings!$D$2</definedName>
    <definedName name="FamilyName" localSheetId="7">Euribor!$I$2</definedName>
    <definedName name="ObjectOverwrite">GeneralSettings!$D$7</definedName>
    <definedName name="Permanent">GeneralSettings!$D$6</definedName>
    <definedName name="Settlementdate">GeneralSettings!$D$3</definedName>
    <definedName name="Trigger">GeneralSettings!$D$8</definedName>
    <definedName name="YieldCurve_1M">GeneralSettings!$I$26</definedName>
    <definedName name="YieldCurve_1Y">GeneralSettings!$D$40</definedName>
    <definedName name="YieldCurve_3M">GeneralSettings!$I$12</definedName>
    <definedName name="YieldCurve_6M">GeneralSettings!$D$26</definedName>
    <definedName name="YieldCurve_ON">GeneralSettings!$I$40</definedName>
    <definedName name="YieldCurve_STD">GeneralSettings!$D$12</definedName>
  </definedNames>
  <calcPr calcId="145621"/>
</workbook>
</file>

<file path=xl/calcChain.xml><?xml version="1.0" encoding="utf-8"?>
<calcChain xmlns="http://schemas.openxmlformats.org/spreadsheetml/2006/main">
  <c r="I30" i="10" l="1"/>
  <c r="F19" i="13"/>
  <c r="F19" i="11"/>
  <c r="F28" i="11" l="1"/>
  <c r="F27" i="11"/>
  <c r="F26" i="11"/>
  <c r="F25" i="11"/>
  <c r="F24" i="11"/>
  <c r="F23" i="11"/>
  <c r="F22" i="11"/>
  <c r="F21" i="11"/>
  <c r="F28" i="13"/>
  <c r="F27" i="13"/>
  <c r="F26" i="13"/>
  <c r="F25" i="13"/>
  <c r="F24" i="13"/>
  <c r="F23" i="13"/>
  <c r="F22" i="13"/>
  <c r="F21" i="13"/>
  <c r="D3" i="16"/>
  <c r="D5" i="16"/>
  <c r="D6" i="16"/>
  <c r="D7" i="16"/>
  <c r="D8" i="16"/>
  <c r="D4" i="16"/>
  <c r="I1" i="14"/>
  <c r="O6" i="16" l="1"/>
  <c r="O7" i="16"/>
  <c r="O8" i="16"/>
  <c r="O5" i="16"/>
  <c r="Q8" i="16"/>
  <c r="Q7" i="16"/>
  <c r="Q6" i="16"/>
  <c r="Q5" i="16"/>
  <c r="Q4" i="16"/>
  <c r="P4" i="16"/>
  <c r="P6" i="16"/>
  <c r="P7" i="16"/>
  <c r="P8" i="16"/>
  <c r="P5" i="16"/>
  <c r="D2" i="1"/>
  <c r="R8" i="16"/>
  <c r="R7" i="16"/>
  <c r="R5" i="16"/>
  <c r="R4" i="16"/>
  <c r="R6" i="16"/>
  <c r="D15" i="16" l="1"/>
  <c r="C22" i="1"/>
  <c r="H36" i="1"/>
  <c r="H22" i="1"/>
  <c r="C36" i="1"/>
  <c r="C50" i="1"/>
  <c r="H50" i="1"/>
  <c r="H8" i="16"/>
  <c r="H7" i="16"/>
  <c r="H6" i="16"/>
  <c r="H5" i="16"/>
  <c r="E5" i="16"/>
  <c r="D3" i="1"/>
  <c r="E3" i="16"/>
  <c r="E6" i="16"/>
  <c r="E7" i="16"/>
  <c r="E8" i="16"/>
  <c r="E4" i="16"/>
  <c r="F4" i="16" s="1"/>
  <c r="D16" i="16" l="1"/>
  <c r="D14" i="16" s="1"/>
  <c r="L72" i="12"/>
  <c r="L73" i="12"/>
  <c r="L74" i="12"/>
  <c r="L75" i="12"/>
  <c r="L76" i="12"/>
  <c r="L77" i="12"/>
  <c r="L78" i="12"/>
  <c r="L79" i="12"/>
  <c r="L80" i="12"/>
  <c r="L81" i="12"/>
  <c r="L82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19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B3" i="12" a="1"/>
  <c r="D22" i="12" a="1"/>
  <c r="H3" i="12" a="1"/>
  <c r="H22" i="12" a="1"/>
  <c r="I7" i="16"/>
  <c r="F3" i="16"/>
  <c r="I8" i="16"/>
  <c r="I6" i="16"/>
  <c r="F6" i="16"/>
  <c r="I5" i="16"/>
  <c r="I4" i="16"/>
  <c r="F5" i="16"/>
  <c r="F7" i="16"/>
  <c r="F8" i="16"/>
  <c r="G13" i="16"/>
  <c r="T4" i="16" l="1"/>
  <c r="T8" i="16"/>
  <c r="T6" i="16"/>
  <c r="T7" i="16"/>
  <c r="T5" i="16"/>
  <c r="H29" i="12"/>
  <c r="H37" i="12"/>
  <c r="H45" i="12"/>
  <c r="H53" i="12"/>
  <c r="H61" i="12"/>
  <c r="H69" i="12"/>
  <c r="H77" i="12"/>
  <c r="H85" i="12"/>
  <c r="H22" i="12"/>
  <c r="H30" i="12"/>
  <c r="H38" i="12"/>
  <c r="H46" i="12"/>
  <c r="H54" i="12"/>
  <c r="H62" i="12"/>
  <c r="H70" i="12"/>
  <c r="H78" i="12"/>
  <c r="H23" i="12"/>
  <c r="H31" i="12"/>
  <c r="H39" i="12"/>
  <c r="H47" i="12"/>
  <c r="H55" i="12"/>
  <c r="H63" i="12"/>
  <c r="H71" i="12"/>
  <c r="H79" i="12"/>
  <c r="H24" i="12"/>
  <c r="H32" i="12"/>
  <c r="H40" i="12"/>
  <c r="H48" i="12"/>
  <c r="H56" i="12"/>
  <c r="H64" i="12"/>
  <c r="H72" i="12"/>
  <c r="H80" i="12"/>
  <c r="H25" i="12"/>
  <c r="H33" i="12"/>
  <c r="H41" i="12"/>
  <c r="H49" i="12"/>
  <c r="H57" i="12"/>
  <c r="H65" i="12"/>
  <c r="H73" i="12"/>
  <c r="H81" i="12"/>
  <c r="H26" i="12"/>
  <c r="H34" i="12"/>
  <c r="H42" i="12"/>
  <c r="H50" i="12"/>
  <c r="H58" i="12"/>
  <c r="H66" i="12"/>
  <c r="H74" i="12"/>
  <c r="H82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D29" i="12"/>
  <c r="M26" i="12" s="1"/>
  <c r="D37" i="12"/>
  <c r="M34" i="12" s="1"/>
  <c r="D45" i="12"/>
  <c r="M42" i="12" s="1"/>
  <c r="D53" i="12"/>
  <c r="M50" i="12" s="1"/>
  <c r="D61" i="12"/>
  <c r="M58" i="12" s="1"/>
  <c r="D69" i="12"/>
  <c r="M66" i="12" s="1"/>
  <c r="D77" i="12"/>
  <c r="M74" i="12" s="1"/>
  <c r="D85" i="12"/>
  <c r="M82" i="12" s="1"/>
  <c r="D22" i="12"/>
  <c r="M19" i="12" s="1"/>
  <c r="D30" i="12"/>
  <c r="M27" i="12" s="1"/>
  <c r="D38" i="12"/>
  <c r="M35" i="12" s="1"/>
  <c r="D46" i="12"/>
  <c r="M43" i="12" s="1"/>
  <c r="D54" i="12"/>
  <c r="M51" i="12" s="1"/>
  <c r="D62" i="12"/>
  <c r="M59" i="12" s="1"/>
  <c r="D70" i="12"/>
  <c r="M67" i="12" s="1"/>
  <c r="D78" i="12"/>
  <c r="M75" i="12" s="1"/>
  <c r="D23" i="12"/>
  <c r="M20" i="12" s="1"/>
  <c r="D31" i="12"/>
  <c r="M28" i="12" s="1"/>
  <c r="D39" i="12"/>
  <c r="M36" i="12" s="1"/>
  <c r="D47" i="12"/>
  <c r="M44" i="12" s="1"/>
  <c r="D55" i="12"/>
  <c r="M52" i="12" s="1"/>
  <c r="D63" i="12"/>
  <c r="M60" i="12" s="1"/>
  <c r="D71" i="12"/>
  <c r="M68" i="12" s="1"/>
  <c r="D79" i="12"/>
  <c r="M76" i="12" s="1"/>
  <c r="D24" i="12"/>
  <c r="M21" i="12" s="1"/>
  <c r="D32" i="12"/>
  <c r="M29" i="12" s="1"/>
  <c r="D40" i="12"/>
  <c r="M37" i="12" s="1"/>
  <c r="D48" i="12"/>
  <c r="M45" i="12" s="1"/>
  <c r="D56" i="12"/>
  <c r="M53" i="12" s="1"/>
  <c r="D64" i="12"/>
  <c r="M61" i="12" s="1"/>
  <c r="D72" i="12"/>
  <c r="M69" i="12" s="1"/>
  <c r="D80" i="12"/>
  <c r="M77" i="12" s="1"/>
  <c r="D25" i="12"/>
  <c r="M22" i="12" s="1"/>
  <c r="D33" i="12"/>
  <c r="M30" i="12" s="1"/>
  <c r="D41" i="12"/>
  <c r="M38" i="12" s="1"/>
  <c r="D49" i="12"/>
  <c r="M46" i="12" s="1"/>
  <c r="D57" i="12"/>
  <c r="M54" i="12" s="1"/>
  <c r="D65" i="12"/>
  <c r="M62" i="12" s="1"/>
  <c r="D73" i="12"/>
  <c r="M70" i="12" s="1"/>
  <c r="D81" i="12"/>
  <c r="M78" i="12" s="1"/>
  <c r="D26" i="12"/>
  <c r="M23" i="12" s="1"/>
  <c r="D34" i="12"/>
  <c r="M31" i="12" s="1"/>
  <c r="D42" i="12"/>
  <c r="M39" i="12" s="1"/>
  <c r="D50" i="12"/>
  <c r="M47" i="12" s="1"/>
  <c r="D58" i="12"/>
  <c r="M55" i="12" s="1"/>
  <c r="D66" i="12"/>
  <c r="M63" i="12" s="1"/>
  <c r="D74" i="12"/>
  <c r="M71" i="12" s="1"/>
  <c r="D82" i="12"/>
  <c r="M79" i="12" s="1"/>
  <c r="D27" i="12"/>
  <c r="M24" i="12" s="1"/>
  <c r="D35" i="12"/>
  <c r="M32" i="12" s="1"/>
  <c r="D43" i="12"/>
  <c r="M40" i="12" s="1"/>
  <c r="D51" i="12"/>
  <c r="M48" i="12" s="1"/>
  <c r="D59" i="12"/>
  <c r="M56" i="12" s="1"/>
  <c r="D67" i="12"/>
  <c r="M64" i="12" s="1"/>
  <c r="D75" i="12"/>
  <c r="M72" i="12" s="1"/>
  <c r="D83" i="12"/>
  <c r="M80" i="12" s="1"/>
  <c r="D28" i="12"/>
  <c r="M25" i="12" s="1"/>
  <c r="D36" i="12"/>
  <c r="M33" i="12" s="1"/>
  <c r="D44" i="12"/>
  <c r="M41" i="12" s="1"/>
  <c r="D52" i="12"/>
  <c r="M49" i="12" s="1"/>
  <c r="D60" i="12"/>
  <c r="M57" i="12" s="1"/>
  <c r="D68" i="12"/>
  <c r="M65" i="12" s="1"/>
  <c r="D76" i="12"/>
  <c r="M73" i="12" s="1"/>
  <c r="D84" i="12"/>
  <c r="M81" i="12" s="1"/>
  <c r="H10" i="12"/>
  <c r="H18" i="12"/>
  <c r="H3" i="12"/>
  <c r="H11" i="12"/>
  <c r="H4" i="12"/>
  <c r="H12" i="12"/>
  <c r="H5" i="12"/>
  <c r="H13" i="12"/>
  <c r="H6" i="12"/>
  <c r="H14" i="12"/>
  <c r="H7" i="12"/>
  <c r="H15" i="12"/>
  <c r="H8" i="12"/>
  <c r="H16" i="12"/>
  <c r="H9" i="12"/>
  <c r="H17" i="12"/>
  <c r="B10" i="12"/>
  <c r="B18" i="12"/>
  <c r="B3" i="12"/>
  <c r="B11" i="12"/>
  <c r="B4" i="12"/>
  <c r="B12" i="12"/>
  <c r="B5" i="12"/>
  <c r="B13" i="12"/>
  <c r="B6" i="12"/>
  <c r="B14" i="12"/>
  <c r="B7" i="12"/>
  <c r="B15" i="12"/>
  <c r="B8" i="12"/>
  <c r="B16" i="12"/>
  <c r="B9" i="12"/>
  <c r="B17" i="12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B3" i="14" a="1"/>
  <c r="H3" i="14" a="1"/>
  <c r="S7" i="16"/>
  <c r="S6" i="16"/>
  <c r="K4" i="16"/>
  <c r="I81" i="12"/>
  <c r="U8" i="16"/>
  <c r="J5" i="16"/>
  <c r="U7" i="16"/>
  <c r="U6" i="16"/>
  <c r="K5" i="16"/>
  <c r="I82" i="12"/>
  <c r="J4" i="16"/>
  <c r="J7" i="16"/>
  <c r="J6" i="16"/>
  <c r="K6" i="16"/>
  <c r="I83" i="12"/>
  <c r="K8" i="16"/>
  <c r="I84" i="12"/>
  <c r="I85" i="12"/>
  <c r="U5" i="16"/>
  <c r="K7" i="16"/>
  <c r="I80" i="12"/>
  <c r="U4" i="16"/>
  <c r="S8" i="16"/>
  <c r="J8" i="16"/>
  <c r="H10" i="14" l="1"/>
  <c r="H18" i="14"/>
  <c r="H26" i="14"/>
  <c r="H34" i="14"/>
  <c r="H42" i="14"/>
  <c r="H50" i="14"/>
  <c r="H58" i="14"/>
  <c r="H66" i="14"/>
  <c r="H3" i="14"/>
  <c r="H11" i="14"/>
  <c r="H19" i="14"/>
  <c r="H27" i="14"/>
  <c r="H35" i="14"/>
  <c r="H43" i="14"/>
  <c r="H51" i="14"/>
  <c r="H59" i="14"/>
  <c r="H67" i="14"/>
  <c r="H4" i="14"/>
  <c r="H12" i="14"/>
  <c r="H20" i="14"/>
  <c r="H28" i="14"/>
  <c r="H36" i="14"/>
  <c r="H44" i="14"/>
  <c r="H52" i="14"/>
  <c r="H60" i="14"/>
  <c r="H68" i="14"/>
  <c r="H5" i="14"/>
  <c r="H13" i="14"/>
  <c r="H21" i="14"/>
  <c r="H29" i="14"/>
  <c r="H37" i="14"/>
  <c r="H45" i="14"/>
  <c r="H53" i="14"/>
  <c r="H61" i="14"/>
  <c r="H69" i="14"/>
  <c r="H6" i="14"/>
  <c r="H14" i="14"/>
  <c r="H22" i="14"/>
  <c r="H30" i="14"/>
  <c r="H38" i="14"/>
  <c r="H46" i="14"/>
  <c r="H54" i="14"/>
  <c r="H62" i="14"/>
  <c r="H70" i="14"/>
  <c r="H7" i="14"/>
  <c r="H15" i="14"/>
  <c r="H23" i="14"/>
  <c r="H31" i="14"/>
  <c r="H39" i="14"/>
  <c r="H47" i="14"/>
  <c r="H55" i="14"/>
  <c r="H63" i="14"/>
  <c r="H71" i="14"/>
  <c r="H8" i="14"/>
  <c r="H16" i="14"/>
  <c r="H24" i="14"/>
  <c r="H32" i="14"/>
  <c r="H40" i="14"/>
  <c r="H48" i="14"/>
  <c r="H56" i="14"/>
  <c r="H64" i="14"/>
  <c r="H9" i="14"/>
  <c r="H17" i="14"/>
  <c r="H25" i="14"/>
  <c r="H33" i="14"/>
  <c r="H41" i="14"/>
  <c r="H49" i="14"/>
  <c r="H57" i="14"/>
  <c r="H65" i="14"/>
  <c r="B10" i="14"/>
  <c r="B18" i="14"/>
  <c r="C18" i="14" s="1"/>
  <c r="B26" i="14"/>
  <c r="C26" i="14" s="1"/>
  <c r="B34" i="14"/>
  <c r="C34" i="14" s="1"/>
  <c r="B42" i="14"/>
  <c r="C42" i="14" s="1"/>
  <c r="B50" i="14"/>
  <c r="C50" i="14" s="1"/>
  <c r="B58" i="14"/>
  <c r="C58" i="14" s="1"/>
  <c r="B66" i="14"/>
  <c r="C66" i="14" s="1"/>
  <c r="B3" i="14"/>
  <c r="B11" i="14"/>
  <c r="B19" i="14"/>
  <c r="C19" i="14" s="1"/>
  <c r="B27" i="14"/>
  <c r="C27" i="14" s="1"/>
  <c r="B35" i="14"/>
  <c r="C35" i="14" s="1"/>
  <c r="B43" i="14"/>
  <c r="C43" i="14" s="1"/>
  <c r="B51" i="14"/>
  <c r="C51" i="14" s="1"/>
  <c r="B59" i="14"/>
  <c r="C59" i="14" s="1"/>
  <c r="B67" i="14"/>
  <c r="C67" i="14" s="1"/>
  <c r="B4" i="14"/>
  <c r="B12" i="14"/>
  <c r="B20" i="14"/>
  <c r="C20" i="14" s="1"/>
  <c r="B28" i="14"/>
  <c r="C28" i="14" s="1"/>
  <c r="B36" i="14"/>
  <c r="C36" i="14" s="1"/>
  <c r="B44" i="14"/>
  <c r="C44" i="14" s="1"/>
  <c r="B52" i="14"/>
  <c r="C52" i="14" s="1"/>
  <c r="B60" i="14"/>
  <c r="C60" i="14" s="1"/>
  <c r="B68" i="14"/>
  <c r="C68" i="14" s="1"/>
  <c r="B5" i="14"/>
  <c r="B16" i="14"/>
  <c r="B30" i="14"/>
  <c r="C30" i="14" s="1"/>
  <c r="B41" i="14"/>
  <c r="C41" i="14" s="1"/>
  <c r="B55" i="14"/>
  <c r="C55" i="14" s="1"/>
  <c r="B69" i="14"/>
  <c r="C69" i="14" s="1"/>
  <c r="B6" i="14"/>
  <c r="B17" i="14"/>
  <c r="B31" i="14"/>
  <c r="C31" i="14" s="1"/>
  <c r="B45" i="14"/>
  <c r="C45" i="14" s="1"/>
  <c r="B56" i="14"/>
  <c r="C56" i="14" s="1"/>
  <c r="B70" i="14"/>
  <c r="C70" i="14" s="1"/>
  <c r="B7" i="14"/>
  <c r="B21" i="14"/>
  <c r="C21" i="14" s="1"/>
  <c r="B32" i="14"/>
  <c r="C32" i="14" s="1"/>
  <c r="B46" i="14"/>
  <c r="C46" i="14" s="1"/>
  <c r="B57" i="14"/>
  <c r="C57" i="14" s="1"/>
  <c r="B71" i="14"/>
  <c r="C71" i="14" s="1"/>
  <c r="B8" i="14"/>
  <c r="B22" i="14"/>
  <c r="C22" i="14" s="1"/>
  <c r="B33" i="14"/>
  <c r="C33" i="14" s="1"/>
  <c r="B47" i="14"/>
  <c r="C47" i="14" s="1"/>
  <c r="B61" i="14"/>
  <c r="C61" i="14" s="1"/>
  <c r="B9" i="14"/>
  <c r="B23" i="14"/>
  <c r="C23" i="14" s="1"/>
  <c r="B37" i="14"/>
  <c r="C37" i="14" s="1"/>
  <c r="B48" i="14"/>
  <c r="C48" i="14" s="1"/>
  <c r="B62" i="14"/>
  <c r="C62" i="14" s="1"/>
  <c r="B13" i="14"/>
  <c r="B24" i="14"/>
  <c r="C24" i="14" s="1"/>
  <c r="B38" i="14"/>
  <c r="C38" i="14" s="1"/>
  <c r="B49" i="14"/>
  <c r="C49" i="14" s="1"/>
  <c r="B63" i="14"/>
  <c r="C63" i="14" s="1"/>
  <c r="B14" i="14"/>
  <c r="B25" i="14"/>
  <c r="C25" i="14" s="1"/>
  <c r="B39" i="14"/>
  <c r="C39" i="14" s="1"/>
  <c r="B53" i="14"/>
  <c r="C53" i="14" s="1"/>
  <c r="B64" i="14"/>
  <c r="C64" i="14" s="1"/>
  <c r="B15" i="14"/>
  <c r="B29" i="14"/>
  <c r="C29" i="14" s="1"/>
  <c r="B40" i="14"/>
  <c r="C40" i="14" s="1"/>
  <c r="B54" i="14"/>
  <c r="C54" i="14" s="1"/>
  <c r="B65" i="14"/>
  <c r="C65" i="14" s="1"/>
  <c r="H32" i="13" a="1"/>
  <c r="D32" i="13" a="1"/>
  <c r="H3" i="13" a="1"/>
  <c r="G21" i="13" a="1"/>
  <c r="C21" i="13" a="1"/>
  <c r="S5" i="16"/>
  <c r="V8" i="16"/>
  <c r="S4" i="16"/>
  <c r="V6" i="16"/>
  <c r="V7" i="16"/>
  <c r="L8" i="16"/>
  <c r="I30" i="13"/>
  <c r="L6" i="16"/>
  <c r="L7" i="16"/>
  <c r="L4" i="16"/>
  <c r="L5" i="16"/>
  <c r="F24" i="14" l="1"/>
  <c r="F63" i="14"/>
  <c r="F23" i="14"/>
  <c r="F57" i="14"/>
  <c r="F31" i="14"/>
  <c r="F19" i="14"/>
  <c r="F26" i="14"/>
  <c r="F29" i="14"/>
  <c r="F49" i="14"/>
  <c r="F46" i="14"/>
  <c r="F68" i="14"/>
  <c r="I68" i="14"/>
  <c r="F18" i="14"/>
  <c r="F40" i="14"/>
  <c r="F38" i="14"/>
  <c r="F61" i="14"/>
  <c r="F32" i="14"/>
  <c r="F60" i="14"/>
  <c r="F67" i="14"/>
  <c r="I67" i="14"/>
  <c r="N67" i="14" s="1"/>
  <c r="F21" i="14"/>
  <c r="F53" i="14"/>
  <c r="F44" i="14"/>
  <c r="F51" i="14"/>
  <c r="F58" i="14"/>
  <c r="F69" i="14"/>
  <c r="I69" i="14"/>
  <c r="N69" i="14" s="1"/>
  <c r="F22" i="14"/>
  <c r="F50" i="14"/>
  <c r="F47" i="14"/>
  <c r="F59" i="14"/>
  <c r="F55" i="14"/>
  <c r="F62" i="14"/>
  <c r="F41" i="14"/>
  <c r="F36" i="14"/>
  <c r="F25" i="14"/>
  <c r="F48" i="14"/>
  <c r="F56" i="14"/>
  <c r="F30" i="14"/>
  <c r="F28" i="14"/>
  <c r="F35" i="14"/>
  <c r="F42" i="14"/>
  <c r="F64" i="14"/>
  <c r="F52" i="14"/>
  <c r="F66" i="14"/>
  <c r="I66" i="14"/>
  <c r="F33" i="14"/>
  <c r="F39" i="14"/>
  <c r="F70" i="14"/>
  <c r="I70" i="14"/>
  <c r="F43" i="14"/>
  <c r="F65" i="14"/>
  <c r="I65" i="14"/>
  <c r="F54" i="14"/>
  <c r="F37" i="14"/>
  <c r="F71" i="14"/>
  <c r="I71" i="14"/>
  <c r="F45" i="14"/>
  <c r="F20" i="14"/>
  <c r="F27" i="14"/>
  <c r="F34" i="14"/>
  <c r="W8" i="16"/>
  <c r="Y8" i="16" s="1"/>
  <c r="W6" i="16"/>
  <c r="Y6" i="16" s="1"/>
  <c r="W7" i="16"/>
  <c r="Y7" i="16" s="1"/>
  <c r="E38" i="14"/>
  <c r="M38" i="14"/>
  <c r="E21" i="14"/>
  <c r="M21" i="14"/>
  <c r="M42" i="14"/>
  <c r="E42" i="14"/>
  <c r="E32" i="14"/>
  <c r="M32" i="14"/>
  <c r="E47" i="14"/>
  <c r="M47" i="14"/>
  <c r="M52" i="14"/>
  <c r="E52" i="14"/>
  <c r="E33" i="14"/>
  <c r="M33" i="14"/>
  <c r="E51" i="14"/>
  <c r="M51" i="14"/>
  <c r="E41" i="14"/>
  <c r="M41" i="14"/>
  <c r="E50" i="14"/>
  <c r="M50" i="14"/>
  <c r="E25" i="14"/>
  <c r="M25" i="14"/>
  <c r="E56" i="14"/>
  <c r="M56" i="14"/>
  <c r="M28" i="14"/>
  <c r="E28" i="14"/>
  <c r="E54" i="14"/>
  <c r="M54" i="14"/>
  <c r="E37" i="14"/>
  <c r="M37" i="14"/>
  <c r="M71" i="14"/>
  <c r="E71" i="14"/>
  <c r="E45" i="14"/>
  <c r="M45" i="14"/>
  <c r="M20" i="14"/>
  <c r="E20" i="14"/>
  <c r="E27" i="14"/>
  <c r="M27" i="14"/>
  <c r="E34" i="14"/>
  <c r="M34" i="14"/>
  <c r="E61" i="14"/>
  <c r="M61" i="14"/>
  <c r="E67" i="14"/>
  <c r="M67" i="14"/>
  <c r="E64" i="14"/>
  <c r="M64" i="14"/>
  <c r="E69" i="14"/>
  <c r="M69" i="14"/>
  <c r="M66" i="14"/>
  <c r="E66" i="14"/>
  <c r="M55" i="14"/>
  <c r="E55" i="14"/>
  <c r="E58" i="14"/>
  <c r="M58" i="14"/>
  <c r="M39" i="14"/>
  <c r="E39" i="14"/>
  <c r="E22" i="14"/>
  <c r="M22" i="14"/>
  <c r="M36" i="14"/>
  <c r="E36" i="14"/>
  <c r="E48" i="14"/>
  <c r="M48" i="14"/>
  <c r="E35" i="14"/>
  <c r="M35" i="14"/>
  <c r="M63" i="14"/>
  <c r="E63" i="14"/>
  <c r="M23" i="14"/>
  <c r="E23" i="14"/>
  <c r="E57" i="14"/>
  <c r="M57" i="14"/>
  <c r="E31" i="14"/>
  <c r="M31" i="14"/>
  <c r="E19" i="14"/>
  <c r="M19" i="14"/>
  <c r="E26" i="14"/>
  <c r="M26" i="14"/>
  <c r="M60" i="14"/>
  <c r="E60" i="14"/>
  <c r="E24" i="14"/>
  <c r="M24" i="14"/>
  <c r="E59" i="14"/>
  <c r="M59" i="14"/>
  <c r="E53" i="14"/>
  <c r="M53" i="14"/>
  <c r="M44" i="14"/>
  <c r="E44" i="14"/>
  <c r="E62" i="14"/>
  <c r="M62" i="14"/>
  <c r="E70" i="14"/>
  <c r="M70" i="14"/>
  <c r="E43" i="14"/>
  <c r="M43" i="14"/>
  <c r="E65" i="14"/>
  <c r="M65" i="14"/>
  <c r="E30" i="14"/>
  <c r="M30" i="14"/>
  <c r="E40" i="14"/>
  <c r="M40" i="14"/>
  <c r="E29" i="14"/>
  <c r="M29" i="14"/>
  <c r="E49" i="14"/>
  <c r="M49" i="14"/>
  <c r="E46" i="14"/>
  <c r="M46" i="14"/>
  <c r="M68" i="14"/>
  <c r="E68" i="14"/>
  <c r="E18" i="14"/>
  <c r="M18" i="14"/>
  <c r="J69" i="14"/>
  <c r="O69" i="14" s="1"/>
  <c r="D24" i="14"/>
  <c r="D21" i="14"/>
  <c r="D69" i="14"/>
  <c r="D59" i="14"/>
  <c r="D53" i="14"/>
  <c r="D44" i="14"/>
  <c r="D51" i="14"/>
  <c r="D39" i="14"/>
  <c r="D22" i="14"/>
  <c r="D41" i="14"/>
  <c r="D43" i="14"/>
  <c r="D25" i="14"/>
  <c r="D56" i="14"/>
  <c r="D28" i="14"/>
  <c r="D54" i="14"/>
  <c r="D71" i="14"/>
  <c r="D64" i="14"/>
  <c r="D47" i="14"/>
  <c r="D52" i="14"/>
  <c r="D66" i="14"/>
  <c r="D33" i="14"/>
  <c r="D55" i="14"/>
  <c r="D58" i="14"/>
  <c r="D62" i="14"/>
  <c r="D70" i="14"/>
  <c r="D36" i="14"/>
  <c r="D50" i="14"/>
  <c r="D65" i="14"/>
  <c r="D48" i="14"/>
  <c r="D30" i="14"/>
  <c r="D35" i="14"/>
  <c r="D42" i="14"/>
  <c r="D37" i="14"/>
  <c r="D45" i="14"/>
  <c r="D20" i="14"/>
  <c r="D27" i="14"/>
  <c r="D34" i="14"/>
  <c r="D40" i="14"/>
  <c r="D63" i="14"/>
  <c r="D23" i="14"/>
  <c r="D57" i="14"/>
  <c r="D31" i="14"/>
  <c r="D19" i="14"/>
  <c r="D26" i="14"/>
  <c r="D29" i="14"/>
  <c r="D49" i="14"/>
  <c r="D46" i="14"/>
  <c r="D68" i="14"/>
  <c r="D18" i="14"/>
  <c r="D38" i="14"/>
  <c r="D61" i="14"/>
  <c r="D32" i="14"/>
  <c r="D60" i="14"/>
  <c r="D67" i="14"/>
  <c r="J67" i="14"/>
  <c r="O67" i="14" s="1"/>
  <c r="H39" i="13"/>
  <c r="H47" i="13"/>
  <c r="H55" i="13"/>
  <c r="H63" i="13"/>
  <c r="H71" i="13"/>
  <c r="H32" i="13"/>
  <c r="H40" i="13"/>
  <c r="H48" i="13"/>
  <c r="H56" i="13"/>
  <c r="H64" i="13"/>
  <c r="H72" i="13"/>
  <c r="H33" i="13"/>
  <c r="H41" i="13"/>
  <c r="H49" i="13"/>
  <c r="H57" i="13"/>
  <c r="H65" i="13"/>
  <c r="H73" i="13"/>
  <c r="H34" i="13"/>
  <c r="H42" i="13"/>
  <c r="H50" i="13"/>
  <c r="H58" i="13"/>
  <c r="H66" i="13"/>
  <c r="H74" i="13"/>
  <c r="H35" i="13"/>
  <c r="H43" i="13"/>
  <c r="H51" i="13"/>
  <c r="H59" i="13"/>
  <c r="H67" i="13"/>
  <c r="H75" i="13"/>
  <c r="H36" i="13"/>
  <c r="H44" i="13"/>
  <c r="H52" i="13"/>
  <c r="H60" i="13"/>
  <c r="H68" i="13"/>
  <c r="H76" i="13"/>
  <c r="H37" i="13"/>
  <c r="H45" i="13"/>
  <c r="H53" i="13"/>
  <c r="H61" i="13"/>
  <c r="H69" i="13"/>
  <c r="H38" i="13"/>
  <c r="H46" i="13"/>
  <c r="H54" i="13"/>
  <c r="H62" i="13"/>
  <c r="H70" i="13"/>
  <c r="D39" i="13"/>
  <c r="D47" i="13"/>
  <c r="D55" i="13"/>
  <c r="D63" i="13"/>
  <c r="D71" i="13"/>
  <c r="D32" i="13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38" i="13"/>
  <c r="D46" i="13"/>
  <c r="D54" i="13"/>
  <c r="D62" i="13"/>
  <c r="D70" i="13"/>
  <c r="G28" i="13"/>
  <c r="G21" i="13"/>
  <c r="G22" i="13"/>
  <c r="G23" i="13"/>
  <c r="G24" i="13"/>
  <c r="G25" i="13"/>
  <c r="G26" i="13"/>
  <c r="G27" i="13"/>
  <c r="C28" i="13"/>
  <c r="C21" i="13"/>
  <c r="C22" i="13"/>
  <c r="C23" i="13"/>
  <c r="C24" i="13"/>
  <c r="C25" i="13"/>
  <c r="C26" i="13"/>
  <c r="C27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3" i="13"/>
  <c r="L3" i="12"/>
  <c r="I21" i="14"/>
  <c r="I41" i="14"/>
  <c r="I47" i="14"/>
  <c r="I36" i="14"/>
  <c r="I45" i="14"/>
  <c r="I31" i="14"/>
  <c r="I38" i="14"/>
  <c r="I27" i="14"/>
  <c r="I53" i="14"/>
  <c r="I34" i="14"/>
  <c r="I39" i="14"/>
  <c r="I43" i="14"/>
  <c r="I52" i="14"/>
  <c r="I50" i="14"/>
  <c r="I20" i="14"/>
  <c r="I19" i="14"/>
  <c r="I61" i="14"/>
  <c r="I59" i="14"/>
  <c r="I26" i="14"/>
  <c r="I32" i="14"/>
  <c r="I56" i="14"/>
  <c r="I48" i="14"/>
  <c r="I29" i="14"/>
  <c r="I44" i="14"/>
  <c r="I28" i="14"/>
  <c r="I30" i="14"/>
  <c r="I51" i="14"/>
  <c r="I54" i="14"/>
  <c r="I35" i="14"/>
  <c r="I63" i="14"/>
  <c r="I24" i="14"/>
  <c r="I18" i="14"/>
  <c r="I25" i="14"/>
  <c r="I33" i="14"/>
  <c r="I60" i="14"/>
  <c r="I55" i="14"/>
  <c r="I49" i="14"/>
  <c r="I23" i="14"/>
  <c r="I22" i="14"/>
  <c r="I37" i="14"/>
  <c r="I40" i="14"/>
  <c r="I58" i="14"/>
  <c r="I46" i="14"/>
  <c r="I62" i="14"/>
  <c r="I64" i="14"/>
  <c r="I42" i="14"/>
  <c r="I57" i="14"/>
  <c r="D27" i="13"/>
  <c r="D23" i="13"/>
  <c r="D26" i="13"/>
  <c r="B3" i="13" a="1"/>
  <c r="D22" i="13"/>
  <c r="D28" i="13"/>
  <c r="D24" i="13"/>
  <c r="D21" i="13"/>
  <c r="D25" i="13"/>
  <c r="V4" i="16"/>
  <c r="V5" i="16"/>
  <c r="I71" i="13"/>
  <c r="I40" i="13"/>
  <c r="I36" i="13"/>
  <c r="I68" i="13"/>
  <c r="I33" i="13"/>
  <c r="I75" i="13"/>
  <c r="I61" i="13"/>
  <c r="I27" i="13"/>
  <c r="I23" i="13"/>
  <c r="I48" i="13"/>
  <c r="I76" i="13"/>
  <c r="I45" i="13"/>
  <c r="I55" i="13"/>
  <c r="I43" i="13"/>
  <c r="I70" i="13"/>
  <c r="I47" i="13"/>
  <c r="I20" i="12"/>
  <c r="I78" i="12"/>
  <c r="I45" i="12"/>
  <c r="I63" i="13"/>
  <c r="I55" i="12"/>
  <c r="I35" i="12"/>
  <c r="I38" i="13"/>
  <c r="I34" i="13"/>
  <c r="I47" i="12"/>
  <c r="I61" i="12"/>
  <c r="I39" i="13"/>
  <c r="I41" i="13"/>
  <c r="I74" i="13"/>
  <c r="I57" i="13"/>
  <c r="I46" i="13"/>
  <c r="I67" i="13"/>
  <c r="X8" i="16"/>
  <c r="I54" i="12"/>
  <c r="I24" i="12"/>
  <c r="I58" i="12"/>
  <c r="I56" i="13"/>
  <c r="I44" i="13"/>
  <c r="I46" i="12"/>
  <c r="I57" i="12"/>
  <c r="I75" i="12"/>
  <c r="I73" i="13"/>
  <c r="I24" i="13"/>
  <c r="I49" i="13"/>
  <c r="I23" i="12"/>
  <c r="I65" i="12"/>
  <c r="I65" i="13"/>
  <c r="I42" i="13"/>
  <c r="I53" i="13"/>
  <c r="X7" i="16"/>
  <c r="I39" i="12"/>
  <c r="I27" i="12"/>
  <c r="I35" i="13"/>
  <c r="I59" i="13"/>
  <c r="I31" i="12"/>
  <c r="I44" i="12"/>
  <c r="I52" i="13"/>
  <c r="I54" i="13"/>
  <c r="I25" i="12"/>
  <c r="X6" i="16"/>
  <c r="I62" i="12"/>
  <c r="I74" i="12"/>
  <c r="I25" i="13"/>
  <c r="I72" i="13"/>
  <c r="I73" i="12"/>
  <c r="I37" i="13"/>
  <c r="I64" i="12"/>
  <c r="I21" i="13"/>
  <c r="I43" i="12"/>
  <c r="I37" i="12"/>
  <c r="I60" i="13"/>
  <c r="I52" i="12"/>
  <c r="I69" i="13"/>
  <c r="I26" i="13"/>
  <c r="I62" i="13"/>
  <c r="I66" i="13"/>
  <c r="I32" i="13"/>
  <c r="I51" i="13"/>
  <c r="I28" i="13"/>
  <c r="I22" i="12"/>
  <c r="I32" i="12"/>
  <c r="I63" i="12"/>
  <c r="I33" i="12"/>
  <c r="I42" i="12"/>
  <c r="I51" i="12"/>
  <c r="I60" i="12"/>
  <c r="I69" i="12"/>
  <c r="I56" i="12"/>
  <c r="I36" i="12"/>
  <c r="I22" i="13"/>
  <c r="I64" i="13"/>
  <c r="I26" i="12"/>
  <c r="I53" i="12"/>
  <c r="I50" i="13"/>
  <c r="I58" i="13"/>
  <c r="I79" i="12"/>
  <c r="I34" i="12"/>
  <c r="I28" i="12"/>
  <c r="I48" i="12"/>
  <c r="I29" i="12"/>
  <c r="I66" i="12"/>
  <c r="I40" i="12"/>
  <c r="I70" i="12"/>
  <c r="I76" i="12"/>
  <c r="I67" i="12"/>
  <c r="I49" i="12"/>
  <c r="I30" i="12"/>
  <c r="I77" i="12"/>
  <c r="I68" i="12"/>
  <c r="I59" i="12"/>
  <c r="I50" i="12"/>
  <c r="I41" i="12"/>
  <c r="I71" i="12"/>
  <c r="I72" i="12"/>
  <c r="I38" i="12"/>
  <c r="J53" i="13" l="1"/>
  <c r="J49" i="13"/>
  <c r="J67" i="13"/>
  <c r="J33" i="13"/>
  <c r="J28" i="13"/>
  <c r="J54" i="13"/>
  <c r="J59" i="13"/>
  <c r="J72" i="13"/>
  <c r="J55" i="13"/>
  <c r="J27" i="13"/>
  <c r="J46" i="13"/>
  <c r="J68" i="13"/>
  <c r="J51" i="13"/>
  <c r="J34" i="13"/>
  <c r="J64" i="13"/>
  <c r="J47" i="13"/>
  <c r="J44" i="13"/>
  <c r="J57" i="13"/>
  <c r="J23" i="13"/>
  <c r="J36" i="13"/>
  <c r="J32" i="13"/>
  <c r="J58" i="13"/>
  <c r="J37" i="13"/>
  <c r="J42" i="13"/>
  <c r="J24" i="13"/>
  <c r="J61" i="13"/>
  <c r="J74" i="13"/>
  <c r="J40" i="13"/>
  <c r="J66" i="13"/>
  <c r="J22" i="13"/>
  <c r="J70" i="13"/>
  <c r="J45" i="13"/>
  <c r="J75" i="13"/>
  <c r="J41" i="13"/>
  <c r="J71" i="13"/>
  <c r="J21" i="13"/>
  <c r="J62" i="13"/>
  <c r="J50" i="13"/>
  <c r="J63" i="13"/>
  <c r="J76" i="13"/>
  <c r="J26" i="13"/>
  <c r="J38" i="13"/>
  <c r="J60" i="13"/>
  <c r="J43" i="13"/>
  <c r="J73" i="13"/>
  <c r="J56" i="13"/>
  <c r="J39" i="13"/>
  <c r="J25" i="13"/>
  <c r="J69" i="13"/>
  <c r="J52" i="13"/>
  <c r="J35" i="13"/>
  <c r="J65" i="13"/>
  <c r="J48" i="13"/>
  <c r="J80" i="12"/>
  <c r="O77" i="12" s="1"/>
  <c r="N77" i="12"/>
  <c r="J85" i="12"/>
  <c r="O82" i="12" s="1"/>
  <c r="N82" i="12"/>
  <c r="N81" i="12"/>
  <c r="J84" i="12"/>
  <c r="O81" i="12" s="1"/>
  <c r="J82" i="12"/>
  <c r="O79" i="12" s="1"/>
  <c r="N79" i="12"/>
  <c r="N80" i="12"/>
  <c r="J83" i="12"/>
  <c r="O80" i="12" s="1"/>
  <c r="J81" i="12"/>
  <c r="O78" i="12" s="1"/>
  <c r="N78" i="12"/>
  <c r="N65" i="14"/>
  <c r="J65" i="14"/>
  <c r="O65" i="14" s="1"/>
  <c r="J71" i="14"/>
  <c r="O71" i="14" s="1"/>
  <c r="N71" i="14"/>
  <c r="N70" i="14"/>
  <c r="J70" i="14"/>
  <c r="O70" i="14" s="1"/>
  <c r="N68" i="14"/>
  <c r="J68" i="14"/>
  <c r="O68" i="14" s="1"/>
  <c r="N66" i="14"/>
  <c r="J66" i="14"/>
  <c r="O66" i="14" s="1"/>
  <c r="W5" i="16"/>
  <c r="Y5" i="16" s="1"/>
  <c r="W4" i="16"/>
  <c r="Y4" i="16" s="1"/>
  <c r="N74" i="12"/>
  <c r="J77" i="12"/>
  <c r="O74" i="12" s="1"/>
  <c r="N65" i="12"/>
  <c r="J68" i="12"/>
  <c r="O65" i="12" s="1"/>
  <c r="N69" i="12"/>
  <c r="J72" i="12"/>
  <c r="O69" i="12" s="1"/>
  <c r="N64" i="12"/>
  <c r="J67" i="12"/>
  <c r="O64" i="12" s="1"/>
  <c r="N70" i="12"/>
  <c r="J73" i="12"/>
  <c r="O70" i="12" s="1"/>
  <c r="N67" i="12"/>
  <c r="J70" i="12"/>
  <c r="O67" i="12" s="1"/>
  <c r="N71" i="12"/>
  <c r="J74" i="12"/>
  <c r="O71" i="12" s="1"/>
  <c r="N75" i="12"/>
  <c r="J78" i="12"/>
  <c r="O75" i="12" s="1"/>
  <c r="N73" i="12"/>
  <c r="J76" i="12"/>
  <c r="O73" i="12" s="1"/>
  <c r="N68" i="12"/>
  <c r="J71" i="12"/>
  <c r="O68" i="12" s="1"/>
  <c r="N72" i="12"/>
  <c r="J75" i="12"/>
  <c r="O72" i="12" s="1"/>
  <c r="N76" i="12"/>
  <c r="J79" i="12"/>
  <c r="O76" i="12" s="1"/>
  <c r="N66" i="12"/>
  <c r="J69" i="12"/>
  <c r="O66" i="12" s="1"/>
  <c r="N40" i="14"/>
  <c r="N47" i="14"/>
  <c r="N45" i="14"/>
  <c r="N64" i="14"/>
  <c r="N56" i="14"/>
  <c r="N51" i="14"/>
  <c r="N60" i="14"/>
  <c r="N49" i="14"/>
  <c r="N34" i="14"/>
  <c r="N21" i="14"/>
  <c r="N32" i="14"/>
  <c r="N44" i="14"/>
  <c r="N29" i="14"/>
  <c r="N27" i="14"/>
  <c r="N54" i="14"/>
  <c r="N41" i="14"/>
  <c r="N38" i="14"/>
  <c r="N58" i="14"/>
  <c r="N22" i="14"/>
  <c r="N46" i="14"/>
  <c r="N30" i="14"/>
  <c r="N55" i="14"/>
  <c r="N39" i="14"/>
  <c r="N19" i="14"/>
  <c r="N48" i="14"/>
  <c r="N18" i="14"/>
  <c r="N57" i="14"/>
  <c r="N43" i="14"/>
  <c r="N23" i="14"/>
  <c r="N20" i="14"/>
  <c r="N42" i="14"/>
  <c r="N62" i="14"/>
  <c r="N53" i="14"/>
  <c r="N26" i="14"/>
  <c r="N36" i="14"/>
  <c r="N25" i="14"/>
  <c r="N31" i="14"/>
  <c r="N37" i="14"/>
  <c r="N33" i="14"/>
  <c r="N24" i="14"/>
  <c r="N61" i="14"/>
  <c r="N63" i="14"/>
  <c r="N35" i="14"/>
  <c r="N50" i="14"/>
  <c r="N52" i="14"/>
  <c r="N28" i="14"/>
  <c r="N59" i="14"/>
  <c r="J57" i="14"/>
  <c r="O57" i="14" s="1"/>
  <c r="J59" i="14"/>
  <c r="O59" i="14" s="1"/>
  <c r="J46" i="14"/>
  <c r="O46" i="14" s="1"/>
  <c r="J37" i="14"/>
  <c r="O37" i="14" s="1"/>
  <c r="J55" i="14"/>
  <c r="O55" i="14" s="1"/>
  <c r="J51" i="14"/>
  <c r="O51" i="14" s="1"/>
  <c r="J40" i="14"/>
  <c r="O40" i="14" s="1"/>
  <c r="J30" i="14"/>
  <c r="O30" i="14" s="1"/>
  <c r="J52" i="14"/>
  <c r="O52" i="14" s="1"/>
  <c r="J26" i="14"/>
  <c r="O26" i="14" s="1"/>
  <c r="J47" i="14"/>
  <c r="O47" i="14" s="1"/>
  <c r="J42" i="14"/>
  <c r="O42" i="14" s="1"/>
  <c r="J62" i="14"/>
  <c r="O62" i="14" s="1"/>
  <c r="J32" i="14"/>
  <c r="O32" i="14" s="1"/>
  <c r="J45" i="14"/>
  <c r="O45" i="14" s="1"/>
  <c r="J22" i="14"/>
  <c r="O22" i="14" s="1"/>
  <c r="J18" i="14"/>
  <c r="O18" i="14" s="1"/>
  <c r="J20" i="14"/>
  <c r="O20" i="14" s="1"/>
  <c r="J41" i="14"/>
  <c r="O41" i="14" s="1"/>
  <c r="J24" i="14"/>
  <c r="O24" i="14" s="1"/>
  <c r="J50" i="14"/>
  <c r="O50" i="14" s="1"/>
  <c r="J61" i="14"/>
  <c r="O61" i="14" s="1"/>
  <c r="J48" i="14"/>
  <c r="O48" i="14" s="1"/>
  <c r="J56" i="14"/>
  <c r="O56" i="14" s="1"/>
  <c r="J38" i="14"/>
  <c r="O38" i="14" s="1"/>
  <c r="J49" i="14"/>
  <c r="O49" i="14" s="1"/>
  <c r="J23" i="14"/>
  <c r="O23" i="14" s="1"/>
  <c r="J34" i="14"/>
  <c r="O34" i="14" s="1"/>
  <c r="J25" i="14"/>
  <c r="O25" i="14" s="1"/>
  <c r="J60" i="14"/>
  <c r="O60" i="14" s="1"/>
  <c r="J19" i="14"/>
  <c r="O19" i="14" s="1"/>
  <c r="J33" i="14"/>
  <c r="O33" i="14" s="1"/>
  <c r="J54" i="14"/>
  <c r="O54" i="14" s="1"/>
  <c r="J44" i="14"/>
  <c r="O44" i="14" s="1"/>
  <c r="J63" i="14"/>
  <c r="O63" i="14" s="1"/>
  <c r="J35" i="14"/>
  <c r="O35" i="14" s="1"/>
  <c r="J64" i="14"/>
  <c r="O64" i="14" s="1"/>
  <c r="J29" i="14"/>
  <c r="O29" i="14" s="1"/>
  <c r="J31" i="14"/>
  <c r="O31" i="14" s="1"/>
  <c r="J27" i="14"/>
  <c r="O27" i="14" s="1"/>
  <c r="J36" i="14"/>
  <c r="O36" i="14" s="1"/>
  <c r="J43" i="14"/>
  <c r="O43" i="14" s="1"/>
  <c r="J39" i="14"/>
  <c r="O39" i="14" s="1"/>
  <c r="J58" i="14"/>
  <c r="O58" i="14" s="1"/>
  <c r="J28" i="14"/>
  <c r="O28" i="14" s="1"/>
  <c r="J53" i="14"/>
  <c r="O53" i="14" s="1"/>
  <c r="J21" i="14"/>
  <c r="O21" i="14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B9" i="13"/>
  <c r="C9" i="13" s="1"/>
  <c r="B17" i="13"/>
  <c r="C17" i="13" s="1"/>
  <c r="C16" i="14"/>
  <c r="C8" i="14"/>
  <c r="C11" i="14"/>
  <c r="C10" i="14"/>
  <c r="C6" i="14"/>
  <c r="C4" i="14"/>
  <c r="C17" i="14"/>
  <c r="C5" i="14"/>
  <c r="C15" i="14"/>
  <c r="C13" i="14"/>
  <c r="C12" i="14"/>
  <c r="C9" i="14"/>
  <c r="C7" i="14"/>
  <c r="C14" i="14"/>
  <c r="C3" i="14"/>
  <c r="B26" i="13"/>
  <c r="B27" i="13"/>
  <c r="B25" i="13"/>
  <c r="B24" i="13"/>
  <c r="B28" i="13"/>
  <c r="B22" i="13"/>
  <c r="B21" i="13"/>
  <c r="B23" i="13"/>
  <c r="M65" i="13"/>
  <c r="M57" i="13"/>
  <c r="M49" i="13"/>
  <c r="M41" i="13"/>
  <c r="M33" i="13"/>
  <c r="M67" i="13"/>
  <c r="M58" i="13"/>
  <c r="M48" i="13"/>
  <c r="M39" i="13"/>
  <c r="M30" i="13"/>
  <c r="M56" i="13"/>
  <c r="M38" i="13"/>
  <c r="M29" i="13"/>
  <c r="M66" i="13"/>
  <c r="M47" i="13"/>
  <c r="M71" i="13"/>
  <c r="M60" i="13"/>
  <c r="M46" i="13"/>
  <c r="M35" i="13"/>
  <c r="M69" i="13"/>
  <c r="M55" i="13"/>
  <c r="M44" i="13"/>
  <c r="M32" i="13"/>
  <c r="M43" i="13"/>
  <c r="M53" i="13"/>
  <c r="M70" i="13"/>
  <c r="M59" i="13"/>
  <c r="M45" i="13"/>
  <c r="M34" i="13"/>
  <c r="M68" i="13"/>
  <c r="M54" i="13"/>
  <c r="M31" i="13"/>
  <c r="M52" i="13"/>
  <c r="M27" i="13"/>
  <c r="M51" i="13"/>
  <c r="M50" i="13"/>
  <c r="M64" i="13"/>
  <c r="M40" i="13"/>
  <c r="M36" i="13"/>
  <c r="M42" i="13"/>
  <c r="M63" i="13"/>
  <c r="M37" i="13"/>
  <c r="M62" i="13"/>
  <c r="M61" i="13"/>
  <c r="M28" i="13"/>
  <c r="C16" i="12"/>
  <c r="C8" i="12"/>
  <c r="C11" i="12"/>
  <c r="C10" i="12"/>
  <c r="C14" i="12"/>
  <c r="C3" i="12"/>
  <c r="C13" i="12"/>
  <c r="C12" i="12"/>
  <c r="C5" i="12"/>
  <c r="C4" i="12"/>
  <c r="C18" i="12"/>
  <c r="C17" i="12"/>
  <c r="C15" i="12"/>
  <c r="C9" i="12"/>
  <c r="C7" i="12"/>
  <c r="C6" i="12"/>
  <c r="C16" i="13"/>
  <c r="C15" i="13"/>
  <c r="X5" i="16"/>
  <c r="X4" i="16"/>
  <c r="F11" i="14" l="1"/>
  <c r="F13" i="14"/>
  <c r="F12" i="14"/>
  <c r="F15" i="14"/>
  <c r="F5" i="14"/>
  <c r="F17" i="14"/>
  <c r="F14" i="14"/>
  <c r="F8" i="14"/>
  <c r="F16" i="14"/>
  <c r="F4" i="14"/>
  <c r="F7" i="14"/>
  <c r="F6" i="14"/>
  <c r="F9" i="14"/>
  <c r="F10" i="14"/>
  <c r="E17" i="13"/>
  <c r="F17" i="13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W2" i="16"/>
  <c r="N34" i="12"/>
  <c r="N44" i="12"/>
  <c r="N53" i="12"/>
  <c r="N59" i="12"/>
  <c r="N42" i="12"/>
  <c r="N45" i="12"/>
  <c r="N48" i="12"/>
  <c r="N46" i="12"/>
  <c r="N50" i="12"/>
  <c r="N24" i="12"/>
  <c r="N27" i="12"/>
  <c r="N22" i="12"/>
  <c r="N40" i="12"/>
  <c r="N62" i="12"/>
  <c r="N55" i="12"/>
  <c r="N37" i="12"/>
  <c r="N49" i="12"/>
  <c r="N61" i="12"/>
  <c r="N21" i="12"/>
  <c r="N58" i="12"/>
  <c r="N28" i="12"/>
  <c r="N47" i="12"/>
  <c r="N43" i="12"/>
  <c r="N26" i="12"/>
  <c r="N63" i="12"/>
  <c r="N60" i="12"/>
  <c r="N31" i="12"/>
  <c r="N52" i="12"/>
  <c r="N30" i="12"/>
  <c r="N51" i="12"/>
  <c r="N32" i="12"/>
  <c r="N56" i="12"/>
  <c r="N41" i="12"/>
  <c r="N23" i="12"/>
  <c r="N39" i="12"/>
  <c r="N57" i="12"/>
  <c r="N25" i="12"/>
  <c r="N33" i="12"/>
  <c r="N19" i="12"/>
  <c r="N35" i="12"/>
  <c r="N38" i="12"/>
  <c r="N29" i="12"/>
  <c r="N36" i="12"/>
  <c r="N20" i="12"/>
  <c r="N54" i="12"/>
  <c r="E3" i="14"/>
  <c r="F3" i="14"/>
  <c r="E8" i="14"/>
  <c r="M8" i="14"/>
  <c r="E16" i="14"/>
  <c r="M16" i="14"/>
  <c r="E14" i="14"/>
  <c r="M14" i="14"/>
  <c r="M7" i="14"/>
  <c r="E7" i="14"/>
  <c r="M13" i="14"/>
  <c r="E13" i="14"/>
  <c r="M15" i="14"/>
  <c r="E15" i="14"/>
  <c r="M5" i="14"/>
  <c r="E5" i="14"/>
  <c r="E17" i="14"/>
  <c r="M17" i="14"/>
  <c r="M4" i="14"/>
  <c r="E4" i="14"/>
  <c r="M6" i="14"/>
  <c r="E6" i="14"/>
  <c r="E9" i="14"/>
  <c r="M9" i="14"/>
  <c r="M10" i="14"/>
  <c r="E10" i="14"/>
  <c r="M12" i="14"/>
  <c r="E12" i="14"/>
  <c r="E11" i="14"/>
  <c r="M11" i="14"/>
  <c r="D6" i="14"/>
  <c r="D9" i="14"/>
  <c r="D11" i="14"/>
  <c r="D8" i="14"/>
  <c r="D16" i="14"/>
  <c r="D7" i="14"/>
  <c r="D12" i="14"/>
  <c r="D10" i="14"/>
  <c r="D13" i="14"/>
  <c r="D15" i="14"/>
  <c r="D5" i="14"/>
  <c r="D3" i="14"/>
  <c r="M3" i="14"/>
  <c r="D17" i="14"/>
  <c r="D14" i="14"/>
  <c r="D4" i="14"/>
  <c r="O54" i="13"/>
  <c r="N54" i="13"/>
  <c r="O27" i="13"/>
  <c r="N27" i="13"/>
  <c r="M21" i="13"/>
  <c r="N68" i="13"/>
  <c r="O68" i="13"/>
  <c r="O31" i="13"/>
  <c r="N31" i="13"/>
  <c r="O70" i="13"/>
  <c r="N70" i="13"/>
  <c r="N60" i="13"/>
  <c r="O60" i="13"/>
  <c r="N47" i="13"/>
  <c r="O47" i="13"/>
  <c r="M23" i="13"/>
  <c r="O53" i="13"/>
  <c r="N53" i="13"/>
  <c r="O69" i="13"/>
  <c r="N69" i="13"/>
  <c r="N44" i="13"/>
  <c r="O44" i="13"/>
  <c r="O38" i="13"/>
  <c r="N38" i="13"/>
  <c r="N57" i="13"/>
  <c r="O57" i="13"/>
  <c r="M25" i="13"/>
  <c r="N28" i="13"/>
  <c r="O28" i="13"/>
  <c r="O45" i="13"/>
  <c r="N45" i="13"/>
  <c r="N33" i="13"/>
  <c r="O33" i="13"/>
  <c r="N65" i="13"/>
  <c r="O65" i="13"/>
  <c r="O66" i="13"/>
  <c r="N66" i="13"/>
  <c r="M24" i="13"/>
  <c r="N58" i="13"/>
  <c r="O58" i="13"/>
  <c r="N34" i="13"/>
  <c r="O34" i="13"/>
  <c r="O29" i="13"/>
  <c r="N29" i="13"/>
  <c r="O35" i="13"/>
  <c r="N35" i="13"/>
  <c r="M19" i="13"/>
  <c r="N42" i="13"/>
  <c r="O42" i="13"/>
  <c r="N63" i="13"/>
  <c r="O63" i="13"/>
  <c r="N46" i="13"/>
  <c r="O46" i="13"/>
  <c r="O71" i="13"/>
  <c r="N71" i="13"/>
  <c r="N56" i="13"/>
  <c r="O56" i="13"/>
  <c r="O43" i="13"/>
  <c r="N43" i="13"/>
  <c r="M20" i="13"/>
  <c r="N40" i="13"/>
  <c r="O40" i="13"/>
  <c r="O32" i="13"/>
  <c r="N32" i="13"/>
  <c r="N36" i="13"/>
  <c r="O36" i="13"/>
  <c r="O37" i="13"/>
  <c r="N37" i="13"/>
  <c r="N30" i="13"/>
  <c r="O30" i="13"/>
  <c r="O51" i="13"/>
  <c r="N51" i="13"/>
  <c r="M26" i="13"/>
  <c r="N41" i="13"/>
  <c r="O41" i="13"/>
  <c r="N64" i="13"/>
  <c r="O64" i="13"/>
  <c r="N49" i="13"/>
  <c r="O49" i="13"/>
  <c r="N50" i="13"/>
  <c r="O50" i="13"/>
  <c r="N39" i="13"/>
  <c r="O39" i="13"/>
  <c r="O59" i="13"/>
  <c r="N59" i="13"/>
  <c r="M22" i="13"/>
  <c r="N52" i="13"/>
  <c r="O52" i="13"/>
  <c r="O55" i="13"/>
  <c r="N55" i="13"/>
  <c r="O61" i="13"/>
  <c r="N61" i="13"/>
  <c r="N62" i="13"/>
  <c r="O62" i="13"/>
  <c r="N48" i="13"/>
  <c r="O48" i="13"/>
  <c r="O67" i="13"/>
  <c r="N67" i="13"/>
  <c r="M5" i="13"/>
  <c r="D5" i="13"/>
  <c r="D18" i="13"/>
  <c r="M18" i="13"/>
  <c r="M13" i="13"/>
  <c r="D13" i="13"/>
  <c r="M3" i="13"/>
  <c r="D3" i="13"/>
  <c r="M11" i="13"/>
  <c r="D11" i="13"/>
  <c r="D15" i="13"/>
  <c r="M15" i="13"/>
  <c r="M9" i="13"/>
  <c r="D9" i="13"/>
  <c r="D6" i="13"/>
  <c r="M6" i="13"/>
  <c r="D12" i="13"/>
  <c r="M12" i="13"/>
  <c r="D10" i="13"/>
  <c r="M10" i="13"/>
  <c r="M8" i="13"/>
  <c r="D8" i="13"/>
  <c r="M16" i="13"/>
  <c r="D16" i="13"/>
  <c r="D17" i="13"/>
  <c r="M17" i="13"/>
  <c r="M14" i="13"/>
  <c r="D14" i="13"/>
  <c r="M7" i="13"/>
  <c r="D7" i="13"/>
  <c r="D4" i="13"/>
  <c r="M4" i="13"/>
  <c r="J51" i="12"/>
  <c r="O48" i="12" s="1"/>
  <c r="J46" i="12"/>
  <c r="O43" i="12" s="1"/>
  <c r="J65" i="12"/>
  <c r="O62" i="12" s="1"/>
  <c r="J52" i="12"/>
  <c r="O49" i="12" s="1"/>
  <c r="J48" i="12"/>
  <c r="O45" i="12" s="1"/>
  <c r="J47" i="12"/>
  <c r="O44" i="12" s="1"/>
  <c r="J34" i="12"/>
  <c r="O31" i="12" s="1"/>
  <c r="J41" i="12"/>
  <c r="O38" i="12" s="1"/>
  <c r="J58" i="12"/>
  <c r="O55" i="12" s="1"/>
  <c r="J53" i="12"/>
  <c r="O50" i="12" s="1"/>
  <c r="J66" i="12"/>
  <c r="O63" i="12" s="1"/>
  <c r="J60" i="12"/>
  <c r="O57" i="12" s="1"/>
  <c r="J55" i="12"/>
  <c r="O52" i="12" s="1"/>
  <c r="J27" i="12"/>
  <c r="O24" i="12" s="1"/>
  <c r="J61" i="12"/>
  <c r="O58" i="12" s="1"/>
  <c r="J24" i="12"/>
  <c r="O21" i="12" s="1"/>
  <c r="J35" i="12"/>
  <c r="O32" i="12" s="1"/>
  <c r="J31" i="12"/>
  <c r="O28" i="12" s="1"/>
  <c r="J39" i="12"/>
  <c r="O36" i="12" s="1"/>
  <c r="J22" i="12"/>
  <c r="O19" i="12" s="1"/>
  <c r="J40" i="12"/>
  <c r="O37" i="12" s="1"/>
  <c r="J50" i="12"/>
  <c r="O47" i="12" s="1"/>
  <c r="J63" i="12"/>
  <c r="O60" i="12" s="1"/>
  <c r="J43" i="12"/>
  <c r="O40" i="12" s="1"/>
  <c r="J49" i="12"/>
  <c r="O46" i="12" s="1"/>
  <c r="J30" i="12"/>
  <c r="O27" i="12" s="1"/>
  <c r="J42" i="12"/>
  <c r="O39" i="12" s="1"/>
  <c r="J26" i="12"/>
  <c r="O23" i="12" s="1"/>
  <c r="J29" i="12"/>
  <c r="O26" i="12" s="1"/>
  <c r="J44" i="12"/>
  <c r="O41" i="12" s="1"/>
  <c r="J33" i="12"/>
  <c r="O30" i="12" s="1"/>
  <c r="J56" i="12"/>
  <c r="O53" i="12" s="1"/>
  <c r="J36" i="12"/>
  <c r="O33" i="12" s="1"/>
  <c r="J37" i="12"/>
  <c r="O34" i="12" s="1"/>
  <c r="J54" i="12"/>
  <c r="O51" i="12" s="1"/>
  <c r="J23" i="12"/>
  <c r="O20" i="12" s="1"/>
  <c r="J25" i="12"/>
  <c r="O22" i="12" s="1"/>
  <c r="J45" i="12"/>
  <c r="O42" i="12" s="1"/>
  <c r="J62" i="12"/>
  <c r="O59" i="12" s="1"/>
  <c r="J64" i="12"/>
  <c r="O61" i="12" s="1"/>
  <c r="J32" i="12"/>
  <c r="O29" i="12" s="1"/>
  <c r="J28" i="12"/>
  <c r="O25" i="12" s="1"/>
  <c r="J57" i="12"/>
  <c r="O54" i="12" s="1"/>
  <c r="J59" i="12"/>
  <c r="O56" i="12" s="1"/>
  <c r="J38" i="12"/>
  <c r="O35" i="12" s="1"/>
  <c r="F8" i="12"/>
  <c r="D8" i="12"/>
  <c r="M8" i="12"/>
  <c r="E8" i="12"/>
  <c r="M7" i="12"/>
  <c r="F7" i="12"/>
  <c r="E7" i="12"/>
  <c r="D7" i="12"/>
  <c r="F11" i="12"/>
  <c r="D11" i="12"/>
  <c r="E11" i="12"/>
  <c r="M11" i="12"/>
  <c r="E4" i="12"/>
  <c r="D4" i="12"/>
  <c r="M4" i="12"/>
  <c r="F4" i="12"/>
  <c r="E5" i="12"/>
  <c r="M5" i="12"/>
  <c r="F5" i="12"/>
  <c r="D5" i="12"/>
  <c r="F12" i="12"/>
  <c r="M12" i="12"/>
  <c r="E12" i="12"/>
  <c r="D12" i="12"/>
  <c r="E13" i="12"/>
  <c r="M13" i="12"/>
  <c r="D13" i="12"/>
  <c r="F13" i="12"/>
  <c r="M9" i="12"/>
  <c r="E9" i="12"/>
  <c r="D9" i="12"/>
  <c r="F9" i="12"/>
  <c r="D3" i="12"/>
  <c r="F3" i="12"/>
  <c r="M3" i="12"/>
  <c r="E3" i="12"/>
  <c r="D15" i="12"/>
  <c r="M15" i="12"/>
  <c r="F15" i="12"/>
  <c r="E15" i="12"/>
  <c r="M14" i="12"/>
  <c r="F14" i="12"/>
  <c r="E14" i="12"/>
  <c r="D14" i="12"/>
  <c r="D18" i="12"/>
  <c r="M18" i="12"/>
  <c r="F18" i="12"/>
  <c r="E18" i="12"/>
  <c r="F16" i="12"/>
  <c r="M16" i="12"/>
  <c r="E16" i="12"/>
  <c r="D16" i="12"/>
  <c r="F6" i="12"/>
  <c r="E6" i="12"/>
  <c r="D6" i="12"/>
  <c r="M6" i="12"/>
  <c r="E17" i="12"/>
  <c r="D17" i="12"/>
  <c r="M17" i="12"/>
  <c r="F17" i="12"/>
  <c r="D10" i="12"/>
  <c r="E10" i="12"/>
  <c r="M10" i="12"/>
  <c r="F10" i="12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27" i="2"/>
  <c r="L20" i="2"/>
  <c r="L21" i="2"/>
  <c r="L22" i="2"/>
  <c r="L23" i="2"/>
  <c r="L24" i="2"/>
  <c r="L25" i="2"/>
  <c r="L26" i="2"/>
  <c r="L19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3" i="2"/>
  <c r="I12" i="14"/>
  <c r="I14" i="14"/>
  <c r="I4" i="14"/>
  <c r="I13" i="14"/>
  <c r="I3" i="14"/>
  <c r="I7" i="14"/>
  <c r="I10" i="14"/>
  <c r="I6" i="14"/>
  <c r="I15" i="14"/>
  <c r="I11" i="14"/>
  <c r="I17" i="14"/>
  <c r="I9" i="14"/>
  <c r="I5" i="14"/>
  <c r="I8" i="14"/>
  <c r="I16" i="14"/>
  <c r="B3" i="11" a="1"/>
  <c r="D32" i="11" a="1"/>
  <c r="C21" i="11" a="1"/>
  <c r="G21" i="11" a="1"/>
  <c r="H32" i="11" a="1"/>
  <c r="H3" i="11" a="1"/>
  <c r="D32" i="2" a="1"/>
  <c r="H32" i="2" a="1"/>
  <c r="B3" i="2" a="1"/>
  <c r="C21" i="2" a="1"/>
  <c r="H3" i="2" a="1"/>
  <c r="G21" i="2" a="1"/>
  <c r="G21" i="10" a="1"/>
  <c r="H3" i="10" a="1"/>
  <c r="H32" i="10" a="1"/>
  <c r="B3" i="10" a="1"/>
  <c r="C21" i="10" a="1"/>
  <c r="D32" i="10" a="1"/>
  <c r="I17" i="12"/>
  <c r="I9" i="12"/>
  <c r="I14" i="12"/>
  <c r="I16" i="12"/>
  <c r="I11" i="12"/>
  <c r="I12" i="12"/>
  <c r="I4" i="12"/>
  <c r="I5" i="12"/>
  <c r="I13" i="13"/>
  <c r="I10" i="13"/>
  <c r="I12" i="13"/>
  <c r="I6" i="12"/>
  <c r="I9" i="13"/>
  <c r="I7" i="13"/>
  <c r="I30" i="11"/>
  <c r="I8" i="12"/>
  <c r="I15" i="13"/>
  <c r="I3" i="13"/>
  <c r="I14" i="13"/>
  <c r="I3" i="12"/>
  <c r="I11" i="13"/>
  <c r="I13" i="12"/>
  <c r="I17" i="13"/>
  <c r="I7" i="12"/>
  <c r="I18" i="13"/>
  <c r="I6" i="13"/>
  <c r="I10" i="12"/>
  <c r="I5" i="13"/>
  <c r="I15" i="12"/>
  <c r="I8" i="13"/>
  <c r="I4" i="13"/>
  <c r="I16" i="13"/>
  <c r="I18" i="12"/>
  <c r="N15" i="14" l="1"/>
  <c r="N17" i="14"/>
  <c r="N16" i="14"/>
  <c r="N14" i="14"/>
  <c r="N4" i="14"/>
  <c r="N12" i="14"/>
  <c r="N10" i="14"/>
  <c r="N5" i="14"/>
  <c r="N9" i="14"/>
  <c r="N6" i="14"/>
  <c r="N8" i="14"/>
  <c r="N13" i="14"/>
  <c r="N7" i="14"/>
  <c r="N11" i="14"/>
  <c r="N21" i="13"/>
  <c r="O21" i="13"/>
  <c r="O19" i="13"/>
  <c r="N19" i="13"/>
  <c r="O26" i="13"/>
  <c r="N26" i="13"/>
  <c r="O25" i="13"/>
  <c r="N25" i="13"/>
  <c r="N24" i="13"/>
  <c r="O24" i="13"/>
  <c r="N23" i="13"/>
  <c r="O23" i="13"/>
  <c r="N22" i="13"/>
  <c r="O22" i="13"/>
  <c r="O20" i="13"/>
  <c r="N20" i="13"/>
  <c r="J3" i="14"/>
  <c r="O3" i="14" s="1"/>
  <c r="N3" i="14"/>
  <c r="J15" i="14"/>
  <c r="O15" i="14" s="1"/>
  <c r="J16" i="14"/>
  <c r="O16" i="14" s="1"/>
  <c r="J17" i="14"/>
  <c r="O17" i="14" s="1"/>
  <c r="J10" i="14"/>
  <c r="O10" i="14" s="1"/>
  <c r="J5" i="14"/>
  <c r="O5" i="14" s="1"/>
  <c r="J13" i="14"/>
  <c r="O13" i="14" s="1"/>
  <c r="J8" i="14"/>
  <c r="O8" i="14" s="1"/>
  <c r="J11" i="14"/>
  <c r="O11" i="14" s="1"/>
  <c r="J9" i="14"/>
  <c r="O9" i="14" s="1"/>
  <c r="J4" i="14"/>
  <c r="O4" i="14" s="1"/>
  <c r="J6" i="14"/>
  <c r="O6" i="14" s="1"/>
  <c r="J14" i="14"/>
  <c r="O14" i="14" s="1"/>
  <c r="J12" i="14"/>
  <c r="O12" i="14" s="1"/>
  <c r="J7" i="14"/>
  <c r="O7" i="14" s="1"/>
  <c r="O14" i="13"/>
  <c r="N14" i="13"/>
  <c r="O5" i="13"/>
  <c r="N5" i="13"/>
  <c r="N15" i="13"/>
  <c r="O15" i="13"/>
  <c r="N16" i="13"/>
  <c r="O16" i="13"/>
  <c r="N17" i="13"/>
  <c r="O17" i="13"/>
  <c r="N11" i="13"/>
  <c r="O11" i="13"/>
  <c r="N13" i="13"/>
  <c r="O13" i="13"/>
  <c r="O12" i="13"/>
  <c r="N12" i="13"/>
  <c r="N10" i="13"/>
  <c r="O10" i="13"/>
  <c r="O6" i="13"/>
  <c r="N6" i="13"/>
  <c r="O3" i="13"/>
  <c r="N3" i="13"/>
  <c r="O4" i="13"/>
  <c r="N4" i="13"/>
  <c r="N7" i="13"/>
  <c r="O7" i="13"/>
  <c r="N8" i="13"/>
  <c r="O8" i="13"/>
  <c r="O9" i="13"/>
  <c r="N9" i="13"/>
  <c r="O18" i="13"/>
  <c r="N18" i="13"/>
  <c r="J7" i="12"/>
  <c r="O7" i="12" s="1"/>
  <c r="N7" i="12"/>
  <c r="J9" i="12"/>
  <c r="O9" i="12" s="1"/>
  <c r="N9" i="12"/>
  <c r="N8" i="12"/>
  <c r="J8" i="12"/>
  <c r="O8" i="12" s="1"/>
  <c r="J14" i="12"/>
  <c r="O14" i="12" s="1"/>
  <c r="N14" i="12"/>
  <c r="J11" i="12"/>
  <c r="O11" i="12" s="1"/>
  <c r="N11" i="12"/>
  <c r="J6" i="12"/>
  <c r="O6" i="12" s="1"/>
  <c r="N6" i="12"/>
  <c r="N13" i="12"/>
  <c r="J13" i="12"/>
  <c r="O13" i="12" s="1"/>
  <c r="N16" i="12"/>
  <c r="J16" i="12"/>
  <c r="O16" i="12" s="1"/>
  <c r="J3" i="12"/>
  <c r="O3" i="12" s="1"/>
  <c r="N3" i="12"/>
  <c r="J10" i="12"/>
  <c r="O10" i="12" s="1"/>
  <c r="N10" i="12"/>
  <c r="N15" i="12"/>
  <c r="J15" i="12"/>
  <c r="O15" i="12" s="1"/>
  <c r="N12" i="12"/>
  <c r="J12" i="12"/>
  <c r="O12" i="12" s="1"/>
  <c r="J18" i="12"/>
  <c r="O18" i="12" s="1"/>
  <c r="N18" i="12"/>
  <c r="J4" i="12"/>
  <c r="O4" i="12" s="1"/>
  <c r="N4" i="12"/>
  <c r="J17" i="12"/>
  <c r="O17" i="12" s="1"/>
  <c r="N17" i="12"/>
  <c r="N5" i="12"/>
  <c r="J5" i="12"/>
  <c r="O5" i="12" s="1"/>
  <c r="H39" i="11"/>
  <c r="H47" i="11"/>
  <c r="H55" i="11"/>
  <c r="H63" i="11"/>
  <c r="H71" i="11"/>
  <c r="H32" i="11"/>
  <c r="H40" i="11"/>
  <c r="H48" i="11"/>
  <c r="H56" i="11"/>
  <c r="H64" i="11"/>
  <c r="H72" i="11"/>
  <c r="H33" i="11"/>
  <c r="H41" i="11"/>
  <c r="H49" i="11"/>
  <c r="H57" i="11"/>
  <c r="H65" i="11"/>
  <c r="H73" i="11"/>
  <c r="H34" i="11"/>
  <c r="H42" i="11"/>
  <c r="H50" i="11"/>
  <c r="H58" i="11"/>
  <c r="H66" i="11"/>
  <c r="H74" i="11"/>
  <c r="H35" i="11"/>
  <c r="H43" i="11"/>
  <c r="H51" i="11"/>
  <c r="H59" i="11"/>
  <c r="H67" i="11"/>
  <c r="H75" i="11"/>
  <c r="H36" i="11"/>
  <c r="H44" i="11"/>
  <c r="H52" i="11"/>
  <c r="H60" i="11"/>
  <c r="H68" i="11"/>
  <c r="H76" i="11"/>
  <c r="H37" i="11"/>
  <c r="H45" i="11"/>
  <c r="H53" i="11"/>
  <c r="H61" i="11"/>
  <c r="H69" i="11"/>
  <c r="H38" i="11"/>
  <c r="H46" i="11"/>
  <c r="H54" i="11"/>
  <c r="H62" i="11"/>
  <c r="H70" i="11"/>
  <c r="D39" i="11"/>
  <c r="M34" i="11" s="1"/>
  <c r="D47" i="11"/>
  <c r="M42" i="11" s="1"/>
  <c r="D55" i="11"/>
  <c r="M50" i="11" s="1"/>
  <c r="D63" i="11"/>
  <c r="M58" i="11" s="1"/>
  <c r="D71" i="11"/>
  <c r="M66" i="11" s="1"/>
  <c r="D32" i="11"/>
  <c r="M27" i="11" s="1"/>
  <c r="D40" i="11"/>
  <c r="M35" i="11" s="1"/>
  <c r="D48" i="11"/>
  <c r="M43" i="11" s="1"/>
  <c r="D56" i="11"/>
  <c r="M51" i="11" s="1"/>
  <c r="D64" i="11"/>
  <c r="M59" i="11" s="1"/>
  <c r="D72" i="11"/>
  <c r="M67" i="11" s="1"/>
  <c r="D33" i="11"/>
  <c r="M28" i="11" s="1"/>
  <c r="D41" i="11"/>
  <c r="M36" i="11" s="1"/>
  <c r="D49" i="11"/>
  <c r="M44" i="11" s="1"/>
  <c r="D57" i="11"/>
  <c r="M52" i="11" s="1"/>
  <c r="D65" i="11"/>
  <c r="M60" i="11" s="1"/>
  <c r="D73" i="11"/>
  <c r="M68" i="11" s="1"/>
  <c r="D34" i="11"/>
  <c r="M29" i="11" s="1"/>
  <c r="D42" i="11"/>
  <c r="M37" i="11" s="1"/>
  <c r="D50" i="11"/>
  <c r="M45" i="11" s="1"/>
  <c r="D58" i="11"/>
  <c r="M53" i="11" s="1"/>
  <c r="D66" i="11"/>
  <c r="M61" i="11" s="1"/>
  <c r="D74" i="11"/>
  <c r="M69" i="11" s="1"/>
  <c r="D35" i="11"/>
  <c r="M30" i="11" s="1"/>
  <c r="D43" i="11"/>
  <c r="M38" i="11" s="1"/>
  <c r="D51" i="11"/>
  <c r="M46" i="11" s="1"/>
  <c r="D59" i="11"/>
  <c r="M54" i="11" s="1"/>
  <c r="D67" i="11"/>
  <c r="M62" i="11" s="1"/>
  <c r="D75" i="11"/>
  <c r="M70" i="11" s="1"/>
  <c r="D36" i="11"/>
  <c r="M31" i="11" s="1"/>
  <c r="D44" i="11"/>
  <c r="M39" i="11" s="1"/>
  <c r="D52" i="11"/>
  <c r="M47" i="11" s="1"/>
  <c r="D60" i="11"/>
  <c r="M55" i="11" s="1"/>
  <c r="D68" i="11"/>
  <c r="M63" i="11" s="1"/>
  <c r="D76" i="11"/>
  <c r="M71" i="11" s="1"/>
  <c r="D37" i="11"/>
  <c r="M32" i="11" s="1"/>
  <c r="D45" i="11"/>
  <c r="M40" i="11" s="1"/>
  <c r="D53" i="11"/>
  <c r="M48" i="11" s="1"/>
  <c r="D61" i="11"/>
  <c r="M56" i="11" s="1"/>
  <c r="D69" i="11"/>
  <c r="M64" i="11" s="1"/>
  <c r="D38" i="11"/>
  <c r="M33" i="11" s="1"/>
  <c r="D46" i="11"/>
  <c r="M41" i="11" s="1"/>
  <c r="D54" i="11"/>
  <c r="M49" i="11" s="1"/>
  <c r="D62" i="11"/>
  <c r="M57" i="11" s="1"/>
  <c r="D70" i="11"/>
  <c r="M65" i="11" s="1"/>
  <c r="G28" i="11"/>
  <c r="G21" i="11"/>
  <c r="G22" i="11"/>
  <c r="G23" i="11"/>
  <c r="G24" i="11"/>
  <c r="G25" i="11"/>
  <c r="G26" i="11"/>
  <c r="G27" i="11"/>
  <c r="C28" i="11"/>
  <c r="C21" i="11"/>
  <c r="B21" i="11" s="1"/>
  <c r="C22" i="11"/>
  <c r="C23" i="11"/>
  <c r="C24" i="11"/>
  <c r="C25" i="11"/>
  <c r="C26" i="11"/>
  <c r="C27" i="11"/>
  <c r="H10" i="11"/>
  <c r="J10" i="11" s="1"/>
  <c r="H18" i="11"/>
  <c r="J18" i="11" s="1"/>
  <c r="H3" i="11"/>
  <c r="J3" i="11" s="1"/>
  <c r="H11" i="11"/>
  <c r="J11" i="11" s="1"/>
  <c r="H4" i="11"/>
  <c r="J4" i="11" s="1"/>
  <c r="H12" i="11"/>
  <c r="J12" i="11" s="1"/>
  <c r="H5" i="11"/>
  <c r="J5" i="11" s="1"/>
  <c r="H13" i="11"/>
  <c r="J13" i="11" s="1"/>
  <c r="H6" i="11"/>
  <c r="J6" i="11" s="1"/>
  <c r="H14" i="11"/>
  <c r="J14" i="11" s="1"/>
  <c r="H7" i="11"/>
  <c r="J7" i="11" s="1"/>
  <c r="H15" i="11"/>
  <c r="J15" i="11" s="1"/>
  <c r="H8" i="11"/>
  <c r="J8" i="11" s="1"/>
  <c r="H16" i="11"/>
  <c r="J16" i="11" s="1"/>
  <c r="H9" i="11"/>
  <c r="J9" i="11" s="1"/>
  <c r="H17" i="11"/>
  <c r="J17" i="11" s="1"/>
  <c r="B3" i="11"/>
  <c r="C3" i="11" s="1"/>
  <c r="B11" i="11"/>
  <c r="C11" i="11" s="1"/>
  <c r="M11" i="11" s="1"/>
  <c r="B4" i="11"/>
  <c r="C4" i="11" s="1"/>
  <c r="B12" i="11"/>
  <c r="B5" i="11"/>
  <c r="B13" i="11"/>
  <c r="B6" i="11"/>
  <c r="B14" i="11"/>
  <c r="B7" i="11"/>
  <c r="B15" i="11"/>
  <c r="B8" i="11"/>
  <c r="B16" i="11"/>
  <c r="B9" i="11"/>
  <c r="B17" i="11"/>
  <c r="C17" i="11" s="1"/>
  <c r="B10" i="11"/>
  <c r="B18" i="11"/>
  <c r="B28" i="11"/>
  <c r="H39" i="10"/>
  <c r="H47" i="10"/>
  <c r="H55" i="10"/>
  <c r="H63" i="10"/>
  <c r="H71" i="10"/>
  <c r="H32" i="10"/>
  <c r="H40" i="10"/>
  <c r="H48" i="10"/>
  <c r="H56" i="10"/>
  <c r="H64" i="10"/>
  <c r="H72" i="10"/>
  <c r="H33" i="10"/>
  <c r="H41" i="10"/>
  <c r="H49" i="10"/>
  <c r="H57" i="10"/>
  <c r="H65" i="10"/>
  <c r="H73" i="10"/>
  <c r="H34" i="10"/>
  <c r="H42" i="10"/>
  <c r="H50" i="10"/>
  <c r="H58" i="10"/>
  <c r="H66" i="10"/>
  <c r="H74" i="10"/>
  <c r="H35" i="10"/>
  <c r="H43" i="10"/>
  <c r="H51" i="10"/>
  <c r="H59" i="10"/>
  <c r="H67" i="10"/>
  <c r="H75" i="10"/>
  <c r="H36" i="10"/>
  <c r="H44" i="10"/>
  <c r="H52" i="10"/>
  <c r="H60" i="10"/>
  <c r="H68" i="10"/>
  <c r="H76" i="10"/>
  <c r="H37" i="10"/>
  <c r="H45" i="10"/>
  <c r="H53" i="10"/>
  <c r="H61" i="10"/>
  <c r="H69" i="10"/>
  <c r="H38" i="10"/>
  <c r="H46" i="10"/>
  <c r="H54" i="10"/>
  <c r="H62" i="10"/>
  <c r="H70" i="10"/>
  <c r="D39" i="10"/>
  <c r="M34" i="10" s="1"/>
  <c r="D47" i="10"/>
  <c r="M42" i="10" s="1"/>
  <c r="D55" i="10"/>
  <c r="M50" i="10" s="1"/>
  <c r="D63" i="10"/>
  <c r="M58" i="10" s="1"/>
  <c r="D71" i="10"/>
  <c r="M66" i="10" s="1"/>
  <c r="D32" i="10"/>
  <c r="M27" i="10" s="1"/>
  <c r="D40" i="10"/>
  <c r="M35" i="10" s="1"/>
  <c r="D48" i="10"/>
  <c r="M43" i="10" s="1"/>
  <c r="D56" i="10"/>
  <c r="M51" i="10" s="1"/>
  <c r="D64" i="10"/>
  <c r="M59" i="10" s="1"/>
  <c r="D72" i="10"/>
  <c r="M67" i="10" s="1"/>
  <c r="D33" i="10"/>
  <c r="M28" i="10" s="1"/>
  <c r="D41" i="10"/>
  <c r="M36" i="10" s="1"/>
  <c r="D49" i="10"/>
  <c r="M44" i="10" s="1"/>
  <c r="D57" i="10"/>
  <c r="M52" i="10" s="1"/>
  <c r="D65" i="10"/>
  <c r="M60" i="10" s="1"/>
  <c r="D73" i="10"/>
  <c r="M68" i="10" s="1"/>
  <c r="D34" i="10"/>
  <c r="M29" i="10" s="1"/>
  <c r="D42" i="10"/>
  <c r="M37" i="10" s="1"/>
  <c r="D50" i="10"/>
  <c r="M45" i="10" s="1"/>
  <c r="D58" i="10"/>
  <c r="M53" i="10" s="1"/>
  <c r="D66" i="10"/>
  <c r="M61" i="10" s="1"/>
  <c r="D74" i="10"/>
  <c r="M69" i="10" s="1"/>
  <c r="D35" i="10"/>
  <c r="M30" i="10" s="1"/>
  <c r="D43" i="10"/>
  <c r="M38" i="10" s="1"/>
  <c r="D51" i="10"/>
  <c r="M46" i="10" s="1"/>
  <c r="D59" i="10"/>
  <c r="M54" i="10" s="1"/>
  <c r="D67" i="10"/>
  <c r="M62" i="10" s="1"/>
  <c r="D75" i="10"/>
  <c r="M70" i="10" s="1"/>
  <c r="D36" i="10"/>
  <c r="M31" i="10" s="1"/>
  <c r="D44" i="10"/>
  <c r="M39" i="10" s="1"/>
  <c r="D52" i="10"/>
  <c r="M47" i="10" s="1"/>
  <c r="D60" i="10"/>
  <c r="M55" i="10" s="1"/>
  <c r="D68" i="10"/>
  <c r="M63" i="10" s="1"/>
  <c r="D76" i="10"/>
  <c r="M71" i="10" s="1"/>
  <c r="D37" i="10"/>
  <c r="M32" i="10" s="1"/>
  <c r="D45" i="10"/>
  <c r="M40" i="10" s="1"/>
  <c r="D53" i="10"/>
  <c r="M48" i="10" s="1"/>
  <c r="D61" i="10"/>
  <c r="M56" i="10" s="1"/>
  <c r="D69" i="10"/>
  <c r="M64" i="10" s="1"/>
  <c r="D38" i="10"/>
  <c r="M33" i="10" s="1"/>
  <c r="D46" i="10"/>
  <c r="M41" i="10" s="1"/>
  <c r="D54" i="10"/>
  <c r="M49" i="10" s="1"/>
  <c r="D62" i="10"/>
  <c r="M57" i="10" s="1"/>
  <c r="D70" i="10"/>
  <c r="M65" i="10" s="1"/>
  <c r="G28" i="10"/>
  <c r="G21" i="10"/>
  <c r="G22" i="10"/>
  <c r="G23" i="10"/>
  <c r="G24" i="10"/>
  <c r="G25" i="10"/>
  <c r="G26" i="10"/>
  <c r="G27" i="10"/>
  <c r="C28" i="10"/>
  <c r="C21" i="10"/>
  <c r="C22" i="10"/>
  <c r="C23" i="10"/>
  <c r="C24" i="10"/>
  <c r="C25" i="10"/>
  <c r="C26" i="10"/>
  <c r="C27" i="10"/>
  <c r="H10" i="10"/>
  <c r="J10" i="10" s="1"/>
  <c r="H18" i="10"/>
  <c r="J18" i="10" s="1"/>
  <c r="H3" i="10"/>
  <c r="J3" i="10" s="1"/>
  <c r="H11" i="10"/>
  <c r="J11" i="10" s="1"/>
  <c r="H4" i="10"/>
  <c r="J4" i="10" s="1"/>
  <c r="H12" i="10"/>
  <c r="J12" i="10" s="1"/>
  <c r="H5" i="10"/>
  <c r="J5" i="10" s="1"/>
  <c r="H13" i="10"/>
  <c r="J13" i="10" s="1"/>
  <c r="H6" i="10"/>
  <c r="J6" i="10" s="1"/>
  <c r="H14" i="10"/>
  <c r="J14" i="10" s="1"/>
  <c r="H7" i="10"/>
  <c r="J7" i="10" s="1"/>
  <c r="H15" i="10"/>
  <c r="J15" i="10" s="1"/>
  <c r="H8" i="10"/>
  <c r="J8" i="10" s="1"/>
  <c r="H16" i="10"/>
  <c r="J16" i="10" s="1"/>
  <c r="H9" i="10"/>
  <c r="J9" i="10" s="1"/>
  <c r="H17" i="10"/>
  <c r="J17" i="10" s="1"/>
  <c r="B10" i="10"/>
  <c r="B18" i="10"/>
  <c r="B3" i="10"/>
  <c r="B11" i="10"/>
  <c r="B4" i="10"/>
  <c r="B12" i="10"/>
  <c r="B5" i="10"/>
  <c r="B13" i="10"/>
  <c r="B6" i="10"/>
  <c r="B14" i="10"/>
  <c r="B7" i="10"/>
  <c r="B15" i="10"/>
  <c r="B8" i="10"/>
  <c r="B16" i="10"/>
  <c r="B9" i="10"/>
  <c r="B17" i="10"/>
  <c r="C17" i="10" s="1"/>
  <c r="H39" i="2"/>
  <c r="J39" i="2" s="1"/>
  <c r="H47" i="2"/>
  <c r="J47" i="2" s="1"/>
  <c r="H55" i="2"/>
  <c r="J55" i="2" s="1"/>
  <c r="H63" i="2"/>
  <c r="J63" i="2" s="1"/>
  <c r="H71" i="2"/>
  <c r="J71" i="2" s="1"/>
  <c r="H32" i="2"/>
  <c r="J32" i="2" s="1"/>
  <c r="H40" i="2"/>
  <c r="J40" i="2" s="1"/>
  <c r="H48" i="2"/>
  <c r="J48" i="2" s="1"/>
  <c r="H56" i="2"/>
  <c r="J56" i="2" s="1"/>
  <c r="H64" i="2"/>
  <c r="J64" i="2" s="1"/>
  <c r="H72" i="2"/>
  <c r="H33" i="2"/>
  <c r="J33" i="2" s="1"/>
  <c r="H41" i="2"/>
  <c r="J41" i="2" s="1"/>
  <c r="H49" i="2"/>
  <c r="J49" i="2" s="1"/>
  <c r="H57" i="2"/>
  <c r="J57" i="2" s="1"/>
  <c r="H65" i="2"/>
  <c r="J65" i="2" s="1"/>
  <c r="H73" i="2"/>
  <c r="H34" i="2"/>
  <c r="J34" i="2" s="1"/>
  <c r="H42" i="2"/>
  <c r="J42" i="2" s="1"/>
  <c r="H50" i="2"/>
  <c r="J50" i="2" s="1"/>
  <c r="H58" i="2"/>
  <c r="J58" i="2" s="1"/>
  <c r="H66" i="2"/>
  <c r="J66" i="2" s="1"/>
  <c r="H74" i="2"/>
  <c r="H35" i="2"/>
  <c r="J35" i="2" s="1"/>
  <c r="H43" i="2"/>
  <c r="J43" i="2" s="1"/>
  <c r="H51" i="2"/>
  <c r="J51" i="2" s="1"/>
  <c r="H59" i="2"/>
  <c r="J59" i="2" s="1"/>
  <c r="H67" i="2"/>
  <c r="J67" i="2" s="1"/>
  <c r="H75" i="2"/>
  <c r="H36" i="2"/>
  <c r="J36" i="2" s="1"/>
  <c r="H44" i="2"/>
  <c r="J44" i="2" s="1"/>
  <c r="H52" i="2"/>
  <c r="J52" i="2" s="1"/>
  <c r="H60" i="2"/>
  <c r="J60" i="2" s="1"/>
  <c r="H68" i="2"/>
  <c r="J68" i="2" s="1"/>
  <c r="H76" i="2"/>
  <c r="H37" i="2"/>
  <c r="J37" i="2" s="1"/>
  <c r="H45" i="2"/>
  <c r="J45" i="2" s="1"/>
  <c r="H53" i="2"/>
  <c r="J53" i="2" s="1"/>
  <c r="H61" i="2"/>
  <c r="J61" i="2" s="1"/>
  <c r="H69" i="2"/>
  <c r="J69" i="2" s="1"/>
  <c r="H38" i="2"/>
  <c r="J38" i="2" s="1"/>
  <c r="H46" i="2"/>
  <c r="J46" i="2" s="1"/>
  <c r="H54" i="2"/>
  <c r="J54" i="2" s="1"/>
  <c r="H62" i="2"/>
  <c r="J62" i="2" s="1"/>
  <c r="H70" i="2"/>
  <c r="J70" i="2" s="1"/>
  <c r="D39" i="2"/>
  <c r="M34" i="2" s="1"/>
  <c r="D47" i="2"/>
  <c r="M42" i="2" s="1"/>
  <c r="D55" i="2"/>
  <c r="M50" i="2" s="1"/>
  <c r="D63" i="2"/>
  <c r="M58" i="2" s="1"/>
  <c r="D71" i="2"/>
  <c r="M66" i="2" s="1"/>
  <c r="D32" i="2"/>
  <c r="M27" i="2" s="1"/>
  <c r="D40" i="2"/>
  <c r="M35" i="2" s="1"/>
  <c r="D48" i="2"/>
  <c r="M43" i="2" s="1"/>
  <c r="D56" i="2"/>
  <c r="M51" i="2" s="1"/>
  <c r="D64" i="2"/>
  <c r="M59" i="2" s="1"/>
  <c r="D72" i="2"/>
  <c r="M67" i="2" s="1"/>
  <c r="D33" i="2"/>
  <c r="M28" i="2" s="1"/>
  <c r="D41" i="2"/>
  <c r="M36" i="2" s="1"/>
  <c r="D49" i="2"/>
  <c r="M44" i="2" s="1"/>
  <c r="D57" i="2"/>
  <c r="M52" i="2" s="1"/>
  <c r="D65" i="2"/>
  <c r="M60" i="2" s="1"/>
  <c r="D73" i="2"/>
  <c r="M68" i="2" s="1"/>
  <c r="D34" i="2"/>
  <c r="M29" i="2" s="1"/>
  <c r="D42" i="2"/>
  <c r="M37" i="2" s="1"/>
  <c r="D50" i="2"/>
  <c r="M45" i="2" s="1"/>
  <c r="D58" i="2"/>
  <c r="M53" i="2" s="1"/>
  <c r="D66" i="2"/>
  <c r="M61" i="2" s="1"/>
  <c r="D74" i="2"/>
  <c r="M69" i="2" s="1"/>
  <c r="D35" i="2"/>
  <c r="M30" i="2" s="1"/>
  <c r="D43" i="2"/>
  <c r="M38" i="2" s="1"/>
  <c r="D51" i="2"/>
  <c r="M46" i="2" s="1"/>
  <c r="D59" i="2"/>
  <c r="M54" i="2" s="1"/>
  <c r="D67" i="2"/>
  <c r="M62" i="2" s="1"/>
  <c r="D75" i="2"/>
  <c r="M70" i="2" s="1"/>
  <c r="D36" i="2"/>
  <c r="M31" i="2" s="1"/>
  <c r="D44" i="2"/>
  <c r="M39" i="2" s="1"/>
  <c r="D52" i="2"/>
  <c r="M47" i="2" s="1"/>
  <c r="D60" i="2"/>
  <c r="M55" i="2" s="1"/>
  <c r="D68" i="2"/>
  <c r="M63" i="2" s="1"/>
  <c r="D76" i="2"/>
  <c r="M71" i="2" s="1"/>
  <c r="D37" i="2"/>
  <c r="M32" i="2" s="1"/>
  <c r="D45" i="2"/>
  <c r="M40" i="2" s="1"/>
  <c r="D53" i="2"/>
  <c r="M48" i="2" s="1"/>
  <c r="D61" i="2"/>
  <c r="M56" i="2" s="1"/>
  <c r="D69" i="2"/>
  <c r="M64" i="2" s="1"/>
  <c r="D38" i="2"/>
  <c r="M33" i="2" s="1"/>
  <c r="D46" i="2"/>
  <c r="M41" i="2" s="1"/>
  <c r="D54" i="2"/>
  <c r="M49" i="2" s="1"/>
  <c r="D62" i="2"/>
  <c r="M57" i="2" s="1"/>
  <c r="D70" i="2"/>
  <c r="M65" i="2" s="1"/>
  <c r="G28" i="2"/>
  <c r="G21" i="2"/>
  <c r="G22" i="2"/>
  <c r="G23" i="2"/>
  <c r="G24" i="2"/>
  <c r="G25" i="2"/>
  <c r="G26" i="2"/>
  <c r="G27" i="2"/>
  <c r="C28" i="2"/>
  <c r="B28" i="2" s="1"/>
  <c r="C21" i="2"/>
  <c r="C22" i="2"/>
  <c r="C23" i="2"/>
  <c r="C24" i="2"/>
  <c r="C25" i="2"/>
  <c r="C26" i="2"/>
  <c r="C27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7" i="2" s="1"/>
  <c r="I32" i="10"/>
  <c r="D26" i="11"/>
  <c r="D28" i="11"/>
  <c r="D23" i="11"/>
  <c r="D24" i="11"/>
  <c r="D27" i="11"/>
  <c r="D25" i="11"/>
  <c r="D21" i="11"/>
  <c r="D22" i="11"/>
  <c r="D26" i="2"/>
  <c r="D25" i="2"/>
  <c r="D21" i="2"/>
  <c r="D27" i="2"/>
  <c r="D22" i="2"/>
  <c r="D28" i="2"/>
  <c r="D23" i="2"/>
  <c r="D24" i="2"/>
  <c r="C16" i="2"/>
  <c r="D23" i="10"/>
  <c r="D25" i="10"/>
  <c r="D21" i="10"/>
  <c r="D24" i="10"/>
  <c r="D26" i="10"/>
  <c r="D27" i="10"/>
  <c r="D28" i="10"/>
  <c r="D22" i="10"/>
  <c r="I73" i="2"/>
  <c r="I39" i="10"/>
  <c r="I34" i="10"/>
  <c r="I76" i="10"/>
  <c r="I75" i="10"/>
  <c r="I57" i="10"/>
  <c r="P3" i="12" a="1"/>
  <c r="I54" i="11"/>
  <c r="I41" i="11"/>
  <c r="I36" i="11"/>
  <c r="I35" i="11"/>
  <c r="I38" i="11"/>
  <c r="I21" i="11"/>
  <c r="I27" i="10"/>
  <c r="I22" i="2"/>
  <c r="I56" i="10"/>
  <c r="I51" i="10"/>
  <c r="I45" i="10"/>
  <c r="Q3" i="12" a="1"/>
  <c r="I63" i="11"/>
  <c r="I53" i="11"/>
  <c r="I52" i="11"/>
  <c r="I25" i="11"/>
  <c r="I27" i="2"/>
  <c r="C15" i="2"/>
  <c r="I76" i="2"/>
  <c r="I33" i="10"/>
  <c r="I44" i="10"/>
  <c r="R3" i="12" a="1"/>
  <c r="I75" i="11"/>
  <c r="I64" i="11"/>
  <c r="I28" i="10"/>
  <c r="I48" i="10"/>
  <c r="I46" i="10"/>
  <c r="I55" i="11"/>
  <c r="I57" i="11"/>
  <c r="I34" i="11"/>
  <c r="I37" i="10"/>
  <c r="I72" i="11"/>
  <c r="I74" i="11"/>
  <c r="I28" i="2"/>
  <c r="I44" i="11"/>
  <c r="I24" i="2"/>
  <c r="I49" i="11"/>
  <c r="I23" i="2"/>
  <c r="I72" i="2"/>
  <c r="I54" i="10"/>
  <c r="I74" i="10"/>
  <c r="I58" i="11"/>
  <c r="I47" i="11"/>
  <c r="I23" i="10"/>
  <c r="I68" i="10"/>
  <c r="I70" i="10"/>
  <c r="I33" i="11"/>
  <c r="I69" i="11"/>
  <c r="I22" i="11"/>
  <c r="I50" i="10"/>
  <c r="I61" i="10"/>
  <c r="I45" i="11"/>
  <c r="I24" i="11"/>
  <c r="I26" i="2"/>
  <c r="I60" i="10"/>
  <c r="I49" i="10"/>
  <c r="I70" i="11"/>
  <c r="I25" i="10"/>
  <c r="I73" i="11"/>
  <c r="I41" i="10"/>
  <c r="I61" i="11"/>
  <c r="I25" i="2"/>
  <c r="I73" i="10"/>
  <c r="I40" i="11"/>
  <c r="I23" i="11"/>
  <c r="I50" i="11"/>
  <c r="I39" i="11"/>
  <c r="I24" i="10"/>
  <c r="I55" i="10"/>
  <c r="I63" i="10"/>
  <c r="I67" i="11"/>
  <c r="I51" i="11"/>
  <c r="I68" i="11"/>
  <c r="I21" i="10"/>
  <c r="I42" i="10"/>
  <c r="I53" i="10"/>
  <c r="I43" i="11"/>
  <c r="I26" i="10"/>
  <c r="I43" i="10"/>
  <c r="I26" i="11"/>
  <c r="I47" i="10"/>
  <c r="I62" i="10"/>
  <c r="I46" i="11"/>
  <c r="I65" i="10"/>
  <c r="I56" i="11"/>
  <c r="I75" i="2"/>
  <c r="I62" i="11"/>
  <c r="I35" i="10"/>
  <c r="I38" i="10"/>
  <c r="I72" i="10"/>
  <c r="I71" i="10"/>
  <c r="I66" i="10"/>
  <c r="I67" i="10"/>
  <c r="I42" i="11"/>
  <c r="I37" i="11"/>
  <c r="I32" i="11"/>
  <c r="I52" i="10"/>
  <c r="I59" i="11"/>
  <c r="I27" i="11"/>
  <c r="I74" i="2"/>
  <c r="I69" i="10"/>
  <c r="I64" i="10"/>
  <c r="I59" i="10"/>
  <c r="I58" i="10"/>
  <c r="I40" i="10"/>
  <c r="I36" i="10"/>
  <c r="I76" i="11"/>
  <c r="I71" i="11"/>
  <c r="I66" i="11"/>
  <c r="I48" i="11"/>
  <c r="I60" i="11"/>
  <c r="I65" i="11"/>
  <c r="I28" i="11"/>
  <c r="I22" i="10"/>
  <c r="I21" i="2"/>
  <c r="R10" i="12" l="1"/>
  <c r="R33" i="12"/>
  <c r="R40" i="12"/>
  <c r="R58" i="12"/>
  <c r="R29" i="12"/>
  <c r="R71" i="12"/>
  <c r="R35" i="12"/>
  <c r="R23" i="12"/>
  <c r="R15" i="12"/>
  <c r="R11" i="12"/>
  <c r="R60" i="12"/>
  <c r="R4" i="12"/>
  <c r="R59" i="12"/>
  <c r="R30" i="12"/>
  <c r="R9" i="12"/>
  <c r="R36" i="12"/>
  <c r="R34" i="12"/>
  <c r="R44" i="12"/>
  <c r="R14" i="12"/>
  <c r="R68" i="12"/>
  <c r="R61" i="12"/>
  <c r="R24" i="12"/>
  <c r="R3" i="12"/>
  <c r="R18" i="12"/>
  <c r="R41" i="12"/>
  <c r="R12" i="12"/>
  <c r="R38" i="12"/>
  <c r="R17" i="12"/>
  <c r="R69" i="12"/>
  <c r="R65" i="12"/>
  <c r="R57" i="12"/>
  <c r="R67" i="12"/>
  <c r="R50" i="12"/>
  <c r="R21" i="12"/>
  <c r="R63" i="12"/>
  <c r="R27" i="12"/>
  <c r="R16" i="12"/>
  <c r="R70" i="12"/>
  <c r="R51" i="12"/>
  <c r="R53" i="12"/>
  <c r="R13" i="12"/>
  <c r="R55" i="12"/>
  <c r="R19" i="12"/>
  <c r="R45" i="12"/>
  <c r="R6" i="12"/>
  <c r="R7" i="12"/>
  <c r="R48" i="12"/>
  <c r="R46" i="12"/>
  <c r="R22" i="12"/>
  <c r="R64" i="12"/>
  <c r="R28" i="12"/>
  <c r="R8" i="12"/>
  <c r="R49" i="12"/>
  <c r="R39" i="12"/>
  <c r="R37" i="12"/>
  <c r="R32" i="12"/>
  <c r="R62" i="12"/>
  <c r="R54" i="12"/>
  <c r="R25" i="12"/>
  <c r="R47" i="12"/>
  <c r="R26" i="12"/>
  <c r="R31" i="12"/>
  <c r="R42" i="12"/>
  <c r="R56" i="12"/>
  <c r="R5" i="12"/>
  <c r="R43" i="12"/>
  <c r="R66" i="12"/>
  <c r="R20" i="12"/>
  <c r="R52" i="12"/>
  <c r="Q64" i="12"/>
  <c r="Q9" i="12"/>
  <c r="Q26" i="12"/>
  <c r="Q11" i="12"/>
  <c r="Q44" i="12"/>
  <c r="Q61" i="12"/>
  <c r="Q68" i="12"/>
  <c r="Q23" i="12"/>
  <c r="Q28" i="12"/>
  <c r="Q36" i="12"/>
  <c r="Q4" i="12"/>
  <c r="Q37" i="12"/>
  <c r="Q54" i="12"/>
  <c r="Q41" i="12"/>
  <c r="Q67" i="12"/>
  <c r="Q6" i="12"/>
  <c r="Q33" i="12"/>
  <c r="Q65" i="12"/>
  <c r="Q10" i="12"/>
  <c r="Q3" i="12"/>
  <c r="Q20" i="12"/>
  <c r="Q53" i="12"/>
  <c r="Q70" i="12"/>
  <c r="Q31" i="12"/>
  <c r="Q49" i="12"/>
  <c r="Q35" i="12"/>
  <c r="Q43" i="12"/>
  <c r="Q50" i="12"/>
  <c r="Q12" i="12"/>
  <c r="Q45" i="12"/>
  <c r="Q62" i="12"/>
  <c r="Q24" i="12"/>
  <c r="Q57" i="12"/>
  <c r="Q59" i="12"/>
  <c r="Q16" i="12"/>
  <c r="Q21" i="12"/>
  <c r="Q29" i="12"/>
  <c r="Q13" i="12"/>
  <c r="Q46" i="12"/>
  <c r="Q63" i="12"/>
  <c r="Q66" i="12"/>
  <c r="Q5" i="12"/>
  <c r="Q40" i="12"/>
  <c r="Q15" i="12"/>
  <c r="Q25" i="12"/>
  <c r="Q32" i="12"/>
  <c r="Q8" i="12"/>
  <c r="Q42" i="12"/>
  <c r="Q39" i="12"/>
  <c r="Q38" i="12"/>
  <c r="Q19" i="12"/>
  <c r="Q18" i="12"/>
  <c r="Q47" i="12"/>
  <c r="Q58" i="12"/>
  <c r="Q51" i="12"/>
  <c r="Q14" i="12"/>
  <c r="Q56" i="12"/>
  <c r="Q27" i="12"/>
  <c r="Q30" i="12"/>
  <c r="Q7" i="12"/>
  <c r="Q55" i="12"/>
  <c r="Q52" i="12"/>
  <c r="Q48" i="12"/>
  <c r="Q71" i="12"/>
  <c r="Q17" i="12"/>
  <c r="Q60" i="12"/>
  <c r="Q22" i="12"/>
  <c r="Q34" i="12"/>
  <c r="Q69" i="12"/>
  <c r="P5" i="12"/>
  <c r="P20" i="12"/>
  <c r="P35" i="12"/>
  <c r="P31" i="12"/>
  <c r="P60" i="12"/>
  <c r="P71" i="12"/>
  <c r="P50" i="12"/>
  <c r="P41" i="12"/>
  <c r="P23" i="12"/>
  <c r="P55" i="12"/>
  <c r="P70" i="12"/>
  <c r="P14" i="12"/>
  <c r="P52" i="12"/>
  <c r="P9" i="12"/>
  <c r="P59" i="12"/>
  <c r="P54" i="12"/>
  <c r="P58" i="12"/>
  <c r="P26" i="12"/>
  <c r="P56" i="12"/>
  <c r="P3" i="12"/>
  <c r="P46" i="12"/>
  <c r="P69" i="12"/>
  <c r="P13" i="12"/>
  <c r="P28" i="12"/>
  <c r="P40" i="12"/>
  <c r="P30" i="12"/>
  <c r="P17" i="12"/>
  <c r="P67" i="12"/>
  <c r="P53" i="12"/>
  <c r="P65" i="12"/>
  <c r="P62" i="12"/>
  <c r="P6" i="12"/>
  <c r="P21" i="12"/>
  <c r="P11" i="12"/>
  <c r="P47" i="12"/>
  <c r="P18" i="12"/>
  <c r="P37" i="12"/>
  <c r="P32" i="12"/>
  <c r="P48" i="12"/>
  <c r="P63" i="12"/>
  <c r="P7" i="12"/>
  <c r="P22" i="12"/>
  <c r="P10" i="12"/>
  <c r="P29" i="12"/>
  <c r="P16" i="12"/>
  <c r="P45" i="12"/>
  <c r="P49" i="12"/>
  <c r="P39" i="12"/>
  <c r="P51" i="12"/>
  <c r="P19" i="12"/>
  <c r="P64" i="12"/>
  <c r="P15" i="12"/>
  <c r="P12" i="12"/>
  <c r="P43" i="12"/>
  <c r="P24" i="12"/>
  <c r="P34" i="12"/>
  <c r="P68" i="12"/>
  <c r="P66" i="12"/>
  <c r="P27" i="12"/>
  <c r="P38" i="12"/>
  <c r="P36" i="12"/>
  <c r="P57" i="12"/>
  <c r="P8" i="12"/>
  <c r="P42" i="12"/>
  <c r="P25" i="12"/>
  <c r="P44" i="12"/>
  <c r="P33" i="12"/>
  <c r="P61" i="12"/>
  <c r="P4" i="12"/>
  <c r="J46" i="11"/>
  <c r="J51" i="11"/>
  <c r="J64" i="11"/>
  <c r="J60" i="11"/>
  <c r="J25" i="11"/>
  <c r="J69" i="11"/>
  <c r="J52" i="11"/>
  <c r="J35" i="11"/>
  <c r="J48" i="11"/>
  <c r="J40" i="11"/>
  <c r="J23" i="11"/>
  <c r="J66" i="11"/>
  <c r="J70" i="11"/>
  <c r="J75" i="11"/>
  <c r="O70" i="11" s="1"/>
  <c r="J71" i="11"/>
  <c r="J62" i="11"/>
  <c r="J67" i="11"/>
  <c r="J50" i="11"/>
  <c r="J63" i="11"/>
  <c r="J27" i="11"/>
  <c r="J68" i="11"/>
  <c r="J34" i="11"/>
  <c r="J47" i="11"/>
  <c r="J26" i="11"/>
  <c r="J38" i="11"/>
  <c r="J43" i="11"/>
  <c r="J73" i="11"/>
  <c r="O68" i="11" s="1"/>
  <c r="J56" i="11"/>
  <c r="J39" i="11"/>
  <c r="J65" i="11"/>
  <c r="J24" i="11"/>
  <c r="J61" i="11"/>
  <c r="J44" i="11"/>
  <c r="J74" i="11"/>
  <c r="O69" i="11" s="1"/>
  <c r="J57" i="11"/>
  <c r="J53" i="11"/>
  <c r="J36" i="11"/>
  <c r="J49" i="11"/>
  <c r="J32" i="11"/>
  <c r="J22" i="11"/>
  <c r="J45" i="11"/>
  <c r="J58" i="11"/>
  <c r="J41" i="11"/>
  <c r="J21" i="11"/>
  <c r="J37" i="11"/>
  <c r="J33" i="11"/>
  <c r="J28" i="11"/>
  <c r="J54" i="11"/>
  <c r="J76" i="11"/>
  <c r="O71" i="11" s="1"/>
  <c r="J59" i="11"/>
  <c r="J42" i="11"/>
  <c r="J72" i="11"/>
  <c r="J55" i="11"/>
  <c r="J44" i="10"/>
  <c r="J57" i="10"/>
  <c r="J36" i="10"/>
  <c r="J49" i="10"/>
  <c r="J45" i="10"/>
  <c r="J75" i="10"/>
  <c r="J71" i="10"/>
  <c r="J24" i="10"/>
  <c r="J61" i="10"/>
  <c r="J74" i="10"/>
  <c r="O69" i="10" s="1"/>
  <c r="J40" i="10"/>
  <c r="J23" i="10"/>
  <c r="J53" i="10"/>
  <c r="J66" i="10"/>
  <c r="J32" i="10"/>
  <c r="J22" i="10"/>
  <c r="J70" i="10"/>
  <c r="J58" i="10"/>
  <c r="J41" i="10"/>
  <c r="J21" i="10"/>
  <c r="J62" i="10"/>
  <c r="J37" i="10"/>
  <c r="J67" i="10"/>
  <c r="J50" i="10"/>
  <c r="J33" i="10"/>
  <c r="J63" i="10"/>
  <c r="J28" i="10"/>
  <c r="J54" i="10"/>
  <c r="J76" i="10"/>
  <c r="O71" i="10" s="1"/>
  <c r="J59" i="10"/>
  <c r="J42" i="10"/>
  <c r="J72" i="10"/>
  <c r="O67" i="10" s="1"/>
  <c r="J55" i="10"/>
  <c r="J27" i="10"/>
  <c r="J46" i="10"/>
  <c r="J68" i="10"/>
  <c r="J51" i="10"/>
  <c r="J34" i="10"/>
  <c r="J64" i="10"/>
  <c r="J47" i="10"/>
  <c r="J26" i="10"/>
  <c r="J38" i="10"/>
  <c r="J60" i="10"/>
  <c r="J43" i="10"/>
  <c r="J73" i="10"/>
  <c r="O68" i="10" s="1"/>
  <c r="J56" i="10"/>
  <c r="J39" i="10"/>
  <c r="J25" i="10"/>
  <c r="J69" i="10"/>
  <c r="J52" i="10"/>
  <c r="J35" i="10"/>
  <c r="J65" i="10"/>
  <c r="J48" i="10"/>
  <c r="J22" i="2"/>
  <c r="J75" i="2"/>
  <c r="O70" i="2" s="1"/>
  <c r="J21" i="2"/>
  <c r="J76" i="2"/>
  <c r="O71" i="2" s="1"/>
  <c r="J26" i="2"/>
  <c r="J28" i="2"/>
  <c r="J72" i="2"/>
  <c r="O67" i="2" s="1"/>
  <c r="J27" i="2"/>
  <c r="J73" i="2"/>
  <c r="J25" i="2"/>
  <c r="J24" i="2"/>
  <c r="J74" i="2"/>
  <c r="O69" i="2" s="1"/>
  <c r="J23" i="2"/>
  <c r="B26" i="11"/>
  <c r="B25" i="11"/>
  <c r="B22" i="11"/>
  <c r="B27" i="11"/>
  <c r="B24" i="11"/>
  <c r="B23" i="11"/>
  <c r="B27" i="2"/>
  <c r="B22" i="10"/>
  <c r="B25" i="10"/>
  <c r="B24" i="10"/>
  <c r="B21" i="10"/>
  <c r="B28" i="10"/>
  <c r="B27" i="10"/>
  <c r="B26" i="10"/>
  <c r="B23" i="10"/>
  <c r="F17" i="11"/>
  <c r="E17" i="11"/>
  <c r="C14" i="11"/>
  <c r="D14" i="11" s="1"/>
  <c r="C10" i="11"/>
  <c r="M17" i="11"/>
  <c r="C13" i="11"/>
  <c r="M13" i="11" s="1"/>
  <c r="C9" i="11"/>
  <c r="D9" i="11" s="1"/>
  <c r="C5" i="11"/>
  <c r="D5" i="11" s="1"/>
  <c r="C12" i="11"/>
  <c r="F4" i="11"/>
  <c r="E4" i="11"/>
  <c r="C18" i="11"/>
  <c r="D18" i="11" s="1"/>
  <c r="C6" i="11"/>
  <c r="D6" i="11" s="1"/>
  <c r="M4" i="11"/>
  <c r="C8" i="11"/>
  <c r="F11" i="11"/>
  <c r="E11" i="11"/>
  <c r="C7" i="11"/>
  <c r="M7" i="11" s="1"/>
  <c r="E3" i="11"/>
  <c r="F3" i="11"/>
  <c r="E17" i="2"/>
  <c r="F17" i="2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F17" i="10"/>
  <c r="E17" i="10"/>
  <c r="C18" i="10"/>
  <c r="D18" i="10" s="1"/>
  <c r="M17" i="10"/>
  <c r="C13" i="10"/>
  <c r="C12" i="10"/>
  <c r="M12" i="10" s="1"/>
  <c r="C8" i="10"/>
  <c r="D8" i="10" s="1"/>
  <c r="C4" i="10"/>
  <c r="C11" i="10"/>
  <c r="C14" i="10"/>
  <c r="C6" i="10"/>
  <c r="C10" i="10"/>
  <c r="D10" i="10" s="1"/>
  <c r="C9" i="10"/>
  <c r="D9" i="10" s="1"/>
  <c r="C5" i="10"/>
  <c r="D5" i="10" s="1"/>
  <c r="C7" i="10"/>
  <c r="C3" i="10"/>
  <c r="D3" i="10" s="1"/>
  <c r="M23" i="11"/>
  <c r="N55" i="11"/>
  <c r="N68" i="11"/>
  <c r="M25" i="11"/>
  <c r="N47" i="11"/>
  <c r="N43" i="11"/>
  <c r="M21" i="11"/>
  <c r="N70" i="11"/>
  <c r="N36" i="11"/>
  <c r="N66" i="11"/>
  <c r="N29" i="11"/>
  <c r="N33" i="11"/>
  <c r="N51" i="11"/>
  <c r="M20" i="11"/>
  <c r="N56" i="11"/>
  <c r="N39" i="11"/>
  <c r="N52" i="11"/>
  <c r="N35" i="11"/>
  <c r="N61" i="11"/>
  <c r="N65" i="11"/>
  <c r="N41" i="11"/>
  <c r="N63" i="11"/>
  <c r="N46" i="11"/>
  <c r="N59" i="11"/>
  <c r="N42" i="11"/>
  <c r="N38" i="11"/>
  <c r="N34" i="11"/>
  <c r="M19" i="11"/>
  <c r="N64" i="11"/>
  <c r="N30" i="11"/>
  <c r="N60" i="11"/>
  <c r="N69" i="11"/>
  <c r="N48" i="11"/>
  <c r="N31" i="11"/>
  <c r="N44" i="11"/>
  <c r="N27" i="11"/>
  <c r="M22" i="11"/>
  <c r="N40" i="11"/>
  <c r="N53" i="11"/>
  <c r="M26" i="11"/>
  <c r="N57" i="11"/>
  <c r="N32" i="11"/>
  <c r="N62" i="11"/>
  <c r="N45" i="11"/>
  <c r="N28" i="11"/>
  <c r="N58" i="11"/>
  <c r="M24" i="11"/>
  <c r="N49" i="11"/>
  <c r="N71" i="11"/>
  <c r="N54" i="11"/>
  <c r="N37" i="11"/>
  <c r="N67" i="11"/>
  <c r="N50" i="11"/>
  <c r="M3" i="11"/>
  <c r="M25" i="2"/>
  <c r="M26" i="2"/>
  <c r="N65" i="10"/>
  <c r="N40" i="10"/>
  <c r="N70" i="10"/>
  <c r="N53" i="10"/>
  <c r="N36" i="10"/>
  <c r="N66" i="10"/>
  <c r="M21" i="10"/>
  <c r="N57" i="10"/>
  <c r="N32" i="10"/>
  <c r="N62" i="10"/>
  <c r="N45" i="10"/>
  <c r="N28" i="10"/>
  <c r="N58" i="10"/>
  <c r="N41" i="10"/>
  <c r="N63" i="10"/>
  <c r="N46" i="10"/>
  <c r="N29" i="10"/>
  <c r="N59" i="10"/>
  <c r="N42" i="10"/>
  <c r="M26" i="10"/>
  <c r="N33" i="10"/>
  <c r="N55" i="10"/>
  <c r="N38" i="10"/>
  <c r="N68" i="10"/>
  <c r="N51" i="10"/>
  <c r="N34" i="10"/>
  <c r="M19" i="10"/>
  <c r="M23" i="10"/>
  <c r="N64" i="10"/>
  <c r="N47" i="10"/>
  <c r="N30" i="10"/>
  <c r="N60" i="10"/>
  <c r="N43" i="10"/>
  <c r="M22" i="10"/>
  <c r="M24" i="10"/>
  <c r="N56" i="10"/>
  <c r="N39" i="10"/>
  <c r="N69" i="10"/>
  <c r="N52" i="10"/>
  <c r="N35" i="10"/>
  <c r="N49" i="10"/>
  <c r="N71" i="10"/>
  <c r="N54" i="10"/>
  <c r="N37" i="10"/>
  <c r="N67" i="10"/>
  <c r="N50" i="10"/>
  <c r="M20" i="10"/>
  <c r="M25" i="10"/>
  <c r="N48" i="10"/>
  <c r="N31" i="10"/>
  <c r="N61" i="10"/>
  <c r="N44" i="10"/>
  <c r="N27" i="10"/>
  <c r="O67" i="11"/>
  <c r="D3" i="11"/>
  <c r="D17" i="11"/>
  <c r="D11" i="11"/>
  <c r="D4" i="11"/>
  <c r="O68" i="2"/>
  <c r="O70" i="10"/>
  <c r="D17" i="10"/>
  <c r="S10" i="12"/>
  <c r="S15" i="12"/>
  <c r="S34" i="12"/>
  <c r="S41" i="12"/>
  <c r="S50" i="12"/>
  <c r="S13" i="12"/>
  <c r="S22" i="12"/>
  <c r="S62" i="12"/>
  <c r="S5" i="12"/>
  <c r="S40" i="12"/>
  <c r="S19" i="12"/>
  <c r="S66" i="12"/>
  <c r="S58" i="12"/>
  <c r="S45" i="12"/>
  <c r="S59" i="12"/>
  <c r="S69" i="12"/>
  <c r="S49" i="12"/>
  <c r="S30" i="12"/>
  <c r="S70" i="12"/>
  <c r="S31" i="12"/>
  <c r="S35" i="12"/>
  <c r="S51" i="12"/>
  <c r="S18" i="12"/>
  <c r="S33" i="12"/>
  <c r="S11" i="12"/>
  <c r="S44" i="12"/>
  <c r="S12" i="12"/>
  <c r="S21" i="12"/>
  <c r="S55" i="12"/>
  <c r="S64" i="12"/>
  <c r="S54" i="12"/>
  <c r="S43" i="12"/>
  <c r="S60" i="12"/>
  <c r="S14" i="12"/>
  <c r="S38" i="12"/>
  <c r="S63" i="12"/>
  <c r="S28" i="12"/>
  <c r="S25" i="12"/>
  <c r="S4" i="12"/>
  <c r="S68" i="12"/>
  <c r="S17" i="12"/>
  <c r="S27" i="12"/>
  <c r="S8" i="12"/>
  <c r="S47" i="12"/>
  <c r="S20" i="12"/>
  <c r="S61" i="12"/>
  <c r="S16" i="12"/>
  <c r="S26" i="12"/>
  <c r="S71" i="12"/>
  <c r="S65" i="12"/>
  <c r="S7" i="12"/>
  <c r="S39" i="12"/>
  <c r="S3" i="12"/>
  <c r="S57" i="12"/>
  <c r="S48" i="12"/>
  <c r="S42" i="12"/>
  <c r="S36" i="12"/>
  <c r="S67" i="12"/>
  <c r="S53" i="12"/>
  <c r="S46" i="12"/>
  <c r="S32" i="12"/>
  <c r="S56" i="12"/>
  <c r="S29" i="12"/>
  <c r="S6" i="12"/>
  <c r="S52" i="12"/>
  <c r="S24" i="12"/>
  <c r="S9" i="12"/>
  <c r="S37" i="12"/>
  <c r="S23" i="12"/>
  <c r="C16" i="11"/>
  <c r="C16" i="10"/>
  <c r="I17" i="10"/>
  <c r="I3" i="11"/>
  <c r="I11" i="11"/>
  <c r="C15" i="10"/>
  <c r="C15" i="11"/>
  <c r="I18" i="11"/>
  <c r="I18" i="2"/>
  <c r="I17" i="11"/>
  <c r="I4" i="11"/>
  <c r="D15" i="11" l="1"/>
  <c r="M15" i="10"/>
  <c r="D16" i="11"/>
  <c r="M16" i="10"/>
  <c r="D12" i="10"/>
  <c r="D13" i="11"/>
  <c r="M10" i="10"/>
  <c r="M3" i="10"/>
  <c r="D15" i="10"/>
  <c r="F12" i="11"/>
  <c r="E12" i="11"/>
  <c r="F10" i="11"/>
  <c r="E10" i="11"/>
  <c r="F5" i="11"/>
  <c r="E5" i="11"/>
  <c r="F14" i="11"/>
  <c r="E14" i="11"/>
  <c r="F7" i="11"/>
  <c r="E7" i="11"/>
  <c r="D7" i="11"/>
  <c r="E16" i="11"/>
  <c r="F16" i="11"/>
  <c r="M16" i="11"/>
  <c r="M12" i="11"/>
  <c r="F6" i="11"/>
  <c r="E6" i="11"/>
  <c r="M10" i="11"/>
  <c r="F15" i="11"/>
  <c r="E15" i="11"/>
  <c r="M6" i="11"/>
  <c r="M5" i="11"/>
  <c r="M15" i="11"/>
  <c r="E18" i="11"/>
  <c r="F18" i="11"/>
  <c r="F9" i="11"/>
  <c r="E9" i="11"/>
  <c r="M14" i="11"/>
  <c r="D12" i="11"/>
  <c r="F8" i="11"/>
  <c r="E8" i="11"/>
  <c r="M18" i="11"/>
  <c r="M9" i="11"/>
  <c r="D8" i="11"/>
  <c r="D10" i="11"/>
  <c r="M8" i="11"/>
  <c r="E13" i="11"/>
  <c r="F13" i="11"/>
  <c r="E18" i="2"/>
  <c r="F18" i="2"/>
  <c r="D18" i="2"/>
  <c r="M18" i="2"/>
  <c r="F7" i="10"/>
  <c r="E7" i="10"/>
  <c r="F13" i="10"/>
  <c r="E13" i="10"/>
  <c r="F4" i="10"/>
  <c r="E4" i="10"/>
  <c r="D4" i="10"/>
  <c r="F6" i="10"/>
  <c r="E6" i="10"/>
  <c r="F16" i="10"/>
  <c r="E16" i="10"/>
  <c r="D6" i="10"/>
  <c r="M7" i="10"/>
  <c r="M6" i="10"/>
  <c r="M13" i="10"/>
  <c r="D13" i="10"/>
  <c r="F5" i="10"/>
  <c r="E5" i="10"/>
  <c r="F14" i="10"/>
  <c r="E14" i="10"/>
  <c r="D16" i="10"/>
  <c r="M5" i="10"/>
  <c r="M14" i="10"/>
  <c r="M4" i="10"/>
  <c r="F18" i="10"/>
  <c r="E18" i="10"/>
  <c r="F9" i="10"/>
  <c r="E9" i="10"/>
  <c r="F11" i="10"/>
  <c r="E11" i="10"/>
  <c r="F8" i="10"/>
  <c r="E8" i="10"/>
  <c r="M18" i="10"/>
  <c r="D11" i="10"/>
  <c r="M9" i="10"/>
  <c r="M11" i="10"/>
  <c r="M8" i="10"/>
  <c r="D7" i="10"/>
  <c r="D14" i="10"/>
  <c r="F3" i="10"/>
  <c r="E3" i="10"/>
  <c r="F10" i="10"/>
  <c r="E10" i="10"/>
  <c r="F15" i="10"/>
  <c r="E15" i="10"/>
  <c r="F12" i="10"/>
  <c r="E12" i="10"/>
  <c r="N24" i="10"/>
  <c r="O24" i="10"/>
  <c r="N21" i="11"/>
  <c r="O21" i="11"/>
  <c r="O19" i="11"/>
  <c r="N19" i="11"/>
  <c r="N26" i="11"/>
  <c r="O26" i="11"/>
  <c r="O19" i="10"/>
  <c r="N19" i="10"/>
  <c r="O25" i="2"/>
  <c r="N25" i="2"/>
  <c r="O21" i="10"/>
  <c r="N21" i="10"/>
  <c r="N23" i="10"/>
  <c r="O23" i="10"/>
  <c r="N25" i="11"/>
  <c r="O25" i="11"/>
  <c r="O26" i="2"/>
  <c r="N26" i="2"/>
  <c r="N24" i="11"/>
  <c r="O24" i="11"/>
  <c r="N26" i="10"/>
  <c r="O26" i="10"/>
  <c r="O22" i="10"/>
  <c r="N22" i="10"/>
  <c r="N23" i="11"/>
  <c r="O23" i="11"/>
  <c r="O22" i="11"/>
  <c r="N22" i="11"/>
  <c r="O25" i="10"/>
  <c r="N25" i="10"/>
  <c r="N20" i="10"/>
  <c r="O20" i="10"/>
  <c r="O20" i="11"/>
  <c r="N20" i="11"/>
  <c r="N3" i="11"/>
  <c r="N18" i="2"/>
  <c r="N17" i="10"/>
  <c r="N11" i="11"/>
  <c r="N4" i="11"/>
  <c r="N18" i="11"/>
  <c r="N17" i="11"/>
  <c r="O3" i="11"/>
  <c r="O16" i="11"/>
  <c r="O14" i="11"/>
  <c r="O13" i="11"/>
  <c r="O8" i="11"/>
  <c r="O12" i="11"/>
  <c r="O11" i="11"/>
  <c r="O10" i="11"/>
  <c r="O15" i="11"/>
  <c r="O4" i="11"/>
  <c r="O18" i="11"/>
  <c r="O17" i="11"/>
  <c r="O9" i="11"/>
  <c r="O5" i="11"/>
  <c r="O7" i="11"/>
  <c r="O6" i="11"/>
  <c r="O14" i="10"/>
  <c r="O9" i="10"/>
  <c r="O12" i="10"/>
  <c r="O3" i="10"/>
  <c r="O13" i="10"/>
  <c r="O7" i="10"/>
  <c r="O10" i="10"/>
  <c r="O17" i="10"/>
  <c r="O8" i="10"/>
  <c r="O15" i="10"/>
  <c r="O18" i="10"/>
  <c r="O6" i="10"/>
  <c r="O5" i="10"/>
  <c r="O4" i="10"/>
  <c r="O11" i="10"/>
  <c r="O16" i="10"/>
  <c r="O18" i="2"/>
  <c r="I10" i="10"/>
  <c r="I3" i="10"/>
  <c r="I16" i="11"/>
  <c r="I9" i="10"/>
  <c r="I5" i="11"/>
  <c r="I5" i="10"/>
  <c r="I16" i="10"/>
  <c r="I8" i="11"/>
  <c r="I15" i="11"/>
  <c r="I8" i="10"/>
  <c r="I9" i="11"/>
  <c r="I6" i="11"/>
  <c r="I12" i="11"/>
  <c r="I6" i="10"/>
  <c r="I18" i="10"/>
  <c r="I14" i="10"/>
  <c r="I4" i="10"/>
  <c r="I10" i="11"/>
  <c r="I11" i="10"/>
  <c r="I13" i="10"/>
  <c r="I13" i="11"/>
  <c r="I12" i="10"/>
  <c r="I14" i="11"/>
  <c r="I7" i="11"/>
  <c r="I15" i="10"/>
  <c r="I7" i="10"/>
  <c r="N18" i="10" l="1"/>
  <c r="N14" i="11"/>
  <c r="N5" i="11"/>
  <c r="N13" i="11"/>
  <c r="N12" i="11"/>
  <c r="N15" i="11"/>
  <c r="N16" i="11"/>
  <c r="N10" i="11"/>
  <c r="N9" i="11"/>
  <c r="N7" i="11"/>
  <c r="N8" i="11"/>
  <c r="N6" i="11"/>
  <c r="N8" i="10"/>
  <c r="N4" i="10"/>
  <c r="N13" i="10"/>
  <c r="N12" i="10"/>
  <c r="N14" i="10"/>
  <c r="N7" i="10"/>
  <c r="N15" i="10"/>
  <c r="N16" i="10"/>
  <c r="N9" i="10"/>
  <c r="N6" i="10"/>
  <c r="N10" i="10"/>
  <c r="N11" i="10"/>
  <c r="N5" i="10"/>
  <c r="N3" i="10"/>
  <c r="O41" i="11"/>
  <c r="O63" i="11"/>
  <c r="O27" i="11"/>
  <c r="O54" i="11"/>
  <c r="O34" i="11"/>
  <c r="O42" i="11"/>
  <c r="O33" i="11"/>
  <c r="O55" i="11"/>
  <c r="O62" i="11"/>
  <c r="O29" i="11"/>
  <c r="O28" i="11"/>
  <c r="O48" i="11"/>
  <c r="O47" i="11"/>
  <c r="O51" i="11"/>
  <c r="O60" i="11"/>
  <c r="O58" i="11"/>
  <c r="O32" i="11"/>
  <c r="O39" i="11"/>
  <c r="O37" i="11"/>
  <c r="O46" i="11"/>
  <c r="O44" i="11"/>
  <c r="O64" i="11"/>
  <c r="O31" i="11"/>
  <c r="O61" i="11"/>
  <c r="O35" i="11"/>
  <c r="O65" i="11"/>
  <c r="O56" i="11"/>
  <c r="O66" i="11"/>
  <c r="O50" i="11"/>
  <c r="O43" i="11"/>
  <c r="O57" i="11"/>
  <c r="O40" i="11"/>
  <c r="O52" i="11"/>
  <c r="O36" i="11"/>
  <c r="O59" i="11"/>
  <c r="O49" i="11"/>
  <c r="O38" i="11"/>
  <c r="O30" i="11"/>
  <c r="O45" i="11"/>
  <c r="O53" i="11"/>
  <c r="O65" i="10"/>
  <c r="O64" i="10"/>
  <c r="O42" i="10"/>
  <c r="O60" i="10"/>
  <c r="O27" i="10"/>
  <c r="O34" i="10"/>
  <c r="O57" i="10"/>
  <c r="O48" i="10"/>
  <c r="O30" i="10"/>
  <c r="O50" i="10"/>
  <c r="O55" i="10"/>
  <c r="O49" i="10"/>
  <c r="O63" i="10"/>
  <c r="O38" i="10"/>
  <c r="O44" i="10"/>
  <c r="O54" i="10"/>
  <c r="O41" i="10"/>
  <c r="O53" i="10"/>
  <c r="O61" i="10"/>
  <c r="O28" i="10"/>
  <c r="O46" i="10"/>
  <c r="O33" i="10"/>
  <c r="O43" i="10"/>
  <c r="O51" i="10"/>
  <c r="O36" i="10"/>
  <c r="O45" i="10"/>
  <c r="O32" i="10"/>
  <c r="O52" i="10"/>
  <c r="O47" i="10"/>
  <c r="O58" i="10"/>
  <c r="O56" i="10"/>
  <c r="O31" i="10"/>
  <c r="O39" i="10"/>
  <c r="O59" i="10"/>
  <c r="O66" i="10"/>
  <c r="O40" i="10"/>
  <c r="O62" i="10"/>
  <c r="O29" i="10"/>
  <c r="O37" i="10"/>
  <c r="O35" i="10"/>
  <c r="P3" i="11" a="1"/>
  <c r="R3" i="11" a="1"/>
  <c r="R3" i="10" a="1"/>
  <c r="Q3" i="11" a="1"/>
  <c r="Q3" i="10" a="1"/>
  <c r="P3" i="10" a="1"/>
  <c r="R71" i="10" l="1"/>
  <c r="R9" i="10"/>
  <c r="R14" i="10"/>
  <c r="R31" i="10"/>
  <c r="R70" i="10"/>
  <c r="R58" i="10"/>
  <c r="R12" i="10"/>
  <c r="R64" i="10"/>
  <c r="R38" i="10"/>
  <c r="R49" i="10"/>
  <c r="R22" i="10"/>
  <c r="R37" i="10"/>
  <c r="R40" i="10"/>
  <c r="R53" i="10"/>
  <c r="R57" i="10"/>
  <c r="R26" i="10"/>
  <c r="R18" i="10"/>
  <c r="R4" i="10"/>
  <c r="R30" i="10"/>
  <c r="R45" i="10"/>
  <c r="R67" i="10"/>
  <c r="R63" i="10"/>
  <c r="R66" i="10"/>
  <c r="R54" i="10"/>
  <c r="R32" i="10"/>
  <c r="R20" i="10"/>
  <c r="R13" i="10"/>
  <c r="R16" i="10"/>
  <c r="R23" i="10"/>
  <c r="R34" i="10"/>
  <c r="R8" i="10"/>
  <c r="R17" i="10"/>
  <c r="R56" i="10"/>
  <c r="R39" i="10"/>
  <c r="R19" i="10"/>
  <c r="R10" i="10"/>
  <c r="R68" i="10"/>
  <c r="R25" i="10"/>
  <c r="R50" i="10"/>
  <c r="R47" i="10"/>
  <c r="R11" i="10"/>
  <c r="R60" i="10"/>
  <c r="R69" i="10"/>
  <c r="R62" i="10"/>
  <c r="R6" i="10"/>
  <c r="R21" i="10"/>
  <c r="R55" i="10"/>
  <c r="R52" i="10"/>
  <c r="R43" i="10"/>
  <c r="R35" i="10"/>
  <c r="R65" i="10"/>
  <c r="R41" i="10"/>
  <c r="R3" i="10"/>
  <c r="R59" i="10"/>
  <c r="R7" i="10"/>
  <c r="R33" i="10"/>
  <c r="R15" i="10"/>
  <c r="R51" i="10"/>
  <c r="R24" i="10"/>
  <c r="R5" i="10"/>
  <c r="R36" i="10"/>
  <c r="R42" i="10"/>
  <c r="R29" i="10"/>
  <c r="R28" i="10"/>
  <c r="R44" i="10"/>
  <c r="R61" i="10"/>
  <c r="R27" i="10"/>
  <c r="R48" i="10"/>
  <c r="R46" i="10"/>
  <c r="Q70" i="10"/>
  <c r="Q66" i="10"/>
  <c r="Q9" i="10"/>
  <c r="Q7" i="10"/>
  <c r="Q39" i="10"/>
  <c r="Q40" i="10"/>
  <c r="Q22" i="10"/>
  <c r="Q71" i="10"/>
  <c r="Q45" i="10"/>
  <c r="Q57" i="10"/>
  <c r="Q6" i="10"/>
  <c r="Q21" i="10"/>
  <c r="Q64" i="10"/>
  <c r="Q24" i="10"/>
  <c r="Q69" i="10"/>
  <c r="Q5" i="10"/>
  <c r="Q13" i="10"/>
  <c r="Q30" i="10"/>
  <c r="Q17" i="10"/>
  <c r="Q46" i="10"/>
  <c r="Q41" i="10"/>
  <c r="Q49" i="10"/>
  <c r="Q59" i="10"/>
  <c r="Q27" i="10"/>
  <c r="Q36" i="10"/>
  <c r="Q20" i="10"/>
  <c r="Q14" i="10"/>
  <c r="Q65" i="10"/>
  <c r="Q29" i="10"/>
  <c r="Q52" i="10"/>
  <c r="Q37" i="10"/>
  <c r="Q12" i="10"/>
  <c r="Q25" i="10"/>
  <c r="Q42" i="10"/>
  <c r="Q15" i="10"/>
  <c r="Q18" i="10"/>
  <c r="Q43" i="10"/>
  <c r="Q34" i="10"/>
  <c r="Q47" i="10"/>
  <c r="Q16" i="10"/>
  <c r="Q62" i="10"/>
  <c r="Q26" i="10"/>
  <c r="Q3" i="10"/>
  <c r="Q56" i="10"/>
  <c r="Q44" i="10"/>
  <c r="Q32" i="10"/>
  <c r="Q63" i="10"/>
  <c r="Q51" i="10"/>
  <c r="Q55" i="10"/>
  <c r="Q10" i="10"/>
  <c r="Q33" i="10"/>
  <c r="Q19" i="10"/>
  <c r="Q61" i="10"/>
  <c r="Q68" i="10"/>
  <c r="Q8" i="10"/>
  <c r="Q4" i="10"/>
  <c r="Q31" i="10"/>
  <c r="Q35" i="10"/>
  <c r="Q60" i="10"/>
  <c r="Q23" i="10"/>
  <c r="Q50" i="10"/>
  <c r="Q48" i="10"/>
  <c r="Q58" i="10"/>
  <c r="Q53" i="10"/>
  <c r="Q11" i="10"/>
  <c r="Q67" i="10"/>
  <c r="Q38" i="10"/>
  <c r="Q54" i="10"/>
  <c r="Q28" i="10"/>
  <c r="P50" i="10"/>
  <c r="P19" i="10"/>
  <c r="P26" i="10"/>
  <c r="P57" i="10"/>
  <c r="P4" i="10"/>
  <c r="P16" i="10"/>
  <c r="P66" i="10"/>
  <c r="P31" i="10"/>
  <c r="P55" i="10"/>
  <c r="P48" i="10"/>
  <c r="P42" i="10"/>
  <c r="P65" i="10"/>
  <c r="P15" i="10"/>
  <c r="P27" i="10"/>
  <c r="P67" i="10"/>
  <c r="P25" i="10"/>
  <c r="P34" i="10"/>
  <c r="P56" i="10"/>
  <c r="P41" i="10"/>
  <c r="P32" i="10"/>
  <c r="P54" i="10"/>
  <c r="P38" i="10"/>
  <c r="P71" i="10"/>
  <c r="P60" i="10"/>
  <c r="P39" i="10"/>
  <c r="P9" i="10"/>
  <c r="P68" i="10"/>
  <c r="P43" i="10"/>
  <c r="P33" i="10"/>
  <c r="P63" i="10"/>
  <c r="P7" i="10"/>
  <c r="P22" i="10"/>
  <c r="P70" i="10"/>
  <c r="P59" i="10"/>
  <c r="P13" i="10"/>
  <c r="P23" i="10"/>
  <c r="P51" i="10"/>
  <c r="P30" i="10"/>
  <c r="P52" i="10"/>
  <c r="P58" i="10"/>
  <c r="P45" i="10"/>
  <c r="P36" i="10"/>
  <c r="P12" i="10"/>
  <c r="P17" i="10"/>
  <c r="P5" i="10"/>
  <c r="P18" i="10"/>
  <c r="P21" i="10"/>
  <c r="P3" i="10"/>
  <c r="P29" i="10"/>
  <c r="P49" i="10"/>
  <c r="P64" i="10"/>
  <c r="P8" i="10"/>
  <c r="P44" i="10"/>
  <c r="P46" i="10"/>
  <c r="P35" i="10"/>
  <c r="P47" i="10"/>
  <c r="P69" i="10"/>
  <c r="P10" i="10"/>
  <c r="P14" i="10"/>
  <c r="P24" i="10"/>
  <c r="P40" i="10"/>
  <c r="P37" i="10"/>
  <c r="P62" i="10"/>
  <c r="P53" i="10"/>
  <c r="P61" i="10"/>
  <c r="P20" i="10"/>
  <c r="P11" i="10"/>
  <c r="P28" i="10"/>
  <c r="P6" i="10"/>
  <c r="Q65" i="11"/>
  <c r="Q53" i="11"/>
  <c r="Q71" i="11"/>
  <c r="Q63" i="11"/>
  <c r="Q49" i="11"/>
  <c r="Q50" i="11"/>
  <c r="Q17" i="11"/>
  <c r="Q18" i="11"/>
  <c r="Q25" i="11"/>
  <c r="Q41" i="11"/>
  <c r="Q45" i="11"/>
  <c r="Q22" i="11"/>
  <c r="Q61" i="11"/>
  <c r="Q37" i="11"/>
  <c r="Q20" i="11"/>
  <c r="Q59" i="11"/>
  <c r="Q5" i="11"/>
  <c r="Q40" i="11"/>
  <c r="Q21" i="11"/>
  <c r="Q8" i="11"/>
  <c r="Q47" i="11"/>
  <c r="Q3" i="11"/>
  <c r="Q56" i="11"/>
  <c r="Q4" i="11"/>
  <c r="Q31" i="11"/>
  <c r="Q16" i="11"/>
  <c r="Q51" i="11"/>
  <c r="Q11" i="11"/>
  <c r="Q23" i="11"/>
  <c r="Q48" i="11"/>
  <c r="Q15" i="11"/>
  <c r="Q24" i="11"/>
  <c r="Q55" i="11"/>
  <c r="Q64" i="11"/>
  <c r="Q67" i="11"/>
  <c r="Q28" i="11"/>
  <c r="Q57" i="11"/>
  <c r="Q58" i="11"/>
  <c r="Q36" i="11"/>
  <c r="Q68" i="11"/>
  <c r="Q38" i="11"/>
  <c r="Q32" i="11"/>
  <c r="Q46" i="11"/>
  <c r="Q66" i="11"/>
  <c r="Q14" i="11"/>
  <c r="Q69" i="11"/>
  <c r="Q7" i="11"/>
  <c r="Q27" i="11"/>
  <c r="Q52" i="11"/>
  <c r="Q9" i="11"/>
  <c r="Q30" i="11"/>
  <c r="Q54" i="11"/>
  <c r="Q70" i="11"/>
  <c r="Q6" i="11"/>
  <c r="Q26" i="11"/>
  <c r="Q13" i="11"/>
  <c r="Q35" i="11"/>
  <c r="Q60" i="11"/>
  <c r="Q44" i="11"/>
  <c r="Q42" i="11"/>
  <c r="Q43" i="11"/>
  <c r="Q29" i="11"/>
  <c r="Q10" i="11"/>
  <c r="Q39" i="11"/>
  <c r="Q19" i="11"/>
  <c r="Q12" i="11"/>
  <c r="Q34" i="11"/>
  <c r="Q33" i="11"/>
  <c r="Q62" i="11"/>
  <c r="P17" i="11"/>
  <c r="P65" i="11"/>
  <c r="P26" i="11"/>
  <c r="P38" i="11"/>
  <c r="P69" i="11"/>
  <c r="P20" i="11"/>
  <c r="P34" i="11"/>
  <c r="P41" i="11"/>
  <c r="P25" i="11"/>
  <c r="P51" i="11"/>
  <c r="P62" i="11"/>
  <c r="P52" i="11"/>
  <c r="P19" i="11"/>
  <c r="P22" i="11"/>
  <c r="P13" i="11"/>
  <c r="P71" i="11"/>
  <c r="P7" i="11"/>
  <c r="P36" i="11"/>
  <c r="P15" i="11"/>
  <c r="P39" i="11"/>
  <c r="P60" i="11"/>
  <c r="P44" i="11"/>
  <c r="P58" i="11"/>
  <c r="P14" i="11"/>
  <c r="P6" i="11"/>
  <c r="P37" i="11"/>
  <c r="P5" i="11"/>
  <c r="P68" i="11"/>
  <c r="P18" i="11"/>
  <c r="P4" i="11"/>
  <c r="P67" i="11"/>
  <c r="P47" i="11"/>
  <c r="P48" i="11"/>
  <c r="P40" i="11"/>
  <c r="P46" i="11"/>
  <c r="P23" i="11"/>
  <c r="P27" i="11"/>
  <c r="P10" i="11"/>
  <c r="P24" i="11"/>
  <c r="P32" i="11"/>
  <c r="P21" i="11"/>
  <c r="P49" i="11"/>
  <c r="P43" i="11"/>
  <c r="P45" i="11"/>
  <c r="P57" i="11"/>
  <c r="P8" i="11"/>
  <c r="P16" i="11"/>
  <c r="P35" i="11"/>
  <c r="P59" i="11"/>
  <c r="P53" i="11"/>
  <c r="P3" i="11"/>
  <c r="P50" i="11"/>
  <c r="P12" i="11"/>
  <c r="P70" i="11"/>
  <c r="P11" i="11"/>
  <c r="P56" i="11"/>
  <c r="P42" i="11"/>
  <c r="P63" i="11"/>
  <c r="P30" i="11"/>
  <c r="P54" i="11"/>
  <c r="P66" i="11"/>
  <c r="P29" i="11"/>
  <c r="P28" i="11"/>
  <c r="P9" i="11"/>
  <c r="P61" i="11"/>
  <c r="P55" i="11"/>
  <c r="P33" i="11"/>
  <c r="P64" i="11"/>
  <c r="P31" i="11"/>
  <c r="R24" i="11"/>
  <c r="R58" i="11"/>
  <c r="R35" i="11"/>
  <c r="R14" i="11"/>
  <c r="R55" i="11"/>
  <c r="R18" i="11"/>
  <c r="R59" i="11"/>
  <c r="R47" i="11"/>
  <c r="R43" i="11"/>
  <c r="R11" i="11"/>
  <c r="R23" i="11"/>
  <c r="R50" i="11"/>
  <c r="R56" i="11"/>
  <c r="R27" i="11"/>
  <c r="R26" i="11"/>
  <c r="R57" i="11"/>
  <c r="R62" i="11"/>
  <c r="R63" i="11"/>
  <c r="R33" i="11"/>
  <c r="R22" i="11"/>
  <c r="R4" i="11"/>
  <c r="R41" i="11"/>
  <c r="R12" i="11"/>
  <c r="R10" i="11"/>
  <c r="R9" i="11"/>
  <c r="R39" i="11"/>
  <c r="R51" i="11"/>
  <c r="R15" i="11"/>
  <c r="R28" i="11"/>
  <c r="R29" i="11"/>
  <c r="R66" i="11"/>
  <c r="R3" i="11"/>
  <c r="R30" i="11"/>
  <c r="R52" i="11"/>
  <c r="R64" i="11"/>
  <c r="R21" i="11"/>
  <c r="R31" i="11"/>
  <c r="R68" i="11"/>
  <c r="R53" i="11"/>
  <c r="R49" i="11"/>
  <c r="R34" i="11"/>
  <c r="R67" i="11"/>
  <c r="R17" i="11"/>
  <c r="R20" i="11"/>
  <c r="R65" i="11"/>
  <c r="R7" i="11"/>
  <c r="R19" i="11"/>
  <c r="R32" i="11"/>
  <c r="R46" i="11"/>
  <c r="R13" i="11"/>
  <c r="R38" i="11"/>
  <c r="R48" i="11"/>
  <c r="R25" i="11"/>
  <c r="R71" i="11"/>
  <c r="R60" i="11"/>
  <c r="R42" i="11"/>
  <c r="R44" i="11"/>
  <c r="R70" i="11"/>
  <c r="R16" i="11"/>
  <c r="R40" i="11"/>
  <c r="R61" i="11"/>
  <c r="R5" i="11"/>
  <c r="R37" i="11"/>
  <c r="R69" i="11"/>
  <c r="R54" i="11"/>
  <c r="R6" i="11"/>
  <c r="R45" i="11"/>
  <c r="R8" i="11"/>
  <c r="R36" i="11"/>
  <c r="S71" i="10"/>
  <c r="S38" i="10"/>
  <c r="S18" i="10"/>
  <c r="S32" i="10"/>
  <c r="S56" i="10"/>
  <c r="S11" i="10"/>
  <c r="S43" i="10"/>
  <c r="S15" i="10"/>
  <c r="S44" i="10"/>
  <c r="S9" i="10"/>
  <c r="S49" i="10"/>
  <c r="S4" i="10"/>
  <c r="S20" i="10"/>
  <c r="S39" i="10"/>
  <c r="S60" i="10"/>
  <c r="S35" i="10"/>
  <c r="S51" i="10"/>
  <c r="S61" i="10"/>
  <c r="S14" i="10"/>
  <c r="S22" i="10"/>
  <c r="S30" i="10"/>
  <c r="S13" i="10"/>
  <c r="S19" i="10"/>
  <c r="S69" i="10"/>
  <c r="S65" i="10"/>
  <c r="S24" i="10"/>
  <c r="S27" i="10"/>
  <c r="S31" i="10"/>
  <c r="S37" i="10"/>
  <c r="S45" i="10"/>
  <c r="S16" i="10"/>
  <c r="S10" i="10"/>
  <c r="S62" i="10"/>
  <c r="S41" i="10"/>
  <c r="S5" i="10"/>
  <c r="S48" i="10"/>
  <c r="S70" i="10"/>
  <c r="S40" i="10"/>
  <c r="S67" i="10"/>
  <c r="S23" i="10"/>
  <c r="S68" i="10"/>
  <c r="S6" i="10"/>
  <c r="S3" i="10"/>
  <c r="S36" i="10"/>
  <c r="S46" i="10"/>
  <c r="S58" i="10"/>
  <c r="S53" i="10"/>
  <c r="S63" i="10"/>
  <c r="S34" i="10"/>
  <c r="S25" i="10"/>
  <c r="S21" i="10"/>
  <c r="S59" i="10"/>
  <c r="S42" i="10"/>
  <c r="S12" i="10"/>
  <c r="S57" i="10"/>
  <c r="S66" i="10"/>
  <c r="S8" i="10"/>
  <c r="S50" i="10"/>
  <c r="S55" i="10"/>
  <c r="S7" i="10"/>
  <c r="S29" i="10"/>
  <c r="S64" i="10"/>
  <c r="S26" i="10"/>
  <c r="S54" i="10"/>
  <c r="S17" i="10"/>
  <c r="S47" i="10"/>
  <c r="S52" i="10"/>
  <c r="S33" i="10"/>
  <c r="S28" i="10"/>
  <c r="S47" i="11"/>
  <c r="S57" i="11"/>
  <c r="S10" i="11"/>
  <c r="S3" i="11"/>
  <c r="S49" i="11"/>
  <c r="S32" i="11"/>
  <c r="S42" i="11"/>
  <c r="S69" i="11"/>
  <c r="S24" i="11"/>
  <c r="S43" i="11"/>
  <c r="S62" i="11"/>
  <c r="S9" i="11"/>
  <c r="S30" i="11"/>
  <c r="S34" i="11"/>
  <c r="S46" i="11"/>
  <c r="S44" i="11"/>
  <c r="S54" i="11"/>
  <c r="S58" i="11"/>
  <c r="S11" i="11"/>
  <c r="S63" i="11"/>
  <c r="S39" i="11"/>
  <c r="S52" i="11"/>
  <c r="S67" i="11"/>
  <c r="S13" i="11"/>
  <c r="S70" i="11"/>
  <c r="S6" i="11"/>
  <c r="S35" i="11"/>
  <c r="S23" i="11"/>
  <c r="S33" i="11"/>
  <c r="S51" i="11"/>
  <c r="S64" i="11"/>
  <c r="S17" i="11"/>
  <c r="S38" i="11"/>
  <c r="S16" i="11"/>
  <c r="S45" i="11"/>
  <c r="S14" i="11"/>
  <c r="S50" i="11"/>
  <c r="S22" i="11"/>
  <c r="S15" i="11"/>
  <c r="S21" i="11"/>
  <c r="S20" i="11"/>
  <c r="S48" i="11"/>
  <c r="S40" i="11"/>
  <c r="S8" i="11"/>
  <c r="S55" i="11"/>
  <c r="S56" i="11"/>
  <c r="S4" i="11"/>
  <c r="S28" i="11"/>
  <c r="S31" i="11"/>
  <c r="S65" i="11"/>
  <c r="S25" i="11"/>
  <c r="S61" i="11"/>
  <c r="S36" i="11"/>
  <c r="S18" i="11"/>
  <c r="S27" i="11"/>
  <c r="S41" i="11"/>
  <c r="S29" i="11"/>
  <c r="S68" i="11"/>
  <c r="S7" i="11"/>
  <c r="S71" i="11"/>
  <c r="S5" i="11"/>
  <c r="S59" i="11"/>
  <c r="S26" i="11"/>
  <c r="S12" i="11"/>
  <c r="S66" i="11"/>
  <c r="S53" i="11"/>
  <c r="S19" i="11"/>
  <c r="S60" i="11"/>
  <c r="S37" i="11"/>
  <c r="B21" i="2" l="1"/>
  <c r="M19" i="2" l="1"/>
  <c r="B22" i="2"/>
  <c r="M20" i="2" l="1"/>
  <c r="B23" i="2"/>
  <c r="M21" i="2" l="1"/>
  <c r="B24" i="2"/>
  <c r="M22" i="2" l="1"/>
  <c r="B25" i="2"/>
  <c r="M23" i="2" l="1"/>
  <c r="B26" i="2"/>
  <c r="M24" i="2" l="1"/>
  <c r="M3" i="2" l="1"/>
  <c r="M4" i="2"/>
  <c r="M7" i="2"/>
  <c r="M12" i="2"/>
  <c r="M6" i="2"/>
  <c r="M5" i="2"/>
  <c r="M9" i="2"/>
  <c r="M15" i="2"/>
  <c r="M17" i="2"/>
  <c r="M11" i="2"/>
  <c r="M14" i="2"/>
  <c r="M10" i="2"/>
  <c r="M8" i="2"/>
  <c r="M13" i="2"/>
  <c r="M16" i="2"/>
  <c r="T32" i="10"/>
  <c r="U47" i="10"/>
  <c r="U28" i="10"/>
  <c r="T12" i="10"/>
  <c r="U12" i="10"/>
  <c r="U29" i="11"/>
  <c r="T56" i="10"/>
  <c r="U19" i="11"/>
  <c r="U43" i="11"/>
  <c r="T16" i="11"/>
  <c r="U33" i="11"/>
  <c r="U3" i="10"/>
  <c r="T31" i="11"/>
  <c r="T54" i="10"/>
  <c r="U56" i="11"/>
  <c r="U48" i="11"/>
  <c r="U39" i="10"/>
  <c r="T41" i="10"/>
  <c r="T24" i="10"/>
  <c r="T31" i="10"/>
  <c r="U49" i="11"/>
  <c r="U47" i="11"/>
  <c r="U48" i="10"/>
  <c r="U14" i="10"/>
  <c r="U22" i="10"/>
  <c r="T6" i="10"/>
  <c r="U54" i="10"/>
  <c r="U5" i="11"/>
  <c r="T34" i="10"/>
  <c r="T23" i="10"/>
  <c r="U49" i="10"/>
  <c r="U58" i="10"/>
  <c r="T55" i="10"/>
  <c r="T22" i="11"/>
  <c r="T37" i="10"/>
  <c r="U60" i="10"/>
  <c r="T57" i="11"/>
  <c r="T39" i="11"/>
  <c r="U10" i="11"/>
  <c r="T64" i="10"/>
  <c r="T47" i="11"/>
  <c r="T55" i="11"/>
  <c r="T62" i="11"/>
  <c r="T63" i="11"/>
  <c r="T67" i="11"/>
  <c r="U66" i="11"/>
  <c r="T21" i="11"/>
  <c r="U43" i="10"/>
  <c r="U31" i="10"/>
  <c r="U28" i="11"/>
  <c r="U36" i="10"/>
  <c r="U31" i="11"/>
  <c r="T50" i="11"/>
  <c r="T63" i="10"/>
  <c r="T29" i="11"/>
  <c r="U16" i="10"/>
  <c r="U44" i="11"/>
  <c r="U32" i="10"/>
  <c r="U57" i="11"/>
  <c r="U6" i="10"/>
  <c r="T68" i="10"/>
  <c r="T46" i="11"/>
  <c r="T59" i="10"/>
  <c r="T28" i="10"/>
  <c r="T65" i="10"/>
  <c r="U18" i="11"/>
  <c r="T51" i="10"/>
  <c r="T23" i="11"/>
  <c r="T49" i="11"/>
  <c r="U22" i="11"/>
  <c r="T35" i="10"/>
  <c r="T12" i="11"/>
  <c r="U5" i="10"/>
  <c r="T19" i="11"/>
  <c r="T53" i="10"/>
  <c r="T68" i="11"/>
  <c r="U35" i="11"/>
  <c r="U30" i="11"/>
  <c r="T29" i="10"/>
  <c r="T13" i="10"/>
  <c r="U15" i="10"/>
  <c r="U52" i="11"/>
  <c r="T27" i="11"/>
  <c r="T26" i="10"/>
  <c r="U61" i="11"/>
  <c r="U8" i="11"/>
  <c r="T8" i="10"/>
  <c r="T51" i="11"/>
  <c r="U41" i="10"/>
  <c r="U18" i="10"/>
  <c r="T36" i="11"/>
  <c r="T70" i="11"/>
  <c r="U65" i="11"/>
  <c r="T58" i="10"/>
  <c r="U35" i="10"/>
  <c r="T32" i="11"/>
  <c r="U4" i="11"/>
  <c r="U68" i="11"/>
  <c r="U41" i="11"/>
  <c r="U59" i="11"/>
  <c r="U38" i="10"/>
  <c r="T70" i="10"/>
  <c r="U20" i="10"/>
  <c r="T69" i="11"/>
  <c r="T28" i="11"/>
  <c r="T25" i="11"/>
  <c r="U17" i="11"/>
  <c r="T38" i="10"/>
  <c r="U67" i="11"/>
  <c r="T17" i="10"/>
  <c r="U38" i="11"/>
  <c r="T5" i="10"/>
  <c r="U21" i="11"/>
  <c r="T33" i="11"/>
  <c r="U59" i="10"/>
  <c r="U65" i="10"/>
  <c r="U45" i="10"/>
  <c r="U25" i="10"/>
  <c r="T66" i="10"/>
  <c r="U9" i="10"/>
  <c r="U9" i="11"/>
  <c r="U71" i="11"/>
  <c r="T18" i="10"/>
  <c r="U70" i="11"/>
  <c r="T9" i="11"/>
  <c r="U53" i="10"/>
  <c r="U26" i="10"/>
  <c r="U69" i="10"/>
  <c r="T62" i="10"/>
  <c r="U55" i="10"/>
  <c r="U10" i="10"/>
  <c r="T25" i="10"/>
  <c r="T7" i="10"/>
  <c r="T49" i="10"/>
  <c r="U39" i="11"/>
  <c r="T39" i="10"/>
  <c r="T43" i="11"/>
  <c r="T5" i="11"/>
  <c r="U27" i="10"/>
  <c r="U68" i="10"/>
  <c r="T14" i="10"/>
  <c r="T67" i="10"/>
  <c r="T53" i="11"/>
  <c r="U34" i="10"/>
  <c r="T20" i="10"/>
  <c r="T59" i="11"/>
  <c r="U60" i="11"/>
  <c r="T48" i="11"/>
  <c r="T36" i="10"/>
  <c r="U64" i="10"/>
  <c r="T56" i="11"/>
  <c r="T71" i="11"/>
  <c r="T35" i="11"/>
  <c r="U58" i="11"/>
  <c r="U17" i="10"/>
  <c r="I30" i="2"/>
  <c r="I41" i="2"/>
  <c r="T10" i="11"/>
  <c r="T20" i="11"/>
  <c r="T15" i="10"/>
  <c r="T9" i="10"/>
  <c r="U57" i="10"/>
  <c r="I71" i="2"/>
  <c r="U13" i="11"/>
  <c r="U26" i="11"/>
  <c r="U63" i="10"/>
  <c r="U66" i="10"/>
  <c r="T33" i="10"/>
  <c r="T8" i="11"/>
  <c r="T6" i="11"/>
  <c r="U64" i="11"/>
  <c r="T41" i="11"/>
  <c r="T38" i="11"/>
  <c r="T47" i="10"/>
  <c r="U3" i="11"/>
  <c r="T64" i="11"/>
  <c r="T24" i="11"/>
  <c r="T40" i="11"/>
  <c r="U7" i="10"/>
  <c r="T7" i="11"/>
  <c r="U24" i="10"/>
  <c r="U69" i="11"/>
  <c r="U61" i="10"/>
  <c r="T13" i="11"/>
  <c r="U42" i="10"/>
  <c r="T71" i="10"/>
  <c r="U67" i="10"/>
  <c r="U23" i="11"/>
  <c r="U11" i="11"/>
  <c r="U15" i="11"/>
  <c r="T44" i="11"/>
  <c r="U56" i="10"/>
  <c r="T37" i="11"/>
  <c r="I60" i="2"/>
  <c r="U20" i="11"/>
  <c r="U50" i="11"/>
  <c r="T57" i="10"/>
  <c r="T10" i="10"/>
  <c r="T50" i="10"/>
  <c r="U37" i="10"/>
  <c r="T4" i="10"/>
  <c r="U21" i="10"/>
  <c r="T30" i="10"/>
  <c r="T45" i="10"/>
  <c r="T11" i="11"/>
  <c r="U51" i="11"/>
  <c r="T61" i="11"/>
  <c r="T61" i="10"/>
  <c r="T42" i="11"/>
  <c r="U46" i="11"/>
  <c r="U25" i="11"/>
  <c r="U30" i="10"/>
  <c r="U8" i="10"/>
  <c r="U29" i="10"/>
  <c r="U37" i="11"/>
  <c r="U36" i="11"/>
  <c r="T44" i="10"/>
  <c r="T60" i="10"/>
  <c r="U45" i="11"/>
  <c r="U50" i="10"/>
  <c r="T21" i="10"/>
  <c r="U55" i="11"/>
  <c r="U4" i="10"/>
  <c r="T40" i="10"/>
  <c r="U40" i="11"/>
  <c r="U12" i="11"/>
  <c r="T26" i="11"/>
  <c r="U44" i="10"/>
  <c r="T27" i="10"/>
  <c r="U54" i="11"/>
  <c r="I57" i="2"/>
  <c r="U13" i="10"/>
  <c r="U7" i="11"/>
  <c r="U71" i="10"/>
  <c r="T66" i="11"/>
  <c r="T48" i="10"/>
  <c r="U63" i="11"/>
  <c r="U32" i="11"/>
  <c r="T4" i="11"/>
  <c r="U33" i="10"/>
  <c r="T69" i="10"/>
  <c r="I38" i="2"/>
  <c r="T65" i="11"/>
  <c r="U42" i="11"/>
  <c r="T42" i="10"/>
  <c r="T54" i="11"/>
  <c r="U14" i="11"/>
  <c r="U23" i="10"/>
  <c r="U16" i="11"/>
  <c r="T46" i="10"/>
  <c r="T52" i="10"/>
  <c r="T11" i="10"/>
  <c r="T3" i="11"/>
  <c r="T18" i="11"/>
  <c r="T16" i="10"/>
  <c r="U46" i="10"/>
  <c r="U62" i="11"/>
  <c r="T15" i="11"/>
  <c r="U40" i="10"/>
  <c r="T22" i="10"/>
  <c r="U11" i="10"/>
  <c r="U24" i="11"/>
  <c r="T45" i="11"/>
  <c r="T58" i="11"/>
  <c r="T34" i="11"/>
  <c r="T3" i="10"/>
  <c r="U27" i="11"/>
  <c r="U70" i="10"/>
  <c r="T19" i="10"/>
  <c r="U6" i="11"/>
  <c r="T17" i="11"/>
  <c r="U52" i="10"/>
  <c r="U34" i="11"/>
  <c r="T14" i="11"/>
  <c r="U19" i="10"/>
  <c r="T43" i="10"/>
  <c r="I69" i="2"/>
  <c r="I54" i="2"/>
  <c r="I40" i="2"/>
  <c r="I34" i="2"/>
  <c r="I59" i="2"/>
  <c r="U51" i="10"/>
  <c r="U62" i="10"/>
  <c r="U53" i="11"/>
  <c r="I47" i="2"/>
  <c r="T52" i="11"/>
  <c r="I49" i="2"/>
  <c r="T60" i="11"/>
  <c r="I61" i="2"/>
  <c r="T30" i="11"/>
  <c r="I65" i="2"/>
  <c r="I51" i="2"/>
  <c r="I43" i="2"/>
  <c r="I35" i="2"/>
  <c r="I66" i="2"/>
  <c r="I44" i="2"/>
  <c r="I58" i="2"/>
  <c r="I33" i="2"/>
  <c r="I39" i="2"/>
  <c r="I46" i="2"/>
  <c r="I63" i="2"/>
  <c r="I45" i="2"/>
  <c r="I64" i="2"/>
  <c r="I36" i="2"/>
  <c r="I50" i="2"/>
  <c r="I56" i="2"/>
  <c r="I70" i="2"/>
  <c r="I53" i="2"/>
  <c r="I32" i="2"/>
  <c r="I68" i="2"/>
  <c r="I55" i="2"/>
  <c r="I52" i="2"/>
  <c r="I67" i="2"/>
  <c r="I42" i="2"/>
  <c r="I48" i="2"/>
  <c r="I62" i="2"/>
  <c r="I37" i="2"/>
  <c r="N69" i="2" l="1"/>
  <c r="N70" i="2"/>
  <c r="N68" i="2"/>
  <c r="N71" i="2"/>
  <c r="N67" i="2"/>
  <c r="N34" i="2"/>
  <c r="N46" i="2"/>
  <c r="N57" i="2"/>
  <c r="N37" i="2"/>
  <c r="N55" i="2"/>
  <c r="N47" i="2"/>
  <c r="N35" i="2"/>
  <c r="N29" i="2"/>
  <c r="N59" i="2"/>
  <c r="N54" i="2"/>
  <c r="N38" i="2"/>
  <c r="N39" i="2"/>
  <c r="N44" i="2"/>
  <c r="N42" i="2"/>
  <c r="N45" i="2"/>
  <c r="N43" i="2"/>
  <c r="N62" i="2"/>
  <c r="N60" i="2"/>
  <c r="N51" i="2"/>
  <c r="N33" i="2"/>
  <c r="N27" i="2"/>
  <c r="N32" i="2"/>
  <c r="N58" i="2"/>
  <c r="N52" i="2"/>
  <c r="N30" i="2"/>
  <c r="N61" i="2"/>
  <c r="N63" i="2"/>
  <c r="N48" i="2"/>
  <c r="N28" i="2"/>
  <c r="N56" i="2"/>
  <c r="N41" i="2"/>
  <c r="N65" i="2"/>
  <c r="N31" i="2"/>
  <c r="N53" i="2"/>
  <c r="N36" i="2"/>
  <c r="N50" i="2"/>
  <c r="N64" i="2"/>
  <c r="N66" i="2"/>
  <c r="N23" i="2"/>
  <c r="O23" i="2"/>
  <c r="N40" i="2"/>
  <c r="N49" i="2"/>
  <c r="N20" i="2"/>
  <c r="O20" i="2"/>
  <c r="N22" i="2"/>
  <c r="O22" i="2"/>
  <c r="O19" i="2"/>
  <c r="N19" i="2"/>
  <c r="O24" i="2"/>
  <c r="N24" i="2"/>
  <c r="N21" i="2"/>
  <c r="O21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15" i="2"/>
  <c r="I16" i="2"/>
  <c r="I17" i="2"/>
  <c r="H35" i="1"/>
  <c r="N17" i="2" l="1"/>
  <c r="N16" i="2"/>
  <c r="N15" i="2"/>
  <c r="O17" i="2"/>
  <c r="O16" i="2"/>
  <c r="O15" i="2"/>
  <c r="I8" i="2"/>
  <c r="I3" i="2"/>
  <c r="I11" i="2"/>
  <c r="I4" i="2"/>
  <c r="I14" i="2"/>
  <c r="I9" i="2"/>
  <c r="I12" i="2"/>
  <c r="I13" i="2"/>
  <c r="I7" i="2"/>
  <c r="I5" i="2"/>
  <c r="I10" i="2"/>
  <c r="I6" i="2"/>
  <c r="N13" i="2" l="1"/>
  <c r="N12" i="2"/>
  <c r="N3" i="2"/>
  <c r="N8" i="2"/>
  <c r="N4" i="2"/>
  <c r="N5" i="2"/>
  <c r="N9" i="2"/>
  <c r="N10" i="2"/>
  <c r="N14" i="2"/>
  <c r="N7" i="2"/>
  <c r="N6" i="2"/>
  <c r="N11" i="2"/>
  <c r="O29" i="2"/>
  <c r="O31" i="2"/>
  <c r="O35" i="2"/>
  <c r="O39" i="2"/>
  <c r="O43" i="2"/>
  <c r="O47" i="2"/>
  <c r="O51" i="2"/>
  <c r="O55" i="2"/>
  <c r="O59" i="2"/>
  <c r="O63" i="2"/>
  <c r="O30" i="2"/>
  <c r="O34" i="2"/>
  <c r="O38" i="2"/>
  <c r="O42" i="2"/>
  <c r="O46" i="2"/>
  <c r="O50" i="2"/>
  <c r="O54" i="2"/>
  <c r="O58" i="2"/>
  <c r="O62" i="2"/>
  <c r="O66" i="2"/>
  <c r="O27" i="2"/>
  <c r="O33" i="2"/>
  <c r="O37" i="2"/>
  <c r="O41" i="2"/>
  <c r="O45" i="2"/>
  <c r="O49" i="2"/>
  <c r="O53" i="2"/>
  <c r="O57" i="2"/>
  <c r="O61" i="2"/>
  <c r="O65" i="2"/>
  <c r="O28" i="2"/>
  <c r="O32" i="2"/>
  <c r="O36" i="2"/>
  <c r="O40" i="2"/>
  <c r="O44" i="2"/>
  <c r="O48" i="2"/>
  <c r="O52" i="2"/>
  <c r="O56" i="2"/>
  <c r="O60" i="2"/>
  <c r="O64" i="2"/>
  <c r="O13" i="2"/>
  <c r="O12" i="2"/>
  <c r="O3" i="2"/>
  <c r="O8" i="2"/>
  <c r="O4" i="2"/>
  <c r="O5" i="2"/>
  <c r="O9" i="2"/>
  <c r="O10" i="2"/>
  <c r="O14" i="2"/>
  <c r="O7" i="2"/>
  <c r="O6" i="2"/>
  <c r="O11" i="2"/>
  <c r="P3" i="2" a="1"/>
  <c r="Q3" i="2" a="1"/>
  <c r="R3" i="2" a="1"/>
  <c r="P50" i="2" l="1"/>
  <c r="P43" i="2"/>
  <c r="P36" i="2"/>
  <c r="P29" i="2"/>
  <c r="P22" i="2"/>
  <c r="P15" i="2"/>
  <c r="P8" i="2"/>
  <c r="P9" i="2"/>
  <c r="P10" i="2"/>
  <c r="P11" i="2"/>
  <c r="P12" i="2"/>
  <c r="P13" i="2"/>
  <c r="P14" i="2"/>
  <c r="P23" i="2"/>
  <c r="P24" i="2"/>
  <c r="P33" i="2"/>
  <c r="P18" i="2"/>
  <c r="P19" i="2"/>
  <c r="P20" i="2"/>
  <c r="P21" i="2"/>
  <c r="P30" i="2"/>
  <c r="P31" i="2"/>
  <c r="P32" i="2"/>
  <c r="P41" i="2"/>
  <c r="P26" i="2"/>
  <c r="P27" i="2"/>
  <c r="P28" i="2"/>
  <c r="P37" i="2"/>
  <c r="P38" i="2"/>
  <c r="P39" i="2"/>
  <c r="P40" i="2"/>
  <c r="P49" i="2"/>
  <c r="P42" i="2"/>
  <c r="P4" i="2"/>
  <c r="P61" i="2"/>
  <c r="P47" i="2"/>
  <c r="P17" i="2"/>
  <c r="P58" i="2"/>
  <c r="P44" i="2"/>
  <c r="P69" i="2"/>
  <c r="P55" i="2"/>
  <c r="P25" i="2"/>
  <c r="P66" i="2"/>
  <c r="P52" i="2"/>
  <c r="P6" i="2"/>
  <c r="P63" i="2"/>
  <c r="P57" i="2"/>
  <c r="P3" i="2"/>
  <c r="P60" i="2"/>
  <c r="P46" i="2"/>
  <c r="P71" i="2"/>
  <c r="P65" i="2"/>
  <c r="P35" i="2"/>
  <c r="P68" i="2"/>
  <c r="P54" i="2"/>
  <c r="P16" i="2"/>
  <c r="P51" i="2"/>
  <c r="P5" i="2"/>
  <c r="P62" i="2"/>
  <c r="P48" i="2"/>
  <c r="P59" i="2"/>
  <c r="P45" i="2"/>
  <c r="P70" i="2"/>
  <c r="P56" i="2"/>
  <c r="P34" i="2"/>
  <c r="P67" i="2"/>
  <c r="P53" i="2"/>
  <c r="P7" i="2"/>
  <c r="P64" i="2"/>
  <c r="Q26" i="2"/>
  <c r="Q19" i="2"/>
  <c r="Q12" i="2"/>
  <c r="Q5" i="2"/>
  <c r="Q69" i="2"/>
  <c r="Q62" i="2"/>
  <c r="Q55" i="2"/>
  <c r="Q48" i="2"/>
  <c r="Q49" i="2"/>
  <c r="Q50" i="2"/>
  <c r="Q51" i="2"/>
  <c r="Q52" i="2"/>
  <c r="Q53" i="2"/>
  <c r="Q54" i="2"/>
  <c r="Q63" i="2"/>
  <c r="Q64" i="2"/>
  <c r="Q58" i="2"/>
  <c r="Q59" i="2"/>
  <c r="Q60" i="2"/>
  <c r="Q61" i="2"/>
  <c r="Q70" i="2"/>
  <c r="Q71" i="2"/>
  <c r="Q9" i="2"/>
  <c r="Q66" i="2"/>
  <c r="Q67" i="2"/>
  <c r="Q68" i="2"/>
  <c r="Q6" i="2"/>
  <c r="Q7" i="2"/>
  <c r="Q8" i="2"/>
  <c r="Q17" i="2"/>
  <c r="Q10" i="2"/>
  <c r="Q43" i="2"/>
  <c r="Q29" i="2"/>
  <c r="Q15" i="2"/>
  <c r="Q40" i="2"/>
  <c r="Q18" i="2"/>
  <c r="Q4" i="2"/>
  <c r="Q37" i="2"/>
  <c r="Q23" i="2"/>
  <c r="Q56" i="2"/>
  <c r="Q34" i="2"/>
  <c r="Q20" i="2"/>
  <c r="Q45" i="2"/>
  <c r="Q31" i="2"/>
  <c r="Q25" i="2"/>
  <c r="Q42" i="2"/>
  <c r="Q28" i="2"/>
  <c r="Q14" i="2"/>
  <c r="Q39" i="2"/>
  <c r="Q33" i="2"/>
  <c r="Q22" i="2"/>
  <c r="Q47" i="2"/>
  <c r="Q65" i="2"/>
  <c r="Q3" i="2"/>
  <c r="Q36" i="2"/>
  <c r="Q41" i="2"/>
  <c r="Q11" i="2"/>
  <c r="Q44" i="2"/>
  <c r="Q30" i="2"/>
  <c r="Q16" i="2"/>
  <c r="Q57" i="2"/>
  <c r="Q27" i="2"/>
  <c r="Q13" i="2"/>
  <c r="Q38" i="2"/>
  <c r="Q24" i="2"/>
  <c r="Q21" i="2"/>
  <c r="Q46" i="2"/>
  <c r="Q32" i="2"/>
  <c r="Q35" i="2"/>
  <c r="R66" i="2"/>
  <c r="R59" i="2"/>
  <c r="R52" i="2"/>
  <c r="R45" i="2"/>
  <c r="R38" i="2"/>
  <c r="R31" i="2"/>
  <c r="R24" i="2"/>
  <c r="R25" i="2"/>
  <c r="R18" i="2"/>
  <c r="R19" i="2"/>
  <c r="R20" i="2"/>
  <c r="R21" i="2"/>
  <c r="R22" i="2"/>
  <c r="R23" i="2"/>
  <c r="R32" i="2"/>
  <c r="R41" i="2"/>
  <c r="R26" i="2"/>
  <c r="R27" i="2"/>
  <c r="R28" i="2"/>
  <c r="R29" i="2"/>
  <c r="R30" i="2"/>
  <c r="R39" i="2"/>
  <c r="R40" i="2"/>
  <c r="R49" i="2"/>
  <c r="R34" i="2"/>
  <c r="R35" i="2"/>
  <c r="R36" i="2"/>
  <c r="R37" i="2"/>
  <c r="R46" i="2"/>
  <c r="R47" i="2"/>
  <c r="R48" i="2"/>
  <c r="R57" i="2"/>
  <c r="R11" i="2"/>
  <c r="R68" i="2"/>
  <c r="R54" i="2"/>
  <c r="R8" i="2"/>
  <c r="R43" i="2"/>
  <c r="R5" i="2"/>
  <c r="R62" i="2"/>
  <c r="R16" i="2"/>
  <c r="R51" i="2"/>
  <c r="R13" i="2"/>
  <c r="R70" i="2"/>
  <c r="R56" i="2"/>
  <c r="R10" i="2"/>
  <c r="R67" i="2"/>
  <c r="R53" i="2"/>
  <c r="R7" i="2"/>
  <c r="R64" i="2"/>
  <c r="R42" i="2"/>
  <c r="R4" i="2"/>
  <c r="R61" i="2"/>
  <c r="R15" i="2"/>
  <c r="R9" i="2"/>
  <c r="R50" i="2"/>
  <c r="R12" i="2"/>
  <c r="R69" i="2"/>
  <c r="R55" i="2"/>
  <c r="R17" i="2"/>
  <c r="R58" i="2"/>
  <c r="R44" i="2"/>
  <c r="R6" i="2"/>
  <c r="R63" i="2"/>
  <c r="R33" i="2"/>
  <c r="R3" i="2"/>
  <c r="R60" i="2"/>
  <c r="R14" i="2"/>
  <c r="R71" i="2"/>
  <c r="R65" i="2"/>
  <c r="S24" i="2"/>
  <c r="S32" i="2"/>
  <c r="S40" i="2"/>
  <c r="S48" i="2"/>
  <c r="S62" i="2"/>
  <c r="S53" i="2"/>
  <c r="S50" i="2"/>
  <c r="S63" i="2"/>
  <c r="S25" i="2"/>
  <c r="S41" i="2"/>
  <c r="S49" i="2"/>
  <c r="S57" i="2"/>
  <c r="S16" i="2"/>
  <c r="S7" i="2"/>
  <c r="S12" i="2"/>
  <c r="S33" i="2"/>
  <c r="S66" i="2"/>
  <c r="S18" i="2"/>
  <c r="S26" i="2"/>
  <c r="S34" i="2"/>
  <c r="S11" i="2"/>
  <c r="S51" i="2"/>
  <c r="S64" i="2"/>
  <c r="S69" i="2"/>
  <c r="S3" i="2"/>
  <c r="S59" i="2"/>
  <c r="S19" i="2"/>
  <c r="S27" i="2"/>
  <c r="S35" i="2"/>
  <c r="S68" i="2"/>
  <c r="S13" i="2"/>
  <c r="S42" i="2"/>
  <c r="S55" i="2"/>
  <c r="S60" i="2"/>
  <c r="S52" i="2"/>
  <c r="S20" i="2"/>
  <c r="S28" i="2"/>
  <c r="S36" i="2"/>
  <c r="S54" i="2"/>
  <c r="S70" i="2"/>
  <c r="S4" i="2"/>
  <c r="S17" i="2"/>
  <c r="S14" i="2"/>
  <c r="S45" i="2"/>
  <c r="S21" i="2"/>
  <c r="S29" i="2"/>
  <c r="S37" i="2"/>
  <c r="S8" i="2"/>
  <c r="S56" i="2"/>
  <c r="S61" i="2"/>
  <c r="S58" i="2"/>
  <c r="S71" i="2"/>
  <c r="S38" i="2"/>
  <c r="S22" i="2"/>
  <c r="S30" i="2"/>
  <c r="S46" i="2"/>
  <c r="S43" i="2"/>
  <c r="S10" i="2"/>
  <c r="S15" i="2"/>
  <c r="S44" i="2"/>
  <c r="S65" i="2"/>
  <c r="S31" i="2"/>
  <c r="S23" i="2"/>
  <c r="S39" i="2"/>
  <c r="S47" i="2"/>
  <c r="S5" i="2"/>
  <c r="S67" i="2"/>
  <c r="S9" i="2"/>
  <c r="S6" i="2"/>
  <c r="H21" i="1"/>
  <c r="U19" i="2"/>
  <c r="T63" i="2"/>
  <c r="T51" i="2"/>
  <c r="T8" i="2"/>
  <c r="R3" i="14" a="1"/>
  <c r="T6" i="2"/>
  <c r="T25" i="2"/>
  <c r="T59" i="2"/>
  <c r="U43" i="2"/>
  <c r="Q3" i="13" a="1"/>
  <c r="T56" i="2"/>
  <c r="T34" i="2"/>
  <c r="T49" i="2"/>
  <c r="T20" i="2"/>
  <c r="T38" i="2"/>
  <c r="T60" i="2"/>
  <c r="U41" i="2"/>
  <c r="U16" i="2"/>
  <c r="U64" i="2"/>
  <c r="T9" i="2"/>
  <c r="U70" i="2"/>
  <c r="U6" i="2"/>
  <c r="T7" i="2"/>
  <c r="U61" i="2"/>
  <c r="U48" i="2"/>
  <c r="U24" i="2"/>
  <c r="U44" i="2"/>
  <c r="U38" i="2"/>
  <c r="T55" i="2"/>
  <c r="U3" i="2"/>
  <c r="U37" i="2"/>
  <c r="C35" i="1"/>
  <c r="T50" i="2"/>
  <c r="T29" i="2"/>
  <c r="U45" i="2"/>
  <c r="T42" i="2"/>
  <c r="T28" i="2"/>
  <c r="U30" i="2"/>
  <c r="U49" i="2"/>
  <c r="T35" i="2"/>
  <c r="T52" i="2"/>
  <c r="T16" i="2"/>
  <c r="U69" i="2"/>
  <c r="U23" i="2"/>
  <c r="U9" i="2"/>
  <c r="T43" i="2"/>
  <c r="T64" i="2"/>
  <c r="U13" i="2"/>
  <c r="T23" i="2"/>
  <c r="T12" i="2"/>
  <c r="T22" i="2"/>
  <c r="T57" i="2"/>
  <c r="U34" i="2"/>
  <c r="T69" i="2"/>
  <c r="U28" i="2"/>
  <c r="U15" i="2"/>
  <c r="T19" i="2"/>
  <c r="T67" i="2"/>
  <c r="U71" i="2"/>
  <c r="U67" i="2"/>
  <c r="T54" i="2"/>
  <c r="T62" i="2"/>
  <c r="T15" i="2"/>
  <c r="P3" i="13" a="1"/>
  <c r="U33" i="2"/>
  <c r="U14" i="2"/>
  <c r="U17" i="2"/>
  <c r="U57" i="2"/>
  <c r="U68" i="2"/>
  <c r="T40" i="2"/>
  <c r="T41" i="2"/>
  <c r="P3" i="14" a="1"/>
  <c r="U26" i="2"/>
  <c r="U51" i="2"/>
  <c r="T37" i="2"/>
  <c r="T3" i="2"/>
  <c r="U31" i="2"/>
  <c r="U62" i="2"/>
  <c r="U5" i="2"/>
  <c r="T31" i="2"/>
  <c r="U22" i="2"/>
  <c r="T53" i="2"/>
  <c r="T48" i="2"/>
  <c r="T39" i="2"/>
  <c r="T13" i="2"/>
  <c r="T68" i="2"/>
  <c r="T65" i="2"/>
  <c r="Q3" i="14" a="1"/>
  <c r="U21" i="2"/>
  <c r="U56" i="2"/>
  <c r="T32" i="2"/>
  <c r="U55" i="2"/>
  <c r="T44" i="2"/>
  <c r="U8" i="2"/>
  <c r="U66" i="2"/>
  <c r="U63" i="2"/>
  <c r="U11" i="2"/>
  <c r="T5" i="2"/>
  <c r="U40" i="2"/>
  <c r="T11" i="2"/>
  <c r="T47" i="2"/>
  <c r="U4" i="2"/>
  <c r="U53" i="2"/>
  <c r="U42" i="2"/>
  <c r="T24" i="2"/>
  <c r="U32" i="2"/>
  <c r="U7" i="2"/>
  <c r="T46" i="2"/>
  <c r="U65" i="2"/>
  <c r="U47" i="2"/>
  <c r="T58" i="2"/>
  <c r="U25" i="2"/>
  <c r="T4" i="2"/>
  <c r="U12" i="2"/>
  <c r="R3" i="13" a="1"/>
  <c r="T27" i="2"/>
  <c r="T26" i="2"/>
  <c r="T66" i="2"/>
  <c r="U35" i="2"/>
  <c r="U10" i="2"/>
  <c r="T14" i="2"/>
  <c r="U52" i="2"/>
  <c r="U20" i="2"/>
  <c r="T33" i="2"/>
  <c r="T61" i="2"/>
  <c r="U36" i="2"/>
  <c r="U50" i="2"/>
  <c r="U39" i="2"/>
  <c r="T10" i="2"/>
  <c r="T45" i="2"/>
  <c r="U59" i="2"/>
  <c r="T70" i="2"/>
  <c r="U54" i="2"/>
  <c r="U46" i="2"/>
  <c r="T36" i="2"/>
  <c r="T18" i="2"/>
  <c r="U18" i="2"/>
  <c r="T17" i="2"/>
  <c r="T21" i="2"/>
  <c r="U27" i="2"/>
  <c r="U60" i="2"/>
  <c r="U58" i="2"/>
  <c r="U29" i="2"/>
  <c r="T71" i="2"/>
  <c r="T30" i="2"/>
  <c r="P50" i="14" l="1"/>
  <c r="P66" i="14"/>
  <c r="P41" i="14"/>
  <c r="P57" i="14"/>
  <c r="P23" i="14"/>
  <c r="P12" i="14"/>
  <c r="P45" i="14"/>
  <c r="P15" i="14"/>
  <c r="P69" i="14"/>
  <c r="P37" i="14"/>
  <c r="P51" i="14"/>
  <c r="P29" i="14"/>
  <c r="P20" i="14"/>
  <c r="P39" i="14"/>
  <c r="P48" i="14"/>
  <c r="P11" i="14"/>
  <c r="P9" i="14"/>
  <c r="P30" i="14"/>
  <c r="P58" i="14"/>
  <c r="P18" i="14"/>
  <c r="P53" i="14"/>
  <c r="P13" i="14"/>
  <c r="P22" i="14"/>
  <c r="P16" i="14"/>
  <c r="P47" i="14"/>
  <c r="P4" i="14"/>
  <c r="P46" i="14"/>
  <c r="P38" i="14"/>
  <c r="P3" i="14"/>
  <c r="P21" i="14"/>
  <c r="P63" i="14"/>
  <c r="P70" i="14"/>
  <c r="P67" i="14"/>
  <c r="P14" i="14"/>
  <c r="P52" i="14"/>
  <c r="P32" i="14"/>
  <c r="P25" i="14"/>
  <c r="P60" i="14"/>
  <c r="P31" i="14"/>
  <c r="P64" i="14"/>
  <c r="P54" i="14"/>
  <c r="P44" i="14"/>
  <c r="P17" i="14"/>
  <c r="P71" i="14"/>
  <c r="P59" i="14"/>
  <c r="P24" i="14"/>
  <c r="P7" i="14"/>
  <c r="P34" i="14"/>
  <c r="P35" i="14"/>
  <c r="P56" i="14"/>
  <c r="P36" i="14"/>
  <c r="P26" i="14"/>
  <c r="P43" i="14"/>
  <c r="P40" i="14"/>
  <c r="P61" i="14"/>
  <c r="P49" i="14"/>
  <c r="P28" i="14"/>
  <c r="P62" i="14"/>
  <c r="P55" i="14"/>
  <c r="P8" i="14"/>
  <c r="P6" i="14"/>
  <c r="P33" i="14"/>
  <c r="P42" i="14"/>
  <c r="P68" i="14"/>
  <c r="P10" i="14"/>
  <c r="P65" i="14"/>
  <c r="P5" i="14"/>
  <c r="P19" i="14"/>
  <c r="P27" i="14"/>
  <c r="R5" i="14"/>
  <c r="R67" i="14"/>
  <c r="R47" i="14"/>
  <c r="R65" i="14"/>
  <c r="R18" i="14"/>
  <c r="R20" i="14"/>
  <c r="R27" i="14"/>
  <c r="R15" i="14"/>
  <c r="R13" i="14"/>
  <c r="R59" i="14"/>
  <c r="R8" i="14"/>
  <c r="R68" i="14"/>
  <c r="R62" i="14"/>
  <c r="R19" i="14"/>
  <c r="R45" i="14"/>
  <c r="R37" i="14"/>
  <c r="R32" i="14"/>
  <c r="R64" i="14"/>
  <c r="R70" i="14"/>
  <c r="R28" i="14"/>
  <c r="R55" i="14"/>
  <c r="R4" i="14"/>
  <c r="R66" i="14"/>
  <c r="R24" i="14"/>
  <c r="R52" i="14"/>
  <c r="R51" i="14"/>
  <c r="R40" i="14"/>
  <c r="R54" i="14"/>
  <c r="R34" i="14"/>
  <c r="R44" i="14"/>
  <c r="R12" i="14"/>
  <c r="R3" i="14"/>
  <c r="R57" i="14"/>
  <c r="R58" i="14"/>
  <c r="R41" i="14"/>
  <c r="R49" i="14"/>
  <c r="R48" i="14"/>
  <c r="R71" i="14"/>
  <c r="R16" i="14"/>
  <c r="R7" i="14"/>
  <c r="R42" i="14"/>
  <c r="R33" i="14"/>
  <c r="R31" i="14"/>
  <c r="R30" i="14"/>
  <c r="R21" i="14"/>
  <c r="R25" i="14"/>
  <c r="R53" i="14"/>
  <c r="R69" i="14"/>
  <c r="R26" i="14"/>
  <c r="R60" i="14"/>
  <c r="R61" i="14"/>
  <c r="R39" i="14"/>
  <c r="R63" i="14"/>
  <c r="R14" i="14"/>
  <c r="R38" i="14"/>
  <c r="R11" i="14"/>
  <c r="R35" i="14"/>
  <c r="R23" i="14"/>
  <c r="R29" i="14"/>
  <c r="R9" i="14"/>
  <c r="R43" i="14"/>
  <c r="R10" i="14"/>
  <c r="R6" i="14"/>
  <c r="R22" i="14"/>
  <c r="R56" i="14"/>
  <c r="R17" i="14"/>
  <c r="R50" i="14"/>
  <c r="R36" i="14"/>
  <c r="R46" i="14"/>
  <c r="P31" i="13"/>
  <c r="P16" i="13"/>
  <c r="P57" i="13"/>
  <c r="P11" i="13"/>
  <c r="P7" i="13"/>
  <c r="P39" i="13"/>
  <c r="P55" i="13"/>
  <c r="P44" i="13"/>
  <c r="P21" i="13"/>
  <c r="P71" i="13"/>
  <c r="P42" i="13"/>
  <c r="P67" i="13"/>
  <c r="P27" i="13"/>
  <c r="P29" i="13"/>
  <c r="P32" i="13"/>
  <c r="P41" i="13"/>
  <c r="P33" i="13"/>
  <c r="P68" i="13"/>
  <c r="P35" i="13"/>
  <c r="P46" i="13"/>
  <c r="P51" i="13"/>
  <c r="P58" i="13"/>
  <c r="P63" i="13"/>
  <c r="P47" i="13"/>
  <c r="P22" i="13"/>
  <c r="P19" i="13"/>
  <c r="P62" i="13"/>
  <c r="P60" i="13"/>
  <c r="P43" i="13"/>
  <c r="P20" i="13"/>
  <c r="P6" i="13"/>
  <c r="P37" i="13"/>
  <c r="P49" i="13"/>
  <c r="P9" i="13"/>
  <c r="P34" i="13"/>
  <c r="P54" i="13"/>
  <c r="P24" i="13"/>
  <c r="P28" i="13"/>
  <c r="P10" i="13"/>
  <c r="P12" i="13"/>
  <c r="P36" i="13"/>
  <c r="P5" i="13"/>
  <c r="P40" i="13"/>
  <c r="P26" i="13"/>
  <c r="P66" i="13"/>
  <c r="P50" i="13"/>
  <c r="P30" i="13"/>
  <c r="P38" i="13"/>
  <c r="P4" i="13"/>
  <c r="P15" i="13"/>
  <c r="P25" i="13"/>
  <c r="P70" i="13"/>
  <c r="P56" i="13"/>
  <c r="P13" i="13"/>
  <c r="P69" i="13"/>
  <c r="P59" i="13"/>
  <c r="P8" i="13"/>
  <c r="P65" i="13"/>
  <c r="P52" i="13"/>
  <c r="P3" i="13"/>
  <c r="P23" i="13"/>
  <c r="P45" i="13"/>
  <c r="P53" i="13"/>
  <c r="P61" i="13"/>
  <c r="P48" i="13"/>
  <c r="P14" i="13"/>
  <c r="P64" i="13"/>
  <c r="P17" i="13"/>
  <c r="P18" i="13"/>
  <c r="Q10" i="13"/>
  <c r="Q30" i="13"/>
  <c r="Q35" i="13"/>
  <c r="Q29" i="13"/>
  <c r="Q19" i="13"/>
  <c r="Q47" i="13"/>
  <c r="Q39" i="13"/>
  <c r="Q7" i="13"/>
  <c r="Q54" i="13"/>
  <c r="Q17" i="13"/>
  <c r="Q21" i="13"/>
  <c r="Q24" i="13"/>
  <c r="Q49" i="13"/>
  <c r="Q15" i="13"/>
  <c r="Q68" i="13"/>
  <c r="Q53" i="13"/>
  <c r="Q4" i="13"/>
  <c r="Q55" i="13"/>
  <c r="Q3" i="13"/>
  <c r="Q11" i="13"/>
  <c r="Q12" i="13"/>
  <c r="Q32" i="13"/>
  <c r="Q18" i="13"/>
  <c r="Q57" i="13"/>
  <c r="Q28" i="13"/>
  <c r="Q65" i="13"/>
  <c r="Q13" i="13"/>
  <c r="Q69" i="13"/>
  <c r="Q60" i="13"/>
  <c r="Q63" i="13"/>
  <c r="Q25" i="13"/>
  <c r="Q36" i="13"/>
  <c r="Q40" i="13"/>
  <c r="Q9" i="13"/>
  <c r="Q33" i="13"/>
  <c r="Q51" i="13"/>
  <c r="Q71" i="13"/>
  <c r="Q20" i="13"/>
  <c r="Q50" i="13"/>
  <c r="Q34" i="13"/>
  <c r="Q37" i="13"/>
  <c r="Q58" i="13"/>
  <c r="Q52" i="13"/>
  <c r="Q59" i="13"/>
  <c r="Q56" i="13"/>
  <c r="Q45" i="13"/>
  <c r="Q22" i="13"/>
  <c r="Q64" i="13"/>
  <c r="Q66" i="13"/>
  <c r="Q42" i="13"/>
  <c r="Q67" i="13"/>
  <c r="Q31" i="13"/>
  <c r="Q41" i="13"/>
  <c r="Q70" i="13"/>
  <c r="Q62" i="13"/>
  <c r="Q23" i="13"/>
  <c r="Q8" i="13"/>
  <c r="Q16" i="13"/>
  <c r="Q6" i="13"/>
  <c r="Q27" i="13"/>
  <c r="Q43" i="13"/>
  <c r="Q38" i="13"/>
  <c r="Q46" i="13"/>
  <c r="Q48" i="13"/>
  <c r="Q14" i="13"/>
  <c r="Q61" i="13"/>
  <c r="Q5" i="13"/>
  <c r="Q26" i="13"/>
  <c r="Q44" i="13"/>
  <c r="R19" i="13"/>
  <c r="R30" i="13"/>
  <c r="R71" i="13"/>
  <c r="R15" i="13"/>
  <c r="R8" i="13"/>
  <c r="R56" i="13"/>
  <c r="R36" i="13"/>
  <c r="R28" i="13"/>
  <c r="R33" i="13"/>
  <c r="R26" i="13"/>
  <c r="R29" i="13"/>
  <c r="R53" i="13"/>
  <c r="R13" i="13"/>
  <c r="R20" i="13"/>
  <c r="R58" i="13"/>
  <c r="R35" i="13"/>
  <c r="R25" i="13"/>
  <c r="R17" i="13"/>
  <c r="R65" i="13"/>
  <c r="R21" i="13"/>
  <c r="R18" i="13"/>
  <c r="R57" i="13"/>
  <c r="R7" i="13"/>
  <c r="R11" i="13"/>
  <c r="R49" i="13"/>
  <c r="R38" i="13"/>
  <c r="R48" i="13"/>
  <c r="R46" i="13"/>
  <c r="R59" i="13"/>
  <c r="R14" i="13"/>
  <c r="R60" i="13"/>
  <c r="R24" i="13"/>
  <c r="R45" i="13"/>
  <c r="R61" i="13"/>
  <c r="R3" i="13"/>
  <c r="R62" i="13"/>
  <c r="R51" i="13"/>
  <c r="R6" i="13"/>
  <c r="R22" i="13"/>
  <c r="R50" i="13"/>
  <c r="R41" i="13"/>
  <c r="R31" i="13"/>
  <c r="R43" i="13"/>
  <c r="R69" i="13"/>
  <c r="R64" i="13"/>
  <c r="R54" i="13"/>
  <c r="R10" i="13"/>
  <c r="R55" i="13"/>
  <c r="R42" i="13"/>
  <c r="R44" i="13"/>
  <c r="R5" i="13"/>
  <c r="R37" i="13"/>
  <c r="R70" i="13"/>
  <c r="R39" i="13"/>
  <c r="R67" i="13"/>
  <c r="R47" i="13"/>
  <c r="R4" i="13"/>
  <c r="R68" i="13"/>
  <c r="R63" i="13"/>
  <c r="R52" i="13"/>
  <c r="R23" i="13"/>
  <c r="R9" i="13"/>
  <c r="R34" i="13"/>
  <c r="R16" i="13"/>
  <c r="R66" i="13"/>
  <c r="R32" i="13"/>
  <c r="R27" i="13"/>
  <c r="R12" i="13"/>
  <c r="R40" i="13"/>
  <c r="Q27" i="14"/>
  <c r="Q47" i="14"/>
  <c r="Q63" i="14"/>
  <c r="Q25" i="14"/>
  <c r="Q13" i="14"/>
  <c r="Q4" i="14"/>
  <c r="Q70" i="14"/>
  <c r="Q19" i="14"/>
  <c r="Q48" i="14"/>
  <c r="Q53" i="14"/>
  <c r="Q33" i="14"/>
  <c r="Q16" i="14"/>
  <c r="Q58" i="14"/>
  <c r="Q18" i="14"/>
  <c r="Q30" i="14"/>
  <c r="Q20" i="14"/>
  <c r="Q45" i="14"/>
  <c r="Q40" i="14"/>
  <c r="Q35" i="14"/>
  <c r="Q14" i="14"/>
  <c r="Q39" i="14"/>
  <c r="Q29" i="14"/>
  <c r="Q26" i="14"/>
  <c r="Q61" i="14"/>
  <c r="Q42" i="14"/>
  <c r="Q32" i="14"/>
  <c r="Q59" i="14"/>
  <c r="Q56" i="14"/>
  <c r="Q15" i="14"/>
  <c r="Q46" i="14"/>
  <c r="Q31" i="14"/>
  <c r="Q38" i="14"/>
  <c r="Q41" i="14"/>
  <c r="Q22" i="14"/>
  <c r="Q23" i="14"/>
  <c r="Q51" i="14"/>
  <c r="Q21" i="14"/>
  <c r="Q5" i="14"/>
  <c r="Q6" i="14"/>
  <c r="Q71" i="14"/>
  <c r="Q44" i="14"/>
  <c r="Q49" i="14"/>
  <c r="Q64" i="14"/>
  <c r="Q54" i="14"/>
  <c r="Q37" i="14"/>
  <c r="Q17" i="14"/>
  <c r="Q65" i="14"/>
  <c r="Q50" i="14"/>
  <c r="Q66" i="14"/>
  <c r="Q24" i="14"/>
  <c r="Q62" i="14"/>
  <c r="Q55" i="14"/>
  <c r="Q8" i="14"/>
  <c r="Q69" i="14"/>
  <c r="Q67" i="14"/>
  <c r="Q34" i="14"/>
  <c r="Q43" i="14"/>
  <c r="Q36" i="14"/>
  <c r="Q10" i="14"/>
  <c r="Q12" i="14"/>
  <c r="Q60" i="14"/>
  <c r="Q57" i="14"/>
  <c r="Q68" i="14"/>
  <c r="Q7" i="14"/>
  <c r="Q11" i="14"/>
  <c r="Q9" i="14"/>
  <c r="Q52" i="14"/>
  <c r="Q3" i="14"/>
  <c r="Q28" i="14"/>
  <c r="S65" i="14"/>
  <c r="S68" i="14"/>
  <c r="S28" i="14"/>
  <c r="S54" i="14"/>
  <c r="S49" i="14"/>
  <c r="S30" i="14"/>
  <c r="S39" i="14"/>
  <c r="S9" i="14"/>
  <c r="S36" i="14"/>
  <c r="S18" i="14"/>
  <c r="S62" i="14"/>
  <c r="S55" i="14"/>
  <c r="S34" i="14"/>
  <c r="S48" i="14"/>
  <c r="S21" i="14"/>
  <c r="S63" i="14"/>
  <c r="S43" i="14"/>
  <c r="S46" i="14"/>
  <c r="S20" i="14"/>
  <c r="S19" i="14"/>
  <c r="S4" i="14"/>
  <c r="S44" i="14"/>
  <c r="S71" i="14"/>
  <c r="S25" i="14"/>
  <c r="S14" i="14"/>
  <c r="S10" i="14"/>
  <c r="S27" i="14"/>
  <c r="S45" i="14"/>
  <c r="S66" i="14"/>
  <c r="S12" i="14"/>
  <c r="S16" i="14"/>
  <c r="S53" i="14"/>
  <c r="S38" i="14"/>
  <c r="S6" i="14"/>
  <c r="S15" i="14"/>
  <c r="S37" i="14"/>
  <c r="S24" i="14"/>
  <c r="S3" i="14"/>
  <c r="S7" i="14"/>
  <c r="S69" i="14"/>
  <c r="S11" i="14"/>
  <c r="S22" i="14"/>
  <c r="S5" i="14"/>
  <c r="S13" i="14"/>
  <c r="S32" i="14"/>
  <c r="S52" i="14"/>
  <c r="S57" i="14"/>
  <c r="S42" i="14"/>
  <c r="S26" i="14"/>
  <c r="S35" i="14"/>
  <c r="S56" i="14"/>
  <c r="S67" i="14"/>
  <c r="S59" i="14"/>
  <c r="S64" i="14"/>
  <c r="S51" i="14"/>
  <c r="S58" i="14"/>
  <c r="S33" i="14"/>
  <c r="S60" i="14"/>
  <c r="S23" i="14"/>
  <c r="S17" i="14"/>
  <c r="S47" i="14"/>
  <c r="S8" i="14"/>
  <c r="S70" i="14"/>
  <c r="S40" i="14"/>
  <c r="S41" i="14"/>
  <c r="S31" i="14"/>
  <c r="S61" i="14"/>
  <c r="S29" i="14"/>
  <c r="S50" i="14"/>
  <c r="S8" i="13"/>
  <c r="S13" i="13"/>
  <c r="S18" i="13"/>
  <c r="S59" i="13"/>
  <c r="S51" i="13"/>
  <c r="S64" i="13"/>
  <c r="S70" i="13"/>
  <c r="S23" i="13"/>
  <c r="S40" i="13"/>
  <c r="S56" i="13"/>
  <c r="S20" i="13"/>
  <c r="S57" i="13"/>
  <c r="S14" i="13"/>
  <c r="S6" i="13"/>
  <c r="S54" i="13"/>
  <c r="S39" i="13"/>
  <c r="S9" i="13"/>
  <c r="S36" i="13"/>
  <c r="S58" i="13"/>
  <c r="S7" i="13"/>
  <c r="S60" i="13"/>
  <c r="S22" i="13"/>
  <c r="S10" i="13"/>
  <c r="S67" i="13"/>
  <c r="S34" i="13"/>
  <c r="S28" i="13"/>
  <c r="S35" i="13"/>
  <c r="S11" i="13"/>
  <c r="S24" i="13"/>
  <c r="S50" i="13"/>
  <c r="S55" i="13"/>
  <c r="S47" i="13"/>
  <c r="S16" i="13"/>
  <c r="S19" i="13"/>
  <c r="S33" i="13"/>
  <c r="S25" i="13"/>
  <c r="S49" i="13"/>
  <c r="S45" i="13"/>
  <c r="S41" i="13"/>
  <c r="S42" i="13"/>
  <c r="S4" i="13"/>
  <c r="S66" i="13"/>
  <c r="S30" i="13"/>
  <c r="S26" i="13"/>
  <c r="S17" i="13"/>
  <c r="S38" i="13"/>
  <c r="S61" i="13"/>
  <c r="S31" i="13"/>
  <c r="S44" i="13"/>
  <c r="S68" i="13"/>
  <c r="S32" i="13"/>
  <c r="S71" i="13"/>
  <c r="S29" i="13"/>
  <c r="S65" i="13"/>
  <c r="S48" i="13"/>
  <c r="S3" i="13"/>
  <c r="S43" i="13"/>
  <c r="S5" i="13"/>
  <c r="S63" i="13"/>
  <c r="S27" i="13"/>
  <c r="S15" i="13"/>
  <c r="S53" i="13"/>
  <c r="S21" i="13"/>
  <c r="S46" i="13"/>
  <c r="S62" i="13"/>
  <c r="S69" i="13"/>
  <c r="S37" i="13"/>
  <c r="S52" i="13"/>
  <c r="S12" i="13"/>
  <c r="U36" i="13" l="1"/>
  <c r="T15" i="14"/>
  <c r="U49" i="13"/>
  <c r="T15" i="13"/>
  <c r="T37" i="13"/>
  <c r="U14" i="14"/>
  <c r="T20" i="14"/>
  <c r="T40" i="13"/>
  <c r="U43" i="14"/>
  <c r="T39" i="14"/>
  <c r="U45" i="13"/>
  <c r="T65" i="14"/>
  <c r="U38" i="14"/>
  <c r="U43" i="13"/>
  <c r="U39" i="13"/>
  <c r="T27" i="13"/>
  <c r="T14" i="14"/>
  <c r="U57" i="14"/>
  <c r="U40" i="14"/>
  <c r="U13" i="13"/>
  <c r="U34" i="14"/>
  <c r="T44" i="13"/>
  <c r="T69" i="13"/>
  <c r="T13" i="14"/>
  <c r="T40" i="14"/>
  <c r="T36" i="14"/>
  <c r="U6" i="14"/>
  <c r="T32" i="13"/>
  <c r="U17" i="14"/>
  <c r="T27" i="14"/>
  <c r="U16" i="13"/>
  <c r="U24" i="13"/>
  <c r="U4" i="14"/>
  <c r="U59" i="13"/>
  <c r="U60" i="14"/>
  <c r="T44" i="14"/>
  <c r="U20" i="13"/>
  <c r="U25" i="14"/>
  <c r="T20" i="13"/>
  <c r="U51" i="13"/>
  <c r="U24" i="14"/>
  <c r="T10" i="14"/>
  <c r="U47" i="14"/>
  <c r="T24" i="14"/>
  <c r="U22" i="13"/>
  <c r="T21" i="13"/>
  <c r="U29" i="13"/>
  <c r="U3" i="13"/>
  <c r="T64" i="14"/>
  <c r="U33" i="13"/>
  <c r="T28" i="14"/>
  <c r="U19" i="14"/>
  <c r="U56" i="14"/>
  <c r="T64" i="13"/>
  <c r="T8" i="14"/>
  <c r="T38" i="13"/>
  <c r="T56" i="14"/>
  <c r="U13" i="14"/>
  <c r="T26" i="13"/>
  <c r="U65" i="14"/>
  <c r="T66" i="14"/>
  <c r="U55" i="14"/>
  <c r="U54" i="13"/>
  <c r="T33" i="14"/>
  <c r="T24" i="13"/>
  <c r="T22" i="14"/>
  <c r="U5" i="14"/>
  <c r="U49" i="14"/>
  <c r="T41" i="13"/>
  <c r="T58" i="13"/>
  <c r="T48" i="14"/>
  <c r="T43" i="13"/>
  <c r="U70" i="14"/>
  <c r="T57" i="14"/>
  <c r="U69" i="13"/>
  <c r="T50" i="14"/>
  <c r="U52" i="14"/>
  <c r="U6" i="13"/>
  <c r="T36" i="13"/>
  <c r="T71" i="13"/>
  <c r="U47" i="13"/>
  <c r="T35" i="13"/>
  <c r="T35" i="14"/>
  <c r="T48" i="13"/>
  <c r="U67" i="13"/>
  <c r="U35" i="13"/>
  <c r="U71" i="13"/>
  <c r="U25" i="13"/>
  <c r="U56" i="13"/>
  <c r="U28" i="13"/>
  <c r="T61" i="13"/>
  <c r="U29" i="14"/>
  <c r="U12" i="13"/>
  <c r="T46" i="14"/>
  <c r="U42" i="14"/>
  <c r="T17" i="13"/>
  <c r="U18" i="14"/>
  <c r="U12" i="14"/>
  <c r="U10" i="14"/>
  <c r="U18" i="13"/>
  <c r="U14" i="13"/>
  <c r="T18" i="13"/>
  <c r="T3" i="13"/>
  <c r="U35" i="14"/>
  <c r="U55" i="13"/>
  <c r="T69" i="14"/>
  <c r="T53" i="13"/>
  <c r="T30" i="13"/>
  <c r="U62" i="13"/>
  <c r="U70" i="13"/>
  <c r="U8" i="13"/>
  <c r="T6" i="14"/>
  <c r="T54" i="14"/>
  <c r="T39" i="13"/>
  <c r="T46" i="13"/>
  <c r="T5" i="14"/>
  <c r="U42" i="13"/>
  <c r="U50" i="14"/>
  <c r="T32" i="14"/>
  <c r="U37" i="13"/>
  <c r="T47" i="14"/>
  <c r="U65" i="13"/>
  <c r="T43" i="14"/>
  <c r="T30" i="14"/>
  <c r="T10" i="13"/>
  <c r="T19" i="14"/>
  <c r="U36" i="14"/>
  <c r="U22" i="14"/>
  <c r="T7" i="13"/>
  <c r="U52" i="13"/>
  <c r="T3" i="14"/>
  <c r="U30" i="14"/>
  <c r="U27" i="14"/>
  <c r="U66" i="14"/>
  <c r="U5" i="13"/>
  <c r="T49" i="13"/>
  <c r="T60" i="14"/>
  <c r="T12" i="14"/>
  <c r="U63" i="14"/>
  <c r="T4" i="14"/>
  <c r="U48" i="14"/>
  <c r="T50" i="13"/>
  <c r="T23" i="13"/>
  <c r="T22" i="13"/>
  <c r="U33" i="14"/>
  <c r="U31" i="13"/>
  <c r="U61" i="14"/>
  <c r="T18" i="14"/>
  <c r="U53" i="13"/>
  <c r="T16" i="14"/>
  <c r="U16" i="14"/>
  <c r="T4" i="13"/>
  <c r="T62" i="13"/>
  <c r="U15" i="13"/>
  <c r="T9" i="14"/>
  <c r="T38" i="14"/>
  <c r="T67" i="14"/>
  <c r="T31" i="14"/>
  <c r="T60" i="13"/>
  <c r="T23" i="14"/>
  <c r="T17" i="14"/>
  <c r="T33" i="13"/>
  <c r="T68" i="13"/>
  <c r="U58" i="13"/>
  <c r="U10" i="13"/>
  <c r="U23" i="13"/>
  <c r="U28" i="14"/>
  <c r="T11" i="14"/>
  <c r="U3" i="14"/>
  <c r="U32" i="14"/>
  <c r="T16" i="13"/>
  <c r="T19" i="13"/>
  <c r="U7" i="14"/>
  <c r="T12" i="13"/>
  <c r="U9" i="14"/>
  <c r="T45" i="13"/>
  <c r="T31" i="13"/>
  <c r="T28" i="13"/>
  <c r="U32" i="13"/>
  <c r="T71" i="14"/>
  <c r="U63" i="13"/>
  <c r="T63" i="13"/>
  <c r="T49" i="14"/>
  <c r="U50" i="13"/>
  <c r="T41" i="14"/>
  <c r="U64" i="14"/>
  <c r="U26" i="14"/>
  <c r="T51" i="14"/>
  <c r="U46" i="14"/>
  <c r="U61" i="13"/>
  <c r="T66" i="13"/>
  <c r="U66" i="13"/>
  <c r="T52" i="14"/>
  <c r="U27" i="13"/>
  <c r="U8" i="14"/>
  <c r="U41" i="13"/>
  <c r="U30" i="13"/>
  <c r="T45" i="14"/>
  <c r="U71" i="14"/>
  <c r="U41" i="14"/>
  <c r="T57" i="13"/>
  <c r="U69" i="14"/>
  <c r="U48" i="13"/>
  <c r="U51" i="14"/>
  <c r="U53" i="14"/>
  <c r="U26" i="13"/>
  <c r="T14" i="13"/>
  <c r="T52" i="13"/>
  <c r="T65" i="13"/>
  <c r="T67" i="13"/>
  <c r="U54" i="14"/>
  <c r="U38" i="13"/>
  <c r="U58" i="14"/>
  <c r="T70" i="14"/>
  <c r="U67" i="14"/>
  <c r="T25" i="13"/>
  <c r="U20" i="14"/>
  <c r="T21" i="14"/>
  <c r="U15" i="14"/>
  <c r="T54" i="13"/>
  <c r="T56" i="13"/>
  <c r="U21" i="13"/>
  <c r="U31" i="14"/>
  <c r="T34" i="13"/>
  <c r="T11" i="13"/>
  <c r="U44" i="14"/>
  <c r="T9" i="13"/>
  <c r="T13" i="13"/>
  <c r="T42" i="13"/>
  <c r="T58" i="14"/>
  <c r="U40" i="13"/>
  <c r="T61" i="14"/>
  <c r="C21" i="1"/>
  <c r="U62" i="14"/>
  <c r="T42" i="14"/>
  <c r="T63" i="14"/>
  <c r="T59" i="14"/>
  <c r="U37" i="14"/>
  <c r="T6" i="13"/>
  <c r="T26" i="14"/>
  <c r="U9" i="13"/>
  <c r="T59" i="13"/>
  <c r="U23" i="14"/>
  <c r="U21" i="14"/>
  <c r="T7" i="14"/>
  <c r="U64" i="13"/>
  <c r="U11" i="14"/>
  <c r="U7" i="13"/>
  <c r="U39" i="14"/>
  <c r="U68" i="13"/>
  <c r="U34" i="13"/>
  <c r="U11" i="13"/>
  <c r="T68" i="14"/>
  <c r="T8" i="13"/>
  <c r="T34" i="14"/>
  <c r="T37" i="14"/>
  <c r="T55" i="14"/>
  <c r="U17" i="13"/>
  <c r="U57" i="13"/>
  <c r="U45" i="14"/>
  <c r="T55" i="13"/>
  <c r="T53" i="14"/>
  <c r="U46" i="13"/>
  <c r="U4" i="13"/>
  <c r="T51" i="13"/>
  <c r="T47" i="13"/>
  <c r="T70" i="13"/>
  <c r="T62" i="14"/>
  <c r="T29" i="14"/>
  <c r="U44" i="13"/>
  <c r="T29" i="13"/>
  <c r="U59" i="14"/>
  <c r="U60" i="13"/>
  <c r="U68" i="14"/>
  <c r="H49" i="1" s="1"/>
  <c r="T25" i="14"/>
  <c r="U19" i="13"/>
  <c r="C49" i="1" s="1"/>
  <c r="T5" i="13"/>
  <c r="T66" i="12"/>
  <c r="T23" i="12"/>
  <c r="T21" i="12"/>
  <c r="T4" i="12"/>
  <c r="U64" i="12"/>
  <c r="T46" i="12"/>
  <c r="U35" i="12"/>
  <c r="U9" i="12"/>
  <c r="U24" i="12"/>
  <c r="U8" i="12"/>
  <c r="U11" i="12"/>
  <c r="U54" i="12"/>
  <c r="U62" i="12"/>
  <c r="U47" i="12"/>
  <c r="U34" i="12"/>
  <c r="T61" i="12"/>
  <c r="U17" i="12"/>
  <c r="U51" i="12"/>
  <c r="U70" i="12"/>
  <c r="U7" i="12"/>
  <c r="U32" i="12"/>
  <c r="U33" i="12"/>
  <c r="U57" i="12"/>
  <c r="U36" i="12"/>
  <c r="U30" i="12"/>
  <c r="U40" i="12"/>
  <c r="U20" i="12"/>
  <c r="T70" i="12"/>
  <c r="T32" i="12"/>
  <c r="T16" i="12"/>
  <c r="U60" i="12"/>
  <c r="U39" i="12"/>
  <c r="T6" i="12"/>
  <c r="T30" i="12"/>
  <c r="U29" i="12"/>
  <c r="U56" i="12"/>
  <c r="T31" i="12"/>
  <c r="U65" i="12"/>
  <c r="U55" i="12"/>
  <c r="U69" i="12"/>
  <c r="T22" i="12"/>
  <c r="T13" i="12"/>
  <c r="U52" i="12"/>
  <c r="T10" i="12"/>
  <c r="T58" i="12"/>
  <c r="U19" i="12"/>
  <c r="U59" i="12"/>
  <c r="U13" i="12"/>
  <c r="T19" i="12"/>
  <c r="T42" i="12"/>
  <c r="T15" i="12"/>
  <c r="T18" i="12"/>
  <c r="U46" i="12"/>
  <c r="T43" i="12"/>
  <c r="T33" i="12"/>
  <c r="T11" i="12"/>
  <c r="T57" i="12"/>
  <c r="T44" i="12"/>
  <c r="T54" i="12"/>
  <c r="T62" i="12"/>
  <c r="T39" i="12"/>
  <c r="T34" i="12"/>
  <c r="U49" i="12"/>
  <c r="T40" i="12"/>
  <c r="U48" i="12"/>
  <c r="T20" i="12"/>
  <c r="T71" i="12"/>
  <c r="U18" i="12"/>
  <c r="U21" i="12"/>
  <c r="U31" i="12"/>
  <c r="U43" i="12"/>
  <c r="T24" i="12"/>
  <c r="T55" i="12"/>
  <c r="U45" i="12"/>
  <c r="U25" i="12"/>
  <c r="T49" i="12"/>
  <c r="T27" i="12"/>
  <c r="U71" i="12"/>
  <c r="U5" i="12"/>
  <c r="T7" i="12"/>
  <c r="T28" i="12"/>
  <c r="T45" i="12"/>
  <c r="T25" i="12"/>
  <c r="T37" i="12"/>
  <c r="T26" i="12"/>
  <c r="T60" i="12"/>
  <c r="U12" i="12"/>
  <c r="T59" i="12"/>
  <c r="T36" i="12"/>
  <c r="U27" i="12"/>
  <c r="T68" i="12"/>
  <c r="U53" i="12"/>
  <c r="U41" i="12"/>
  <c r="T67" i="12"/>
  <c r="T35" i="12"/>
  <c r="T41" i="12"/>
  <c r="T50" i="12"/>
  <c r="U28" i="12"/>
  <c r="U37" i="12"/>
  <c r="T56" i="12"/>
  <c r="T12" i="12"/>
  <c r="T69" i="12"/>
  <c r="U6" i="12"/>
  <c r="U68" i="12"/>
  <c r="T63" i="12"/>
  <c r="U44" i="12"/>
  <c r="U16" i="12"/>
  <c r="U26" i="12"/>
  <c r="T3" i="12"/>
  <c r="T29" i="12"/>
  <c r="U14" i="12"/>
  <c r="T51" i="12"/>
  <c r="T5" i="12"/>
  <c r="T65" i="12"/>
  <c r="U42" i="12"/>
  <c r="U15" i="12"/>
  <c r="U66" i="12"/>
  <c r="U23" i="12"/>
  <c r="U67" i="12"/>
  <c r="U4" i="12"/>
  <c r="T64" i="12"/>
  <c r="T14" i="12"/>
  <c r="T9" i="12"/>
  <c r="T8" i="12"/>
  <c r="T53" i="12"/>
  <c r="U63" i="12"/>
  <c r="T38" i="12"/>
  <c r="T47" i="12"/>
  <c r="U61" i="12"/>
  <c r="T17" i="12"/>
  <c r="T48" i="12"/>
  <c r="U50" i="12"/>
  <c r="U22" i="12"/>
  <c r="U3" i="12"/>
  <c r="U10" i="12"/>
  <c r="U58" i="12"/>
  <c r="U38" i="12"/>
  <c r="T52" i="12"/>
  <c r="D12" i="1"/>
  <c r="D22" i="1"/>
  <c r="D26" i="1"/>
  <c r="D13" i="1"/>
  <c r="D36" i="1"/>
  <c r="D21" i="1"/>
  <c r="D40" i="1"/>
  <c r="D27" i="1"/>
  <c r="C20" i="1"/>
  <c r="D50" i="1"/>
  <c r="C34" i="1"/>
  <c r="I40" i="1"/>
  <c r="D41" i="1"/>
  <c r="D34" i="1"/>
  <c r="I12" i="1"/>
  <c r="I50" i="1"/>
  <c r="C48" i="1"/>
  <c r="D35" i="1"/>
  <c r="I22" i="1"/>
  <c r="I41" i="1"/>
  <c r="D48" i="1"/>
  <c r="I26" i="1"/>
  <c r="I13" i="1"/>
  <c r="D49" i="1"/>
  <c r="I49" i="1"/>
  <c r="H48" i="1"/>
  <c r="I48" i="1" s="1"/>
  <c r="I21" i="1"/>
  <c r="H20" i="1"/>
  <c r="I20" i="1" s="1"/>
  <c r="I27" i="1"/>
  <c r="I35" i="1"/>
  <c r="H34" i="1"/>
  <c r="I34" i="1" s="1"/>
  <c r="I36" i="1"/>
  <c r="V2" i="12" l="1" a="1"/>
  <c r="V2" i="10" a="1"/>
  <c r="V2" i="2" a="1"/>
  <c r="V2" i="14" a="1"/>
  <c r="V2" i="11" a="1"/>
  <c r="D20" i="1"/>
  <c r="V2" i="13" a="1"/>
  <c r="V13" i="2" l="1"/>
  <c r="V28" i="2"/>
  <c r="V43" i="2"/>
  <c r="V5" i="2"/>
  <c r="V24" i="2"/>
  <c r="V66" i="2"/>
  <c r="V61" i="2"/>
  <c r="V2" i="2"/>
  <c r="V38" i="2"/>
  <c r="V18" i="2"/>
  <c r="V6" i="2"/>
  <c r="V21" i="2"/>
  <c r="V36" i="2"/>
  <c r="V46" i="2"/>
  <c r="V17" i="2"/>
  <c r="V12" i="2"/>
  <c r="V31" i="2"/>
  <c r="V60" i="2"/>
  <c r="V10" i="2"/>
  <c r="V42" i="2"/>
  <c r="V3" i="2"/>
  <c r="V70" i="2"/>
  <c r="V14" i="2"/>
  <c r="V29" i="2"/>
  <c r="V16" i="2"/>
  <c r="V58" i="2"/>
  <c r="V53" i="2"/>
  <c r="V48" i="2"/>
  <c r="V30" i="2"/>
  <c r="V37" i="2"/>
  <c r="V63" i="2"/>
  <c r="V7" i="2"/>
  <c r="V22" i="2"/>
  <c r="V9" i="2"/>
  <c r="V4" i="2"/>
  <c r="V23" i="2"/>
  <c r="V65" i="2"/>
  <c r="V47" i="2"/>
  <c r="V32" i="2"/>
  <c r="V41" i="2"/>
  <c r="V56" i="2"/>
  <c r="V71" i="2"/>
  <c r="V15" i="2"/>
  <c r="V26" i="2"/>
  <c r="V45" i="2"/>
  <c r="V40" i="2"/>
  <c r="V11" i="2"/>
  <c r="V68" i="2"/>
  <c r="V19" i="2"/>
  <c r="V34" i="2"/>
  <c r="V49" i="2"/>
  <c r="V64" i="2"/>
  <c r="V8" i="2"/>
  <c r="V67" i="2"/>
  <c r="V62" i="2"/>
  <c r="V33" i="2"/>
  <c r="V52" i="2"/>
  <c r="V55" i="2"/>
  <c r="V57" i="2"/>
  <c r="V20" i="2"/>
  <c r="V35" i="2"/>
  <c r="V50" i="2"/>
  <c r="V59" i="2"/>
  <c r="V54" i="2"/>
  <c r="V25" i="2"/>
  <c r="V44" i="2"/>
  <c r="V39" i="2"/>
  <c r="V51" i="2"/>
  <c r="V27" i="2"/>
  <c r="V69" i="2"/>
  <c r="V66" i="11"/>
  <c r="V10" i="11"/>
  <c r="V25" i="11"/>
  <c r="V40" i="11"/>
  <c r="V13" i="11"/>
  <c r="V43" i="11"/>
  <c r="V48" i="11"/>
  <c r="V6" i="11"/>
  <c r="V49" i="11"/>
  <c r="V41" i="11"/>
  <c r="V59" i="11"/>
  <c r="V3" i="11"/>
  <c r="V18" i="11"/>
  <c r="V33" i="11"/>
  <c r="V30" i="11"/>
  <c r="V29" i="11"/>
  <c r="V34" i="11"/>
  <c r="V64" i="11"/>
  <c r="V23" i="11"/>
  <c r="V39" i="11"/>
  <c r="V8" i="11"/>
  <c r="V52" i="11"/>
  <c r="V67" i="11"/>
  <c r="V11" i="11"/>
  <c r="V26" i="11"/>
  <c r="V71" i="11"/>
  <c r="V70" i="11"/>
  <c r="V20" i="11"/>
  <c r="V50" i="11"/>
  <c r="V36" i="11"/>
  <c r="V24" i="11"/>
  <c r="V42" i="11"/>
  <c r="V45" i="11"/>
  <c r="V60" i="11"/>
  <c r="V4" i="11"/>
  <c r="V19" i="11"/>
  <c r="V35" i="11"/>
  <c r="V16" i="11"/>
  <c r="V69" i="11"/>
  <c r="V14" i="11"/>
  <c r="V44" i="11"/>
  <c r="V38" i="11"/>
  <c r="V53" i="11"/>
  <c r="V68" i="11"/>
  <c r="V12" i="11"/>
  <c r="V21" i="11"/>
  <c r="V65" i="11"/>
  <c r="V15" i="11"/>
  <c r="V55" i="11"/>
  <c r="V22" i="11"/>
  <c r="V31" i="11"/>
  <c r="V46" i="11"/>
  <c r="V61" i="11"/>
  <c r="V5" i="11"/>
  <c r="V62" i="11"/>
  <c r="V51" i="11"/>
  <c r="V56" i="11"/>
  <c r="V58" i="11"/>
  <c r="V2" i="11"/>
  <c r="V17" i="11"/>
  <c r="V32" i="11"/>
  <c r="V47" i="11"/>
  <c r="V27" i="11"/>
  <c r="V57" i="11"/>
  <c r="V7" i="11"/>
  <c r="V28" i="11"/>
  <c r="V63" i="11"/>
  <c r="V9" i="11"/>
  <c r="V54" i="11"/>
  <c r="V37" i="11"/>
  <c r="V9" i="13"/>
  <c r="V24" i="13"/>
  <c r="V39" i="13"/>
  <c r="V54" i="13"/>
  <c r="V69" i="13"/>
  <c r="V13" i="13"/>
  <c r="V28" i="13"/>
  <c r="V43" i="13"/>
  <c r="V51" i="13"/>
  <c r="V15" i="13"/>
  <c r="V60" i="13"/>
  <c r="V19" i="13"/>
  <c r="V49" i="13"/>
  <c r="V8" i="13"/>
  <c r="V38" i="13"/>
  <c r="V68" i="13"/>
  <c r="V42" i="13"/>
  <c r="V65" i="13"/>
  <c r="V31" i="13"/>
  <c r="V61" i="13"/>
  <c r="V20" i="13"/>
  <c r="V50" i="13"/>
  <c r="V2" i="13"/>
  <c r="V17" i="13"/>
  <c r="V32" i="13"/>
  <c r="V47" i="13"/>
  <c r="V62" i="13"/>
  <c r="V6" i="13"/>
  <c r="V21" i="13"/>
  <c r="V36" i="13"/>
  <c r="V44" i="13"/>
  <c r="V66" i="13"/>
  <c r="V10" i="13"/>
  <c r="V25" i="13"/>
  <c r="V40" i="13"/>
  <c r="V55" i="13"/>
  <c r="V70" i="13"/>
  <c r="V14" i="13"/>
  <c r="V29" i="13"/>
  <c r="V37" i="13"/>
  <c r="V59" i="13"/>
  <c r="V3" i="13"/>
  <c r="V18" i="13"/>
  <c r="V33" i="13"/>
  <c r="V48" i="13"/>
  <c r="V63" i="13"/>
  <c r="V7" i="13"/>
  <c r="V22" i="13"/>
  <c r="V30" i="13"/>
  <c r="V52" i="13"/>
  <c r="V67" i="13"/>
  <c r="V11" i="13"/>
  <c r="V26" i="13"/>
  <c r="V41" i="13"/>
  <c r="V56" i="13"/>
  <c r="V71" i="13"/>
  <c r="V23" i="13"/>
  <c r="V45" i="13"/>
  <c r="V4" i="13"/>
  <c r="V34" i="13"/>
  <c r="V64" i="13"/>
  <c r="V16" i="13"/>
  <c r="V53" i="13"/>
  <c r="V12" i="13"/>
  <c r="V27" i="13"/>
  <c r="V57" i="13"/>
  <c r="V46" i="13"/>
  <c r="V5" i="13"/>
  <c r="V35" i="13"/>
  <c r="V58" i="13"/>
  <c r="V38" i="14"/>
  <c r="V53" i="14"/>
  <c r="V68" i="14"/>
  <c r="V12" i="14"/>
  <c r="V27" i="14"/>
  <c r="V42" i="14"/>
  <c r="V57" i="14"/>
  <c r="V65" i="14"/>
  <c r="V52" i="14"/>
  <c r="V56" i="14"/>
  <c r="V31" i="14"/>
  <c r="V46" i="14"/>
  <c r="V61" i="14"/>
  <c r="V5" i="14"/>
  <c r="V20" i="14"/>
  <c r="V35" i="14"/>
  <c r="V50" i="14"/>
  <c r="V58" i="14"/>
  <c r="V67" i="14"/>
  <c r="V9" i="14"/>
  <c r="V24" i="14"/>
  <c r="V39" i="14"/>
  <c r="V54" i="14"/>
  <c r="V69" i="14"/>
  <c r="V13" i="14"/>
  <c r="V28" i="14"/>
  <c r="V43" i="14"/>
  <c r="V51" i="14"/>
  <c r="V26" i="14"/>
  <c r="V2" i="14"/>
  <c r="V17" i="14"/>
  <c r="V32" i="14"/>
  <c r="V47" i="14"/>
  <c r="V62" i="14"/>
  <c r="V6" i="14"/>
  <c r="V21" i="14"/>
  <c r="V36" i="14"/>
  <c r="V44" i="14"/>
  <c r="V41" i="14"/>
  <c r="V66" i="14"/>
  <c r="V10" i="14"/>
  <c r="V25" i="14"/>
  <c r="V40" i="14"/>
  <c r="V55" i="14"/>
  <c r="V70" i="14"/>
  <c r="V14" i="14"/>
  <c r="V29" i="14"/>
  <c r="V37" i="14"/>
  <c r="V15" i="14"/>
  <c r="V59" i="14"/>
  <c r="V3" i="14"/>
  <c r="V18" i="14"/>
  <c r="V33" i="14"/>
  <c r="V48" i="14"/>
  <c r="V63" i="14"/>
  <c r="V7" i="14"/>
  <c r="V22" i="14"/>
  <c r="V30" i="14"/>
  <c r="V11" i="14"/>
  <c r="V23" i="14"/>
  <c r="V45" i="14"/>
  <c r="V60" i="14"/>
  <c r="V4" i="14"/>
  <c r="V19" i="14"/>
  <c r="V34" i="14"/>
  <c r="V49" i="14"/>
  <c r="V64" i="14"/>
  <c r="V8" i="14"/>
  <c r="V16" i="14"/>
  <c r="V71" i="14"/>
  <c r="V18" i="10"/>
  <c r="V41" i="10"/>
  <c r="V48" i="10"/>
  <c r="V63" i="10"/>
  <c r="V65" i="10"/>
  <c r="V45" i="10"/>
  <c r="V3" i="10"/>
  <c r="V39" i="10"/>
  <c r="V17" i="10"/>
  <c r="V46" i="10"/>
  <c r="V11" i="10"/>
  <c r="V26" i="10"/>
  <c r="V49" i="10"/>
  <c r="V56" i="10"/>
  <c r="V50" i="10"/>
  <c r="V15" i="10"/>
  <c r="V44" i="10"/>
  <c r="V43" i="10"/>
  <c r="V2" i="10"/>
  <c r="V47" i="10"/>
  <c r="V8" i="10"/>
  <c r="V4" i="10"/>
  <c r="V19" i="10"/>
  <c r="V34" i="10"/>
  <c r="V57" i="10"/>
  <c r="V67" i="10"/>
  <c r="V32" i="10"/>
  <c r="V14" i="10"/>
  <c r="V30" i="10"/>
  <c r="V60" i="10"/>
  <c r="V62" i="10"/>
  <c r="V68" i="10"/>
  <c r="V12" i="10"/>
  <c r="V27" i="10"/>
  <c r="V42" i="10"/>
  <c r="V37" i="10"/>
  <c r="V66" i="10"/>
  <c r="V31" i="10"/>
  <c r="V25" i="10"/>
  <c r="V71" i="10"/>
  <c r="V23" i="10"/>
  <c r="V61" i="10"/>
  <c r="V5" i="10"/>
  <c r="V20" i="10"/>
  <c r="V59" i="10"/>
  <c r="V7" i="10"/>
  <c r="V36" i="10"/>
  <c r="V9" i="10"/>
  <c r="V10" i="10"/>
  <c r="V51" i="10"/>
  <c r="V58" i="10"/>
  <c r="V54" i="10"/>
  <c r="V69" i="10"/>
  <c r="V13" i="10"/>
  <c r="V29" i="10"/>
  <c r="V24" i="10"/>
  <c r="V53" i="10"/>
  <c r="V35" i="10"/>
  <c r="V21" i="10"/>
  <c r="V38" i="10"/>
  <c r="V52" i="10"/>
  <c r="V40" i="10"/>
  <c r="V55" i="10"/>
  <c r="V70" i="10"/>
  <c r="V16" i="10"/>
  <c r="V28" i="10"/>
  <c r="V64" i="10"/>
  <c r="V22" i="10"/>
  <c r="V33" i="10"/>
  <c r="V6" i="10"/>
  <c r="V9" i="12"/>
  <c r="V24" i="12"/>
  <c r="V39" i="12"/>
  <c r="V54" i="12"/>
  <c r="V48" i="12"/>
  <c r="V19" i="12"/>
  <c r="V14" i="12"/>
  <c r="V30" i="12"/>
  <c r="V65" i="12"/>
  <c r="V33" i="12"/>
  <c r="V64" i="12"/>
  <c r="V57" i="12"/>
  <c r="V70" i="12"/>
  <c r="V37" i="12"/>
  <c r="V2" i="12"/>
  <c r="V17" i="12"/>
  <c r="V32" i="12"/>
  <c r="V47" i="12"/>
  <c r="V41" i="12"/>
  <c r="V36" i="12"/>
  <c r="V55" i="12"/>
  <c r="V71" i="12"/>
  <c r="V43" i="12"/>
  <c r="V3" i="12"/>
  <c r="V5" i="12"/>
  <c r="V11" i="12"/>
  <c r="V50" i="12"/>
  <c r="V42" i="12"/>
  <c r="V53" i="12"/>
  <c r="V29" i="12"/>
  <c r="V66" i="12"/>
  <c r="V10" i="12"/>
  <c r="V25" i="12"/>
  <c r="V40" i="12"/>
  <c r="V58" i="12"/>
  <c r="V6" i="12"/>
  <c r="V35" i="12"/>
  <c r="V51" i="12"/>
  <c r="V34" i="12"/>
  <c r="V28" i="12"/>
  <c r="V62" i="12"/>
  <c r="V8" i="12"/>
  <c r="V12" i="12"/>
  <c r="V38" i="12"/>
  <c r="V26" i="12"/>
  <c r="V59" i="12"/>
  <c r="V21" i="12"/>
  <c r="V68" i="12"/>
  <c r="V52" i="12"/>
  <c r="V67" i="12"/>
  <c r="V69" i="12"/>
  <c r="V27" i="12"/>
  <c r="V45" i="12"/>
  <c r="V60" i="12"/>
  <c r="V4" i="12"/>
  <c r="V20" i="12"/>
  <c r="V15" i="12"/>
  <c r="V31" i="12"/>
  <c r="V46" i="12"/>
  <c r="V61" i="12"/>
  <c r="V7" i="12"/>
  <c r="V49" i="12"/>
  <c r="V44" i="12"/>
  <c r="V13" i="12"/>
  <c r="V16" i="12"/>
  <c r="V18" i="12"/>
  <c r="V23" i="12"/>
  <c r="V22" i="12"/>
  <c r="V63" i="12"/>
  <c r="V56" i="12"/>
</calcChain>
</file>

<file path=xl/comments1.xml><?xml version="1.0" encoding="utf-8"?>
<comments xmlns="http://schemas.openxmlformats.org/spreadsheetml/2006/main">
  <authors>
    <author>Ferdinando Ametrano</author>
  </authors>
  <commentList>
    <comment ref="D6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sharedStrings.xml><?xml version="1.0" encoding="utf-8"?>
<sst xmlns="http://schemas.openxmlformats.org/spreadsheetml/2006/main" count="3017" uniqueCount="198">
  <si>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</si>
  <si>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</si>
  <si>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</si>
  <si>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</si>
  <si>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</si>
  <si>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</si>
  <si>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</si>
  <si>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</si>
  <si>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</si>
  <si>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</si>
  <si>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</si>
  <si>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</si>
  <si>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</si>
  <si>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</si>
  <si>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</si>
  <si>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</si>
  <si>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</si>
  <si>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</si>
  <si>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</si>
  <si>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</si>
  <si>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</si>
  <si>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</si>
  <si>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</si>
  <si>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</si>
  <si>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</si>
  <si>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</si>
  <si>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</si>
  <si>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</si>
  <si>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</si>
  <si>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</si>
  <si>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</si>
  <si>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</si>
  <si>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</si>
  <si>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</si>
  <si>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</si>
  <si>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</si>
  <si>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</si>
  <si>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</si>
  <si>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</si>
  <si>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</si>
  <si>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</si>
  <si>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</si>
  <si>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</si>
  <si>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</si>
  <si>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</si>
  <si>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</si>
  <si>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</si>
  <si>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</si>
  <si>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</si>
  <si>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</si>
  <si>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</si>
  <si>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</si>
  <si>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</si>
  <si>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</si>
  <si>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</si>
  <si>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</si>
  <si>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</si>
  <si>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</si>
  <si>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</si>
  <si>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</si>
  <si>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</si>
  <si>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</si>
  <si>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</si>
  <si>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</si>
  <si>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</si>
  <si>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</si>
  <si>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</si>
  <si>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</si>
  <si>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</si>
  <si>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</si>
  <si>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</si>
  <si>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</si>
  <si>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</si>
  <si>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</si>
  <si>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</si>
  <si>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</si>
  <si>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</si>
  <si>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</si>
  <si>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Last Quote Close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</si>
  <si>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</si>
  <si>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</si>
  <si>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</si>
  <si>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</si>
  <si>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</si>
  <si>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</si>
  <si>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</si>
  <si>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</si>
  <si>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</si>
  <si>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</si>
  <si>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</si>
  <si>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</si>
  <si>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</si>
  <si>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</si>
  <si>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</si>
  <si>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</si>
  <si>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</si>
  <si>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</si>
  <si>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</si>
  <si>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</si>
  <si>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</si>
  <si>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</si>
  <si>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</si>
  <si>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</si>
  <si>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</si>
  <si>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</si>
  <si>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</si>
  <si>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</si>
  <si>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</si>
  <si>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</si>
  <si>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</si>
  <si>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</si>
  <si>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</si>
  <si>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</si>
  <si>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</si>
  <si>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</si>
  <si>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</si>
  <si>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</si>
  <si>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</si>
  <si>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</si>
  <si>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</si>
  <si>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</si>
  <si>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</si>
  <si>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</si>
  <si>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</si>
  <si>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</si>
  <si>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</si>
  <si>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</si>
  <si>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</si>
  <si>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</si>
  <si>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</si>
  <si>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</si>
  <si>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</si>
  <si>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</si>
  <si>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</si>
  <si>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</si>
  <si>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</si>
  <si>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</si>
  <si>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</si>
  <si>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</si>
  <si>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</si>
  <si>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</si>
  <si>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</si>
  <si>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</si>
  <si>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</si>
  <si>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</si>
  <si>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</si>
  <si>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</si>
  <si>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</si>
  <si>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</si>
  <si>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</si>
  <si>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</si>
  <si>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</si>
  <si>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</si>
  <si>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</si>
  <si>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</si>
  <si>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</si>
  <si>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</si>
  <si>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</si>
  <si>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</si>
  <si>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</si>
  <si>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</si>
  <si>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</si>
  <si>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</si>
  <si>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</si>
  <si>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</si>
  <si>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</si>
  <si>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</si>
  <si>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</si>
  <si>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</si>
  <si>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</si>
  <si>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</si>
  <si>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</si>
  <si>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</si>
  <si>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</si>
  <si>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</si>
  <si>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EURON</t>
  </si>
  <si>
    <t>EUR1M</t>
  </si>
  <si>
    <t>EUR1Y</t>
  </si>
  <si>
    <t>EUR6M</t>
  </si>
  <si>
    <t>EUR3M</t>
  </si>
  <si>
    <t>EURSTD</t>
  </si>
  <si>
    <t>35Y</t>
  </si>
  <si>
    <t>36Y</t>
  </si>
  <si>
    <t>37Y</t>
  </si>
  <si>
    <t>38Y</t>
  </si>
  <si>
    <t>39Y</t>
  </si>
  <si>
    <t>40Y</t>
  </si>
  <si>
    <t>50Y</t>
  </si>
  <si>
    <t>60Y</t>
  </si>
  <si>
    <t>Discount</t>
  </si>
  <si>
    <t>KrugerLogCubic</t>
  </si>
  <si>
    <t>Code</t>
  </si>
  <si>
    <t>Business Day Conv</t>
  </si>
  <si>
    <t>Zero Rate</t>
  </si>
  <si>
    <t>Error Index</t>
  </si>
  <si>
    <t xml:space="preserve">Error Last Fixing </t>
  </si>
  <si>
    <t>Timestamp</t>
  </si>
  <si>
    <t>#20160316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</si>
</sst>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mm/dd/yy;@"/>
    <numFmt numFmtId="165" formatCode="0.0000%"/>
    <numFmt numFmtId="166" formatCode="0.00000%"/>
    <numFmt numFmtId="167" formatCode="ddd\,\ dd\-mmm\-yyyy"/>
    <numFmt numFmtId="168" formatCode="ddd\,\ dd\-mmm\-yyyy\,\ hh:mm:ss"/>
    <numFmt numFmtId="169" formatCode="ddd\,\ d\-mmm\-yy"/>
    <numFmt numFmtId="170" formatCode="ddd\,\ d\-mmm\-yyyy"/>
    <numFmt numFmtId="171" formatCode="0.000000000"/>
    <numFmt numFmtId="172" formatCode="ddd\,\ d\-mmm\-yyyy\,\ hh:mm:ss"/>
    <numFmt numFmtId="173" formatCode="0.00000"/>
    <numFmt numFmtId="174" formatCode="0.000000"/>
    <numFmt numFmtId="175" formatCode="ddd\,\ dd\-mmm\-yy"/>
    <numFmt numFmtId="176" formatCode="0.0000"/>
    <numFmt numFmtId="177" formatCode="_([$€-2]* #,##0.00_);_([$€-2]* \(#,##0.00\);_([$€-2]* &quot;-&quot;??_)"/>
    <numFmt numFmtId="178" formatCode="General_)"/>
    <numFmt numFmtId="179" formatCode="#,##0.0;#,##0.0"/>
    <numFmt numFmtId="180" formatCode="&quot;£&quot;#,##0;[Red]\-&quot;£&quot;#,##0"/>
    <numFmt numFmtId="181" formatCode="dd\-mmm\-yy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b/>
      <sz val="8"/>
      <color indexed="12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7" fontId="1" fillId="0" borderId="0" applyFont="0" applyFill="0" applyBorder="0" applyAlignment="0" applyProtection="0"/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178" fontId="8" fillId="0" borderId="0"/>
    <xf numFmtId="179" fontId="9" fillId="7" borderId="0">
      <alignment horizontal="center" vertical="center"/>
    </xf>
    <xf numFmtId="180" fontId="7" fillId="0" borderId="0" applyFont="0" applyFill="0" applyBorder="0" applyAlignment="0" applyProtection="0"/>
    <xf numFmtId="180" fontId="7" fillId="0" borderId="0" applyFont="0" applyFill="0" applyBorder="0" applyAlignment="0" applyProtection="0"/>
  </cellStyleXfs>
  <cellXfs count="222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1" xfId="1" applyFont="1" applyFill="1" applyBorder="1" applyAlignment="1">
      <alignment horizontal="center"/>
    </xf>
    <xf numFmtId="164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6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3" fillId="2" borderId="1" xfId="1" quotePrefix="1" applyFont="1" applyFill="1" applyBorder="1" applyAlignment="1">
      <alignment horizontal="center"/>
    </xf>
    <xf numFmtId="167" fontId="3" fillId="2" borderId="1" xfId="1" quotePrefix="1" applyNumberFormat="1" applyFont="1" applyFill="1" applyBorder="1" applyAlignment="1">
      <alignment horizontal="center"/>
    </xf>
    <xf numFmtId="0" fontId="3" fillId="2" borderId="5" xfId="2" applyNumberFormat="1" applyFont="1" applyFill="1" applyBorder="1" applyAlignment="1">
      <alignment horizontal="right"/>
    </xf>
    <xf numFmtId="164" fontId="3" fillId="2" borderId="1" xfId="2" applyNumberFormat="1" applyFont="1" applyFill="1" applyBorder="1" applyAlignment="1">
      <alignment horizontal="center"/>
    </xf>
    <xf numFmtId="0" fontId="5" fillId="0" borderId="0" xfId="0" applyFont="1"/>
    <xf numFmtId="0" fontId="5" fillId="0" borderId="6" xfId="0" applyFont="1" applyBorder="1"/>
    <xf numFmtId="167" fontId="5" fillId="0" borderId="6" xfId="0" applyNumberFormat="1" applyFont="1" applyBorder="1"/>
    <xf numFmtId="0" fontId="5" fillId="0" borderId="1" xfId="0" applyFont="1" applyBorder="1"/>
    <xf numFmtId="0" fontId="5" fillId="0" borderId="16" xfId="0" applyFont="1" applyBorder="1"/>
    <xf numFmtId="173" fontId="3" fillId="2" borderId="5" xfId="2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3" fillId="2" borderId="1" xfId="1" quotePrefix="1" applyFont="1" applyFill="1" applyBorder="1" applyAlignment="1">
      <alignment horizontal="left"/>
    </xf>
    <xf numFmtId="164" fontId="5" fillId="0" borderId="6" xfId="0" applyNumberFormat="1" applyFont="1" applyBorder="1"/>
    <xf numFmtId="164" fontId="5" fillId="0" borderId="1" xfId="0" applyNumberFormat="1" applyFont="1" applyBorder="1"/>
    <xf numFmtId="0" fontId="5" fillId="0" borderId="14" xfId="0" applyFont="1" applyBorder="1"/>
    <xf numFmtId="0" fontId="5" fillId="0" borderId="17" xfId="0" applyFont="1" applyBorder="1"/>
    <xf numFmtId="164" fontId="3" fillId="2" borderId="1" xfId="1" applyNumberFormat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 vertical="center"/>
    </xf>
    <xf numFmtId="167" fontId="5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0" fontId="3" fillId="9" borderId="8" xfId="1" applyFont="1" applyFill="1" applyBorder="1"/>
    <xf numFmtId="167" fontId="3" fillId="2" borderId="9" xfId="1" applyNumberFormat="1" applyFont="1" applyFill="1" applyBorder="1" applyAlignment="1">
      <alignment horizontal="center"/>
    </xf>
    <xf numFmtId="0" fontId="3" fillId="9" borderId="6" xfId="1" applyFont="1" applyFill="1" applyBorder="1"/>
    <xf numFmtId="167" fontId="3" fillId="2" borderId="10" xfId="1" applyNumberFormat="1" applyFont="1" applyFill="1" applyBorder="1" applyAlignment="1">
      <alignment horizontal="center"/>
    </xf>
    <xf numFmtId="0" fontId="3" fillId="2" borderId="10" xfId="1" applyFont="1" applyFill="1" applyBorder="1" applyAlignment="1">
      <alignment horizontal="center"/>
    </xf>
    <xf numFmtId="172" fontId="3" fillId="2" borderId="10" xfId="1" applyNumberFormat="1" applyFont="1" applyFill="1" applyBorder="1" applyAlignment="1">
      <alignment horizontal="center"/>
    </xf>
    <xf numFmtId="0" fontId="3" fillId="9" borderId="1" xfId="1" applyFont="1" applyFill="1" applyBorder="1"/>
    <xf numFmtId="172" fontId="3" fillId="2" borderId="3" xfId="1" applyNumberFormat="1" applyFont="1" applyFill="1" applyBorder="1" applyAlignment="1">
      <alignment horizontal="center"/>
    </xf>
    <xf numFmtId="0" fontId="3" fillId="9" borderId="2" xfId="1" applyFont="1" applyFill="1" applyBorder="1"/>
    <xf numFmtId="172" fontId="3" fillId="8" borderId="25" xfId="1" applyNumberFormat="1" applyFont="1" applyFill="1" applyBorder="1" applyAlignment="1">
      <alignment horizontal="center"/>
    </xf>
    <xf numFmtId="0" fontId="10" fillId="9" borderId="8" xfId="1" applyFont="1" applyFill="1" applyBorder="1" applyAlignment="1">
      <alignment horizontal="right"/>
    </xf>
    <xf numFmtId="0" fontId="3" fillId="2" borderId="7" xfId="3" applyFont="1" applyFill="1" applyBorder="1"/>
    <xf numFmtId="0" fontId="10" fillId="9" borderId="1" xfId="1" applyFont="1" applyFill="1" applyBorder="1" applyAlignment="1">
      <alignment horizontal="right"/>
    </xf>
    <xf numFmtId="169" fontId="3" fillId="4" borderId="9" xfId="1" applyNumberFormat="1" applyFont="1" applyFill="1" applyBorder="1" applyAlignment="1">
      <alignment horizontal="center"/>
    </xf>
    <xf numFmtId="0" fontId="10" fillId="9" borderId="6" xfId="1" applyFont="1" applyFill="1" applyBorder="1" applyAlignment="1">
      <alignment horizontal="right"/>
    </xf>
    <xf numFmtId="3" fontId="3" fillId="4" borderId="10" xfId="1" applyNumberFormat="1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8" fontId="3" fillId="2" borderId="0" xfId="3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right"/>
    </xf>
    <xf numFmtId="171" fontId="3" fillId="2" borderId="8" xfId="1" applyNumberFormat="1" applyFont="1" applyFill="1" applyBorder="1" applyAlignment="1">
      <alignment horizontal="center"/>
    </xf>
    <xf numFmtId="170" fontId="3" fillId="2" borderId="6" xfId="1" applyNumberFormat="1" applyFont="1" applyFill="1" applyBorder="1" applyAlignment="1">
      <alignment horizontal="right"/>
    </xf>
    <xf numFmtId="171" fontId="3" fillId="2" borderId="6" xfId="1" applyNumberFormat="1" applyFont="1" applyFill="1" applyBorder="1" applyAlignment="1">
      <alignment horizontal="center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1" xfId="3" applyFont="1" applyFill="1" applyBorder="1"/>
    <xf numFmtId="0" fontId="5" fillId="0" borderId="11" xfId="0" applyFont="1" applyBorder="1"/>
    <xf numFmtId="0" fontId="5" fillId="0" borderId="12" xfId="0" applyFont="1" applyBorder="1"/>
    <xf numFmtId="0" fontId="5" fillId="0" borderId="9" xfId="0" applyFont="1" applyBorder="1"/>
    <xf numFmtId="0" fontId="5" fillId="0" borderId="7" xfId="0" applyFont="1" applyBorder="1"/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5" fillId="0" borderId="10" xfId="0" applyFont="1" applyBorder="1" applyAlignment="1">
      <alignment horizontal="center" vertical="center"/>
    </xf>
    <xf numFmtId="0" fontId="5" fillId="0" borderId="5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18" xfId="0" applyFont="1" applyBorder="1"/>
    <xf numFmtId="0" fontId="5" fillId="10" borderId="0" xfId="0" applyFont="1" applyFill="1"/>
    <xf numFmtId="0" fontId="3" fillId="10" borderId="0" xfId="3" applyFont="1" applyFill="1" applyBorder="1"/>
    <xf numFmtId="168" fontId="3" fillId="10" borderId="0" xfId="3" applyNumberFormat="1" applyFont="1" applyFill="1" applyBorder="1" applyAlignment="1">
      <alignment horizontal="center"/>
    </xf>
    <xf numFmtId="0" fontId="5" fillId="10" borderId="0" xfId="0" applyFont="1" applyFill="1" applyBorder="1"/>
    <xf numFmtId="0" fontId="5" fillId="10" borderId="10" xfId="0" applyFont="1" applyFill="1" applyBorder="1"/>
    <xf numFmtId="0" fontId="3" fillId="10" borderId="10" xfId="3" applyFont="1" applyFill="1" applyBorder="1"/>
    <xf numFmtId="0" fontId="3" fillId="10" borderId="0" xfId="1" applyFont="1" applyFill="1" applyBorder="1"/>
    <xf numFmtId="0" fontId="3" fillId="10" borderId="0" xfId="1" applyFont="1" applyFill="1" applyBorder="1" applyAlignment="1">
      <alignment horizontal="right" vertical="center"/>
    </xf>
    <xf numFmtId="0" fontId="3" fillId="10" borderId="0" xfId="1" applyFont="1" applyFill="1" applyBorder="1" applyAlignment="1">
      <alignment horizontal="center" vertical="center"/>
    </xf>
    <xf numFmtId="0" fontId="3" fillId="10" borderId="0" xfId="1" applyFont="1" applyFill="1" applyBorder="1" applyAlignment="1">
      <alignment horizontal="right"/>
    </xf>
    <xf numFmtId="164" fontId="3" fillId="10" borderId="4" xfId="1" applyNumberFormat="1" applyFont="1" applyFill="1" applyBorder="1" applyAlignment="1"/>
    <xf numFmtId="164" fontId="3" fillId="10" borderId="0" xfId="1" applyNumberFormat="1" applyFont="1" applyFill="1" applyBorder="1" applyAlignment="1"/>
    <xf numFmtId="164" fontId="3" fillId="10" borderId="0" xfId="1" applyNumberFormat="1" applyFont="1" applyFill="1" applyBorder="1" applyAlignment="1">
      <alignment horizontal="right" vertical="center"/>
    </xf>
    <xf numFmtId="0" fontId="3" fillId="10" borderId="0" xfId="1" applyNumberFormat="1" applyFont="1" applyFill="1" applyBorder="1" applyAlignment="1">
      <alignment horizontal="center" vertical="center"/>
    </xf>
    <xf numFmtId="164" fontId="3" fillId="10" borderId="0" xfId="1" applyNumberFormat="1" applyFont="1" applyFill="1" applyBorder="1" applyAlignment="1">
      <alignment horizontal="right"/>
    </xf>
    <xf numFmtId="0" fontId="3" fillId="10" borderId="0" xfId="1" applyNumberFormat="1" applyFont="1" applyFill="1" applyBorder="1" applyAlignment="1"/>
    <xf numFmtId="0" fontId="5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right" vertical="center"/>
    </xf>
    <xf numFmtId="0" fontId="5" fillId="10" borderId="0" xfId="0" applyFont="1" applyFill="1" applyAlignment="1">
      <alignment horizontal="right"/>
    </xf>
    <xf numFmtId="0" fontId="3" fillId="10" borderId="0" xfId="1" applyNumberFormat="1" applyFont="1" applyFill="1" applyBorder="1" applyAlignment="1">
      <alignment horizontal="center"/>
    </xf>
    <xf numFmtId="164" fontId="3" fillId="2" borderId="8" xfId="1" applyNumberFormat="1" applyFont="1" applyFill="1" applyBorder="1" applyAlignment="1"/>
    <xf numFmtId="164" fontId="3" fillId="2" borderId="8" xfId="1" applyNumberFormat="1" applyFont="1" applyFill="1" applyBorder="1" applyAlignment="1">
      <alignment horizontal="right" vertical="center"/>
    </xf>
    <xf numFmtId="0" fontId="3" fillId="2" borderId="8" xfId="1" applyNumberFormat="1" applyFont="1" applyFill="1" applyBorder="1" applyAlignment="1">
      <alignment horizontal="center" vertical="center"/>
    </xf>
    <xf numFmtId="164" fontId="3" fillId="2" borderId="8" xfId="1" applyNumberFormat="1" applyFont="1" applyFill="1" applyBorder="1" applyAlignment="1">
      <alignment horizontal="right"/>
    </xf>
    <xf numFmtId="164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6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4" fontId="3" fillId="2" borderId="6" xfId="1" applyNumberFormat="1" applyFont="1" applyFill="1" applyBorder="1" applyAlignment="1"/>
    <xf numFmtId="164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4" fontId="3" fillId="2" borderId="6" xfId="1" applyNumberFormat="1" applyFont="1" applyFill="1" applyBorder="1" applyAlignment="1">
      <alignment horizontal="right"/>
    </xf>
    <xf numFmtId="164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6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0" fontId="10" fillId="9" borderId="2" xfId="1" applyFont="1" applyFill="1" applyBorder="1" applyAlignment="1">
      <alignment horizontal="center" vertical="center" wrapText="1"/>
    </xf>
    <xf numFmtId="0" fontId="3" fillId="9" borderId="11" xfId="0" applyFont="1" applyFill="1" applyBorder="1"/>
    <xf numFmtId="0" fontId="3" fillId="9" borderId="12" xfId="0" applyFont="1" applyFill="1" applyBorder="1" applyAlignment="1">
      <alignment horizontal="centerContinuous" vertical="center"/>
    </xf>
    <xf numFmtId="0" fontId="3" fillId="9" borderId="9" xfId="0" applyFont="1" applyFill="1" applyBorder="1" applyAlignment="1">
      <alignment horizontal="centerContinuous" vertical="center"/>
    </xf>
    <xf numFmtId="0" fontId="3" fillId="9" borderId="24" xfId="0" applyFont="1" applyFill="1" applyBorder="1" applyAlignment="1">
      <alignment horizontal="centerContinuous" vertical="center"/>
    </xf>
    <xf numFmtId="164" fontId="5" fillId="0" borderId="8" xfId="0" applyNumberFormat="1" applyFont="1" applyBorder="1"/>
    <xf numFmtId="0" fontId="5" fillId="0" borderId="8" xfId="0" applyFont="1" applyBorder="1"/>
    <xf numFmtId="174" fontId="3" fillId="9" borderId="12" xfId="0" applyNumberFormat="1" applyFont="1" applyFill="1" applyBorder="1" applyAlignment="1">
      <alignment horizontal="centerContinuous" vertical="center"/>
    </xf>
    <xf numFmtId="165" fontId="5" fillId="0" borderId="8" xfId="0" applyNumberFormat="1" applyFont="1" applyBorder="1"/>
    <xf numFmtId="165" fontId="5" fillId="0" borderId="6" xfId="0" applyNumberFormat="1" applyFont="1" applyBorder="1"/>
    <xf numFmtId="164" fontId="5" fillId="3" borderId="6" xfId="0" applyNumberFormat="1" applyFont="1" applyFill="1" applyBorder="1"/>
    <xf numFmtId="164" fontId="5" fillId="3" borderId="1" xfId="0" applyNumberFormat="1" applyFont="1" applyFill="1" applyBorder="1"/>
    <xf numFmtId="0" fontId="3" fillId="2" borderId="8" xfId="1" quotePrefix="1" applyFont="1" applyFill="1" applyBorder="1" applyAlignment="1">
      <alignment horizontal="left"/>
    </xf>
    <xf numFmtId="167" fontId="3" fillId="2" borderId="8" xfId="1" quotePrefix="1" applyNumberFormat="1" applyFont="1" applyFill="1" applyBorder="1" applyAlignment="1">
      <alignment horizontal="center"/>
    </xf>
    <xf numFmtId="0" fontId="3" fillId="2" borderId="8" xfId="1" quotePrefix="1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73" fontId="3" fillId="2" borderId="11" xfId="2" applyNumberFormat="1" applyFont="1" applyFill="1" applyBorder="1" applyAlignment="1">
      <alignment horizontal="right"/>
    </xf>
    <xf numFmtId="0" fontId="3" fillId="2" borderId="11" xfId="2" applyNumberFormat="1" applyFont="1" applyFill="1" applyBorder="1" applyAlignment="1">
      <alignment horizontal="right"/>
    </xf>
    <xf numFmtId="164" fontId="3" fillId="2" borderId="8" xfId="2" applyNumberFormat="1" applyFont="1" applyFill="1" applyBorder="1" applyAlignment="1">
      <alignment horizontal="center"/>
    </xf>
    <xf numFmtId="0" fontId="3" fillId="2" borderId="6" xfId="1" quotePrefix="1" applyFont="1" applyFill="1" applyBorder="1" applyAlignment="1">
      <alignment horizontal="left"/>
    </xf>
    <xf numFmtId="167" fontId="3" fillId="2" borderId="6" xfId="1" quotePrefix="1" applyNumberFormat="1" applyFont="1" applyFill="1" applyBorder="1" applyAlignment="1">
      <alignment horizontal="center"/>
    </xf>
    <xf numFmtId="0" fontId="3" fillId="2" borderId="6" xfId="1" quotePrefix="1" applyFont="1" applyFill="1" applyBorder="1" applyAlignment="1">
      <alignment horizontal="center"/>
    </xf>
    <xf numFmtId="0" fontId="3" fillId="2" borderId="6" xfId="1" applyFont="1" applyFill="1" applyBorder="1" applyAlignment="1">
      <alignment horizontal="center"/>
    </xf>
    <xf numFmtId="173" fontId="3" fillId="2" borderId="7" xfId="2" applyNumberFormat="1" applyFont="1" applyFill="1" applyBorder="1" applyAlignment="1">
      <alignment horizontal="right"/>
    </xf>
    <xf numFmtId="0" fontId="3" fillId="2" borderId="7" xfId="2" applyNumberFormat="1" applyFont="1" applyFill="1" applyBorder="1" applyAlignment="1">
      <alignment horizontal="right"/>
    </xf>
    <xf numFmtId="164" fontId="3" fillId="2" borderId="6" xfId="2" applyNumberFormat="1" applyFont="1" applyFill="1" applyBorder="1" applyAlignment="1">
      <alignment horizontal="center"/>
    </xf>
    <xf numFmtId="0" fontId="3" fillId="2" borderId="8" xfId="1" applyNumberFormat="1" applyFont="1" applyFill="1" applyBorder="1" applyAlignment="1">
      <alignment horizontal="center"/>
    </xf>
    <xf numFmtId="0" fontId="3" fillId="0" borderId="8" xfId="2" applyNumberFormat="1" applyFont="1" applyFill="1" applyBorder="1" applyAlignment="1">
      <alignment horizontal="center"/>
    </xf>
    <xf numFmtId="165" fontId="3" fillId="2" borderId="8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center"/>
    </xf>
    <xf numFmtId="0" fontId="3" fillId="0" borderId="6" xfId="2" applyNumberFormat="1" applyFont="1" applyFill="1" applyBorder="1" applyAlignment="1">
      <alignment horizontal="center"/>
    </xf>
    <xf numFmtId="165" fontId="3" fillId="2" borderId="6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center"/>
    </xf>
    <xf numFmtId="0" fontId="3" fillId="0" borderId="1" xfId="2" applyNumberFormat="1" applyFont="1" applyFill="1" applyBorder="1" applyAlignment="1">
      <alignment horizontal="center"/>
    </xf>
    <xf numFmtId="165" fontId="3" fillId="2" borderId="1" xfId="1" applyNumberFormat="1" applyFont="1" applyFill="1" applyBorder="1" applyAlignment="1">
      <alignment horizontal="right"/>
    </xf>
    <xf numFmtId="0" fontId="3" fillId="9" borderId="2" xfId="0" applyFont="1" applyFill="1" applyBorder="1" applyAlignment="1">
      <alignment horizontal="center" vertical="center"/>
    </xf>
    <xf numFmtId="174" fontId="3" fillId="9" borderId="2" xfId="0" applyNumberFormat="1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Continuous" vertical="center"/>
    </xf>
    <xf numFmtId="0" fontId="3" fillId="9" borderId="2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centerContinuous" vertical="center"/>
    </xf>
    <xf numFmtId="181" fontId="3" fillId="2" borderId="8" xfId="1" quotePrefix="1" applyNumberFormat="1" applyFont="1" applyFill="1" applyBorder="1" applyAlignment="1">
      <alignment horizontal="center"/>
    </xf>
    <xf numFmtId="181" fontId="3" fillId="2" borderId="6" xfId="1" quotePrefix="1" applyNumberFormat="1" applyFont="1" applyFill="1" applyBorder="1" applyAlignment="1">
      <alignment horizontal="center"/>
    </xf>
    <xf numFmtId="181" fontId="3" fillId="2" borderId="1" xfId="1" quotePrefix="1" applyNumberFormat="1" applyFont="1" applyFill="1" applyBorder="1" applyAlignment="1">
      <alignment horizontal="center"/>
    </xf>
    <xf numFmtId="164" fontId="3" fillId="2" borderId="8" xfId="1" applyNumberFormat="1" applyFont="1" applyFill="1" applyBorder="1" applyAlignment="1">
      <alignment horizontal="center"/>
    </xf>
    <xf numFmtId="164" fontId="3" fillId="2" borderId="6" xfId="1" applyNumberFormat="1" applyFont="1" applyFill="1" applyBorder="1" applyAlignment="1">
      <alignment horizontal="center"/>
    </xf>
    <xf numFmtId="174" fontId="3" fillId="9" borderId="2" xfId="0" applyNumberFormat="1" applyFont="1" applyFill="1" applyBorder="1" applyAlignment="1">
      <alignment horizontal="center" vertical="center" wrapText="1"/>
    </xf>
    <xf numFmtId="171" fontId="5" fillId="0" borderId="8" xfId="0" applyNumberFormat="1" applyFont="1" applyBorder="1"/>
    <xf numFmtId="171" fontId="5" fillId="0" borderId="6" xfId="0" applyNumberFormat="1" applyFont="1" applyBorder="1"/>
    <xf numFmtId="171" fontId="5" fillId="0" borderId="1" xfId="0" applyNumberFormat="1" applyFont="1" applyBorder="1"/>
    <xf numFmtId="0" fontId="3" fillId="6" borderId="0" xfId="3" applyFont="1" applyFill="1"/>
    <xf numFmtId="176" fontId="3" fillId="3" borderId="2" xfId="5" applyNumberFormat="1" applyFont="1" applyFill="1" applyBorder="1" applyAlignment="1"/>
    <xf numFmtId="176" fontId="3" fillId="3" borderId="24" xfId="5" applyNumberFormat="1" applyFont="1" applyFill="1" applyBorder="1" applyAlignment="1"/>
    <xf numFmtId="165" fontId="3" fillId="3" borderId="8" xfId="5" applyNumberFormat="1" applyFont="1" applyFill="1" applyBorder="1" applyAlignment="1">
      <alignment horizontal="center"/>
    </xf>
    <xf numFmtId="167" fontId="3" fillId="3" borderId="8" xfId="5" applyNumberFormat="1" applyFont="1" applyFill="1" applyBorder="1" applyAlignment="1">
      <alignment horizontal="center"/>
    </xf>
    <xf numFmtId="176" fontId="3" fillId="3" borderId="8" xfId="5" applyNumberFormat="1" applyFont="1" applyFill="1" applyBorder="1" applyAlignment="1">
      <alignment horizontal="center"/>
    </xf>
    <xf numFmtId="165" fontId="3" fillId="3" borderId="6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76" fontId="3" fillId="3" borderId="6" xfId="5" applyNumberFormat="1" applyFont="1" applyFill="1" applyBorder="1" applyAlignment="1">
      <alignment horizontal="center"/>
    </xf>
    <xf numFmtId="165" fontId="3" fillId="3" borderId="1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76" fontId="3" fillId="3" borderId="1" xfId="5" applyNumberFormat="1" applyFont="1" applyFill="1" applyBorder="1" applyAlignment="1">
      <alignment horizontal="center"/>
    </xf>
    <xf numFmtId="0" fontId="3" fillId="3" borderId="0" xfId="4" applyFont="1" applyFill="1" applyBorder="1"/>
    <xf numFmtId="175" fontId="3" fillId="3" borderId="2" xfId="5" applyNumberFormat="1" applyFont="1" applyFill="1" applyBorder="1" applyAlignment="1"/>
    <xf numFmtId="0" fontId="3" fillId="6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1" xfId="4" applyFont="1" applyFill="1" applyBorder="1"/>
    <xf numFmtId="0" fontId="3" fillId="3" borderId="12" xfId="4" applyFont="1" applyFill="1" applyBorder="1"/>
    <xf numFmtId="0" fontId="11" fillId="3" borderId="12" xfId="4" applyFont="1" applyFill="1" applyBorder="1" applyAlignment="1">
      <alignment horizontal="center"/>
    </xf>
    <xf numFmtId="0" fontId="11" fillId="3" borderId="12" xfId="4" applyFont="1" applyFill="1" applyBorder="1"/>
    <xf numFmtId="0" fontId="3" fillId="3" borderId="9" xfId="4" applyFont="1" applyFill="1" applyBorder="1"/>
    <xf numFmtId="0" fontId="3" fillId="3" borderId="7" xfId="4" applyFont="1" applyFill="1" applyBorder="1"/>
    <xf numFmtId="0" fontId="3" fillId="3" borderId="10" xfId="4" applyFont="1" applyFill="1" applyBorder="1"/>
    <xf numFmtId="0" fontId="3" fillId="3" borderId="5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5" fontId="3" fillId="3" borderId="12" xfId="4" applyNumberFormat="1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9" borderId="8" xfId="1" applyNumberFormat="1" applyFont="1" applyFill="1" applyBorder="1" applyAlignment="1">
      <alignment horizontal="center" vertical="center"/>
    </xf>
    <xf numFmtId="176" fontId="3" fillId="3" borderId="11" xfId="5" applyNumberFormat="1" applyFont="1" applyFill="1" applyBorder="1" applyAlignment="1"/>
    <xf numFmtId="176" fontId="3" fillId="3" borderId="8" xfId="5" applyNumberFormat="1" applyFont="1" applyFill="1" applyBorder="1" applyAlignment="1"/>
    <xf numFmtId="0" fontId="3" fillId="9" borderId="6" xfId="1" applyNumberFormat="1" applyFont="1" applyFill="1" applyBorder="1" applyAlignment="1">
      <alignment horizontal="center" vertical="center"/>
    </xf>
    <xf numFmtId="176" fontId="3" fillId="3" borderId="7" xfId="5" applyNumberFormat="1" applyFont="1" applyFill="1" applyBorder="1" applyAlignment="1"/>
    <xf numFmtId="176" fontId="3" fillId="3" borderId="6" xfId="5" applyNumberFormat="1" applyFont="1" applyFill="1" applyBorder="1" applyAlignment="1"/>
    <xf numFmtId="0" fontId="3" fillId="9" borderId="1" xfId="1" applyNumberFormat="1" applyFont="1" applyFill="1" applyBorder="1" applyAlignment="1">
      <alignment horizontal="center" vertical="center"/>
    </xf>
    <xf numFmtId="176" fontId="3" fillId="3" borderId="5" xfId="5" applyNumberFormat="1" applyFont="1" applyFill="1" applyBorder="1" applyAlignment="1"/>
    <xf numFmtId="176" fontId="3" fillId="3" borderId="1" xfId="5" applyNumberFormat="1" applyFont="1" applyFill="1" applyBorder="1" applyAlignment="1"/>
    <xf numFmtId="176" fontId="3" fillId="11" borderId="11" xfId="5" applyNumberFormat="1" applyFont="1" applyFill="1" applyBorder="1" applyAlignment="1"/>
    <xf numFmtId="176" fontId="3" fillId="11" borderId="8" xfId="5" applyNumberFormat="1" applyFont="1" applyFill="1" applyBorder="1" applyAlignment="1"/>
    <xf numFmtId="176" fontId="3" fillId="11" borderId="7" xfId="5" applyNumberFormat="1" applyFont="1" applyFill="1" applyBorder="1" applyAlignment="1"/>
    <xf numFmtId="176" fontId="3" fillId="11" borderId="6" xfId="5" applyNumberFormat="1" applyFont="1" applyFill="1" applyBorder="1" applyAlignment="1"/>
    <xf numFmtId="176" fontId="3" fillId="11" borderId="5" xfId="5" applyNumberFormat="1" applyFont="1" applyFill="1" applyBorder="1" applyAlignment="1"/>
    <xf numFmtId="176" fontId="3" fillId="11" borderId="1" xfId="5" applyNumberFormat="1" applyFont="1" applyFill="1" applyBorder="1" applyAlignment="1"/>
    <xf numFmtId="0" fontId="3" fillId="3" borderId="2" xfId="1" applyNumberFormat="1" applyFont="1" applyFill="1" applyBorder="1" applyAlignment="1">
      <alignment horizontal="center" vertical="center" wrapText="1"/>
    </xf>
    <xf numFmtId="176" fontId="3" fillId="3" borderId="2" xfId="5" applyNumberFormat="1" applyFont="1" applyFill="1" applyBorder="1" applyAlignment="1">
      <alignment wrapText="1"/>
    </xf>
    <xf numFmtId="0" fontId="5" fillId="0" borderId="13" xfId="0" applyFont="1" applyBorder="1"/>
    <xf numFmtId="0" fontId="5" fillId="5" borderId="6" xfId="0" applyFont="1" applyFill="1" applyBorder="1"/>
    <xf numFmtId="0" fontId="3" fillId="9" borderId="19" xfId="0" applyFont="1" applyFill="1" applyBorder="1"/>
    <xf numFmtId="0" fontId="3" fillId="9" borderId="21" xfId="0" applyFont="1" applyFill="1" applyBorder="1" applyAlignment="1">
      <alignment horizontal="centerContinuous" vertical="center"/>
    </xf>
    <xf numFmtId="0" fontId="3" fillId="9" borderId="22" xfId="0" applyFont="1" applyFill="1" applyBorder="1" applyAlignment="1">
      <alignment horizontal="centerContinuous" vertical="center"/>
    </xf>
    <xf numFmtId="0" fontId="3" fillId="9" borderId="23" xfId="0" applyFont="1" applyFill="1" applyBorder="1" applyAlignment="1">
      <alignment horizontal="centerContinuous" vertical="center"/>
    </xf>
    <xf numFmtId="0" fontId="5" fillId="10" borderId="6" xfId="0" applyFont="1" applyFill="1" applyBorder="1"/>
    <xf numFmtId="0" fontId="5" fillId="0" borderId="15" xfId="0" applyFont="1" applyBorder="1"/>
    <xf numFmtId="0" fontId="5" fillId="5" borderId="16" xfId="0" applyFont="1" applyFill="1" applyBorder="1"/>
    <xf numFmtId="181" fontId="3" fillId="9" borderId="20" xfId="0" applyNumberFormat="1" applyFont="1" applyFill="1" applyBorder="1" applyAlignment="1">
      <alignment horizontal="centerContinuous" vertical="center"/>
    </xf>
    <xf numFmtId="181" fontId="5" fillId="0" borderId="6" xfId="0" applyNumberFormat="1" applyFont="1" applyBorder="1"/>
    <xf numFmtId="181" fontId="5" fillId="0" borderId="16" xfId="0" applyNumberFormat="1" applyFont="1" applyBorder="1"/>
    <xf numFmtId="181" fontId="5" fillId="10" borderId="0" xfId="0" applyNumberFormat="1" applyFont="1" applyFill="1"/>
    <xf numFmtId="181" fontId="3" fillId="9" borderId="22" xfId="0" applyNumberFormat="1" applyFont="1" applyFill="1" applyBorder="1" applyAlignment="1">
      <alignment horizontal="centerContinuous" vertical="center"/>
    </xf>
    <xf numFmtId="165" fontId="5" fillId="0" borderId="1" xfId="0" applyNumberFormat="1" applyFont="1" applyBorder="1"/>
    <xf numFmtId="171" fontId="5" fillId="10" borderId="0" xfId="0" applyNumberFormat="1" applyFont="1" applyFill="1"/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15:49:14</v>
        <stp/>
        <stp>{2536B33F-9D54-43A3-BBDA-B108C84ECA71}_x0000_</stp>
        <tr r="G13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</xdr:row>
          <xdr:rowOff>57150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51"/>
  <sheetViews>
    <sheetView showGridLines="0" tabSelected="1" workbookViewId="0">
      <selection activeCell="D8" sqref="D8"/>
    </sheetView>
  </sheetViews>
  <sheetFormatPr defaultRowHeight="11.25" x14ac:dyDescent="0.2"/>
  <cols>
    <col min="1" max="2" width="2.7109375" style="72" customWidth="1"/>
    <col min="3" max="3" width="20.28515625" style="72" bestFit="1" customWidth="1"/>
    <col min="4" max="4" width="27.5703125" style="72" bestFit="1" customWidth="1"/>
    <col min="5" max="7" width="2.7109375" style="72" customWidth="1"/>
    <col min="8" max="8" width="20.28515625" style="72" bestFit="1" customWidth="1"/>
    <col min="9" max="9" width="24.28515625" style="72" customWidth="1"/>
    <col min="10" max="10" width="2.7109375" style="72" customWidth="1"/>
    <col min="11" max="13" width="9.140625" style="72"/>
    <col min="14" max="14" width="9.7109375" style="72" bestFit="1" customWidth="1"/>
    <col min="15" max="16384" width="9.140625" style="72"/>
  </cols>
  <sheetData>
    <row r="2" spans="1:10" ht="11.25" customHeight="1" x14ac:dyDescent="0.2">
      <c r="C2" s="34" t="s">
        <v>69</v>
      </c>
      <c r="D2" s="35">
        <f>_xll.qlSettingsEvaluationDate(Trigger)</f>
        <v>42199</v>
      </c>
    </row>
    <row r="3" spans="1:10" ht="11.25" customHeight="1" x14ac:dyDescent="0.2">
      <c r="C3" s="36" t="s">
        <v>83</v>
      </c>
      <c r="D3" s="37">
        <f>_xll.qlCalendarAdvance(Calendar,Evaluationdate,"2D","F",,Trigger)</f>
        <v>42201</v>
      </c>
    </row>
    <row r="4" spans="1:10" ht="11.25" customHeight="1" x14ac:dyDescent="0.2">
      <c r="A4" s="75"/>
      <c r="B4" s="76"/>
      <c r="C4" s="36" t="s">
        <v>33</v>
      </c>
      <c r="D4" s="38" t="s">
        <v>34</v>
      </c>
    </row>
    <row r="5" spans="1:10" ht="11.25" customHeight="1" x14ac:dyDescent="0.2">
      <c r="A5" s="75"/>
      <c r="B5" s="77"/>
      <c r="C5" s="36" t="s">
        <v>23</v>
      </c>
      <c r="D5" s="39" t="s">
        <v>36</v>
      </c>
    </row>
    <row r="6" spans="1:10" ht="11.25" customHeight="1" x14ac:dyDescent="0.2">
      <c r="A6" s="75"/>
      <c r="B6" s="77"/>
      <c r="C6" s="36" t="s">
        <v>30</v>
      </c>
      <c r="D6" s="38" t="b">
        <v>1</v>
      </c>
    </row>
    <row r="7" spans="1:10" ht="11.25" customHeight="1" x14ac:dyDescent="0.2">
      <c r="A7" s="75"/>
      <c r="B7" s="77"/>
      <c r="C7" s="36" t="s">
        <v>31</v>
      </c>
      <c r="D7" s="38" t="b">
        <v>1</v>
      </c>
    </row>
    <row r="8" spans="1:10" ht="11.25" customHeight="1" x14ac:dyDescent="0.2">
      <c r="A8" s="75"/>
      <c r="B8" s="77"/>
      <c r="C8" s="42" t="s">
        <v>29</v>
      </c>
      <c r="D8" s="43"/>
    </row>
    <row r="9" spans="1:10" ht="11.25" customHeight="1" x14ac:dyDescent="0.2">
      <c r="B9" s="73"/>
      <c r="C9" s="40" t="s">
        <v>32</v>
      </c>
      <c r="D9" s="41" t="s">
        <v>175</v>
      </c>
    </row>
    <row r="10" spans="1:10" ht="11.25" customHeight="1" x14ac:dyDescent="0.2"/>
    <row r="11" spans="1:10" x14ac:dyDescent="0.2">
      <c r="B11" s="61"/>
      <c r="C11" s="62"/>
      <c r="D11" s="62"/>
      <c r="E11" s="63"/>
      <c r="G11" s="61"/>
      <c r="H11" s="62"/>
      <c r="I11" s="62"/>
      <c r="J11" s="63"/>
    </row>
    <row r="12" spans="1:10" x14ac:dyDescent="0.2">
      <c r="B12" s="64"/>
      <c r="C12" s="44" t="s">
        <v>19</v>
      </c>
      <c r="D12" s="65" t="str">
        <f>_xll.qlPiecewiseYieldCurve(D14,D15,Calendar,_xll.ohPack(EURSTD!R3:R71),,,,D16,D17,D18,Permanent,,ObjectOverwrite)</f>
        <v>_MXEURSTD#0005</v>
      </c>
      <c r="E12" s="66"/>
      <c r="G12" s="45"/>
      <c r="H12" s="44" t="s">
        <v>19</v>
      </c>
      <c r="I12" s="65" t="str">
        <f>_xll.qlPiecewiseYieldCurve(I14,I15,Calendar,_xll.ohPack(EUR3M!R3:R71),,,,I16,I17,I18,Permanent,,ObjectOverwrite)</f>
        <v>_MXEUR3M#0020</v>
      </c>
      <c r="J12" s="66"/>
    </row>
    <row r="13" spans="1:10" x14ac:dyDescent="0.2">
      <c r="B13" s="64"/>
      <c r="C13" s="46" t="s">
        <v>20</v>
      </c>
      <c r="D13" s="67" t="str">
        <f>_xll.ohRangeRetrieveError(YieldCurve_STD)</f>
        <v/>
      </c>
      <c r="E13" s="66"/>
      <c r="G13" s="45"/>
      <c r="H13" s="46" t="s">
        <v>20</v>
      </c>
      <c r="I13" s="67" t="str">
        <f>_xll.ohRangeRetrieveError(YieldCurve_3M)</f>
        <v/>
      </c>
      <c r="J13" s="66"/>
    </row>
    <row r="14" spans="1:10" x14ac:dyDescent="0.2">
      <c r="B14" s="64"/>
      <c r="C14" s="44" t="s">
        <v>21</v>
      </c>
      <c r="D14" s="47" t="s">
        <v>41</v>
      </c>
      <c r="E14" s="66"/>
      <c r="G14" s="45"/>
      <c r="H14" s="44" t="s">
        <v>21</v>
      </c>
      <c r="I14" s="47" t="s">
        <v>40</v>
      </c>
      <c r="J14" s="66"/>
    </row>
    <row r="15" spans="1:10" x14ac:dyDescent="0.2">
      <c r="B15" s="64"/>
      <c r="C15" s="48" t="s">
        <v>22</v>
      </c>
      <c r="D15" s="49">
        <v>0</v>
      </c>
      <c r="E15" s="66"/>
      <c r="G15" s="45"/>
      <c r="H15" s="48" t="s">
        <v>22</v>
      </c>
      <c r="I15" s="49">
        <v>0</v>
      </c>
      <c r="J15" s="66"/>
    </row>
    <row r="16" spans="1:10" x14ac:dyDescent="0.2">
      <c r="B16" s="64"/>
      <c r="C16" s="48" t="s">
        <v>24</v>
      </c>
      <c r="D16" s="50"/>
      <c r="E16" s="66"/>
      <c r="G16" s="45"/>
      <c r="H16" s="48" t="s">
        <v>24</v>
      </c>
      <c r="I16" s="50"/>
      <c r="J16" s="66"/>
    </row>
    <row r="17" spans="1:10" x14ac:dyDescent="0.2">
      <c r="B17" s="64"/>
      <c r="C17" s="48" t="s">
        <v>25</v>
      </c>
      <c r="D17" s="51" t="s">
        <v>26</v>
      </c>
      <c r="E17" s="66"/>
      <c r="G17" s="45"/>
      <c r="H17" s="48" t="s">
        <v>25</v>
      </c>
      <c r="I17" s="51" t="s">
        <v>26</v>
      </c>
      <c r="J17" s="66"/>
    </row>
    <row r="18" spans="1:10" x14ac:dyDescent="0.2">
      <c r="B18" s="64"/>
      <c r="C18" s="46" t="s">
        <v>27</v>
      </c>
      <c r="D18" s="52" t="s">
        <v>28</v>
      </c>
      <c r="E18" s="66"/>
      <c r="G18" s="45"/>
      <c r="H18" s="46" t="s">
        <v>27</v>
      </c>
      <c r="I18" s="52" t="s">
        <v>28</v>
      </c>
      <c r="J18" s="66"/>
    </row>
    <row r="19" spans="1:10" x14ac:dyDescent="0.2">
      <c r="B19" s="64"/>
      <c r="C19" s="53"/>
      <c r="D19" s="53"/>
      <c r="E19" s="66"/>
      <c r="G19" s="45"/>
      <c r="H19" s="53"/>
      <c r="I19" s="53"/>
      <c r="J19" s="66"/>
    </row>
    <row r="20" spans="1:10" x14ac:dyDescent="0.2">
      <c r="B20" s="64"/>
      <c r="C20" s="54">
        <f>_xll.qlTermStructureReferenceDate(D12)</f>
        <v>42199</v>
      </c>
      <c r="D20" s="55">
        <f>_xll.qlYieldTSDiscount(YieldCurve_STD,C20,,Trigger)</f>
        <v>1</v>
      </c>
      <c r="E20" s="66"/>
      <c r="G20" s="45"/>
      <c r="H20" s="54">
        <f>_xll.qlTermStructureReferenceDate(I12)</f>
        <v>42199</v>
      </c>
      <c r="I20" s="55">
        <f>_xll.qlYieldTSDiscount(YieldCurve_3M,H20,,Trigger)</f>
        <v>1</v>
      </c>
      <c r="J20" s="66"/>
    </row>
    <row r="21" spans="1:10" x14ac:dyDescent="0.2">
      <c r="B21" s="64"/>
      <c r="C21" s="56">
        <f>MAX(_xll.ohPack(EURSTD!U3:U71))</f>
        <v>64116</v>
      </c>
      <c r="D21" s="57">
        <f>_xll.qlYieldTSDiscount(YieldCurve_STD,C21,,Trigger)</f>
        <v>0.35443786497455237</v>
      </c>
      <c r="E21" s="66"/>
      <c r="G21" s="45"/>
      <c r="H21" s="56">
        <f>MAX(_xll.ohPack(EUR3M!U3:U71))</f>
        <v>64116</v>
      </c>
      <c r="I21" s="57">
        <f>_xll.qlYieldTSDiscount(YieldCurve_3M,H21,,Trigger)</f>
        <v>0.35906799010413853</v>
      </c>
      <c r="J21" s="66"/>
    </row>
    <row r="22" spans="1:10" x14ac:dyDescent="0.2">
      <c r="B22" s="64"/>
      <c r="C22" s="58" t="str">
        <f>Euribor!D3</f>
        <v>EURSTD</v>
      </c>
      <c r="D22" s="59" t="b">
        <f>_xll.qlRelinkableHandleLinkTo(C22,D12,Trigger)</f>
        <v>1</v>
      </c>
      <c r="E22" s="66"/>
      <c r="G22" s="45"/>
      <c r="H22" s="58" t="str">
        <f>Euribor!D6</f>
        <v>EUR3M</v>
      </c>
      <c r="I22" s="59" t="b">
        <f>_xll.qlRelinkableHandleLinkTo(H22,I12,Trigger)</f>
        <v>1</v>
      </c>
      <c r="J22" s="66"/>
    </row>
    <row r="23" spans="1:10" x14ac:dyDescent="0.2">
      <c r="B23" s="68"/>
      <c r="C23" s="69"/>
      <c r="D23" s="69"/>
      <c r="E23" s="70"/>
      <c r="G23" s="68"/>
      <c r="H23" s="69"/>
      <c r="I23" s="69"/>
      <c r="J23" s="70"/>
    </row>
    <row r="24" spans="1:10" x14ac:dyDescent="0.2">
      <c r="A24" s="75"/>
      <c r="B24" s="75"/>
      <c r="C24" s="75"/>
      <c r="D24" s="75"/>
      <c r="E24" s="75"/>
      <c r="G24" s="75"/>
      <c r="H24" s="75"/>
      <c r="I24" s="75"/>
      <c r="J24" s="75"/>
    </row>
    <row r="25" spans="1:10" x14ac:dyDescent="0.2">
      <c r="B25" s="61"/>
      <c r="C25" s="71"/>
      <c r="D25" s="71"/>
      <c r="E25" s="63"/>
      <c r="F25" s="74"/>
      <c r="G25" s="61"/>
      <c r="H25" s="62"/>
      <c r="I25" s="62"/>
      <c r="J25" s="63"/>
    </row>
    <row r="26" spans="1:10" x14ac:dyDescent="0.2">
      <c r="B26" s="64"/>
      <c r="C26" s="44" t="s">
        <v>19</v>
      </c>
      <c r="D26" s="65" t="str">
        <f>_xll.qlPiecewiseYieldCurve(D28,D29,Calendar,_xll.ohPack(EUR6M!R3:R71),,,,D30,D31,D32,Permanent,,ObjectOverwrite)</f>
        <v>_MXEUR6M#0013</v>
      </c>
      <c r="E26" s="66"/>
      <c r="F26" s="74"/>
      <c r="G26" s="45"/>
      <c r="H26" s="44" t="s">
        <v>19</v>
      </c>
      <c r="I26" s="65" t="str">
        <f>_xll.qlPiecewiseYieldCurve(I28,I29,Calendar,_xll.ohPack(EUR1M!R3:R82),,,,I30,I31,I32,Permanent,,ObjectOverwrite)</f>
        <v>_MXEUR1M#0005</v>
      </c>
      <c r="J26" s="66"/>
    </row>
    <row r="27" spans="1:10" x14ac:dyDescent="0.2">
      <c r="B27" s="64"/>
      <c r="C27" s="46" t="s">
        <v>20</v>
      </c>
      <c r="D27" s="67" t="str">
        <f>_xll.ohRangeRetrieveError(YieldCurve_6M)</f>
        <v/>
      </c>
      <c r="E27" s="66"/>
      <c r="F27" s="74"/>
      <c r="G27" s="45"/>
      <c r="H27" s="46" t="s">
        <v>20</v>
      </c>
      <c r="I27" s="67" t="str">
        <f>_xll.ohRangeRetrieveError(YieldCurve_1M)</f>
        <v/>
      </c>
      <c r="J27" s="66"/>
    </row>
    <row r="28" spans="1:10" x14ac:dyDescent="0.2">
      <c r="B28" s="45"/>
      <c r="C28" s="44" t="s">
        <v>21</v>
      </c>
      <c r="D28" s="47" t="s">
        <v>42</v>
      </c>
      <c r="E28" s="66"/>
      <c r="F28" s="74"/>
      <c r="G28" s="45"/>
      <c r="H28" s="44" t="s">
        <v>21</v>
      </c>
      <c r="I28" s="47" t="s">
        <v>48</v>
      </c>
      <c r="J28" s="66"/>
    </row>
    <row r="29" spans="1:10" x14ac:dyDescent="0.2">
      <c r="B29" s="45"/>
      <c r="C29" s="48" t="s">
        <v>22</v>
      </c>
      <c r="D29" s="49">
        <v>0</v>
      </c>
      <c r="E29" s="66"/>
      <c r="F29" s="74"/>
      <c r="G29" s="45"/>
      <c r="H29" s="48" t="s">
        <v>22</v>
      </c>
      <c r="I29" s="49">
        <v>0</v>
      </c>
      <c r="J29" s="66"/>
    </row>
    <row r="30" spans="1:10" x14ac:dyDescent="0.2">
      <c r="B30" s="45"/>
      <c r="C30" s="48" t="s">
        <v>24</v>
      </c>
      <c r="D30" s="50"/>
      <c r="E30" s="66"/>
      <c r="F30" s="74"/>
      <c r="G30" s="45"/>
      <c r="H30" s="48" t="s">
        <v>24</v>
      </c>
      <c r="I30" s="50"/>
      <c r="J30" s="66"/>
    </row>
    <row r="31" spans="1:10" x14ac:dyDescent="0.2">
      <c r="B31" s="45"/>
      <c r="C31" s="48" t="s">
        <v>25</v>
      </c>
      <c r="D31" s="51" t="s">
        <v>26</v>
      </c>
      <c r="E31" s="66"/>
      <c r="F31" s="74"/>
      <c r="G31" s="45"/>
      <c r="H31" s="48" t="s">
        <v>25</v>
      </c>
      <c r="I31" s="51" t="s">
        <v>189</v>
      </c>
      <c r="J31" s="66"/>
    </row>
    <row r="32" spans="1:10" x14ac:dyDescent="0.2">
      <c r="B32" s="45"/>
      <c r="C32" s="46" t="s">
        <v>27</v>
      </c>
      <c r="D32" s="52" t="s">
        <v>28</v>
      </c>
      <c r="E32" s="66"/>
      <c r="F32" s="74"/>
      <c r="G32" s="45"/>
      <c r="H32" s="46" t="s">
        <v>27</v>
      </c>
      <c r="I32" s="52" t="s">
        <v>190</v>
      </c>
      <c r="J32" s="66"/>
    </row>
    <row r="33" spans="2:10" x14ac:dyDescent="0.2">
      <c r="B33" s="45"/>
      <c r="C33" s="53"/>
      <c r="D33" s="53"/>
      <c r="E33" s="66"/>
      <c r="F33" s="74"/>
      <c r="G33" s="45"/>
      <c r="H33" s="53"/>
      <c r="I33" s="53"/>
      <c r="J33" s="66"/>
    </row>
    <row r="34" spans="2:10" x14ac:dyDescent="0.2">
      <c r="B34" s="45"/>
      <c r="C34" s="54">
        <f>_xll.qlTermStructureReferenceDate(D26)</f>
        <v>42199</v>
      </c>
      <c r="D34" s="55">
        <f>_xll.qlYieldTSDiscount(YieldCurve_6M,C34,,Trigger)</f>
        <v>1</v>
      </c>
      <c r="E34" s="66"/>
      <c r="F34" s="74"/>
      <c r="G34" s="45"/>
      <c r="H34" s="54">
        <f>_xll.qlTermStructureReferenceDate(I26)</f>
        <v>42199</v>
      </c>
      <c r="I34" s="55">
        <f>_xll.qlYieldTSDiscount(YieldCurve_1M,H34,,Trigger)</f>
        <v>1</v>
      </c>
      <c r="J34" s="66"/>
    </row>
    <row r="35" spans="2:10" x14ac:dyDescent="0.2">
      <c r="B35" s="45"/>
      <c r="C35" s="56">
        <f>MAX(_xll.ohPack(EUR6M!U3:U71))</f>
        <v>64116</v>
      </c>
      <c r="D35" s="57">
        <f>_xll.qlYieldTSDiscount(YieldCurve_6M,C35,,Trigger)</f>
        <v>0.35485224315449715</v>
      </c>
      <c r="E35" s="66"/>
      <c r="F35" s="74"/>
      <c r="G35" s="45"/>
      <c r="H35" s="56">
        <f>MAX(_xll.ohPack(EUR6M!U3:U82))</f>
        <v>64116</v>
      </c>
      <c r="I35" s="57">
        <f>_xll.qlYieldTSDiscount(YieldCurve_1M,H35,,Trigger)</f>
        <v>0.36875034822240094</v>
      </c>
      <c r="J35" s="66"/>
    </row>
    <row r="36" spans="2:10" x14ac:dyDescent="0.2">
      <c r="B36" s="45"/>
      <c r="C36" s="58" t="str">
        <f>Euribor!D7</f>
        <v>EUR6M</v>
      </c>
      <c r="D36" s="60" t="b">
        <f>_xll.qlRelinkableHandleLinkTo(C36,D26,Trigger)</f>
        <v>1</v>
      </c>
      <c r="E36" s="66"/>
      <c r="F36" s="74"/>
      <c r="G36" s="45"/>
      <c r="H36" s="58" t="str">
        <f>Euribor!D5</f>
        <v>EUR1M</v>
      </c>
      <c r="I36" s="59" t="b">
        <f>_xll.qlRelinkableHandleLinkTo(H36,I26,Trigger)</f>
        <v>1</v>
      </c>
      <c r="J36" s="66"/>
    </row>
    <row r="37" spans="2:10" x14ac:dyDescent="0.2">
      <c r="B37" s="68"/>
      <c r="C37" s="69"/>
      <c r="D37" s="69"/>
      <c r="E37" s="70"/>
      <c r="F37" s="74"/>
      <c r="G37" s="68"/>
      <c r="H37" s="69"/>
      <c r="I37" s="69"/>
      <c r="J37" s="70"/>
    </row>
    <row r="38" spans="2:10" x14ac:dyDescent="0.2">
      <c r="F38" s="74"/>
    </row>
    <row r="39" spans="2:10" x14ac:dyDescent="0.2">
      <c r="B39" s="61"/>
      <c r="C39" s="62"/>
      <c r="D39" s="62"/>
      <c r="E39" s="63"/>
      <c r="F39" s="74"/>
      <c r="G39" s="61"/>
      <c r="H39" s="62"/>
      <c r="I39" s="62"/>
      <c r="J39" s="63"/>
    </row>
    <row r="40" spans="2:10" x14ac:dyDescent="0.2">
      <c r="B40" s="45"/>
      <c r="C40" s="44" t="s">
        <v>19</v>
      </c>
      <c r="D40" s="65" t="str">
        <f>_xll.qlPiecewiseYieldCurve(D42,D43,Calendar,_xll.ohPack(EUR1Y!R3:R71),,,,D44,D45,D46,Permanent,,ObjectOverwrite)</f>
        <v>_MXEUR1Y#0009</v>
      </c>
      <c r="E40" s="66"/>
      <c r="F40" s="74"/>
      <c r="G40" s="45"/>
      <c r="H40" s="44" t="s">
        <v>19</v>
      </c>
      <c r="I40" s="65" t="str">
        <f>_xll.qlPiecewiseYieldCurve(I42,I43,Calendar,_xll.ohPack(EURON!R3:R71),,,,I44,I45,I46,Permanent,,ObjectOverwrite)</f>
        <v>_MXEURON#0010</v>
      </c>
      <c r="J40" s="66"/>
    </row>
    <row r="41" spans="2:10" x14ac:dyDescent="0.2">
      <c r="B41" s="45"/>
      <c r="C41" s="46" t="s">
        <v>20</v>
      </c>
      <c r="D41" s="67" t="str">
        <f>_xll.ohRangeRetrieveError(YieldCurve_1Y)</f>
        <v/>
      </c>
      <c r="E41" s="66"/>
      <c r="G41" s="45"/>
      <c r="H41" s="46" t="s">
        <v>20</v>
      </c>
      <c r="I41" s="67" t="str">
        <f>_xll.ohRangeRetrieveError(YieldCurve_ON)</f>
        <v/>
      </c>
      <c r="J41" s="66"/>
    </row>
    <row r="42" spans="2:10" x14ac:dyDescent="0.2">
      <c r="B42" s="45"/>
      <c r="C42" s="44" t="s">
        <v>21</v>
      </c>
      <c r="D42" s="47" t="s">
        <v>49</v>
      </c>
      <c r="E42" s="66"/>
      <c r="G42" s="45"/>
      <c r="H42" s="44" t="s">
        <v>21</v>
      </c>
      <c r="I42" s="47" t="s">
        <v>52</v>
      </c>
      <c r="J42" s="66"/>
    </row>
    <row r="43" spans="2:10" x14ac:dyDescent="0.2">
      <c r="B43" s="45"/>
      <c r="C43" s="48" t="s">
        <v>22</v>
      </c>
      <c r="D43" s="49">
        <v>0</v>
      </c>
      <c r="E43" s="66"/>
      <c r="G43" s="45"/>
      <c r="H43" s="48" t="s">
        <v>22</v>
      </c>
      <c r="I43" s="49">
        <v>0</v>
      </c>
      <c r="J43" s="66"/>
    </row>
    <row r="44" spans="2:10" x14ac:dyDescent="0.2">
      <c r="B44" s="45"/>
      <c r="C44" s="48" t="s">
        <v>24</v>
      </c>
      <c r="D44" s="50"/>
      <c r="E44" s="66"/>
      <c r="G44" s="45"/>
      <c r="H44" s="48" t="s">
        <v>24</v>
      </c>
      <c r="I44" s="50"/>
      <c r="J44" s="66"/>
    </row>
    <row r="45" spans="2:10" x14ac:dyDescent="0.2">
      <c r="B45" s="45"/>
      <c r="C45" s="48" t="s">
        <v>25</v>
      </c>
      <c r="D45" s="51" t="s">
        <v>26</v>
      </c>
      <c r="E45" s="66"/>
      <c r="G45" s="45"/>
      <c r="H45" s="48" t="s">
        <v>25</v>
      </c>
      <c r="I45" s="51" t="s">
        <v>189</v>
      </c>
      <c r="J45" s="66"/>
    </row>
    <row r="46" spans="2:10" x14ac:dyDescent="0.2">
      <c r="B46" s="45"/>
      <c r="C46" s="46" t="s">
        <v>27</v>
      </c>
      <c r="D46" s="52" t="s">
        <v>28</v>
      </c>
      <c r="E46" s="66"/>
      <c r="G46" s="45"/>
      <c r="H46" s="46" t="s">
        <v>27</v>
      </c>
      <c r="I46" s="52" t="s">
        <v>190</v>
      </c>
      <c r="J46" s="66"/>
    </row>
    <row r="47" spans="2:10" x14ac:dyDescent="0.2">
      <c r="B47" s="45"/>
      <c r="C47" s="53"/>
      <c r="D47" s="53"/>
      <c r="E47" s="66"/>
      <c r="G47" s="45"/>
      <c r="H47" s="53"/>
      <c r="I47" s="53"/>
      <c r="J47" s="66"/>
    </row>
    <row r="48" spans="2:10" x14ac:dyDescent="0.2">
      <c r="B48" s="45"/>
      <c r="C48" s="54">
        <f>_xll.qlTermStructureReferenceDate(D40)</f>
        <v>42199</v>
      </c>
      <c r="D48" s="55">
        <f>_xll.qlYieldTSDiscount(YieldCurve_1Y,C48,,Trigger)</f>
        <v>1</v>
      </c>
      <c r="E48" s="66"/>
      <c r="G48" s="45"/>
      <c r="H48" s="54">
        <f>_xll.qlTermStructureReferenceDate(I40)</f>
        <v>42199</v>
      </c>
      <c r="I48" s="55">
        <f>_xll.qlYieldTSDiscount(YieldCurve_ON,H48,,Trigger)</f>
        <v>1</v>
      </c>
      <c r="J48" s="66"/>
    </row>
    <row r="49" spans="2:10" x14ac:dyDescent="0.2">
      <c r="B49" s="45"/>
      <c r="C49" s="56">
        <f>MAX(_xll.ohPack(EUR1Y!U3:U71))</f>
        <v>64116</v>
      </c>
      <c r="D49" s="57">
        <f>_xll.qlYieldTSDiscount(YieldCurve_1Y,C49,,Trigger)</f>
        <v>0.34488026145811423</v>
      </c>
      <c r="E49" s="66"/>
      <c r="G49" s="45"/>
      <c r="H49" s="56">
        <f>MAX(_xll.ohPack(EURON!U3:U71))</f>
        <v>64116</v>
      </c>
      <c r="I49" s="57">
        <f>_xll.qlYieldTSDiscount(YieldCurve_ON,H49,,Trigger)</f>
        <v>0.36994893416321345</v>
      </c>
      <c r="J49" s="66"/>
    </row>
    <row r="50" spans="2:10" x14ac:dyDescent="0.2">
      <c r="B50" s="45"/>
      <c r="C50" s="58" t="str">
        <f>Euribor!D8</f>
        <v>EUR1Y</v>
      </c>
      <c r="D50" s="60" t="b">
        <f>_xll.qlRelinkableHandleLinkTo(C50,D40,Trigger)</f>
        <v>1</v>
      </c>
      <c r="E50" s="66"/>
      <c r="G50" s="45"/>
      <c r="H50" s="58" t="str">
        <f>Euribor!D4</f>
        <v>EURON</v>
      </c>
      <c r="I50" s="59" t="b">
        <f>_xll.qlRelinkableHandleLinkTo(H50,I40,Trigger)</f>
        <v>1</v>
      </c>
      <c r="J50" s="66"/>
    </row>
    <row r="51" spans="2:10" x14ac:dyDescent="0.2">
      <c r="B51" s="68"/>
      <c r="C51" s="69"/>
      <c r="D51" s="69"/>
      <c r="E51" s="70"/>
      <c r="G51" s="68"/>
      <c r="H51" s="69"/>
      <c r="I51" s="69"/>
      <c r="J51" s="70"/>
    </row>
  </sheetData>
  <dataValidations count="3">
    <dataValidation type="list" allowBlank="1" showInputMessage="1" showErrorMessage="1" sqref="D31 D17 I17 I31 D45 I45">
      <formula1>"Discount,ZeroYield,ForwardRate"</formula1>
    </dataValidation>
    <dataValidation type="list" allowBlank="1" showInputMessage="1" showErrorMessage="1" sqref="D32 D18 I18 I32 D46 I4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2</xdr:row>
                    <xdr:rowOff>57150</xdr:rowOff>
                  </from>
                  <to>
                    <xdr:col>8</xdr:col>
                    <xdr:colOff>666750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2" hidden="1" customWidth="1" outlineLevel="1"/>
    <col min="2" max="2" width="17.28515625" style="72" hidden="1" customWidth="1" outlineLevel="2"/>
    <col min="3" max="3" width="10" style="89" hidden="1" customWidth="1" outlineLevel="1" collapsed="1"/>
    <col min="4" max="4" width="7.7109375" style="88" hidden="1" customWidth="1" outlineLevel="1"/>
    <col min="5" max="5" width="19.42578125" style="90" hidden="1" customWidth="1" outlineLevel="1"/>
    <col min="6" max="6" width="10" style="72" hidden="1" customWidth="1" outlineLevel="1"/>
    <col min="7" max="7" width="20.28515625" style="72" hidden="1" customWidth="1" outlineLevel="1"/>
    <col min="8" max="8" width="12.140625" style="72" hidden="1" customWidth="1" outlineLevel="1"/>
    <col min="9" max="9" width="15.140625" style="72" hidden="1" customWidth="1" outlineLevel="1"/>
    <col min="10" max="10" width="9" style="88" hidden="1" customWidth="1" outlineLevel="1"/>
    <col min="11" max="11" width="2.7109375" style="72" customWidth="1" collapsed="1"/>
    <col min="12" max="12" width="11.5703125" style="72" hidden="1" customWidth="1" outlineLevel="1"/>
    <col min="13" max="13" width="10" style="72" hidden="1" customWidth="1" outlineLevel="1"/>
    <col min="14" max="14" width="15.140625" style="72" hidden="1" customWidth="1" outlineLevel="1"/>
    <col min="15" max="15" width="12" style="72" hidden="1" customWidth="1" outlineLevel="1"/>
    <col min="16" max="16" width="5" style="72" bestFit="1" customWidth="1" collapsed="1"/>
    <col min="17" max="17" width="6" style="72" bestFit="1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2" width="9" style="72" bestFit="1" customWidth="1"/>
    <col min="23" max="23" width="15.140625" style="72" bestFit="1" customWidth="1"/>
    <col min="24" max="24" width="9" style="72" bestFit="1" customWidth="1"/>
    <col min="25" max="16384" width="9.140625" style="72"/>
  </cols>
  <sheetData>
    <row r="1" spans="1:22" ht="21" customHeight="1" x14ac:dyDescent="0.2">
      <c r="B1" s="78"/>
      <c r="C1" s="79"/>
      <c r="D1" s="80"/>
      <c r="E1" s="81"/>
      <c r="F1" s="82"/>
      <c r="J1" s="80"/>
      <c r="L1" s="109"/>
      <c r="M1" s="110"/>
      <c r="N1" s="110"/>
      <c r="O1" s="111"/>
      <c r="P1" s="112" t="s">
        <v>180</v>
      </c>
      <c r="Q1" s="110"/>
      <c r="R1" s="110"/>
      <c r="S1" s="115"/>
      <c r="T1" s="110"/>
      <c r="U1" s="110"/>
      <c r="V1" s="146" t="s">
        <v>193</v>
      </c>
    </row>
    <row r="2" spans="1:22" ht="21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192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3" t="s">
        <v>18</v>
      </c>
      <c r="M2" s="143"/>
      <c r="N2" s="143" t="s">
        <v>43</v>
      </c>
      <c r="O2" s="143"/>
      <c r="P2" s="143" t="s">
        <v>18</v>
      </c>
      <c r="Q2" s="143" t="s">
        <v>56</v>
      </c>
      <c r="R2" s="143" t="s">
        <v>43</v>
      </c>
      <c r="S2" s="144" t="s">
        <v>39</v>
      </c>
      <c r="T2" s="143" t="s">
        <v>37</v>
      </c>
      <c r="U2" s="143" t="s">
        <v>38</v>
      </c>
      <c r="V2" s="116">
        <f t="array" ref="V2:V71">_xll.qlPiecewiseYieldCurveData(YieldCurve_STD,Trigger)</f>
        <v>-1.1152784677836568E-3</v>
      </c>
    </row>
    <row r="3" spans="1:22" ht="11.25" customHeight="1" x14ac:dyDescent="0.2">
      <c r="A3" s="92" t="s">
        <v>46</v>
      </c>
      <c r="B3" s="92" t="str">
        <f t="array" ref="B3:B18">_xll.ohFilter(PastedValue!O2:O62,PastedValue!K2:K62="Dp")</f>
        <v>O/N</v>
      </c>
      <c r="C3" s="93" t="str">
        <f>IF(LEFT(B3,1)="#",(_xll.qlCalendarBusinessDaysBetween(Calendar,Settlementdate,DATE(RIGHT(LEFT(B3,5),4),LEFT(RIGHT(B3,4),2),RIGHT(B3,2)),,TRUE,Trigger)-1)&amp;"D",B3)</f>
        <v>O/N</v>
      </c>
      <c r="D3" s="94">
        <f>IF(C3="O/N",0,IF(C3="T/N",1,2))</f>
        <v>0</v>
      </c>
      <c r="E3" s="95" t="str">
        <f t="shared" ref="E3:E18" si="0">IF(OR(RIGHT(C3,1)="M",RIGHT(C3,1)="D"),"Modified Following","Following")</f>
        <v>Following</v>
      </c>
      <c r="F3" s="96" t="str">
        <f t="shared" ref="F3:F9" si="1">IF(OR(RIGHT(C3,1)="M",RIGHT(C3,1)="D"),"TRUE","FALSE")</f>
        <v>FALSE</v>
      </c>
      <c r="G3" s="134" t="s">
        <v>50</v>
      </c>
      <c r="H3" s="98">
        <f t="array" ref="H3:H18">_xll.ohFilter(PastedValue!R2:R62,PastedValue!K2:K62="Dp")/100</f>
        <v>-1.0999989999999999E-3</v>
      </c>
      <c r="I3" s="99" t="str">
        <f>_xll.qlDepositRateHelper2(,H3,IF(RIGHT(C3,1)="N","1D",C3),D3,Calendar,E3,F3,G3,,Trigger)</f>
        <v>obj_00175#0005</v>
      </c>
      <c r="J3" s="94" t="b">
        <f>IF(ISNUMBER(H3),TRUE,FALSE)</f>
        <v>1</v>
      </c>
      <c r="K3" s="78"/>
      <c r="L3" s="113" t="str">
        <f t="shared" ref="L3:L18" si="2">A3</f>
        <v>Dp</v>
      </c>
      <c r="M3" s="113" t="str">
        <f t="shared" ref="M3:M18" si="3">C3</f>
        <v>O/N</v>
      </c>
      <c r="N3" s="114" t="str">
        <f t="shared" ref="N3:N18" si="4">I3</f>
        <v>obj_00175#0005</v>
      </c>
      <c r="O3" s="114" t="b">
        <f t="shared" ref="O3:O18" si="5"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obj_00175#0005</v>
      </c>
      <c r="S3" s="117">
        <f>_xll.qlRateHelperRate(R3,Trigger)</f>
        <v>-1.0999989999999999E-3</v>
      </c>
      <c r="T3" s="15">
        <f>_xll.qlRateHelperEarliestDate(R3,Trigger)</f>
        <v>42199</v>
      </c>
      <c r="U3" s="15">
        <f>_xll.qlRateHelperLatestDate(R3,Trigger)</f>
        <v>42200</v>
      </c>
      <c r="V3" s="117">
        <v>-1.1152784677836568E-3</v>
      </c>
    </row>
    <row r="4" spans="1:22" ht="11.25" customHeight="1" x14ac:dyDescent="0.2">
      <c r="A4" s="100" t="s">
        <v>46</v>
      </c>
      <c r="B4" s="100" t="str">
        <v>T/N</v>
      </c>
      <c r="C4" s="101" t="str">
        <f>IF(LEFT(B4,1)="#",(_xll.qlCalendarBusinessDaysBetween(Calendar,Settlementdate,DATE(RIGHT(LEFT(B4,5),4),LEFT(RIGHT(B4,4),2),RIGHT(B4,2)),,TRUE,Trigger)-1)&amp;"D",B4)</f>
        <v>T/N</v>
      </c>
      <c r="D4" s="102">
        <f t="shared" ref="D4:D17" si="6">IF(C4="O/N",0,IF(C4="T/N",1,2))</f>
        <v>1</v>
      </c>
      <c r="E4" s="103" t="str">
        <f t="shared" si="0"/>
        <v>Following</v>
      </c>
      <c r="F4" s="104" t="str">
        <f t="shared" si="1"/>
        <v>FALSE</v>
      </c>
      <c r="G4" s="137" t="s">
        <v>50</v>
      </c>
      <c r="H4" s="106">
        <v>-1.1000000000000001E-3</v>
      </c>
      <c r="I4" s="107" t="str">
        <f>_xll.qlDepositRateHelper2(,H4,IF(RIGHT(C4,1)="N","1D",C4),D4,Calendar,E4,F4,G4,,Trigger)</f>
        <v>obj_00177#0005</v>
      </c>
      <c r="J4" s="102" t="b">
        <f t="shared" ref="J4:J18" si="7">IF(ISNUMBER(H4),TRUE,FALSE)</f>
        <v>1</v>
      </c>
      <c r="K4" s="75"/>
      <c r="L4" s="24" t="str">
        <f t="shared" si="2"/>
        <v>Dp</v>
      </c>
      <c r="M4" s="24" t="str">
        <f t="shared" si="3"/>
        <v>T/N</v>
      </c>
      <c r="N4" s="14" t="str">
        <f t="shared" si="4"/>
        <v>obj_00177#0005</v>
      </c>
      <c r="O4" s="14" t="b">
        <f t="shared" si="5"/>
        <v>1</v>
      </c>
      <c r="P4" s="14" t="str">
        <v>Dp</v>
      </c>
      <c r="Q4" s="14" t="str">
        <v>T/N</v>
      </c>
      <c r="R4" s="14" t="str">
        <v>obj_00177#0005</v>
      </c>
      <c r="S4" s="117">
        <f>_xll.qlRateHelperRate(R4,Trigger)</f>
        <v>-1.1000000000000001E-3</v>
      </c>
      <c r="T4" s="15">
        <f>_xll.qlRateHelperEarliestDate(R4,Trigger)</f>
        <v>42200</v>
      </c>
      <c r="U4" s="15">
        <f>_xll.qlRateHelperLatestDate(R4,Trigger)</f>
        <v>42201</v>
      </c>
      <c r="V4" s="117">
        <v>-1.1152789747393133E-3</v>
      </c>
    </row>
    <row r="5" spans="1:22" ht="11.25" customHeight="1" x14ac:dyDescent="0.2">
      <c r="A5" s="100" t="s">
        <v>46</v>
      </c>
      <c r="B5" s="100" t="str">
        <v>S/N</v>
      </c>
      <c r="C5" s="101" t="str">
        <f>IF(LEFT(B5,1)="#",(_xll.qlCalendarBusinessDaysBetween(Calendar,Settlementdate,DATE(RIGHT(LEFT(B5,5),4),LEFT(RIGHT(B5,4),2),RIGHT(B5,2)),,TRUE,Trigger)-1)&amp;"D",B5)</f>
        <v>S/N</v>
      </c>
      <c r="D5" s="102">
        <f t="shared" si="6"/>
        <v>2</v>
      </c>
      <c r="E5" s="103" t="str">
        <f t="shared" si="0"/>
        <v>Following</v>
      </c>
      <c r="F5" s="104" t="str">
        <f t="shared" si="1"/>
        <v>FALSE</v>
      </c>
      <c r="G5" s="137" t="s">
        <v>50</v>
      </c>
      <c r="H5" s="106">
        <v>-1.1000000000000001E-3</v>
      </c>
      <c r="I5" s="107" t="str">
        <f>_xll.qlDepositRateHelper2(,H5,IF(RIGHT(C5,1)="N","1D",C5),D5,Calendar,E5,F5,G5,,Trigger)</f>
        <v>obj_0017d#0005</v>
      </c>
      <c r="J5" s="102" t="b">
        <f t="shared" si="7"/>
        <v>1</v>
      </c>
      <c r="K5" s="75"/>
      <c r="L5" s="24" t="str">
        <f t="shared" si="2"/>
        <v>Dp</v>
      </c>
      <c r="M5" s="24" t="str">
        <f t="shared" si="3"/>
        <v>S/N</v>
      </c>
      <c r="N5" s="14" t="str">
        <f t="shared" si="4"/>
        <v>obj_0017d#0005</v>
      </c>
      <c r="O5" s="14" t="b">
        <f t="shared" si="5"/>
        <v>1</v>
      </c>
      <c r="P5" s="14" t="str">
        <v>Dp</v>
      </c>
      <c r="Q5" s="14" t="str">
        <v>S/N</v>
      </c>
      <c r="R5" s="14" t="str">
        <v>obj_0017d#0005</v>
      </c>
      <c r="S5" s="117">
        <f>_xll.qlRateHelperRate(R5,Trigger)</f>
        <v>-1.1000000000000001E-3</v>
      </c>
      <c r="T5" s="15">
        <f>_xll.qlRateHelperEarliestDate(R5,Trigger)</f>
        <v>42201</v>
      </c>
      <c r="U5" s="15">
        <f>_xll.qlRateHelperLatestDate(R5,Trigger)</f>
        <v>42202</v>
      </c>
      <c r="V5" s="117">
        <v>-1.1152791437232458E-3</v>
      </c>
    </row>
    <row r="6" spans="1:22" ht="11.25" customHeight="1" x14ac:dyDescent="0.2">
      <c r="A6" s="100" t="s">
        <v>46</v>
      </c>
      <c r="B6" s="100" t="str">
        <v>1W</v>
      </c>
      <c r="C6" s="101" t="str">
        <f>IF(LEFT(B6,1)="#",(_xll.qlCalendarBusinessDaysBetween(Calendar,Settlementdate,DATE(RIGHT(LEFT(B6,5),4),LEFT(RIGHT(B6,4),2),RIGHT(B6,2)),,TRUE,Trigger)-1)&amp;"D",B6)</f>
        <v>1W</v>
      </c>
      <c r="D6" s="102">
        <f t="shared" si="6"/>
        <v>2</v>
      </c>
      <c r="E6" s="103" t="str">
        <f t="shared" si="0"/>
        <v>Following</v>
      </c>
      <c r="F6" s="104" t="str">
        <f t="shared" si="1"/>
        <v>FALSE</v>
      </c>
      <c r="G6" s="137" t="s">
        <v>50</v>
      </c>
      <c r="H6" s="106">
        <v>-1E-3</v>
      </c>
      <c r="I6" s="107" t="str">
        <f>_xll.qlDepositRateHelper2(,H6,IF(RIGHT(C6,1)="N","1D",C6),D6,Calendar,E6,F6,G6,,Trigger)</f>
        <v>obj_0017f#0005</v>
      </c>
      <c r="J6" s="102" t="b">
        <f t="shared" si="7"/>
        <v>1</v>
      </c>
      <c r="K6" s="75"/>
      <c r="L6" s="24" t="str">
        <f t="shared" si="2"/>
        <v>Dp</v>
      </c>
      <c r="M6" s="24" t="str">
        <f t="shared" si="3"/>
        <v>1W</v>
      </c>
      <c r="N6" s="14" t="str">
        <f t="shared" si="4"/>
        <v>obj_0017f#0005</v>
      </c>
      <c r="O6" s="14" t="b">
        <f t="shared" si="5"/>
        <v>1</v>
      </c>
      <c r="P6" s="14" t="str">
        <v>Dp</v>
      </c>
      <c r="Q6" s="14" t="str">
        <v>1W</v>
      </c>
      <c r="R6" s="14" t="str">
        <v>obj_0017f#0005</v>
      </c>
      <c r="S6" s="117">
        <f>_xll.qlRateHelperRate(R6,Trigger)</f>
        <v>-1E-3</v>
      </c>
      <c r="T6" s="15">
        <f>_xll.qlRateHelperEarliestDate(R6,Trigger)</f>
        <v>42201</v>
      </c>
      <c r="U6" s="15">
        <f>_xll.qlRateHelperLatestDate(R6,Trigger)</f>
        <v>42208</v>
      </c>
      <c r="V6" s="117">
        <v>-1.036427685916544E-3</v>
      </c>
    </row>
    <row r="7" spans="1:22" ht="11.25" customHeight="1" x14ac:dyDescent="0.2">
      <c r="A7" s="100" t="s">
        <v>46</v>
      </c>
      <c r="B7" s="100" t="str">
        <v>2W</v>
      </c>
      <c r="C7" s="101" t="str">
        <f>IF(LEFT(B7,1)="#",(_xll.qlCalendarBusinessDaysBetween(Calendar,Settlementdate,DATE(RIGHT(LEFT(B7,5),4),LEFT(RIGHT(B7,4),2),RIGHT(B7,2)),,TRUE,Trigger)-1)&amp;"D",B7)</f>
        <v>2W</v>
      </c>
      <c r="D7" s="102">
        <f t="shared" si="6"/>
        <v>2</v>
      </c>
      <c r="E7" s="103" t="str">
        <f t="shared" si="0"/>
        <v>Following</v>
      </c>
      <c r="F7" s="104" t="str">
        <f t="shared" si="1"/>
        <v>FALSE</v>
      </c>
      <c r="G7" s="137" t="s">
        <v>50</v>
      </c>
      <c r="H7" s="106">
        <v>-8.9999999999999998E-4</v>
      </c>
      <c r="I7" s="107" t="str">
        <f>_xll.qlDepositRateHelper2(,H7,IF(RIGHT(C7,1)="N","1D",C7),D7,Calendar,E7,F7,G7,,Trigger)</f>
        <v>obj_0017c#0005</v>
      </c>
      <c r="J7" s="102" t="b">
        <f t="shared" si="7"/>
        <v>1</v>
      </c>
      <c r="K7" s="75"/>
      <c r="L7" s="24" t="str">
        <f t="shared" si="2"/>
        <v>Dp</v>
      </c>
      <c r="M7" s="24" t="str">
        <f t="shared" si="3"/>
        <v>2W</v>
      </c>
      <c r="N7" s="14" t="str">
        <f t="shared" si="4"/>
        <v>obj_0017c#0005</v>
      </c>
      <c r="O7" s="14" t="b">
        <f t="shared" si="5"/>
        <v>1</v>
      </c>
      <c r="P7" s="14" t="str">
        <v>Dp</v>
      </c>
      <c r="Q7" s="14" t="str">
        <v>2W</v>
      </c>
      <c r="R7" s="14" t="str">
        <v>obj_0017c#0005</v>
      </c>
      <c r="S7" s="117">
        <f>_xll.qlRateHelperRate(R7,Trigger)</f>
        <v>-8.9999999999999998E-4</v>
      </c>
      <c r="T7" s="15">
        <f>_xll.qlRateHelperEarliestDate(R7,Trigger)</f>
        <v>42201</v>
      </c>
      <c r="U7" s="15">
        <f>_xll.qlRateHelperLatestDate(R7,Trigger)</f>
        <v>42215</v>
      </c>
      <c r="V7" s="117">
        <v>-9.3786134482413486E-4</v>
      </c>
    </row>
    <row r="8" spans="1:22" ht="11.25" customHeight="1" x14ac:dyDescent="0.2">
      <c r="A8" s="100" t="s">
        <v>46</v>
      </c>
      <c r="B8" s="100" t="str">
        <v>3W</v>
      </c>
      <c r="C8" s="101" t="str">
        <f>IF(LEFT(B8,1)="#",(_xll.qlCalendarBusinessDaysBetween(Calendar,Settlementdate,DATE(RIGHT(LEFT(B8,5),4),LEFT(RIGHT(B8,4),2),RIGHT(B8,2)),,TRUE,Trigger)-1)&amp;"D",B8)</f>
        <v>3W</v>
      </c>
      <c r="D8" s="102">
        <f t="shared" si="6"/>
        <v>2</v>
      </c>
      <c r="E8" s="103" t="str">
        <f t="shared" si="0"/>
        <v>Following</v>
      </c>
      <c r="F8" s="104" t="str">
        <f t="shared" si="1"/>
        <v>FALSE</v>
      </c>
      <c r="G8" s="137" t="s">
        <v>50</v>
      </c>
      <c r="H8" s="106">
        <v>-8.0000000000000004E-4</v>
      </c>
      <c r="I8" s="107" t="str">
        <f>_xll.qlDepositRateHelper2(,H8,IF(RIGHT(C8,1)="N","1D",C8),D8,Calendar,E8,F8,G8,,Trigger)</f>
        <v>obj_00174#0005</v>
      </c>
      <c r="J8" s="102" t="b">
        <f t="shared" si="7"/>
        <v>1</v>
      </c>
      <c r="K8" s="75"/>
      <c r="L8" s="24" t="str">
        <f t="shared" si="2"/>
        <v>Dp</v>
      </c>
      <c r="M8" s="24" t="str">
        <f t="shared" si="3"/>
        <v>3W</v>
      </c>
      <c r="N8" s="14" t="str">
        <f t="shared" si="4"/>
        <v>obj_00174#0005</v>
      </c>
      <c r="O8" s="14" t="b">
        <f t="shared" si="5"/>
        <v>1</v>
      </c>
      <c r="P8" s="14" t="str">
        <v>Dp</v>
      </c>
      <c r="Q8" s="14" t="str">
        <v>3W</v>
      </c>
      <c r="R8" s="14" t="str">
        <v>obj_00174#0005</v>
      </c>
      <c r="S8" s="117">
        <f>_xll.qlRateHelperRate(R8,Trigger)</f>
        <v>-8.0000000000000004E-4</v>
      </c>
      <c r="T8" s="15">
        <f>_xll.qlRateHelperEarliestDate(R8,Trigger)</f>
        <v>42201</v>
      </c>
      <c r="U8" s="15">
        <f>_xll.qlRateHelperLatestDate(R8,Trigger)</f>
        <v>42222</v>
      </c>
      <c r="V8" s="117">
        <v>-8.3757777128669472E-4</v>
      </c>
    </row>
    <row r="9" spans="1:22" ht="11.25" customHeight="1" x14ac:dyDescent="0.2">
      <c r="A9" s="100" t="s">
        <v>46</v>
      </c>
      <c r="B9" s="100" t="str">
        <v>1M</v>
      </c>
      <c r="C9" s="101" t="str">
        <f>IF(LEFT(B9,1)="#",(_xll.qlCalendarBusinessDaysBetween(Calendar,Settlementdate,DATE(RIGHT(LEFT(B9,5),4),LEFT(RIGHT(B9,4),2),RIGHT(B9,2)),,TRUE,Trigger)-1)&amp;"D",B9)</f>
        <v>1M</v>
      </c>
      <c r="D9" s="102">
        <f t="shared" si="6"/>
        <v>2</v>
      </c>
      <c r="E9" s="103" t="str">
        <f t="shared" si="0"/>
        <v>Modified Following</v>
      </c>
      <c r="F9" s="104" t="str">
        <f t="shared" si="1"/>
        <v>TRUE</v>
      </c>
      <c r="G9" s="137" t="s">
        <v>50</v>
      </c>
      <c r="H9" s="106">
        <v>-5.9999999999999995E-4</v>
      </c>
      <c r="I9" s="107" t="str">
        <f>_xll.qlDepositRateHelper2(,H9,IF(RIGHT(C9,1)="N","1D",C9),D9,Calendar,E9,F9,G9,,Trigger)</f>
        <v>obj_00179#0005</v>
      </c>
      <c r="J9" s="102" t="b">
        <f t="shared" si="7"/>
        <v>1</v>
      </c>
      <c r="K9" s="75"/>
      <c r="L9" s="24" t="str">
        <f t="shared" si="2"/>
        <v>Dp</v>
      </c>
      <c r="M9" s="24" t="str">
        <f t="shared" si="3"/>
        <v>1M</v>
      </c>
      <c r="N9" s="14" t="str">
        <f t="shared" si="4"/>
        <v>obj_00179#0005</v>
      </c>
      <c r="O9" s="14" t="b">
        <f t="shared" si="5"/>
        <v>1</v>
      </c>
      <c r="P9" s="14" t="str">
        <v>Dp</v>
      </c>
      <c r="Q9" s="14" t="str">
        <v>1M</v>
      </c>
      <c r="R9" s="14" t="str">
        <v>obj_00179#0005</v>
      </c>
      <c r="S9" s="117">
        <f>_xll.qlRateHelperRate(R9,Trigger)</f>
        <v>-5.9999999999999995E-4</v>
      </c>
      <c r="T9" s="15">
        <f>_xll.qlRateHelperEarliestDate(R9,Trigger)</f>
        <v>42201</v>
      </c>
      <c r="U9" s="15">
        <f>_xll.qlRateHelperLatestDate(R9,Trigger)</f>
        <v>42233</v>
      </c>
      <c r="V9" s="117">
        <v>-6.3816893346942604E-4</v>
      </c>
    </row>
    <row r="10" spans="1:22" ht="11.25" customHeight="1" x14ac:dyDescent="0.2">
      <c r="A10" s="100" t="s">
        <v>46</v>
      </c>
      <c r="B10" s="100" t="str">
        <v>2M</v>
      </c>
      <c r="C10" s="101" t="str">
        <f>IF(LEFT(B10,1)="#",(_xll.qlCalendarBusinessDaysBetween(Calendar,Settlementdate,DATE(RIGHT(LEFT(B10,5),4),LEFT(RIGHT(B10,4),2),RIGHT(B10,2)),,TRUE,Trigger)-1)&amp;"D",B10)</f>
        <v>2M</v>
      </c>
      <c r="D10" s="102">
        <f t="shared" si="6"/>
        <v>2</v>
      </c>
      <c r="E10" s="103" t="str">
        <f t="shared" si="0"/>
        <v>Modified Following</v>
      </c>
      <c r="F10" s="104" t="str">
        <f>IF(OR(RIGHT(C10,1)="M",RIGHT(C10,1)="D"),"TRUE","FALSE")</f>
        <v>TRUE</v>
      </c>
      <c r="G10" s="137" t="s">
        <v>50</v>
      </c>
      <c r="H10" s="106">
        <v>-2.9999999999999997E-4</v>
      </c>
      <c r="I10" s="107" t="str">
        <f>_xll.qlDepositRateHelper2(,H10,IF(RIGHT(C10,1)="N","1D",C10),D10,Calendar,E10,F10,G10,,Trigger)</f>
        <v>obj_0017e#0005</v>
      </c>
      <c r="J10" s="102" t="b">
        <f t="shared" si="7"/>
        <v>1</v>
      </c>
      <c r="K10" s="75"/>
      <c r="L10" s="24" t="str">
        <f t="shared" si="2"/>
        <v>Dp</v>
      </c>
      <c r="M10" s="24" t="str">
        <f t="shared" si="3"/>
        <v>2M</v>
      </c>
      <c r="N10" s="14" t="str">
        <f t="shared" si="4"/>
        <v>obj_0017e#0005</v>
      </c>
      <c r="O10" s="14" t="b">
        <f t="shared" si="5"/>
        <v>1</v>
      </c>
      <c r="P10" s="14" t="str">
        <v>Dp</v>
      </c>
      <c r="Q10" s="14" t="str">
        <v>2M</v>
      </c>
      <c r="R10" s="14" t="str">
        <v>obj_0017e#0005</v>
      </c>
      <c r="S10" s="117">
        <f>_xll.qlRateHelperRate(R10,Trigger)</f>
        <v>-2.9999999999999997E-4</v>
      </c>
      <c r="T10" s="15">
        <f>_xll.qlRateHelperEarliestDate(R10,Trigger)</f>
        <v>42201</v>
      </c>
      <c r="U10" s="15">
        <f>_xll.qlRateHelperLatestDate(R10,Trigger)</f>
        <v>42263</v>
      </c>
      <c r="V10" s="117">
        <v>-3.2952153864305073E-4</v>
      </c>
    </row>
    <row r="11" spans="1:22" ht="11.25" customHeight="1" x14ac:dyDescent="0.2">
      <c r="A11" s="100" t="s">
        <v>46</v>
      </c>
      <c r="B11" s="100" t="str">
        <v>3M</v>
      </c>
      <c r="C11" s="101" t="str">
        <f>IF(LEFT(B11,1)="#",(_xll.qlCalendarBusinessDaysBetween(Calendar,Settlementdate,DATE(RIGHT(LEFT(B11,5),4),LEFT(RIGHT(B11,4),2),RIGHT(B11,2)),,TRUE,Trigger)-1)&amp;"D",B11)</f>
        <v>3M</v>
      </c>
      <c r="D11" s="102">
        <f t="shared" si="6"/>
        <v>2</v>
      </c>
      <c r="E11" s="103" t="str">
        <f t="shared" si="0"/>
        <v>Modified Following</v>
      </c>
      <c r="F11" s="104" t="str">
        <f t="shared" ref="F11:F18" si="8">IF(OR(RIGHT(C11,1)="M",RIGHT(C11,1)="D"),"TRUE","FALSE")</f>
        <v>TRUE</v>
      </c>
      <c r="G11" s="137" t="s">
        <v>50</v>
      </c>
      <c r="H11" s="106">
        <v>-1E-4</v>
      </c>
      <c r="I11" s="107" t="str">
        <f>_xll.qlDepositRateHelper2(,H11,IF(RIGHT(C11,1)="N","1D",C11),D11,Calendar,E11,F11,G11,,Trigger)</f>
        <v>obj_00176#0005</v>
      </c>
      <c r="J11" s="102" t="b">
        <f t="shared" si="7"/>
        <v>1</v>
      </c>
      <c r="K11" s="75"/>
      <c r="L11" s="24" t="str">
        <f t="shared" si="2"/>
        <v>Dp</v>
      </c>
      <c r="M11" s="24" t="str">
        <f t="shared" si="3"/>
        <v>3M</v>
      </c>
      <c r="N11" s="14" t="str">
        <f t="shared" si="4"/>
        <v>obj_00176#0005</v>
      </c>
      <c r="O11" s="14" t="b">
        <f t="shared" si="5"/>
        <v>1</v>
      </c>
      <c r="P11" s="14" t="str">
        <v>Dp</v>
      </c>
      <c r="Q11" s="14" t="str">
        <v>3M</v>
      </c>
      <c r="R11" s="14" t="str">
        <v>obj_00176#0005</v>
      </c>
      <c r="S11" s="117">
        <f>_xll.qlRateHelperRate(R11,Trigger)</f>
        <v>-1E-4</v>
      </c>
      <c r="T11" s="15">
        <f>_xll.qlRateHelperEarliestDate(R11,Trigger)</f>
        <v>42201</v>
      </c>
      <c r="U11" s="15">
        <f>_xll.qlRateHelperLatestDate(R11,Trigger)</f>
        <v>42293</v>
      </c>
      <c r="V11" s="117">
        <v>-1.2296228635720036E-4</v>
      </c>
    </row>
    <row r="12" spans="1:22" ht="11.25" customHeight="1" x14ac:dyDescent="0.2">
      <c r="A12" s="100" t="s">
        <v>46</v>
      </c>
      <c r="B12" s="100" t="str">
        <v>4M</v>
      </c>
      <c r="C12" s="101" t="str">
        <f>IF(LEFT(B12,1)="#",(_xll.qlCalendarBusinessDaysBetween(Calendar,Settlementdate,DATE(RIGHT(LEFT(B12,5),4),LEFT(RIGHT(B12,4),2),RIGHT(B12,2)),,TRUE,Trigger)-1)&amp;"D",B12)</f>
        <v>4M</v>
      </c>
      <c r="D12" s="102">
        <f t="shared" si="6"/>
        <v>2</v>
      </c>
      <c r="E12" s="103" t="str">
        <f t="shared" si="0"/>
        <v>Modified Following</v>
      </c>
      <c r="F12" s="104" t="str">
        <f t="shared" si="8"/>
        <v>TRUE</v>
      </c>
      <c r="G12" s="137" t="s">
        <v>50</v>
      </c>
      <c r="H12" s="106">
        <v>2.0000000000000001E-4</v>
      </c>
      <c r="I12" s="107" t="str">
        <f>_xll.qlDepositRateHelper2(,H12,IF(RIGHT(C12,1)="N","1D",C12),D12,Calendar,E12,F12,G12,,Trigger)</f>
        <v>obj_0017a#0005</v>
      </c>
      <c r="J12" s="102" t="b">
        <f t="shared" si="7"/>
        <v>1</v>
      </c>
      <c r="K12" s="75"/>
      <c r="L12" s="24" t="str">
        <f t="shared" si="2"/>
        <v>Dp</v>
      </c>
      <c r="M12" s="24" t="str">
        <f t="shared" si="3"/>
        <v>4M</v>
      </c>
      <c r="N12" s="14" t="str">
        <f t="shared" si="4"/>
        <v>obj_0017a#0005</v>
      </c>
      <c r="O12" s="14" t="b">
        <f t="shared" si="5"/>
        <v>1</v>
      </c>
      <c r="P12" s="14" t="str">
        <v>Dp</v>
      </c>
      <c r="Q12" s="14" t="str">
        <v>4M</v>
      </c>
      <c r="R12" s="14" t="str">
        <v>obj_0017a#0005</v>
      </c>
      <c r="S12" s="117">
        <f>_xll.qlRateHelperRate(R12,Trigger)</f>
        <v>2.0000000000000001E-4</v>
      </c>
      <c r="T12" s="15">
        <f>_xll.qlRateHelperEarliestDate(R12,Trigger)</f>
        <v>42201</v>
      </c>
      <c r="U12" s="15">
        <f>_xll.qlRateHelperLatestDate(R12,Trigger)</f>
        <v>42324</v>
      </c>
      <c r="V12" s="117">
        <v>1.8168205265939926E-4</v>
      </c>
    </row>
    <row r="13" spans="1:22" ht="11.25" customHeight="1" x14ac:dyDescent="0.2">
      <c r="A13" s="100" t="s">
        <v>46</v>
      </c>
      <c r="B13" s="100" t="str">
        <v>5M</v>
      </c>
      <c r="C13" s="101" t="str">
        <f>IF(LEFT(B13,1)="#",(_xll.qlCalendarBusinessDaysBetween(Calendar,Settlementdate,DATE(RIGHT(LEFT(B13,5),4),LEFT(RIGHT(B13,4),2),RIGHT(B13,2)),,TRUE,Trigger)-1)&amp;"D",B13)</f>
        <v>5M</v>
      </c>
      <c r="D13" s="102">
        <f t="shared" si="6"/>
        <v>2</v>
      </c>
      <c r="E13" s="103" t="str">
        <f t="shared" si="0"/>
        <v>Modified Following</v>
      </c>
      <c r="F13" s="104" t="str">
        <f t="shared" si="8"/>
        <v>TRUE</v>
      </c>
      <c r="G13" s="137" t="s">
        <v>50</v>
      </c>
      <c r="H13" s="106">
        <v>4.0000000000000002E-4</v>
      </c>
      <c r="I13" s="107" t="str">
        <f>_xll.qlDepositRateHelper2(,H13,IF(RIGHT(C13,1)="N","1D",C13),D13,Calendar,E13,F13,G13,,Trigger)</f>
        <v>obj_0017b#0005</v>
      </c>
      <c r="J13" s="102" t="b">
        <f t="shared" si="7"/>
        <v>1</v>
      </c>
      <c r="K13" s="75"/>
      <c r="L13" s="24" t="str">
        <f t="shared" si="2"/>
        <v>Dp</v>
      </c>
      <c r="M13" s="24" t="str">
        <f t="shared" si="3"/>
        <v>5M</v>
      </c>
      <c r="N13" s="14" t="str">
        <f t="shared" si="4"/>
        <v>obj_0017b#0005</v>
      </c>
      <c r="O13" s="14" t="b">
        <f t="shared" si="5"/>
        <v>1</v>
      </c>
      <c r="P13" s="14" t="str">
        <v>Dp</v>
      </c>
      <c r="Q13" s="14" t="str">
        <v>5M</v>
      </c>
      <c r="R13" s="14" t="str">
        <v>obj_0017b#0005</v>
      </c>
      <c r="S13" s="117">
        <f>_xll.qlRateHelperRate(R13,Trigger)</f>
        <v>4.0000000000000002E-4</v>
      </c>
      <c r="T13" s="15">
        <f>_xll.qlRateHelperEarliestDate(R13,Trigger)</f>
        <v>42201</v>
      </c>
      <c r="U13" s="15">
        <f>_xll.qlRateHelperLatestDate(R13,Trigger)</f>
        <v>42354</v>
      </c>
      <c r="V13" s="117">
        <v>3.8589786063311161E-4</v>
      </c>
    </row>
    <row r="14" spans="1:22" ht="11.25" customHeight="1" x14ac:dyDescent="0.2">
      <c r="A14" s="100" t="s">
        <v>46</v>
      </c>
      <c r="B14" s="100" t="str">
        <v>6M</v>
      </c>
      <c r="C14" s="101" t="str">
        <f>IF(LEFT(B14,1)="#",(_xll.qlCalendarBusinessDaysBetween(Calendar,Settlementdate,DATE(RIGHT(LEFT(B14,5),4),LEFT(RIGHT(B14,4),2),RIGHT(B14,2)),,TRUE,Trigger)-1)&amp;"D",B14)</f>
        <v>6M</v>
      </c>
      <c r="D14" s="102">
        <f t="shared" si="6"/>
        <v>2</v>
      </c>
      <c r="E14" s="103" t="str">
        <f t="shared" si="0"/>
        <v>Modified Following</v>
      </c>
      <c r="F14" s="104" t="str">
        <f t="shared" si="8"/>
        <v>TRUE</v>
      </c>
      <c r="G14" s="137" t="s">
        <v>50</v>
      </c>
      <c r="H14" s="106">
        <v>5.9999999999999995E-4</v>
      </c>
      <c r="I14" s="107" t="str">
        <f>_xll.qlDepositRateHelper2(,H14,IF(RIGHT(C14,1)="N","1D",C14),D14,Calendar,E14,F14,G14,,Trigger)</f>
        <v>obj_00178#0005</v>
      </c>
      <c r="J14" s="102" t="b">
        <f t="shared" si="7"/>
        <v>1</v>
      </c>
      <c r="K14" s="75"/>
      <c r="L14" s="24" t="str">
        <f t="shared" si="2"/>
        <v>Dp</v>
      </c>
      <c r="M14" s="24" t="str">
        <f t="shared" si="3"/>
        <v>6M</v>
      </c>
      <c r="N14" s="14" t="str">
        <f t="shared" si="4"/>
        <v>obj_00178#0005</v>
      </c>
      <c r="O14" s="14" t="b">
        <f t="shared" si="5"/>
        <v>1</v>
      </c>
      <c r="P14" s="14" t="str">
        <v>Dp</v>
      </c>
      <c r="Q14" s="14" t="str">
        <v>6M</v>
      </c>
      <c r="R14" s="14" t="str">
        <v>obj_00178#0005</v>
      </c>
      <c r="S14" s="117">
        <f>_xll.qlRateHelperRate(R14,Trigger)</f>
        <v>5.9999999999999995E-4</v>
      </c>
      <c r="T14" s="15">
        <f>_xll.qlRateHelperEarliestDate(R14,Trigger)</f>
        <v>42201</v>
      </c>
      <c r="U14" s="15">
        <f>_xll.qlRateHelperLatestDate(R14,Trigger)</f>
        <v>42387</v>
      </c>
      <c r="V14" s="117">
        <v>5.8990376289487002E-4</v>
      </c>
    </row>
    <row r="15" spans="1:22" ht="11.25" customHeight="1" x14ac:dyDescent="0.2">
      <c r="A15" s="100" t="s">
        <v>46</v>
      </c>
      <c r="B15" s="100" t="str">
        <v>7M</v>
      </c>
      <c r="C15" s="101" t="str">
        <f>IF(LEFT(B15,1)="#",(_xll.qlCalendarBusinessDaysBetween(Calendar,Settlementdate,DATE(RIGHT(LEFT(B15,5),4),LEFT(RIGHT(B15,4),2),RIGHT(B15,2)),,TRUE,Trigger)-1)&amp;"D",B15)</f>
        <v>7M</v>
      </c>
      <c r="D15" s="102">
        <f t="shared" si="6"/>
        <v>2</v>
      </c>
      <c r="E15" s="103" t="str">
        <f t="shared" si="0"/>
        <v>Modified Following</v>
      </c>
      <c r="F15" s="104" t="str">
        <f t="shared" si="8"/>
        <v>TRUE</v>
      </c>
      <c r="G15" s="137" t="s">
        <v>50</v>
      </c>
      <c r="H15" s="106">
        <v>8.9999999999999998E-4</v>
      </c>
      <c r="I15" s="107" t="str">
        <f>_xll.qlDepositRateHelper2(,H15,IF(RIGHT(C15,1)="N","1D",C15),D15,Calendar,E15,F15,G15,,Trigger)</f>
        <v>obj_00173#0005</v>
      </c>
      <c r="J15" s="102" t="b">
        <f t="shared" si="7"/>
        <v>1</v>
      </c>
      <c r="K15" s="75"/>
      <c r="L15" s="24" t="str">
        <f t="shared" si="2"/>
        <v>Dp</v>
      </c>
      <c r="M15" s="24" t="str">
        <f t="shared" si="3"/>
        <v>7M</v>
      </c>
      <c r="N15" s="14" t="str">
        <f t="shared" si="4"/>
        <v>obj_00173#0005</v>
      </c>
      <c r="O15" s="14" t="b">
        <f t="shared" si="5"/>
        <v>1</v>
      </c>
      <c r="P15" s="14" t="str">
        <v>Dp</v>
      </c>
      <c r="Q15" s="14" t="str">
        <v>7M</v>
      </c>
      <c r="R15" s="14" t="str">
        <v>obj_00173#0005</v>
      </c>
      <c r="S15" s="117">
        <f>_xll.qlRateHelperRate(R15,Trigger)</f>
        <v>8.9999999999999998E-4</v>
      </c>
      <c r="T15" s="15">
        <f>_xll.qlRateHelperEarliestDate(R15,Trigger)</f>
        <v>42201</v>
      </c>
      <c r="U15" s="15">
        <f>_xll.qlRateHelperLatestDate(R15,Trigger)</f>
        <v>42416</v>
      </c>
      <c r="V15" s="117">
        <v>8.9356790573581215E-4</v>
      </c>
    </row>
    <row r="16" spans="1:22" ht="11.25" customHeight="1" x14ac:dyDescent="0.2">
      <c r="A16" s="100" t="s">
        <v>46</v>
      </c>
      <c r="B16" s="100" t="str">
        <v>#20160316</v>
      </c>
      <c r="C16" s="101" t="str">
        <f>IF(LEFT(B16,1)="#",(_xll.qlCalendarBusinessDaysBetween(Calendar,Settlementdate,DATE(RIGHT(LEFT(B16,5),4),LEFT(RIGHT(B16,4),2),RIGHT(B16,2)),,TRUE,Trigger)-1)&amp;"D",B16)</f>
        <v>172D</v>
      </c>
      <c r="D16" s="102">
        <f t="shared" si="6"/>
        <v>2</v>
      </c>
      <c r="E16" s="103" t="str">
        <f t="shared" si="0"/>
        <v>Modified Following</v>
      </c>
      <c r="F16" s="104" t="str">
        <f t="shared" si="8"/>
        <v>TRUE</v>
      </c>
      <c r="G16" s="137" t="s">
        <v>50</v>
      </c>
      <c r="H16" s="106">
        <v>1.1000000000000001E-3</v>
      </c>
      <c r="I16" s="107" t="str">
        <f>_xll.qlDepositRateHelper2(,H16,IF(RIGHT(C16,1)="N","1D",C16),D16,Calendar,E16,F16,G16,,Trigger)</f>
        <v>obj_00187#0004</v>
      </c>
      <c r="J16" s="102" t="b">
        <f t="shared" si="7"/>
        <v>1</v>
      </c>
      <c r="K16" s="75"/>
      <c r="L16" s="24" t="str">
        <f t="shared" si="2"/>
        <v>Dp</v>
      </c>
      <c r="M16" s="24" t="str">
        <f t="shared" si="3"/>
        <v>172D</v>
      </c>
      <c r="N16" s="14" t="str">
        <f t="shared" si="4"/>
        <v>obj_00187#0004</v>
      </c>
      <c r="O16" s="14" t="b">
        <f t="shared" si="5"/>
        <v>1</v>
      </c>
      <c r="P16" s="14" t="str">
        <v>Dp</v>
      </c>
      <c r="Q16" s="14" t="str">
        <v>172D</v>
      </c>
      <c r="R16" s="14" t="str">
        <v>obj_00187#0004</v>
      </c>
      <c r="S16" s="117">
        <f>_xll.qlRateHelperRate(R16,Trigger)</f>
        <v>1.1000000000000001E-3</v>
      </c>
      <c r="T16" s="15">
        <f>_xll.qlRateHelperEarliestDate(R16,Trigger)</f>
        <v>42201</v>
      </c>
      <c r="U16" s="15">
        <f>_xll.qlRateHelperLatestDate(R16,Trigger)</f>
        <v>42445</v>
      </c>
      <c r="V16" s="117">
        <v>1.0967310041987261E-3</v>
      </c>
    </row>
    <row r="17" spans="1:22" ht="11.25" customHeight="1" x14ac:dyDescent="0.2">
      <c r="A17" s="100" t="s">
        <v>46</v>
      </c>
      <c r="B17" s="100" t="e">
        <v>#N/A</v>
      </c>
      <c r="C17" s="101" t="e">
        <f>IF(LEFT(B17,1)="#",(_xll.qlCalendarBusinessDaysBetween(Calendar,Settlementdate,DATE(RIGHT(LEFT(B17,5),4),LEFT(RIGHT(B17,4),2),RIGHT(B17,2)),,TRUE,Trigger)-1)&amp;"D",B17)</f>
        <v>#N/A</v>
      </c>
      <c r="D17" s="102" t="e">
        <f t="shared" si="6"/>
        <v>#N/A</v>
      </c>
      <c r="E17" s="103" t="e">
        <f t="shared" si="0"/>
        <v>#N/A</v>
      </c>
      <c r="F17" s="104" t="e">
        <f t="shared" si="8"/>
        <v>#N/A</v>
      </c>
      <c r="G17" s="137" t="s">
        <v>50</v>
      </c>
      <c r="H17" s="106" t="e">
        <v>#N/A</v>
      </c>
      <c r="I17" s="107" t="e">
        <f>_xll.qlDepositRateHelper2(,H17,IF(RIGHT(C17,1)="N","1D",C17),D17,Calendar,E17,F17,G17,,Trigger)</f>
        <v>#VALUE!</v>
      </c>
      <c r="J17" s="102" t="b">
        <f t="shared" si="7"/>
        <v>0</v>
      </c>
      <c r="K17" s="75"/>
      <c r="L17" s="24" t="str">
        <f t="shared" si="2"/>
        <v>Dp</v>
      </c>
      <c r="M17" s="24" t="e">
        <f t="shared" si="3"/>
        <v>#N/A</v>
      </c>
      <c r="N17" s="14" t="e">
        <f t="shared" si="4"/>
        <v>#VALUE!</v>
      </c>
      <c r="O17" s="14" t="b">
        <f t="shared" si="5"/>
        <v>0</v>
      </c>
      <c r="P17" s="14" t="str">
        <v>Sf</v>
      </c>
      <c r="Q17" s="14" t="str">
        <v>H6</v>
      </c>
      <c r="R17" s="14" t="str">
        <v>obj_0012f#0005</v>
      </c>
      <c r="S17" s="117">
        <f>_xll.qlRateHelperRate(R17,Trigger)</f>
        <v>-1.7500000000003624E-4</v>
      </c>
      <c r="T17" s="15">
        <f>_xll.qlRateHelperEarliestDate(R17,Trigger)</f>
        <v>42445</v>
      </c>
      <c r="U17" s="15">
        <f>_xll.qlRateHelperLatestDate(R17,Trigger)</f>
        <v>42537</v>
      </c>
      <c r="V17" s="117">
        <v>7.4991671866606209E-4</v>
      </c>
    </row>
    <row r="18" spans="1:22" ht="11.25" customHeight="1" x14ac:dyDescent="0.2">
      <c r="A18" s="4" t="s">
        <v>46</v>
      </c>
      <c r="B18" s="4" t="e">
        <v>#N/A</v>
      </c>
      <c r="C18" s="21" t="e">
        <f>IF(LEFT(B18,1)="#",(_xll.qlCalendarBusinessDaysBetween(Calendar,Settlementdate,DATE(RIGHT(LEFT(B18,5),4),LEFT(RIGHT(B18,4),2),RIGHT(B18,2)),,TRUE,Trigger)-1)&amp;"D",B18)</f>
        <v>#N/A</v>
      </c>
      <c r="D18" s="19" t="e">
        <f>IF(C18="O/N",0,IF(C18="T/N",1,2))</f>
        <v>#N/A</v>
      </c>
      <c r="E18" s="20" t="e">
        <f t="shared" si="0"/>
        <v>#N/A</v>
      </c>
      <c r="F18" s="22" t="e">
        <f t="shared" si="8"/>
        <v>#N/A</v>
      </c>
      <c r="G18" s="140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7"/>
        <v>0</v>
      </c>
      <c r="K18" s="75"/>
      <c r="L18" s="25" t="str">
        <f t="shared" si="2"/>
        <v>Dp</v>
      </c>
      <c r="M18" s="25" t="e">
        <f t="shared" si="3"/>
        <v>#N/A</v>
      </c>
      <c r="N18" s="16" t="e">
        <f t="shared" si="4"/>
        <v>#VALUE!</v>
      </c>
      <c r="O18" s="16" t="b">
        <f t="shared" si="5"/>
        <v>0</v>
      </c>
      <c r="P18" s="14" t="str">
        <v>Sf</v>
      </c>
      <c r="Q18" s="14" t="str">
        <v>M6</v>
      </c>
      <c r="R18" s="14" t="str">
        <v>obj_000d7#0005</v>
      </c>
      <c r="S18" s="117">
        <f>_xll.qlRateHelperRate(R18,Trigger)</f>
        <v>-2.4999999999941735E-5</v>
      </c>
      <c r="T18" s="15">
        <f>_xll.qlRateHelperEarliestDate(R18,Trigger)</f>
        <v>42536</v>
      </c>
      <c r="U18" s="15">
        <f>_xll.qlRateHelperLatestDate(R18,Trigger)</f>
        <v>42628</v>
      </c>
      <c r="V18" s="117">
        <v>5.8662092821988479E-4</v>
      </c>
    </row>
    <row r="19" spans="1:22" ht="11.25" customHeight="1" x14ac:dyDescent="0.2">
      <c r="A19" s="83"/>
      <c r="B19" s="83"/>
      <c r="C19" s="84"/>
      <c r="D19" s="85"/>
      <c r="E19" s="86"/>
      <c r="F19" s="83"/>
      <c r="G19" s="87"/>
      <c r="J19" s="80"/>
      <c r="K19" s="75"/>
      <c r="L19" s="24" t="str">
        <f t="shared" ref="L19:L26" si="9">A21</f>
        <v>Sf</v>
      </c>
      <c r="M19" s="24" t="str">
        <f t="shared" ref="M19:M26" si="10">D21</f>
        <v>H6</v>
      </c>
      <c r="N19" s="24" t="str">
        <f t="shared" ref="N19:O26" si="11">I21</f>
        <v>obj_0012f#0005</v>
      </c>
      <c r="O19" s="14" t="b">
        <f t="shared" si="11"/>
        <v>1</v>
      </c>
      <c r="P19" s="14" t="str">
        <v>Sf</v>
      </c>
      <c r="Q19" s="14" t="str">
        <v>U6</v>
      </c>
      <c r="R19" s="14" t="str">
        <v>obj_000ec#0005</v>
      </c>
      <c r="S19" s="117">
        <f>_xll.qlRateHelperRate(R19,Trigger)</f>
        <v>3.2500000000001972E-4</v>
      </c>
      <c r="T19" s="15">
        <f>_xll.qlRateHelperEarliestDate(R19,Trigger)</f>
        <v>42634</v>
      </c>
      <c r="U19" s="15">
        <f>_xll.qlRateHelperLatestDate(R19,Trigger)</f>
        <v>42725</v>
      </c>
      <c r="V19" s="117">
        <v>5.3973992116398994E-4</v>
      </c>
    </row>
    <row r="20" spans="1:22" ht="11.25" customHeight="1" x14ac:dyDescent="0.2">
      <c r="A20" s="108" t="s">
        <v>18</v>
      </c>
      <c r="B20" s="108" t="s">
        <v>35</v>
      </c>
      <c r="C20" s="108" t="s">
        <v>35</v>
      </c>
      <c r="D20" s="108" t="s">
        <v>191</v>
      </c>
      <c r="E20" s="108" t="s">
        <v>192</v>
      </c>
      <c r="F20" s="108" t="s">
        <v>9</v>
      </c>
      <c r="G20" s="108" t="s">
        <v>5</v>
      </c>
      <c r="H20" s="108" t="s">
        <v>10</v>
      </c>
      <c r="I20" s="108" t="s">
        <v>43</v>
      </c>
      <c r="J20" s="108" t="s">
        <v>47</v>
      </c>
      <c r="K20" s="75"/>
      <c r="L20" s="24" t="str">
        <f t="shared" si="9"/>
        <v>Sf</v>
      </c>
      <c r="M20" s="24" t="str">
        <f t="shared" si="10"/>
        <v>M6</v>
      </c>
      <c r="N20" s="24" t="str">
        <f t="shared" si="11"/>
        <v>obj_000d7#0005</v>
      </c>
      <c r="O20" s="14" t="b">
        <f t="shared" si="11"/>
        <v>1</v>
      </c>
      <c r="P20" s="14" t="str">
        <v>Sf</v>
      </c>
      <c r="Q20" s="14" t="str">
        <v>Z6</v>
      </c>
      <c r="R20" s="14" t="str">
        <v>obj_000ea#0005</v>
      </c>
      <c r="S20" s="117">
        <f>_xll.qlRateHelperRate(R20,Trigger)</f>
        <v>7.2249999999995929E-4</v>
      </c>
      <c r="T20" s="15">
        <f>_xll.qlRateHelperEarliestDate(R20,Trigger)</f>
        <v>42725</v>
      </c>
      <c r="U20" s="15">
        <f>_xll.qlRateHelperLatestDate(R20,Trigger)</f>
        <v>42815</v>
      </c>
      <c r="V20" s="117">
        <v>5.6789832803757438E-4</v>
      </c>
    </row>
    <row r="21" spans="1:22" ht="11.25" customHeight="1" x14ac:dyDescent="0.2">
      <c r="A21" s="120" t="s">
        <v>44</v>
      </c>
      <c r="B21" s="121">
        <f t="shared" ref="B21:B28" si="12">DATE(2000+RIGHT(C21,2),RIGHT(LEFT(C21,5),2),LEFT(C21,2))</f>
        <v>54343</v>
      </c>
      <c r="C21" s="148">
        <f t="array" ref="C21:C28">_xll.ohFilter(PastedValue!L2:L62,PastedValue!K2:K62="Sf")</f>
        <v>42445</v>
      </c>
      <c r="D21" s="122" t="str">
        <f>_xll.qlIMMcode(C21)</f>
        <v>H6</v>
      </c>
      <c r="E21" s="95" t="s">
        <v>15</v>
      </c>
      <c r="F21" s="123" t="s">
        <v>53</v>
      </c>
      <c r="G21" s="124">
        <f t="array" ref="G21:G28">_xll.ohFilter(PastedValue!R2:R62,PastedValue!K2:K62="Sf")</f>
        <v>100.0175</v>
      </c>
      <c r="H21" s="125">
        <v>0</v>
      </c>
      <c r="I21" s="126" t="str">
        <f>_xll.qlFuturesRateHelper(,$G21,"IMM",$D21,$F21,$H21,Permanent,Trigger,ObjectOverwrite)</f>
        <v>obj_0012f#0005</v>
      </c>
      <c r="J21" s="94" t="b">
        <f>IF(ISNUMBER(G21),TRUE,FALSE)</f>
        <v>1</v>
      </c>
      <c r="K21" s="75"/>
      <c r="L21" s="24" t="str">
        <f t="shared" si="9"/>
        <v>Sf</v>
      </c>
      <c r="M21" s="24" t="str">
        <f t="shared" si="10"/>
        <v>U6</v>
      </c>
      <c r="N21" s="24" t="str">
        <f t="shared" si="11"/>
        <v>obj_000ec#0005</v>
      </c>
      <c r="O21" s="14" t="b">
        <f t="shared" si="11"/>
        <v>1</v>
      </c>
      <c r="P21" s="14" t="str">
        <v>Sf</v>
      </c>
      <c r="Q21" s="14" t="str">
        <v>H7</v>
      </c>
      <c r="R21" s="14" t="str">
        <v>obj_00101#0005</v>
      </c>
      <c r="S21" s="117">
        <f>_xll.qlRateHelperRate(R21,Trigger)</f>
        <v>1.2099999999999334E-3</v>
      </c>
      <c r="T21" s="15">
        <f>_xll.qlRateHelperEarliestDate(R21,Trigger)</f>
        <v>42809</v>
      </c>
      <c r="U21" s="15">
        <f>_xll.qlRateHelperLatestDate(R21,Trigger)</f>
        <v>42901</v>
      </c>
      <c r="V21" s="117">
        <v>6.5259478043601838E-4</v>
      </c>
    </row>
    <row r="22" spans="1:22" ht="11.25" customHeight="1" x14ac:dyDescent="0.2">
      <c r="A22" s="127" t="s">
        <v>44</v>
      </c>
      <c r="B22" s="128">
        <f t="shared" si="12"/>
        <v>50781</v>
      </c>
      <c r="C22" s="149">
        <v>42536</v>
      </c>
      <c r="D22" s="129" t="str">
        <f>_xll.qlIMMcode(C22)</f>
        <v>M6</v>
      </c>
      <c r="E22" s="103" t="s">
        <v>15</v>
      </c>
      <c r="F22" s="130" t="s">
        <v>53</v>
      </c>
      <c r="G22" s="131">
        <v>100.0025</v>
      </c>
      <c r="H22" s="132">
        <v>0</v>
      </c>
      <c r="I22" s="133" t="str">
        <f>_xll.qlFuturesRateHelper(,$G22,"IMM",$D22,$F22,$H22,Permanent,Trigger,ObjectOverwrite)</f>
        <v>obj_000d7#0005</v>
      </c>
      <c r="J22" s="133" t="b">
        <f t="shared" ref="J22:J28" si="13">IF(ISNUMBER(G22),TRUE,FALSE)</f>
        <v>1</v>
      </c>
      <c r="K22" s="75"/>
      <c r="L22" s="24" t="str">
        <f t="shared" si="9"/>
        <v>Sf</v>
      </c>
      <c r="M22" s="24" t="str">
        <f t="shared" si="10"/>
        <v>Z6</v>
      </c>
      <c r="N22" s="24" t="str">
        <f t="shared" si="11"/>
        <v>obj_000ea#0005</v>
      </c>
      <c r="O22" s="14" t="b">
        <f t="shared" si="11"/>
        <v>1</v>
      </c>
      <c r="P22" s="14" t="str">
        <v>Sf</v>
      </c>
      <c r="Q22" s="14" t="str">
        <v>M7</v>
      </c>
      <c r="R22" s="14" t="str">
        <v>obj_000fa#0005</v>
      </c>
      <c r="S22" s="117">
        <f>_xll.qlRateHelperRate(R22,Trigger)</f>
        <v>1.7449999999999966E-3</v>
      </c>
      <c r="T22" s="15">
        <f>_xll.qlRateHelperEarliestDate(R22,Trigger)</f>
        <v>42907</v>
      </c>
      <c r="U22" s="15">
        <f>_xll.qlRateHelperLatestDate(R22,Trigger)</f>
        <v>42999</v>
      </c>
      <c r="V22" s="117">
        <v>7.8831711518240384E-4</v>
      </c>
    </row>
    <row r="23" spans="1:22" ht="11.25" customHeight="1" x14ac:dyDescent="0.2">
      <c r="A23" s="127" t="s">
        <v>44</v>
      </c>
      <c r="B23" s="128">
        <f t="shared" si="12"/>
        <v>49990</v>
      </c>
      <c r="C23" s="149">
        <v>42634</v>
      </c>
      <c r="D23" s="129" t="str">
        <f>_xll.qlIMMcode(C23)</f>
        <v>U6</v>
      </c>
      <c r="E23" s="103" t="s">
        <v>15</v>
      </c>
      <c r="F23" s="130" t="s">
        <v>53</v>
      </c>
      <c r="G23" s="131">
        <v>99.967500000000001</v>
      </c>
      <c r="H23" s="132">
        <v>0</v>
      </c>
      <c r="I23" s="133" t="str">
        <f>_xll.qlFuturesRateHelper(,$G23,"IMM",$D23,$F23,$H23,Permanent,Trigger,ObjectOverwrite)</f>
        <v>obj_000ec#0005</v>
      </c>
      <c r="J23" s="133" t="b">
        <f t="shared" si="13"/>
        <v>1</v>
      </c>
      <c r="K23" s="75"/>
      <c r="L23" s="24" t="str">
        <f t="shared" si="9"/>
        <v>Sf</v>
      </c>
      <c r="M23" s="24" t="str">
        <f t="shared" si="10"/>
        <v>H7</v>
      </c>
      <c r="N23" s="24" t="str">
        <f t="shared" si="11"/>
        <v>obj_00101#0005</v>
      </c>
      <c r="O23" s="14" t="b">
        <f t="shared" si="11"/>
        <v>1</v>
      </c>
      <c r="P23" s="14" t="str">
        <v>Sw</v>
      </c>
      <c r="Q23" s="14" t="str">
        <v>3Y</v>
      </c>
      <c r="R23" s="14" t="str">
        <v>obj_0016a#0005</v>
      </c>
      <c r="S23" s="117">
        <f>_xll.qlRateHelperRate(R23,Trigger)</f>
        <v>2.0599999999999998E-3</v>
      </c>
      <c r="T23" s="15">
        <f>_xll.qlRateHelperEarliestDate(R23,Trigger)</f>
        <v>42201</v>
      </c>
      <c r="U23" s="15">
        <f>_xll.qlRateHelperLatestDate(R23,Trigger)</f>
        <v>43297</v>
      </c>
      <c r="V23" s="117">
        <v>2.0719882157816377E-3</v>
      </c>
    </row>
    <row r="24" spans="1:22" ht="11.25" customHeight="1" x14ac:dyDescent="0.2">
      <c r="A24" s="127" t="s">
        <v>44</v>
      </c>
      <c r="B24" s="128">
        <f t="shared" si="12"/>
        <v>46429</v>
      </c>
      <c r="C24" s="149">
        <v>42725</v>
      </c>
      <c r="D24" s="129" t="str">
        <f>_xll.qlIMMcode(C24)</f>
        <v>Z6</v>
      </c>
      <c r="E24" s="103" t="s">
        <v>15</v>
      </c>
      <c r="F24" s="130" t="s">
        <v>53</v>
      </c>
      <c r="G24" s="131">
        <v>99.927750000000003</v>
      </c>
      <c r="H24" s="132">
        <v>0</v>
      </c>
      <c r="I24" s="133" t="str">
        <f>_xll.qlFuturesRateHelper(,$G24,"IMM",$D24,$F24,$H24,Permanent,Trigger,ObjectOverwrite)</f>
        <v>obj_000ea#0005</v>
      </c>
      <c r="J24" s="133" t="b">
        <f t="shared" si="13"/>
        <v>1</v>
      </c>
      <c r="K24" s="75"/>
      <c r="L24" s="24" t="str">
        <f t="shared" si="9"/>
        <v>Sf</v>
      </c>
      <c r="M24" s="24" t="str">
        <f t="shared" si="10"/>
        <v>M7</v>
      </c>
      <c r="N24" s="24" t="str">
        <f t="shared" si="11"/>
        <v>obj_000fa#0005</v>
      </c>
      <c r="O24" s="14" t="b">
        <f t="shared" si="11"/>
        <v>1</v>
      </c>
      <c r="P24" s="14" t="str">
        <v>Sw</v>
      </c>
      <c r="Q24" s="14" t="str">
        <v>4Y</v>
      </c>
      <c r="R24" s="14" t="str">
        <v>obj_0015f#0005</v>
      </c>
      <c r="S24" s="117">
        <f>_xll.qlRateHelperRate(R24,Trigger)</f>
        <v>3.4200000000000003E-3</v>
      </c>
      <c r="T24" s="15">
        <f>_xll.qlRateHelperEarliestDate(R24,Trigger)</f>
        <v>42201</v>
      </c>
      <c r="U24" s="15">
        <f>_xll.qlRateHelperLatestDate(R24,Trigger)</f>
        <v>43662</v>
      </c>
      <c r="V24" s="117">
        <v>3.4303805710814467E-3</v>
      </c>
    </row>
    <row r="25" spans="1:22" ht="11.25" customHeight="1" x14ac:dyDescent="0.2">
      <c r="A25" s="127" t="s">
        <v>44</v>
      </c>
      <c r="B25" s="128">
        <f t="shared" si="12"/>
        <v>40098</v>
      </c>
      <c r="C25" s="149">
        <v>42809</v>
      </c>
      <c r="D25" s="129" t="str">
        <f>_xll.qlIMMcode(C25)</f>
        <v>H7</v>
      </c>
      <c r="E25" s="103" t="s">
        <v>15</v>
      </c>
      <c r="F25" s="130" t="s">
        <v>53</v>
      </c>
      <c r="G25" s="131">
        <v>99.879000000000005</v>
      </c>
      <c r="H25" s="132">
        <v>0</v>
      </c>
      <c r="I25" s="133" t="str">
        <f>_xll.qlFuturesRateHelper(,$G25,"IMM",$D25,$F25,$H25,Permanent,Trigger,ObjectOverwrite)</f>
        <v>obj_00101#0005</v>
      </c>
      <c r="J25" s="133" t="b">
        <f t="shared" si="13"/>
        <v>1</v>
      </c>
      <c r="K25" s="75"/>
      <c r="L25" s="24" t="str">
        <f t="shared" si="9"/>
        <v>Sf</v>
      </c>
      <c r="M25" s="24" t="e">
        <f t="shared" si="10"/>
        <v>#NUM!</v>
      </c>
      <c r="N25" s="24" t="e">
        <f t="shared" si="11"/>
        <v>#NUM!</v>
      </c>
      <c r="O25" s="14" t="b">
        <f t="shared" si="11"/>
        <v>0</v>
      </c>
      <c r="P25" s="14" t="str">
        <v>Sw</v>
      </c>
      <c r="Q25" s="14" t="str">
        <v>5Y</v>
      </c>
      <c r="R25" s="14" t="str">
        <v>obj_00153#0005</v>
      </c>
      <c r="S25" s="117">
        <f>_xll.qlRateHelperRate(R25,Trigger)</f>
        <v>5.0099999999999997E-3</v>
      </c>
      <c r="T25" s="15">
        <f>_xll.qlRateHelperEarliestDate(R25,Trigger)</f>
        <v>42201</v>
      </c>
      <c r="U25" s="15">
        <f>_xll.qlRateHelperLatestDate(R25,Trigger)</f>
        <v>44028</v>
      </c>
      <c r="V25" s="117">
        <v>5.025090115362835E-3</v>
      </c>
    </row>
    <row r="26" spans="1:22" ht="11.25" customHeight="1" x14ac:dyDescent="0.2">
      <c r="A26" s="127" t="s">
        <v>44</v>
      </c>
      <c r="B26" s="128">
        <f t="shared" si="12"/>
        <v>39305</v>
      </c>
      <c r="C26" s="149">
        <v>42907</v>
      </c>
      <c r="D26" s="129" t="str">
        <f>_xll.qlIMMcode(C26)</f>
        <v>M7</v>
      </c>
      <c r="E26" s="103" t="s">
        <v>15</v>
      </c>
      <c r="F26" s="130" t="s">
        <v>53</v>
      </c>
      <c r="G26" s="131">
        <v>99.825500000000005</v>
      </c>
      <c r="H26" s="132">
        <v>0</v>
      </c>
      <c r="I26" s="133" t="str">
        <f>_xll.qlFuturesRateHelper(,$G26,"IMM",$D26,$F26,$H26,Permanent,Trigger,ObjectOverwrite)</f>
        <v>obj_000fa#0005</v>
      </c>
      <c r="J26" s="133" t="b">
        <f t="shared" si="13"/>
        <v>1</v>
      </c>
      <c r="K26" s="75"/>
      <c r="L26" s="25" t="str">
        <f t="shared" si="9"/>
        <v>Sf</v>
      </c>
      <c r="M26" s="25" t="e">
        <f t="shared" si="10"/>
        <v>#NUM!</v>
      </c>
      <c r="N26" s="25" t="e">
        <f t="shared" si="11"/>
        <v>#NUM!</v>
      </c>
      <c r="O26" s="16" t="b">
        <f t="shared" si="11"/>
        <v>0</v>
      </c>
      <c r="P26" s="14" t="str">
        <v>Sw</v>
      </c>
      <c r="Q26" s="14" t="str">
        <v>6Y</v>
      </c>
      <c r="R26" s="14" t="str">
        <v>obj_0015b#0005</v>
      </c>
      <c r="S26" s="117">
        <f>_xll.qlRateHelperRate(R26,Trigger)</f>
        <v>6.62E-3</v>
      </c>
      <c r="T26" s="15">
        <f>_xll.qlRateHelperEarliestDate(R26,Trigger)</f>
        <v>42201</v>
      </c>
      <c r="U26" s="15">
        <f>_xll.qlRateHelperLatestDate(R26,Trigger)</f>
        <v>44393</v>
      </c>
      <c r="V26" s="117">
        <v>6.6528987576011988E-3</v>
      </c>
    </row>
    <row r="27" spans="1:22" ht="11.25" customHeight="1" x14ac:dyDescent="0.2">
      <c r="A27" s="127" t="s">
        <v>44</v>
      </c>
      <c r="B27" s="128" t="e">
        <f t="shared" si="12"/>
        <v>#N/A</v>
      </c>
      <c r="C27" s="149" t="e">
        <v>#N/A</v>
      </c>
      <c r="D27" s="129" t="e">
        <f>_xll.qlIMMcode(C27)</f>
        <v>#NUM!</v>
      </c>
      <c r="E27" s="103" t="s">
        <v>15</v>
      </c>
      <c r="F27" s="130" t="s">
        <v>53</v>
      </c>
      <c r="G27" s="131" t="e">
        <v>#N/A</v>
      </c>
      <c r="H27" s="132">
        <v>0</v>
      </c>
      <c r="I27" s="133" t="e">
        <f>_xll.qlFuturesRateHelper(,$G27,"IMM",$D27,$F27,$H27,Permanent,Trigger,ObjectOverwrite)</f>
        <v>#NUM!</v>
      </c>
      <c r="J27" s="133" t="b">
        <f t="shared" si="13"/>
        <v>0</v>
      </c>
      <c r="K27" s="75"/>
      <c r="L27" s="24" t="str">
        <f t="shared" ref="L27:L71" si="14">A32</f>
        <v>Sw</v>
      </c>
      <c r="M27" s="24" t="str">
        <f t="shared" ref="M27:M71" si="15">D32</f>
        <v>3Y</v>
      </c>
      <c r="N27" s="24" t="str">
        <f t="shared" ref="N27:N71" si="16">I32</f>
        <v>obj_0016a#0005</v>
      </c>
      <c r="O27" s="24" t="b">
        <f t="shared" ref="O27:O71" si="17">J32</f>
        <v>1</v>
      </c>
      <c r="P27" s="14" t="str">
        <v>Sw</v>
      </c>
      <c r="Q27" s="14" t="str">
        <v>7Y</v>
      </c>
      <c r="R27" s="14" t="str">
        <v>obj_00165#0005</v>
      </c>
      <c r="S27" s="117">
        <f>_xll.qlRateHelperRate(R27,Trigger)</f>
        <v>8.1899999999999994E-3</v>
      </c>
      <c r="T27" s="15">
        <f>_xll.qlRateHelperEarliestDate(R27,Trigger)</f>
        <v>42201</v>
      </c>
      <c r="U27" s="15">
        <f>_xll.qlRateHelperLatestDate(R27,Trigger)</f>
        <v>44760</v>
      </c>
      <c r="V27" s="117">
        <v>8.2524561572835057E-3</v>
      </c>
    </row>
    <row r="28" spans="1:22" ht="11.25" customHeight="1" x14ac:dyDescent="0.2">
      <c r="A28" s="23" t="s">
        <v>44</v>
      </c>
      <c r="B28" s="10" t="e">
        <f t="shared" si="12"/>
        <v>#N/A</v>
      </c>
      <c r="C28" s="150" t="e">
        <v>#N/A</v>
      </c>
      <c r="D28" s="9" t="e">
        <f>_xll.qlIMMcode(C28)</f>
        <v>#NUM!</v>
      </c>
      <c r="E28" s="20" t="s">
        <v>15</v>
      </c>
      <c r="F28" s="3" t="s">
        <v>53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2" t="b">
        <f t="shared" si="13"/>
        <v>0</v>
      </c>
      <c r="K28" s="75"/>
      <c r="L28" s="24" t="str">
        <f t="shared" si="14"/>
        <v>Sw</v>
      </c>
      <c r="M28" s="24" t="str">
        <f t="shared" si="15"/>
        <v>4Y</v>
      </c>
      <c r="N28" s="24" t="str">
        <f t="shared" si="16"/>
        <v>obj_0015f#0005</v>
      </c>
      <c r="O28" s="24" t="b">
        <f t="shared" si="17"/>
        <v>1</v>
      </c>
      <c r="P28" s="14" t="str">
        <v>Sw</v>
      </c>
      <c r="Q28" s="14" t="str">
        <v>8Y</v>
      </c>
      <c r="R28" s="14" t="str">
        <v>obj_00172#0005</v>
      </c>
      <c r="S28" s="117">
        <f>_xll.qlRateHelperRate(R28,Trigger)</f>
        <v>9.6399999999999993E-3</v>
      </c>
      <c r="T28" s="15">
        <f>_xll.qlRateHelperEarliestDate(R28,Trigger)</f>
        <v>42201</v>
      </c>
      <c r="U28" s="15">
        <f>_xll.qlRateHelperLatestDate(R28,Trigger)</f>
        <v>45124</v>
      </c>
      <c r="V28" s="117">
        <v>9.7421507416355548E-3</v>
      </c>
    </row>
    <row r="29" spans="1:22" ht="11.25" customHeight="1" x14ac:dyDescent="0.2">
      <c r="K29" s="75"/>
      <c r="L29" s="24" t="str">
        <f t="shared" si="14"/>
        <v>Sw</v>
      </c>
      <c r="M29" s="24" t="str">
        <f t="shared" si="15"/>
        <v>5Y</v>
      </c>
      <c r="N29" s="24" t="str">
        <f t="shared" si="16"/>
        <v>obj_00153#0005</v>
      </c>
      <c r="O29" s="24" t="b">
        <f t="shared" si="17"/>
        <v>1</v>
      </c>
      <c r="P29" s="14" t="str">
        <v>Sw</v>
      </c>
      <c r="Q29" s="14" t="str">
        <v>9Y</v>
      </c>
      <c r="R29" s="14" t="str">
        <v>obj_0014f#0005</v>
      </c>
      <c r="S29" s="117">
        <f>_xll.qlRateHelperRate(R29,Trigger)</f>
        <v>1.094E-2</v>
      </c>
      <c r="T29" s="15">
        <f>_xll.qlRateHelperEarliestDate(R29,Trigger)</f>
        <v>42201</v>
      </c>
      <c r="U29" s="15">
        <f>_xll.qlRateHelperLatestDate(R29,Trigger)</f>
        <v>45489</v>
      </c>
      <c r="V29" s="117">
        <v>1.1085814287642161E-2</v>
      </c>
    </row>
    <row r="30" spans="1:22" ht="11.25" customHeight="1" x14ac:dyDescent="0.2">
      <c r="C30" s="72"/>
      <c r="D30" s="72"/>
      <c r="E30" s="72"/>
      <c r="G30" s="91" t="s">
        <v>7</v>
      </c>
      <c r="H30" s="108" t="s">
        <v>9</v>
      </c>
      <c r="I30" s="2" t="str">
        <f>_xll.qlEuribor(,G30,,,Trigger,)</f>
        <v>obj_0014a#0004</v>
      </c>
      <c r="J30" s="72"/>
      <c r="K30" s="75"/>
      <c r="L30" s="24" t="str">
        <f t="shared" si="14"/>
        <v>Sw</v>
      </c>
      <c r="M30" s="24" t="str">
        <f t="shared" si="15"/>
        <v>6Y</v>
      </c>
      <c r="N30" s="24" t="str">
        <f t="shared" si="16"/>
        <v>obj_0015b#0005</v>
      </c>
      <c r="O30" s="24" t="b">
        <f t="shared" si="17"/>
        <v>1</v>
      </c>
      <c r="P30" s="14" t="str">
        <v>Sw</v>
      </c>
      <c r="Q30" s="14" t="str">
        <v>10Y</v>
      </c>
      <c r="R30" s="14" t="str">
        <v>obj_00160#0005</v>
      </c>
      <c r="S30" s="117">
        <f>_xll.qlRateHelperRate(R30,Trigger)</f>
        <v>1.208E-2</v>
      </c>
      <c r="T30" s="15">
        <f>_xll.qlRateHelperEarliestDate(R30,Trigger)</f>
        <v>42201</v>
      </c>
      <c r="U30" s="15">
        <f>_xll.qlRateHelperLatestDate(R30,Trigger)</f>
        <v>45854</v>
      </c>
      <c r="V30" s="117">
        <v>1.2276870642956097E-2</v>
      </c>
    </row>
    <row r="31" spans="1:22" ht="11.25" customHeight="1" x14ac:dyDescent="0.2">
      <c r="A31" s="108" t="s">
        <v>18</v>
      </c>
      <c r="B31" s="108"/>
      <c r="C31" s="108" t="s">
        <v>11</v>
      </c>
      <c r="D31" s="108" t="s">
        <v>1</v>
      </c>
      <c r="E31" s="108" t="s">
        <v>13</v>
      </c>
      <c r="F31" s="108" t="s">
        <v>12</v>
      </c>
      <c r="G31" s="108" t="s">
        <v>4</v>
      </c>
      <c r="H31" s="108" t="s">
        <v>5</v>
      </c>
      <c r="I31" s="108" t="s">
        <v>43</v>
      </c>
      <c r="J31" s="108" t="s">
        <v>47</v>
      </c>
      <c r="K31" s="75"/>
      <c r="L31" s="24" t="str">
        <f t="shared" si="14"/>
        <v>Sw</v>
      </c>
      <c r="M31" s="24" t="str">
        <f t="shared" si="15"/>
        <v>7Y</v>
      </c>
      <c r="N31" s="24" t="str">
        <f t="shared" si="16"/>
        <v>obj_00165#0005</v>
      </c>
      <c r="O31" s="24" t="b">
        <f t="shared" si="17"/>
        <v>1</v>
      </c>
      <c r="P31" s="14" t="str">
        <v>Sw</v>
      </c>
      <c r="Q31" s="14" t="str">
        <v>11Y</v>
      </c>
      <c r="R31" s="14" t="str">
        <v>obj_00152#0005</v>
      </c>
      <c r="S31" s="117">
        <f>_xll.qlRateHelperRate(R31,Trigger)</f>
        <v>1.3086866210000001E-2</v>
      </c>
      <c r="T31" s="15">
        <f>_xll.qlRateHelperEarliestDate(R31,Trigger)</f>
        <v>42201</v>
      </c>
      <c r="U31" s="15">
        <f>_xll.qlRateHelperLatestDate(R31,Trigger)</f>
        <v>46219</v>
      </c>
      <c r="V31" s="117">
        <v>1.3337676367610678E-2</v>
      </c>
    </row>
    <row r="32" spans="1:22" ht="11.25" customHeight="1" x14ac:dyDescent="0.2">
      <c r="A32" s="99" t="s">
        <v>45</v>
      </c>
      <c r="B32" s="134"/>
      <c r="C32" s="134" t="s">
        <v>14</v>
      </c>
      <c r="D32" s="135" t="str">
        <f t="array" ref="D32:D76">_xll.ohFilter(PastedValue!O2:O62,PastedValue!K2:K62="Sw")</f>
        <v>3Y</v>
      </c>
      <c r="E32" s="123" t="s">
        <v>15</v>
      </c>
      <c r="F32" s="134" t="s">
        <v>16</v>
      </c>
      <c r="G32" s="123" t="s">
        <v>17</v>
      </c>
      <c r="H32" s="136">
        <f t="array" ref="H32:H76">_xll.ohFilter(PastedValue!R2:R62,PastedValue!K2:K62="Sw")/100</f>
        <v>2.0599999999999998E-3</v>
      </c>
      <c r="I32" s="97" t="str">
        <f>_xll.qlSwapRateHelper2(,$H32,2,$D32,Calendar,$F32,$E32,$G32,$I$30,0,C32,,Permanent,Trigger,ObjectOverwrite)</f>
        <v>obj_0016a#0005</v>
      </c>
      <c r="J32" s="126" t="b">
        <f>IF(ISNUMBER(H32),TRUE,FALSE)</f>
        <v>1</v>
      </c>
      <c r="K32" s="75"/>
      <c r="L32" s="24" t="str">
        <f t="shared" si="14"/>
        <v>Sw</v>
      </c>
      <c r="M32" s="24" t="str">
        <f t="shared" si="15"/>
        <v>8Y</v>
      </c>
      <c r="N32" s="24" t="str">
        <f t="shared" si="16"/>
        <v>obj_00172#0005</v>
      </c>
      <c r="O32" s="24" t="b">
        <f t="shared" si="17"/>
        <v>1</v>
      </c>
      <c r="P32" s="14" t="str">
        <v>Sw</v>
      </c>
      <c r="Q32" s="14" t="str">
        <v>12Y</v>
      </c>
      <c r="R32" s="14" t="str">
        <v>obj_0014b#0005</v>
      </c>
      <c r="S32" s="117">
        <f>_xll.qlRateHelperRate(R32,Trigger)</f>
        <v>1.3959999999999998E-2</v>
      </c>
      <c r="T32" s="15">
        <f>_xll.qlRateHelperEarliestDate(R32,Trigger)</f>
        <v>42201</v>
      </c>
      <c r="U32" s="15">
        <f>_xll.qlRateHelperLatestDate(R32,Trigger)</f>
        <v>46584</v>
      </c>
      <c r="V32" s="117">
        <v>1.4264543734448628E-2</v>
      </c>
    </row>
    <row r="33" spans="1:22" ht="11.25" customHeight="1" x14ac:dyDescent="0.2">
      <c r="A33" s="107" t="s">
        <v>45</v>
      </c>
      <c r="B33" s="137"/>
      <c r="C33" s="137" t="s">
        <v>14</v>
      </c>
      <c r="D33" s="138" t="str">
        <v>4Y</v>
      </c>
      <c r="E33" s="130" t="s">
        <v>15</v>
      </c>
      <c r="F33" s="137" t="s">
        <v>16</v>
      </c>
      <c r="G33" s="130" t="s">
        <v>17</v>
      </c>
      <c r="H33" s="139">
        <v>3.4200000000000003E-3</v>
      </c>
      <c r="I33" s="105" t="str">
        <f>_xll.qlSwapRateHelper2(,$H33,2,$D33,Calendar,$F33,$E33,$G33,$I$30,0,C33,,Permanent,Trigger,ObjectOverwrite)</f>
        <v>obj_0015f#0005</v>
      </c>
      <c r="J33" s="133" t="b">
        <f t="shared" ref="J33:J76" si="18">IF(ISNUMBER(H33),TRUE,FALSE)</f>
        <v>1</v>
      </c>
      <c r="L33" s="24" t="str">
        <f t="shared" si="14"/>
        <v>Sw</v>
      </c>
      <c r="M33" s="24" t="str">
        <f t="shared" si="15"/>
        <v>9Y</v>
      </c>
      <c r="N33" s="24" t="str">
        <f t="shared" si="16"/>
        <v>obj_0014f#0005</v>
      </c>
      <c r="O33" s="24" t="b">
        <f t="shared" si="17"/>
        <v>1</v>
      </c>
      <c r="P33" s="14" t="str">
        <v>Sw</v>
      </c>
      <c r="Q33" s="14" t="str">
        <v>13Y</v>
      </c>
      <c r="R33" s="14" t="str">
        <v>obj_0016f#0005</v>
      </c>
      <c r="S33" s="117">
        <f>_xll.qlRateHelperRate(R33,Trigger)</f>
        <v>1.470642713E-2</v>
      </c>
      <c r="T33" s="15">
        <f>_xll.qlRateHelperEarliestDate(R33,Trigger)</f>
        <v>42201</v>
      </c>
      <c r="U33" s="15">
        <f>_xll.qlRateHelperLatestDate(R33,Trigger)</f>
        <v>46951</v>
      </c>
      <c r="V33" s="117">
        <v>1.5058669796100647E-2</v>
      </c>
    </row>
    <row r="34" spans="1:22" ht="11.25" customHeight="1" x14ac:dyDescent="0.2">
      <c r="A34" s="107" t="s">
        <v>45</v>
      </c>
      <c r="B34" s="137"/>
      <c r="C34" s="137" t="s">
        <v>14</v>
      </c>
      <c r="D34" s="138" t="str">
        <v>5Y</v>
      </c>
      <c r="E34" s="130" t="s">
        <v>15</v>
      </c>
      <c r="F34" s="137" t="s">
        <v>16</v>
      </c>
      <c r="G34" s="130" t="s">
        <v>17</v>
      </c>
      <c r="H34" s="139">
        <v>5.0099999999999997E-3</v>
      </c>
      <c r="I34" s="105" t="str">
        <f>_xll.qlSwapRateHelper2(,$H34,2,$D34,Calendar,$F34,$E34,$G34,$I$30,0,C34,,Permanent,Trigger,ObjectOverwrite)</f>
        <v>obj_00153#0005</v>
      </c>
      <c r="J34" s="133" t="b">
        <f t="shared" si="18"/>
        <v>1</v>
      </c>
      <c r="L34" s="24" t="str">
        <f t="shared" si="14"/>
        <v>Sw</v>
      </c>
      <c r="M34" s="24" t="str">
        <f t="shared" si="15"/>
        <v>10Y</v>
      </c>
      <c r="N34" s="24" t="str">
        <f t="shared" si="16"/>
        <v>obj_00160#0005</v>
      </c>
      <c r="O34" s="24" t="b">
        <f t="shared" si="17"/>
        <v>1</v>
      </c>
      <c r="P34" s="14" t="str">
        <v>Sw</v>
      </c>
      <c r="Q34" s="14" t="str">
        <v>14Y</v>
      </c>
      <c r="R34" s="14" t="str">
        <v>obj_0015a#0005</v>
      </c>
      <c r="S34" s="117">
        <f>_xll.qlRateHelperRate(R34,Trigger)</f>
        <v>1.533012314E-2</v>
      </c>
      <c r="T34" s="15">
        <f>_xll.qlRateHelperEarliestDate(R34,Trigger)</f>
        <v>42201</v>
      </c>
      <c r="U34" s="15">
        <f>_xll.qlRateHelperLatestDate(R34,Trigger)</f>
        <v>47315</v>
      </c>
      <c r="V34" s="117">
        <v>1.5727867383169249E-2</v>
      </c>
    </row>
    <row r="35" spans="1:22" ht="11.25" customHeight="1" x14ac:dyDescent="0.2">
      <c r="A35" s="107" t="s">
        <v>45</v>
      </c>
      <c r="B35" s="137"/>
      <c r="C35" s="137" t="s">
        <v>14</v>
      </c>
      <c r="D35" s="138" t="str">
        <v>6Y</v>
      </c>
      <c r="E35" s="130" t="s">
        <v>15</v>
      </c>
      <c r="F35" s="137" t="s">
        <v>16</v>
      </c>
      <c r="G35" s="130" t="s">
        <v>17</v>
      </c>
      <c r="H35" s="139">
        <v>6.62E-3</v>
      </c>
      <c r="I35" s="105" t="str">
        <f>_xll.qlSwapRateHelper2(,$H35,2,$D35,Calendar,$F35,$E35,$G35,$I$30,0,C35,,Permanent,Trigger,ObjectOverwrite)</f>
        <v>obj_0015b#0005</v>
      </c>
      <c r="J35" s="133" t="b">
        <f t="shared" si="18"/>
        <v>1</v>
      </c>
      <c r="L35" s="24" t="str">
        <f t="shared" si="14"/>
        <v>Sw</v>
      </c>
      <c r="M35" s="24" t="str">
        <f t="shared" si="15"/>
        <v>11Y</v>
      </c>
      <c r="N35" s="24" t="str">
        <f t="shared" si="16"/>
        <v>obj_00152#0005</v>
      </c>
      <c r="O35" s="24" t="b">
        <f t="shared" si="17"/>
        <v>1</v>
      </c>
      <c r="P35" s="14" t="str">
        <v>Sw</v>
      </c>
      <c r="Q35" s="14" t="str">
        <v>15Y</v>
      </c>
      <c r="R35" s="14" t="str">
        <v>obj_0015d#0005</v>
      </c>
      <c r="S35" s="117">
        <f>_xll.qlRateHelperRate(R35,Trigger)</f>
        <v>1.5859999999999999E-2</v>
      </c>
      <c r="T35" s="15">
        <f>_xll.qlRateHelperEarliestDate(R35,Trigger)</f>
        <v>42201</v>
      </c>
      <c r="U35" s="15">
        <f>_xll.qlRateHelperLatestDate(R35,Trigger)</f>
        <v>47680</v>
      </c>
      <c r="V35" s="117">
        <v>1.6298365305002425E-2</v>
      </c>
    </row>
    <row r="36" spans="1:22" ht="11.25" customHeight="1" x14ac:dyDescent="0.2">
      <c r="A36" s="107" t="s">
        <v>45</v>
      </c>
      <c r="B36" s="137"/>
      <c r="C36" s="137" t="s">
        <v>14</v>
      </c>
      <c r="D36" s="138" t="str">
        <v>7Y</v>
      </c>
      <c r="E36" s="130" t="s">
        <v>15</v>
      </c>
      <c r="F36" s="137" t="s">
        <v>16</v>
      </c>
      <c r="G36" s="130" t="s">
        <v>17</v>
      </c>
      <c r="H36" s="139">
        <v>8.1899999999999994E-3</v>
      </c>
      <c r="I36" s="105" t="str">
        <f>_xll.qlSwapRateHelper2(,$H36,2,$D36,Calendar,$F36,$E36,$G36,$I$30,0,C36,,Permanent,Trigger,ObjectOverwrite)</f>
        <v>obj_00165#0005</v>
      </c>
      <c r="J36" s="133" t="b">
        <f t="shared" si="18"/>
        <v>1</v>
      </c>
      <c r="L36" s="24" t="str">
        <f t="shared" si="14"/>
        <v>Sw</v>
      </c>
      <c r="M36" s="24" t="str">
        <f t="shared" si="15"/>
        <v>12Y</v>
      </c>
      <c r="N36" s="24" t="str">
        <f t="shared" si="16"/>
        <v>obj_0014b#0005</v>
      </c>
      <c r="O36" s="24" t="b">
        <f t="shared" si="17"/>
        <v>1</v>
      </c>
      <c r="P36" s="14" t="str">
        <v>Sw</v>
      </c>
      <c r="Q36" s="14" t="str">
        <v>16Y</v>
      </c>
      <c r="R36" s="14" t="str">
        <v>obj_00163#0005</v>
      </c>
      <c r="S36" s="117">
        <f>_xll.qlRateHelperRate(R36,Trigger)</f>
        <v>1.630748236E-2</v>
      </c>
      <c r="T36" s="15">
        <f>_xll.qlRateHelperEarliestDate(R36,Trigger)</f>
        <v>42201</v>
      </c>
      <c r="U36" s="15">
        <f>_xll.qlRateHelperLatestDate(R36,Trigger)</f>
        <v>48045</v>
      </c>
      <c r="V36" s="117">
        <v>1.6781007371560418E-2</v>
      </c>
    </row>
    <row r="37" spans="1:22" ht="11.25" customHeight="1" x14ac:dyDescent="0.2">
      <c r="A37" s="107" t="s">
        <v>45</v>
      </c>
      <c r="B37" s="137"/>
      <c r="C37" s="137" t="s">
        <v>14</v>
      </c>
      <c r="D37" s="138" t="str">
        <v>8Y</v>
      </c>
      <c r="E37" s="130" t="s">
        <v>15</v>
      </c>
      <c r="F37" s="137" t="s">
        <v>16</v>
      </c>
      <c r="G37" s="130" t="s">
        <v>17</v>
      </c>
      <c r="H37" s="139">
        <v>9.6399999999999993E-3</v>
      </c>
      <c r="I37" s="105" t="str">
        <f>_xll.qlSwapRateHelper2(,$H37,2,$D37,Calendar,$F37,$E37,$G37,$I$30,0,C37,,Permanent,Trigger,ObjectOverwrite)</f>
        <v>obj_00172#0005</v>
      </c>
      <c r="J37" s="133" t="b">
        <f t="shared" si="18"/>
        <v>1</v>
      </c>
      <c r="L37" s="24" t="str">
        <f t="shared" si="14"/>
        <v>Sw</v>
      </c>
      <c r="M37" s="24" t="str">
        <f t="shared" si="15"/>
        <v>13Y</v>
      </c>
      <c r="N37" s="24" t="str">
        <f t="shared" si="16"/>
        <v>obj_0016f#0005</v>
      </c>
      <c r="O37" s="24" t="b">
        <f t="shared" si="17"/>
        <v>1</v>
      </c>
      <c r="P37" s="14" t="str">
        <v>Sw</v>
      </c>
      <c r="Q37" s="14" t="str">
        <v>17Y</v>
      </c>
      <c r="R37" s="14" t="str">
        <v>obj_00161#0005</v>
      </c>
      <c r="S37" s="117">
        <f>_xll.qlRateHelperRate(R37,Trigger)</f>
        <v>1.668436974E-2</v>
      </c>
      <c r="T37" s="15">
        <f>_xll.qlRateHelperEarliestDate(R37,Trigger)</f>
        <v>42201</v>
      </c>
      <c r="U37" s="15">
        <f>_xll.qlRateHelperLatestDate(R37,Trigger)</f>
        <v>48411</v>
      </c>
      <c r="V37" s="117">
        <v>1.7184683348899762E-2</v>
      </c>
    </row>
    <row r="38" spans="1:22" ht="11.25" customHeight="1" x14ac:dyDescent="0.2">
      <c r="A38" s="107" t="s">
        <v>45</v>
      </c>
      <c r="B38" s="137"/>
      <c r="C38" s="137" t="s">
        <v>14</v>
      </c>
      <c r="D38" s="138" t="str">
        <v>9Y</v>
      </c>
      <c r="E38" s="130" t="s">
        <v>15</v>
      </c>
      <c r="F38" s="137" t="s">
        <v>16</v>
      </c>
      <c r="G38" s="130" t="s">
        <v>17</v>
      </c>
      <c r="H38" s="139">
        <v>1.094E-2</v>
      </c>
      <c r="I38" s="105" t="str">
        <f>_xll.qlSwapRateHelper2(,$H38,2,$D38,Calendar,$F38,$E38,$G38,$I$30,0,C38,,Permanent,Trigger,ObjectOverwrite)</f>
        <v>obj_0014f#0005</v>
      </c>
      <c r="J38" s="133" t="b">
        <f t="shared" si="18"/>
        <v>1</v>
      </c>
      <c r="L38" s="24" t="str">
        <f t="shared" si="14"/>
        <v>Sw</v>
      </c>
      <c r="M38" s="24" t="str">
        <f t="shared" si="15"/>
        <v>14Y</v>
      </c>
      <c r="N38" s="24" t="str">
        <f t="shared" si="16"/>
        <v>obj_0015a#0005</v>
      </c>
      <c r="O38" s="24" t="b">
        <f t="shared" si="17"/>
        <v>1</v>
      </c>
      <c r="P38" s="14" t="str">
        <v>Sw</v>
      </c>
      <c r="Q38" s="14" t="str">
        <v>18Y</v>
      </c>
      <c r="R38" s="14" t="str">
        <v>obj_00155#0005</v>
      </c>
      <c r="S38" s="117">
        <f>_xll.qlRateHelperRate(R38,Trigger)</f>
        <v>1.6991863940000001E-2</v>
      </c>
      <c r="T38" s="15">
        <f>_xll.qlRateHelperEarliestDate(R38,Trigger)</f>
        <v>42201</v>
      </c>
      <c r="U38" s="15">
        <f>_xll.qlRateHelperLatestDate(R38,Trigger)</f>
        <v>48778</v>
      </c>
      <c r="V38" s="117">
        <v>1.7514386661512785E-2</v>
      </c>
    </row>
    <row r="39" spans="1:22" ht="11.25" customHeight="1" x14ac:dyDescent="0.2">
      <c r="A39" s="107" t="s">
        <v>45</v>
      </c>
      <c r="B39" s="137"/>
      <c r="C39" s="137" t="s">
        <v>14</v>
      </c>
      <c r="D39" s="138" t="str">
        <v>10Y</v>
      </c>
      <c r="E39" s="130" t="s">
        <v>15</v>
      </c>
      <c r="F39" s="137" t="s">
        <v>16</v>
      </c>
      <c r="G39" s="130" t="s">
        <v>17</v>
      </c>
      <c r="H39" s="139">
        <v>1.208E-2</v>
      </c>
      <c r="I39" s="105" t="str">
        <f>_xll.qlSwapRateHelper2(,$H39,2,$D39,Calendar,$F39,$E39,$G39,$I$30,0,C39,,Permanent,Trigger,ObjectOverwrite)</f>
        <v>obj_00160#0005</v>
      </c>
      <c r="J39" s="133" t="b">
        <f t="shared" si="18"/>
        <v>1</v>
      </c>
      <c r="L39" s="24" t="str">
        <f t="shared" si="14"/>
        <v>Sw</v>
      </c>
      <c r="M39" s="24" t="str">
        <f t="shared" si="15"/>
        <v>15Y</v>
      </c>
      <c r="N39" s="24" t="str">
        <f t="shared" si="16"/>
        <v>obj_0015d#0005</v>
      </c>
      <c r="O39" s="24" t="b">
        <f t="shared" si="17"/>
        <v>1</v>
      </c>
      <c r="P39" s="14" t="str">
        <v>Sw</v>
      </c>
      <c r="Q39" s="14" t="str">
        <v>19Y</v>
      </c>
      <c r="R39" s="14" t="str">
        <v>obj_00170#0005</v>
      </c>
      <c r="S39" s="117">
        <f>_xll.qlRateHelperRate(R39,Trigger)</f>
        <v>1.723475088E-2</v>
      </c>
      <c r="T39" s="15">
        <f>_xll.qlRateHelperEarliestDate(R39,Trigger)</f>
        <v>42201</v>
      </c>
      <c r="U39" s="15">
        <f>_xll.qlRateHelperLatestDate(R39,Trigger)</f>
        <v>49142</v>
      </c>
      <c r="V39" s="117">
        <v>1.7771653873195119E-2</v>
      </c>
    </row>
    <row r="40" spans="1:22" ht="11.25" customHeight="1" x14ac:dyDescent="0.2">
      <c r="A40" s="107" t="s">
        <v>45</v>
      </c>
      <c r="B40" s="137"/>
      <c r="C40" s="137" t="s">
        <v>14</v>
      </c>
      <c r="D40" s="138" t="str">
        <v>11Y</v>
      </c>
      <c r="E40" s="130" t="s">
        <v>15</v>
      </c>
      <c r="F40" s="137" t="s">
        <v>16</v>
      </c>
      <c r="G40" s="130" t="s">
        <v>17</v>
      </c>
      <c r="H40" s="139">
        <v>1.3086866210000001E-2</v>
      </c>
      <c r="I40" s="105" t="str">
        <f>_xll.qlSwapRateHelper2(,$H40,2,$D40,Calendar,$F40,$E40,$G40,$I$30,0,C40,,Permanent,Trigger,ObjectOverwrite)</f>
        <v>obj_00152#0005</v>
      </c>
      <c r="J40" s="133" t="b">
        <f t="shared" si="18"/>
        <v>1</v>
      </c>
      <c r="L40" s="24" t="str">
        <f t="shared" si="14"/>
        <v>Sw</v>
      </c>
      <c r="M40" s="24" t="str">
        <f t="shared" si="15"/>
        <v>16Y</v>
      </c>
      <c r="N40" s="24" t="str">
        <f t="shared" si="16"/>
        <v>obj_00163#0005</v>
      </c>
      <c r="O40" s="24" t="b">
        <f t="shared" si="17"/>
        <v>1</v>
      </c>
      <c r="P40" s="14" t="str">
        <v>Sw</v>
      </c>
      <c r="Q40" s="14" t="str">
        <v>20Y</v>
      </c>
      <c r="R40" s="14" t="str">
        <v>obj_00156#0005</v>
      </c>
      <c r="S40" s="117">
        <f>_xll.qlRateHelperRate(R40,Trigger)</f>
        <v>1.7420000000000001E-2</v>
      </c>
      <c r="T40" s="15">
        <f>_xll.qlRateHelperEarliestDate(R40,Trigger)</f>
        <v>42201</v>
      </c>
      <c r="U40" s="15">
        <f>_xll.qlRateHelperLatestDate(R40,Trigger)</f>
        <v>49506</v>
      </c>
      <c r="V40" s="117">
        <v>1.7963035226113457E-2</v>
      </c>
    </row>
    <row r="41" spans="1:22" ht="11.25" customHeight="1" x14ac:dyDescent="0.2">
      <c r="A41" s="107" t="s">
        <v>45</v>
      </c>
      <c r="B41" s="137"/>
      <c r="C41" s="137" t="s">
        <v>14</v>
      </c>
      <c r="D41" s="138" t="str">
        <v>12Y</v>
      </c>
      <c r="E41" s="130" t="s">
        <v>15</v>
      </c>
      <c r="F41" s="137" t="s">
        <v>16</v>
      </c>
      <c r="G41" s="130" t="s">
        <v>17</v>
      </c>
      <c r="H41" s="139">
        <v>1.3959999999999998E-2</v>
      </c>
      <c r="I41" s="105" t="str">
        <f>_xll.qlSwapRateHelper2(,$H41,2,$D41,Calendar,$F41,$E41,$G41,$I$30,0,C41,,Permanent,Trigger,ObjectOverwrite)</f>
        <v>obj_0014b#0005</v>
      </c>
      <c r="J41" s="133" t="b">
        <f t="shared" si="18"/>
        <v>1</v>
      </c>
      <c r="L41" s="24" t="str">
        <f t="shared" si="14"/>
        <v>Sw</v>
      </c>
      <c r="M41" s="24" t="str">
        <f t="shared" si="15"/>
        <v>17Y</v>
      </c>
      <c r="N41" s="24" t="str">
        <f t="shared" si="16"/>
        <v>obj_00161#0005</v>
      </c>
      <c r="O41" s="24" t="b">
        <f t="shared" si="17"/>
        <v>1</v>
      </c>
      <c r="P41" s="14" t="str">
        <v>Sw</v>
      </c>
      <c r="Q41" s="14" t="str">
        <v>21Y</v>
      </c>
      <c r="R41" s="14" t="str">
        <v>obj_00166#0005</v>
      </c>
      <c r="S41" s="117">
        <f>_xll.qlRateHelperRate(R41,Trigger)</f>
        <v>1.755541649E-2</v>
      </c>
      <c r="T41" s="15">
        <f>_xll.qlRateHelperEarliestDate(R41,Trigger)</f>
        <v>42201</v>
      </c>
      <c r="U41" s="15">
        <f>_xll.qlRateHelperLatestDate(R41,Trigger)</f>
        <v>49872</v>
      </c>
      <c r="V41" s="117">
        <v>1.8094331377644626E-2</v>
      </c>
    </row>
    <row r="42" spans="1:22" ht="11.25" customHeight="1" x14ac:dyDescent="0.2">
      <c r="A42" s="107" t="s">
        <v>45</v>
      </c>
      <c r="B42" s="137"/>
      <c r="C42" s="137" t="s">
        <v>14</v>
      </c>
      <c r="D42" s="138" t="str">
        <v>13Y</v>
      </c>
      <c r="E42" s="130" t="s">
        <v>15</v>
      </c>
      <c r="F42" s="137" t="s">
        <v>16</v>
      </c>
      <c r="G42" s="130" t="s">
        <v>17</v>
      </c>
      <c r="H42" s="139">
        <v>1.470642713E-2</v>
      </c>
      <c r="I42" s="105" t="str">
        <f>_xll.qlSwapRateHelper2(,$H42,2,$D42,Calendar,$F42,$E42,$G42,$I$30,0,C42,,Permanent,Trigger,ObjectOverwrite)</f>
        <v>obj_0016f#0005</v>
      </c>
      <c r="J42" s="133" t="b">
        <f t="shared" si="18"/>
        <v>1</v>
      </c>
      <c r="L42" s="24" t="str">
        <f t="shared" si="14"/>
        <v>Sw</v>
      </c>
      <c r="M42" s="24" t="str">
        <f t="shared" si="15"/>
        <v>18Y</v>
      </c>
      <c r="N42" s="24" t="str">
        <f t="shared" si="16"/>
        <v>obj_00155#0005</v>
      </c>
      <c r="O42" s="24" t="b">
        <f t="shared" si="17"/>
        <v>1</v>
      </c>
      <c r="P42" s="14" t="str">
        <v>Sw</v>
      </c>
      <c r="Q42" s="14" t="str">
        <v>22Y</v>
      </c>
      <c r="R42" s="14" t="str">
        <v>obj_00159#0005</v>
      </c>
      <c r="S42" s="117">
        <f>_xll.qlRateHelperRate(R42,Trigger)</f>
        <v>1.7647449989999998E-2</v>
      </c>
      <c r="T42" s="15">
        <f>_xll.qlRateHelperEarliestDate(R42,Trigger)</f>
        <v>42201</v>
      </c>
      <c r="U42" s="15">
        <f>_xll.qlRateHelperLatestDate(R42,Trigger)</f>
        <v>50237</v>
      </c>
      <c r="V42" s="117">
        <v>1.8177347335746871E-2</v>
      </c>
    </row>
    <row r="43" spans="1:22" ht="11.25" customHeight="1" x14ac:dyDescent="0.2">
      <c r="A43" s="107" t="s">
        <v>45</v>
      </c>
      <c r="B43" s="137"/>
      <c r="C43" s="137" t="s">
        <v>14</v>
      </c>
      <c r="D43" s="138" t="str">
        <v>14Y</v>
      </c>
      <c r="E43" s="130" t="s">
        <v>15</v>
      </c>
      <c r="F43" s="137" t="s">
        <v>16</v>
      </c>
      <c r="G43" s="130" t="s">
        <v>17</v>
      </c>
      <c r="H43" s="139">
        <v>1.533012314E-2</v>
      </c>
      <c r="I43" s="105" t="str">
        <f>_xll.qlSwapRateHelper2(,$H43,2,$D43,Calendar,$F43,$E43,$G43,$I$30,0,C43,,Permanent,Trigger,ObjectOverwrite)</f>
        <v>obj_0015a#0005</v>
      </c>
      <c r="J43" s="133" t="b">
        <f t="shared" si="18"/>
        <v>1</v>
      </c>
      <c r="L43" s="24" t="str">
        <f t="shared" si="14"/>
        <v>Sw</v>
      </c>
      <c r="M43" s="24" t="str">
        <f t="shared" si="15"/>
        <v>19Y</v>
      </c>
      <c r="N43" s="24" t="str">
        <f t="shared" si="16"/>
        <v>obj_00170#0005</v>
      </c>
      <c r="O43" s="24" t="b">
        <f t="shared" si="17"/>
        <v>1</v>
      </c>
      <c r="P43" s="14" t="str">
        <v>Sw</v>
      </c>
      <c r="Q43" s="14" t="str">
        <v>23Y</v>
      </c>
      <c r="R43" s="14" t="str">
        <v>obj_0016d#0005</v>
      </c>
      <c r="S43" s="117">
        <f>_xll.qlRateHelperRate(R43,Trigger)</f>
        <v>1.7709512480000002E-2</v>
      </c>
      <c r="T43" s="15">
        <f>_xll.qlRateHelperEarliestDate(R43,Trigger)</f>
        <v>42201</v>
      </c>
      <c r="U43" s="15">
        <f>_xll.qlRateHelperLatestDate(R43,Trigger)</f>
        <v>50602</v>
      </c>
      <c r="V43" s="117">
        <v>1.8225546378724308E-2</v>
      </c>
    </row>
    <row r="44" spans="1:22" ht="11.25" customHeight="1" x14ac:dyDescent="0.2">
      <c r="A44" s="107" t="s">
        <v>45</v>
      </c>
      <c r="B44" s="137"/>
      <c r="C44" s="137" t="s">
        <v>14</v>
      </c>
      <c r="D44" s="138" t="str">
        <v>15Y</v>
      </c>
      <c r="E44" s="130" t="s">
        <v>15</v>
      </c>
      <c r="F44" s="137" t="s">
        <v>16</v>
      </c>
      <c r="G44" s="130" t="s">
        <v>17</v>
      </c>
      <c r="H44" s="139">
        <v>1.5859999999999999E-2</v>
      </c>
      <c r="I44" s="105" t="str">
        <f>_xll.qlSwapRateHelper2(,$H44,2,$D44,Calendar,$F44,$E44,$G44,$I$30,0,C44,,Permanent,Trigger,ObjectOverwrite)</f>
        <v>obj_0015d#0005</v>
      </c>
      <c r="J44" s="133" t="b">
        <f t="shared" si="18"/>
        <v>1</v>
      </c>
      <c r="L44" s="24" t="str">
        <f t="shared" si="14"/>
        <v>Sw</v>
      </c>
      <c r="M44" s="24" t="str">
        <f t="shared" si="15"/>
        <v>20Y</v>
      </c>
      <c r="N44" s="24" t="str">
        <f t="shared" si="16"/>
        <v>obj_00156#0005</v>
      </c>
      <c r="O44" s="24" t="b">
        <f t="shared" si="17"/>
        <v>1</v>
      </c>
      <c r="P44" s="14" t="str">
        <v>Sw</v>
      </c>
      <c r="Q44" s="14" t="str">
        <v>24Y</v>
      </c>
      <c r="R44" s="14" t="str">
        <v>obj_00169#0005</v>
      </c>
      <c r="S44" s="117">
        <f>_xll.qlRateHelperRate(R44,Trigger)</f>
        <v>1.775083366E-2</v>
      </c>
      <c r="T44" s="15">
        <f>_xll.qlRateHelperEarliestDate(R44,Trigger)</f>
        <v>42201</v>
      </c>
      <c r="U44" s="15">
        <f>_xll.qlRateHelperLatestDate(R44,Trigger)</f>
        <v>50969</v>
      </c>
      <c r="V44" s="117">
        <v>1.8249834509556077E-2</v>
      </c>
    </row>
    <row r="45" spans="1:22" ht="11.25" customHeight="1" x14ac:dyDescent="0.2">
      <c r="A45" s="107" t="s">
        <v>45</v>
      </c>
      <c r="B45" s="137"/>
      <c r="C45" s="137" t="s">
        <v>14</v>
      </c>
      <c r="D45" s="138" t="str">
        <v>16Y</v>
      </c>
      <c r="E45" s="130" t="s">
        <v>15</v>
      </c>
      <c r="F45" s="137" t="s">
        <v>16</v>
      </c>
      <c r="G45" s="130" t="s">
        <v>17</v>
      </c>
      <c r="H45" s="139">
        <v>1.630748236E-2</v>
      </c>
      <c r="I45" s="105" t="str">
        <f>_xll.qlSwapRateHelper2(,$H45,2,$D45,Calendar,$F45,$E45,$G45,$I$30,0,C45,,Permanent,Trigger,ObjectOverwrite)</f>
        <v>obj_00163#0005</v>
      </c>
      <c r="J45" s="133" t="b">
        <f t="shared" si="18"/>
        <v>1</v>
      </c>
      <c r="L45" s="24" t="str">
        <f t="shared" si="14"/>
        <v>Sw</v>
      </c>
      <c r="M45" s="24" t="str">
        <f t="shared" si="15"/>
        <v>21Y</v>
      </c>
      <c r="N45" s="24" t="str">
        <f t="shared" si="16"/>
        <v>obj_00166#0005</v>
      </c>
      <c r="O45" s="24" t="b">
        <f t="shared" si="17"/>
        <v>1</v>
      </c>
      <c r="P45" s="14" t="str">
        <v>Sw</v>
      </c>
      <c r="Q45" s="14" t="str">
        <v>25Y</v>
      </c>
      <c r="R45" s="14" t="str">
        <v>obj_00151#0005</v>
      </c>
      <c r="S45" s="117">
        <f>_xll.qlRateHelperRate(R45,Trigger)</f>
        <v>1.7780000000000001E-2</v>
      </c>
      <c r="T45" s="15">
        <f>_xll.qlRateHelperEarliestDate(R45,Trigger)</f>
        <v>42201</v>
      </c>
      <c r="U45" s="15">
        <f>_xll.qlRateHelperLatestDate(R45,Trigger)</f>
        <v>51333</v>
      </c>
      <c r="V45" s="117">
        <v>1.8259084991371733E-2</v>
      </c>
    </row>
    <row r="46" spans="1:22" ht="11.25" customHeight="1" x14ac:dyDescent="0.2">
      <c r="A46" s="107" t="s">
        <v>45</v>
      </c>
      <c r="B46" s="137"/>
      <c r="C46" s="137" t="s">
        <v>14</v>
      </c>
      <c r="D46" s="138" t="str">
        <v>17Y</v>
      </c>
      <c r="E46" s="130" t="s">
        <v>15</v>
      </c>
      <c r="F46" s="137" t="s">
        <v>16</v>
      </c>
      <c r="G46" s="130" t="s">
        <v>17</v>
      </c>
      <c r="H46" s="139">
        <v>1.668436974E-2</v>
      </c>
      <c r="I46" s="105" t="str">
        <f>_xll.qlSwapRateHelper2(,$H46,2,$D46,Calendar,$F46,$E46,$G46,$I$30,0,C46,,Permanent,Trigger,ObjectOverwrite)</f>
        <v>obj_00161#0005</v>
      </c>
      <c r="J46" s="133" t="b">
        <f t="shared" si="18"/>
        <v>1</v>
      </c>
      <c r="L46" s="24" t="str">
        <f t="shared" si="14"/>
        <v>Sw</v>
      </c>
      <c r="M46" s="24" t="str">
        <f t="shared" si="15"/>
        <v>22Y</v>
      </c>
      <c r="N46" s="24" t="str">
        <f t="shared" si="16"/>
        <v>obj_00159#0005</v>
      </c>
      <c r="O46" s="24" t="b">
        <f t="shared" si="17"/>
        <v>1</v>
      </c>
      <c r="P46" s="14" t="str">
        <v>Sw</v>
      </c>
      <c r="Q46" s="14" t="str">
        <v>26Y</v>
      </c>
      <c r="R46" s="14" t="str">
        <v>obj_0016c#0005</v>
      </c>
      <c r="S46" s="117">
        <f>_xll.qlRateHelperRate(R46,Trigger)</f>
        <v>1.7800186539999999E-2</v>
      </c>
      <c r="T46" s="15">
        <f>_xll.qlRateHelperEarliestDate(R46,Trigger)</f>
        <v>42201</v>
      </c>
      <c r="U46" s="15">
        <f>_xll.qlRateHelperLatestDate(R46,Trigger)</f>
        <v>51698</v>
      </c>
      <c r="V46" s="117">
        <v>1.8260709225800632E-2</v>
      </c>
    </row>
    <row r="47" spans="1:22" ht="11.25" customHeight="1" x14ac:dyDescent="0.2">
      <c r="A47" s="107" t="s">
        <v>45</v>
      </c>
      <c r="B47" s="137"/>
      <c r="C47" s="137" t="s">
        <v>14</v>
      </c>
      <c r="D47" s="138" t="str">
        <v>18Y</v>
      </c>
      <c r="E47" s="130" t="s">
        <v>15</v>
      </c>
      <c r="F47" s="137" t="s">
        <v>16</v>
      </c>
      <c r="G47" s="130" t="s">
        <v>17</v>
      </c>
      <c r="H47" s="139">
        <v>1.6991863940000001E-2</v>
      </c>
      <c r="I47" s="105" t="str">
        <f>_xll.qlSwapRateHelper2(,$H47,2,$D47,Calendar,$F47,$E47,$G47,$I$30,0,C47,,Permanent,Trigger,ObjectOverwrite)</f>
        <v>obj_00155#0005</v>
      </c>
      <c r="J47" s="133" t="b">
        <f t="shared" si="18"/>
        <v>1</v>
      </c>
      <c r="L47" s="24" t="str">
        <f t="shared" si="14"/>
        <v>Sw</v>
      </c>
      <c r="M47" s="24" t="str">
        <f t="shared" si="15"/>
        <v>23Y</v>
      </c>
      <c r="N47" s="24" t="str">
        <f t="shared" si="16"/>
        <v>obj_0016d#0005</v>
      </c>
      <c r="O47" s="24" t="b">
        <f t="shared" si="17"/>
        <v>1</v>
      </c>
      <c r="P47" s="14" t="str">
        <v>Sw</v>
      </c>
      <c r="Q47" s="14" t="str">
        <v>27Y</v>
      </c>
      <c r="R47" s="14" t="str">
        <v>obj_00167#0005</v>
      </c>
      <c r="S47" s="117">
        <f>_xll.qlRateHelperRate(R47,Trigger)</f>
        <v>1.7816561309999999E-2</v>
      </c>
      <c r="T47" s="15">
        <f>_xll.qlRateHelperEarliestDate(R47,Trigger)</f>
        <v>42201</v>
      </c>
      <c r="U47" s="15">
        <f>_xll.qlRateHelperLatestDate(R47,Trigger)</f>
        <v>52063</v>
      </c>
      <c r="V47" s="117">
        <v>1.8259182569198725E-2</v>
      </c>
    </row>
    <row r="48" spans="1:22" ht="11.25" customHeight="1" x14ac:dyDescent="0.2">
      <c r="A48" s="107" t="s">
        <v>45</v>
      </c>
      <c r="B48" s="137"/>
      <c r="C48" s="137" t="s">
        <v>14</v>
      </c>
      <c r="D48" s="138" t="str">
        <v>19Y</v>
      </c>
      <c r="E48" s="130" t="s">
        <v>15</v>
      </c>
      <c r="F48" s="137" t="s">
        <v>16</v>
      </c>
      <c r="G48" s="130" t="s">
        <v>17</v>
      </c>
      <c r="H48" s="139">
        <v>1.723475088E-2</v>
      </c>
      <c r="I48" s="105" t="str">
        <f>_xll.qlSwapRateHelper2(,$H48,2,$D48,Calendar,$F48,$E48,$G48,$I$30,0,C48,,Permanent,Trigger,ObjectOverwrite)</f>
        <v>obj_00170#0005</v>
      </c>
      <c r="J48" s="133" t="b">
        <f t="shared" si="18"/>
        <v>1</v>
      </c>
      <c r="L48" s="24" t="str">
        <f t="shared" si="14"/>
        <v>Sw</v>
      </c>
      <c r="M48" s="24" t="str">
        <f t="shared" si="15"/>
        <v>24Y</v>
      </c>
      <c r="N48" s="24" t="str">
        <f t="shared" si="16"/>
        <v>obj_00169#0005</v>
      </c>
      <c r="O48" s="24" t="b">
        <f t="shared" si="17"/>
        <v>1</v>
      </c>
      <c r="P48" s="14" t="str">
        <v>Sw</v>
      </c>
      <c r="Q48" s="14" t="str">
        <v>28Y</v>
      </c>
      <c r="R48" s="14" t="str">
        <v>obj_0014e#0005</v>
      </c>
      <c r="S48" s="117">
        <f>_xll.qlRateHelperRate(R48,Trigger)</f>
        <v>1.7831912219999999E-2</v>
      </c>
      <c r="T48" s="15">
        <f>_xll.qlRateHelperEarliestDate(R48,Trigger)</f>
        <v>42201</v>
      </c>
      <c r="U48" s="15">
        <f>_xll.qlRateHelperLatestDate(R48,Trigger)</f>
        <v>52428</v>
      </c>
      <c r="V48" s="117">
        <v>1.8257946266291132E-2</v>
      </c>
    </row>
    <row r="49" spans="1:22" ht="11.25" customHeight="1" x14ac:dyDescent="0.2">
      <c r="A49" s="107" t="s">
        <v>45</v>
      </c>
      <c r="B49" s="137"/>
      <c r="C49" s="137" t="s">
        <v>14</v>
      </c>
      <c r="D49" s="138" t="str">
        <v>20Y</v>
      </c>
      <c r="E49" s="130" t="s">
        <v>15</v>
      </c>
      <c r="F49" s="137" t="s">
        <v>16</v>
      </c>
      <c r="G49" s="130" t="s">
        <v>17</v>
      </c>
      <c r="H49" s="139">
        <v>1.7420000000000001E-2</v>
      </c>
      <c r="I49" s="105" t="str">
        <f>_xll.qlSwapRateHelper2(,$H49,2,$D49,Calendar,$F49,$E49,$G49,$I$30,0,C49,,Permanent,Trigger,ObjectOverwrite)</f>
        <v>obj_00156#0005</v>
      </c>
      <c r="J49" s="133" t="b">
        <f t="shared" si="18"/>
        <v>1</v>
      </c>
      <c r="L49" s="24" t="str">
        <f t="shared" si="14"/>
        <v>Sw</v>
      </c>
      <c r="M49" s="24" t="str">
        <f t="shared" si="15"/>
        <v>25Y</v>
      </c>
      <c r="N49" s="24" t="str">
        <f t="shared" si="16"/>
        <v>obj_00151#0005</v>
      </c>
      <c r="O49" s="24" t="b">
        <f t="shared" si="17"/>
        <v>1</v>
      </c>
      <c r="P49" s="14" t="str">
        <v>Sw</v>
      </c>
      <c r="Q49" s="14" t="str">
        <v>29Y</v>
      </c>
      <c r="R49" s="14" t="str">
        <v>obj_0015e#0005</v>
      </c>
      <c r="S49" s="117">
        <f>_xll.qlRateHelperRate(R49,Trigger)</f>
        <v>1.7850015569999999E-2</v>
      </c>
      <c r="T49" s="15">
        <f>_xll.qlRateHelperEarliestDate(R49,Trigger)</f>
        <v>42201</v>
      </c>
      <c r="U49" s="15">
        <f>_xll.qlRateHelperLatestDate(R49,Trigger)</f>
        <v>52796</v>
      </c>
      <c r="V49" s="117">
        <v>1.8260025940505232E-2</v>
      </c>
    </row>
    <row r="50" spans="1:22" ht="11.25" customHeight="1" x14ac:dyDescent="0.2">
      <c r="A50" s="107" t="s">
        <v>45</v>
      </c>
      <c r="B50" s="137"/>
      <c r="C50" s="137" t="s">
        <v>14</v>
      </c>
      <c r="D50" s="138" t="str">
        <v>21Y</v>
      </c>
      <c r="E50" s="130" t="s">
        <v>15</v>
      </c>
      <c r="F50" s="137" t="s">
        <v>16</v>
      </c>
      <c r="G50" s="130" t="s">
        <v>17</v>
      </c>
      <c r="H50" s="139">
        <v>1.755541649E-2</v>
      </c>
      <c r="I50" s="105" t="str">
        <f>_xll.qlSwapRateHelper2(,$H50,2,$D50,Calendar,$F50,$E50,$G50,$I$30,0,C50,,Permanent,Trigger,ObjectOverwrite)</f>
        <v>obj_00166#0005</v>
      </c>
      <c r="J50" s="133" t="b">
        <f t="shared" si="18"/>
        <v>1</v>
      </c>
      <c r="L50" s="24" t="str">
        <f t="shared" si="14"/>
        <v>Sw</v>
      </c>
      <c r="M50" s="24" t="str">
        <f t="shared" si="15"/>
        <v>26Y</v>
      </c>
      <c r="N50" s="24" t="str">
        <f t="shared" si="16"/>
        <v>obj_0016c#0005</v>
      </c>
      <c r="O50" s="24" t="b">
        <f t="shared" si="17"/>
        <v>1</v>
      </c>
      <c r="P50" s="14" t="str">
        <v>Sw</v>
      </c>
      <c r="Q50" s="14" t="str">
        <v>30Y</v>
      </c>
      <c r="R50" s="14" t="str">
        <v>obj_00154#0005</v>
      </c>
      <c r="S50" s="117">
        <f>_xll.qlRateHelperRate(R50,Trigger)</f>
        <v>1.787E-2</v>
      </c>
      <c r="T50" s="15">
        <f>_xll.qlRateHelperEarliestDate(R50,Trigger)</f>
        <v>42201</v>
      </c>
      <c r="U50" s="15">
        <f>_xll.qlRateHelperLatestDate(R50,Trigger)</f>
        <v>53160</v>
      </c>
      <c r="V50" s="117">
        <v>1.8267898930648872E-2</v>
      </c>
    </row>
    <row r="51" spans="1:22" ht="11.25" customHeight="1" x14ac:dyDescent="0.2">
      <c r="A51" s="107" t="s">
        <v>45</v>
      </c>
      <c r="B51" s="137"/>
      <c r="C51" s="137" t="s">
        <v>14</v>
      </c>
      <c r="D51" s="138" t="str">
        <v>22Y</v>
      </c>
      <c r="E51" s="130" t="s">
        <v>15</v>
      </c>
      <c r="F51" s="137" t="s">
        <v>16</v>
      </c>
      <c r="G51" s="130" t="s">
        <v>17</v>
      </c>
      <c r="H51" s="139">
        <v>1.7647449989999998E-2</v>
      </c>
      <c r="I51" s="105" t="str">
        <f>_xll.qlSwapRateHelper2(,$H51,2,$D51,Calendar,$F51,$E51,$G51,$I$30,0,C51,,Permanent,Trigger,ObjectOverwrite)</f>
        <v>obj_00159#0005</v>
      </c>
      <c r="J51" s="133" t="b">
        <f t="shared" si="18"/>
        <v>1</v>
      </c>
      <c r="L51" s="24" t="str">
        <f t="shared" si="14"/>
        <v>Sw</v>
      </c>
      <c r="M51" s="24" t="str">
        <f t="shared" si="15"/>
        <v>27Y</v>
      </c>
      <c r="N51" s="24" t="str">
        <f t="shared" si="16"/>
        <v>obj_00167#0005</v>
      </c>
      <c r="O51" s="24" t="b">
        <f t="shared" si="17"/>
        <v>1</v>
      </c>
      <c r="P51" s="14" t="str">
        <v>Sw</v>
      </c>
      <c r="Q51" s="14" t="str">
        <v>31Y</v>
      </c>
      <c r="R51" s="14" t="str">
        <v>obj_0014d#0005</v>
      </c>
      <c r="S51" s="117">
        <f>_xll.qlRateHelperRate(R51,Trigger)</f>
        <v>1.7894162849999999E-2</v>
      </c>
      <c r="T51" s="15">
        <f>_xll.qlRateHelperEarliestDate(R51,Trigger)</f>
        <v>42201</v>
      </c>
      <c r="U51" s="15">
        <f>_xll.qlRateHelperLatestDate(R51,Trigger)</f>
        <v>53524</v>
      </c>
      <c r="V51" s="117">
        <v>1.8282653330360998E-2</v>
      </c>
    </row>
    <row r="52" spans="1:22" ht="11.25" customHeight="1" x14ac:dyDescent="0.2">
      <c r="A52" s="107" t="s">
        <v>45</v>
      </c>
      <c r="B52" s="137"/>
      <c r="C52" s="137" t="s">
        <v>14</v>
      </c>
      <c r="D52" s="138" t="str">
        <v>23Y</v>
      </c>
      <c r="E52" s="130" t="s">
        <v>15</v>
      </c>
      <c r="F52" s="137" t="s">
        <v>16</v>
      </c>
      <c r="G52" s="130" t="s">
        <v>17</v>
      </c>
      <c r="H52" s="139">
        <v>1.7709512480000002E-2</v>
      </c>
      <c r="I52" s="105" t="str">
        <f>_xll.qlSwapRateHelper2(,$H52,2,$D52,Calendar,$F52,$E52,$G52,$I$30,0,C52,,Permanent,Trigger,ObjectOverwrite)</f>
        <v>obj_0016d#0005</v>
      </c>
      <c r="J52" s="133" t="b">
        <f t="shared" si="18"/>
        <v>1</v>
      </c>
      <c r="L52" s="24" t="str">
        <f t="shared" si="14"/>
        <v>Sw</v>
      </c>
      <c r="M52" s="24" t="str">
        <f t="shared" si="15"/>
        <v>28Y</v>
      </c>
      <c r="N52" s="24" t="str">
        <f t="shared" si="16"/>
        <v>obj_0014e#0005</v>
      </c>
      <c r="O52" s="24" t="b">
        <f t="shared" si="17"/>
        <v>1</v>
      </c>
      <c r="P52" s="14" t="str">
        <v>Sw</v>
      </c>
      <c r="Q52" s="14" t="str">
        <v>32Y</v>
      </c>
      <c r="R52" s="14" t="str">
        <v>obj_00157#0005</v>
      </c>
      <c r="S52" s="117">
        <f>_xll.qlRateHelperRate(R52,Trigger)</f>
        <v>1.791999528E-2</v>
      </c>
      <c r="T52" s="15">
        <f>_xll.qlRateHelperEarliestDate(R52,Trigger)</f>
        <v>42201</v>
      </c>
      <c r="U52" s="15">
        <f>_xll.qlRateHelperLatestDate(R52,Trigger)</f>
        <v>53889</v>
      </c>
      <c r="V52" s="117">
        <v>1.8300802214026933E-2</v>
      </c>
    </row>
    <row r="53" spans="1:22" ht="11.25" customHeight="1" x14ac:dyDescent="0.2">
      <c r="A53" s="107" t="s">
        <v>45</v>
      </c>
      <c r="B53" s="137"/>
      <c r="C53" s="137" t="s">
        <v>14</v>
      </c>
      <c r="D53" s="138" t="str">
        <v>24Y</v>
      </c>
      <c r="E53" s="130" t="s">
        <v>15</v>
      </c>
      <c r="F53" s="137" t="s">
        <v>16</v>
      </c>
      <c r="G53" s="130" t="s">
        <v>17</v>
      </c>
      <c r="H53" s="139">
        <v>1.775083366E-2</v>
      </c>
      <c r="I53" s="105" t="str">
        <f>_xll.qlSwapRateHelper2(,$H53,2,$D53,Calendar,$F53,$E53,$G53,$I$30,0,C53,,Permanent,Trigger,ObjectOverwrite)</f>
        <v>obj_00169#0005</v>
      </c>
      <c r="J53" s="133" t="b">
        <f t="shared" si="18"/>
        <v>1</v>
      </c>
      <c r="L53" s="24" t="str">
        <f t="shared" si="14"/>
        <v>Sw</v>
      </c>
      <c r="M53" s="24" t="str">
        <f t="shared" si="15"/>
        <v>29Y</v>
      </c>
      <c r="N53" s="24" t="str">
        <f t="shared" si="16"/>
        <v>obj_0015e#0005</v>
      </c>
      <c r="O53" s="24" t="b">
        <f t="shared" si="17"/>
        <v>1</v>
      </c>
      <c r="P53" s="14" t="str">
        <v>Sw</v>
      </c>
      <c r="Q53" s="14" t="str">
        <v>33Y</v>
      </c>
      <c r="R53" s="14" t="str">
        <v>obj_00171#0005</v>
      </c>
      <c r="S53" s="117">
        <f>_xll.qlRateHelperRate(R53,Trigger)</f>
        <v>1.794555816E-2</v>
      </c>
      <c r="T53" s="15">
        <f>_xll.qlRateHelperEarliestDate(R53,Trigger)</f>
        <v>42201</v>
      </c>
      <c r="U53" s="15">
        <f>_xll.qlRateHelperLatestDate(R53,Trigger)</f>
        <v>54255</v>
      </c>
      <c r="V53" s="117">
        <v>1.8318148652801965E-2</v>
      </c>
    </row>
    <row r="54" spans="1:22" ht="11.25" customHeight="1" x14ac:dyDescent="0.2">
      <c r="A54" s="107" t="s">
        <v>45</v>
      </c>
      <c r="B54" s="137"/>
      <c r="C54" s="137" t="s">
        <v>14</v>
      </c>
      <c r="D54" s="138" t="str">
        <v>25Y</v>
      </c>
      <c r="E54" s="130" t="s">
        <v>15</v>
      </c>
      <c r="F54" s="137" t="s">
        <v>16</v>
      </c>
      <c r="G54" s="130" t="s">
        <v>17</v>
      </c>
      <c r="H54" s="139">
        <v>1.7780000000000001E-2</v>
      </c>
      <c r="I54" s="105" t="str">
        <f>_xll.qlSwapRateHelper2(,$H54,2,$D54,Calendar,$F54,$E54,$G54,$I$30,0,C54,,Permanent,Trigger,ObjectOverwrite)</f>
        <v>obj_00151#0005</v>
      </c>
      <c r="J54" s="133" t="b">
        <f t="shared" si="18"/>
        <v>1</v>
      </c>
      <c r="L54" s="24" t="str">
        <f t="shared" si="14"/>
        <v>Sw</v>
      </c>
      <c r="M54" s="24" t="str">
        <f t="shared" si="15"/>
        <v>30Y</v>
      </c>
      <c r="N54" s="24" t="str">
        <f t="shared" si="16"/>
        <v>obj_00154#0005</v>
      </c>
      <c r="O54" s="24" t="b">
        <f t="shared" si="17"/>
        <v>1</v>
      </c>
      <c r="P54" s="14" t="str">
        <v>Sw</v>
      </c>
      <c r="Q54" s="14" t="str">
        <v>34Y</v>
      </c>
      <c r="R54" s="14" t="str">
        <v>obj_00162#0005</v>
      </c>
      <c r="S54" s="117">
        <f>_xll.qlRateHelperRate(R54,Trigger)</f>
        <v>1.7965903320000001E-2</v>
      </c>
      <c r="T54" s="15">
        <f>_xll.qlRateHelperEarliestDate(R54,Trigger)</f>
        <v>42201</v>
      </c>
      <c r="U54" s="15">
        <f>_xll.qlRateHelperLatestDate(R54,Trigger)</f>
        <v>54620</v>
      </c>
      <c r="V54" s="117">
        <v>1.8330817529882724E-2</v>
      </c>
    </row>
    <row r="55" spans="1:22" ht="11.25" customHeight="1" x14ac:dyDescent="0.2">
      <c r="A55" s="107" t="s">
        <v>45</v>
      </c>
      <c r="B55" s="137"/>
      <c r="C55" s="137" t="s">
        <v>14</v>
      </c>
      <c r="D55" s="138" t="str">
        <v>26Y</v>
      </c>
      <c r="E55" s="130" t="s">
        <v>15</v>
      </c>
      <c r="F55" s="137" t="s">
        <v>16</v>
      </c>
      <c r="G55" s="130" t="s">
        <v>17</v>
      </c>
      <c r="H55" s="139">
        <v>1.7800186539999999E-2</v>
      </c>
      <c r="I55" s="105" t="str">
        <f>_xll.qlSwapRateHelper2(,$H55,2,$D55,Calendar,$F55,$E55,$G55,$I$30,0,C55,,Permanent,Trigger,ObjectOverwrite)</f>
        <v>obj_0016c#0005</v>
      </c>
      <c r="J55" s="133" t="b">
        <f t="shared" si="18"/>
        <v>1</v>
      </c>
      <c r="L55" s="24" t="str">
        <f t="shared" si="14"/>
        <v>Sw</v>
      </c>
      <c r="M55" s="24" t="str">
        <f t="shared" si="15"/>
        <v>31Y</v>
      </c>
      <c r="N55" s="24" t="str">
        <f t="shared" si="16"/>
        <v>obj_0014d#0005</v>
      </c>
      <c r="O55" s="24" t="b">
        <f t="shared" si="17"/>
        <v>1</v>
      </c>
      <c r="P55" s="14" t="str">
        <v>Sw</v>
      </c>
      <c r="Q55" s="14" t="str">
        <v>35Y</v>
      </c>
      <c r="R55" s="14" t="str">
        <v>obj_00164#0005</v>
      </c>
      <c r="S55" s="117">
        <f>_xll.qlRateHelperRate(R55,Trigger)</f>
        <v>1.7979999999999999E-2</v>
      </c>
      <c r="T55" s="15">
        <f>_xll.qlRateHelperEarliestDate(R55,Trigger)</f>
        <v>42201</v>
      </c>
      <c r="U55" s="15">
        <f>_xll.qlRateHelperLatestDate(R55,Trigger)</f>
        <v>54987</v>
      </c>
      <c r="V55" s="117">
        <v>1.8335578009314638E-2</v>
      </c>
    </row>
    <row r="56" spans="1:22" ht="11.25" customHeight="1" x14ac:dyDescent="0.2">
      <c r="A56" s="107" t="s">
        <v>45</v>
      </c>
      <c r="B56" s="137"/>
      <c r="C56" s="137" t="s">
        <v>14</v>
      </c>
      <c r="D56" s="138" t="str">
        <v>27Y</v>
      </c>
      <c r="E56" s="130" t="s">
        <v>15</v>
      </c>
      <c r="F56" s="137" t="s">
        <v>16</v>
      </c>
      <c r="G56" s="130" t="s">
        <v>17</v>
      </c>
      <c r="H56" s="139">
        <v>1.7816561309999999E-2</v>
      </c>
      <c r="I56" s="105" t="str">
        <f>_xll.qlSwapRateHelper2(,$H56,2,$D56,Calendar,$F56,$E56,$G56,$I$30,0,C56,,Permanent,Trigger,ObjectOverwrite)</f>
        <v>obj_00167#0005</v>
      </c>
      <c r="J56" s="133" t="b">
        <f t="shared" si="18"/>
        <v>1</v>
      </c>
      <c r="L56" s="24" t="str">
        <f t="shared" si="14"/>
        <v>Sw</v>
      </c>
      <c r="M56" s="24" t="str">
        <f t="shared" si="15"/>
        <v>32Y</v>
      </c>
      <c r="N56" s="24" t="str">
        <f t="shared" si="16"/>
        <v>obj_00157#0005</v>
      </c>
      <c r="O56" s="24" t="b">
        <f t="shared" si="17"/>
        <v>1</v>
      </c>
      <c r="P56" s="14" t="str">
        <v>Sw</v>
      </c>
      <c r="Q56" s="14" t="str">
        <v>36Y</v>
      </c>
      <c r="R56" s="14" t="str">
        <v>obj_00158#0005</v>
      </c>
      <c r="S56" s="117">
        <f>_xll.qlRateHelperRate(R56,Trigger)</f>
        <v>1.7986508080000001E-2</v>
      </c>
      <c r="T56" s="15">
        <f>_xll.qlRateHelperEarliestDate(R56,Trigger)</f>
        <v>42201</v>
      </c>
      <c r="U56" s="15">
        <f>_xll.qlRateHelperLatestDate(R56,Trigger)</f>
        <v>55351</v>
      </c>
      <c r="V56" s="117">
        <v>1.833053813778494E-2</v>
      </c>
    </row>
    <row r="57" spans="1:22" ht="11.25" customHeight="1" x14ac:dyDescent="0.2">
      <c r="A57" s="107" t="s">
        <v>45</v>
      </c>
      <c r="B57" s="137"/>
      <c r="C57" s="137" t="s">
        <v>14</v>
      </c>
      <c r="D57" s="138" t="str">
        <v>28Y</v>
      </c>
      <c r="E57" s="130" t="s">
        <v>15</v>
      </c>
      <c r="F57" s="137" t="s">
        <v>16</v>
      </c>
      <c r="G57" s="130" t="s">
        <v>17</v>
      </c>
      <c r="H57" s="139">
        <v>1.7831912219999999E-2</v>
      </c>
      <c r="I57" s="105" t="str">
        <f>_xll.qlSwapRateHelper2(,$H57,2,$D57,Calendar,$F57,$E57,$G57,$I$30,0,C57,,Permanent,Trigger,ObjectOverwrite)</f>
        <v>obj_0014e#0005</v>
      </c>
      <c r="J57" s="133" t="b">
        <f t="shared" si="18"/>
        <v>1</v>
      </c>
      <c r="L57" s="24" t="str">
        <f t="shared" si="14"/>
        <v>Sw</v>
      </c>
      <c r="M57" s="24" t="str">
        <f t="shared" si="15"/>
        <v>33Y</v>
      </c>
      <c r="N57" s="24" t="str">
        <f t="shared" si="16"/>
        <v>obj_00171#0005</v>
      </c>
      <c r="O57" s="24" t="b">
        <f t="shared" si="17"/>
        <v>1</v>
      </c>
      <c r="P57" s="14" t="str">
        <v>Sw</v>
      </c>
      <c r="Q57" s="14" t="str">
        <v>37Y</v>
      </c>
      <c r="R57" s="14" t="str">
        <v>obj_0015c#0005</v>
      </c>
      <c r="S57" s="117">
        <f>_xll.qlRateHelperRate(R57,Trigger)</f>
        <v>1.798837717E-2</v>
      </c>
      <c r="T57" s="15">
        <f>_xll.qlRateHelperEarliestDate(R57,Trigger)</f>
        <v>42201</v>
      </c>
      <c r="U57" s="15">
        <f>_xll.qlRateHelperLatestDate(R57,Trigger)</f>
        <v>55716</v>
      </c>
      <c r="V57" s="117">
        <v>1.8318281790972127E-2</v>
      </c>
    </row>
    <row r="58" spans="1:22" ht="11.25" customHeight="1" x14ac:dyDescent="0.2">
      <c r="A58" s="107" t="s">
        <v>45</v>
      </c>
      <c r="B58" s="137"/>
      <c r="C58" s="137" t="s">
        <v>14</v>
      </c>
      <c r="D58" s="138" t="str">
        <v>29Y</v>
      </c>
      <c r="E58" s="130" t="s">
        <v>15</v>
      </c>
      <c r="F58" s="137" t="s">
        <v>16</v>
      </c>
      <c r="G58" s="130" t="s">
        <v>17</v>
      </c>
      <c r="H58" s="139">
        <v>1.7850015569999999E-2</v>
      </c>
      <c r="I58" s="105" t="str">
        <f>_xll.qlSwapRateHelper2(,$H58,2,$D58,Calendar,$F58,$E58,$G58,$I$30,0,C58,,Permanent,Trigger,ObjectOverwrite)</f>
        <v>obj_0015e#0005</v>
      </c>
      <c r="J58" s="133" t="b">
        <f t="shared" si="18"/>
        <v>1</v>
      </c>
      <c r="L58" s="24" t="str">
        <f t="shared" si="14"/>
        <v>Sw</v>
      </c>
      <c r="M58" s="24" t="str">
        <f t="shared" si="15"/>
        <v>34Y</v>
      </c>
      <c r="N58" s="24" t="str">
        <f t="shared" si="16"/>
        <v>obj_00162#0005</v>
      </c>
      <c r="O58" s="24" t="b">
        <f t="shared" si="17"/>
        <v>1</v>
      </c>
      <c r="P58" s="14" t="str">
        <v>Sw</v>
      </c>
      <c r="Q58" s="14" t="str">
        <v>38Y</v>
      </c>
      <c r="R58" s="14" t="str">
        <v>obj_0016e#0005</v>
      </c>
      <c r="S58" s="117">
        <f>_xll.qlRateHelperRate(R58,Trigger)</f>
        <v>1.7986077359999998E-2</v>
      </c>
      <c r="T58" s="15">
        <f>_xll.qlRateHelperEarliestDate(R58,Trigger)</f>
        <v>42201</v>
      </c>
      <c r="U58" s="15">
        <f>_xll.qlRateHelperLatestDate(R58,Trigger)</f>
        <v>56081</v>
      </c>
      <c r="V58" s="117">
        <v>1.8302082096825305E-2</v>
      </c>
    </row>
    <row r="59" spans="1:22" ht="11.25" customHeight="1" x14ac:dyDescent="0.2">
      <c r="A59" s="107" t="s">
        <v>45</v>
      </c>
      <c r="B59" s="137"/>
      <c r="C59" s="137" t="s">
        <v>14</v>
      </c>
      <c r="D59" s="138" t="str">
        <v>30Y</v>
      </c>
      <c r="E59" s="130" t="s">
        <v>15</v>
      </c>
      <c r="F59" s="137" t="s">
        <v>16</v>
      </c>
      <c r="G59" s="130" t="s">
        <v>17</v>
      </c>
      <c r="H59" s="139">
        <v>1.787E-2</v>
      </c>
      <c r="I59" s="105" t="str">
        <f>_xll.qlSwapRateHelper2(,$H59,2,$D59,Calendar,$F59,$E59,$G59,$I$30,0,C59,,Permanent,Trigger,ObjectOverwrite)</f>
        <v>obj_00154#0005</v>
      </c>
      <c r="J59" s="133" t="b">
        <f t="shared" si="18"/>
        <v>1</v>
      </c>
      <c r="L59" s="24" t="str">
        <f t="shared" si="14"/>
        <v>Sw</v>
      </c>
      <c r="M59" s="24" t="str">
        <f t="shared" si="15"/>
        <v>35Y</v>
      </c>
      <c r="N59" s="24" t="str">
        <f t="shared" si="16"/>
        <v>obj_00164#0005</v>
      </c>
      <c r="O59" s="24" t="b">
        <f t="shared" si="17"/>
        <v>1</v>
      </c>
      <c r="P59" s="14" t="str">
        <v>Sw</v>
      </c>
      <c r="Q59" s="14" t="str">
        <v>39Y</v>
      </c>
      <c r="R59" s="14" t="str">
        <v>obj_0016b#0005</v>
      </c>
      <c r="S59" s="117">
        <f>_xll.qlRateHelperRate(R59,Trigger)</f>
        <v>1.798266598E-2</v>
      </c>
      <c r="T59" s="15">
        <f>_xll.qlRateHelperEarliestDate(R59,Trigger)</f>
        <v>42201</v>
      </c>
      <c r="U59" s="15">
        <f>_xll.qlRateHelperLatestDate(R59,Trigger)</f>
        <v>56446</v>
      </c>
      <c r="V59" s="117">
        <v>1.8284918707941449E-2</v>
      </c>
    </row>
    <row r="60" spans="1:22" ht="11.25" customHeight="1" x14ac:dyDescent="0.2">
      <c r="A60" s="107" t="s">
        <v>45</v>
      </c>
      <c r="B60" s="137"/>
      <c r="C60" s="137" t="s">
        <v>14</v>
      </c>
      <c r="D60" s="138" t="str">
        <v>31Y</v>
      </c>
      <c r="E60" s="130" t="s">
        <v>15</v>
      </c>
      <c r="F60" s="137" t="s">
        <v>16</v>
      </c>
      <c r="G60" s="130" t="s">
        <v>17</v>
      </c>
      <c r="H60" s="139">
        <v>1.7894162849999999E-2</v>
      </c>
      <c r="I60" s="105" t="str">
        <f>_xll.qlSwapRateHelper2(,$H60,2,$D60,Calendar,$F60,$E60,$G60,$I$30,0,C60,,Permanent,Trigger,ObjectOverwrite)</f>
        <v>obj_0014d#0005</v>
      </c>
      <c r="J60" s="133" t="b">
        <f t="shared" si="18"/>
        <v>1</v>
      </c>
      <c r="L60" s="24" t="str">
        <f t="shared" si="14"/>
        <v>Sw</v>
      </c>
      <c r="M60" s="24" t="str">
        <f t="shared" si="15"/>
        <v>36Y</v>
      </c>
      <c r="N60" s="24" t="str">
        <f t="shared" si="16"/>
        <v>obj_00158#0005</v>
      </c>
      <c r="O60" s="24" t="b">
        <f t="shared" si="17"/>
        <v>1</v>
      </c>
      <c r="P60" s="14" t="str">
        <v>Sw</v>
      </c>
      <c r="Q60" s="14" t="str">
        <v>40Y</v>
      </c>
      <c r="R60" s="14" t="str">
        <v>obj_00150#0005</v>
      </c>
      <c r="S60" s="117">
        <f>_xll.qlRateHelperRate(R60,Trigger)</f>
        <v>1.7979999999999999E-2</v>
      </c>
      <c r="T60" s="15">
        <f>_xll.qlRateHelperEarliestDate(R60,Trigger)</f>
        <v>42201</v>
      </c>
      <c r="U60" s="15">
        <f>_xll.qlRateHelperLatestDate(R60,Trigger)</f>
        <v>56811</v>
      </c>
      <c r="V60" s="117">
        <v>1.8269455576202909E-2</v>
      </c>
    </row>
    <row r="61" spans="1:22" ht="11.25" customHeight="1" x14ac:dyDescent="0.2">
      <c r="A61" s="107" t="s">
        <v>45</v>
      </c>
      <c r="B61" s="137"/>
      <c r="C61" s="137" t="s">
        <v>14</v>
      </c>
      <c r="D61" s="138" t="str">
        <v>32Y</v>
      </c>
      <c r="E61" s="130" t="s">
        <v>15</v>
      </c>
      <c r="F61" s="137" t="s">
        <v>16</v>
      </c>
      <c r="G61" s="130" t="s">
        <v>17</v>
      </c>
      <c r="H61" s="139">
        <v>1.791999528E-2</v>
      </c>
      <c r="I61" s="105" t="str">
        <f>_xll.qlSwapRateHelper2(,$H61,2,$D61,Calendar,$F61,$E61,$G61,$I$30,0,C61,,Permanent,Trigger,ObjectOverwrite)</f>
        <v>obj_00157#0005</v>
      </c>
      <c r="J61" s="133" t="b">
        <f t="shared" si="18"/>
        <v>1</v>
      </c>
      <c r="L61" s="24" t="str">
        <f t="shared" si="14"/>
        <v>Sw</v>
      </c>
      <c r="M61" s="24" t="str">
        <f t="shared" si="15"/>
        <v>37Y</v>
      </c>
      <c r="N61" s="24" t="str">
        <f t="shared" si="16"/>
        <v>obj_0015c#0005</v>
      </c>
      <c r="O61" s="24" t="b">
        <f t="shared" si="17"/>
        <v>1</v>
      </c>
      <c r="P61" s="14" t="str">
        <v>Sw</v>
      </c>
      <c r="Q61" s="14" t="str">
        <v>50Y</v>
      </c>
      <c r="R61" s="14" t="str">
        <v>obj_00168#0005</v>
      </c>
      <c r="S61" s="117">
        <f>_xll.qlRateHelperRate(R61,Trigger)</f>
        <v>1.755E-2</v>
      </c>
      <c r="T61" s="15">
        <f>_xll.qlRateHelperEarliestDate(R61,Trigger)</f>
        <v>42201</v>
      </c>
      <c r="U61" s="15">
        <f>_xll.qlRateHelperLatestDate(R61,Trigger)</f>
        <v>60464</v>
      </c>
      <c r="V61" s="117">
        <v>1.7539127187130535E-2</v>
      </c>
    </row>
    <row r="62" spans="1:22" ht="11.25" customHeight="1" x14ac:dyDescent="0.2">
      <c r="A62" s="107" t="s">
        <v>45</v>
      </c>
      <c r="B62" s="137"/>
      <c r="C62" s="137" t="s">
        <v>14</v>
      </c>
      <c r="D62" s="138" t="str">
        <v>33Y</v>
      </c>
      <c r="E62" s="130" t="s">
        <v>15</v>
      </c>
      <c r="F62" s="137" t="s">
        <v>16</v>
      </c>
      <c r="G62" s="130" t="s">
        <v>17</v>
      </c>
      <c r="H62" s="139">
        <v>1.794555816E-2</v>
      </c>
      <c r="I62" s="105" t="str">
        <f>_xll.qlSwapRateHelper2(,$H62,2,$D62,Calendar,$F62,$E62,$G62,$I$30,0,C62,,Permanent,Trigger,ObjectOverwrite)</f>
        <v>obj_00171#0005</v>
      </c>
      <c r="J62" s="133" t="b">
        <f t="shared" si="18"/>
        <v>1</v>
      </c>
      <c r="L62" s="24" t="str">
        <f t="shared" si="14"/>
        <v>Sw</v>
      </c>
      <c r="M62" s="24" t="str">
        <f t="shared" si="15"/>
        <v>38Y</v>
      </c>
      <c r="N62" s="24" t="str">
        <f t="shared" si="16"/>
        <v>obj_0016e#0005</v>
      </c>
      <c r="O62" s="24" t="b">
        <f t="shared" si="17"/>
        <v>1</v>
      </c>
      <c r="P62" s="14" t="str">
        <v>Sw</v>
      </c>
      <c r="Q62" s="14" t="str">
        <v>60Y</v>
      </c>
      <c r="R62" s="14" t="str">
        <v>obj_0014c#0005</v>
      </c>
      <c r="S62" s="117">
        <f>_xll.qlRateHelperRate(R62,Trigger)</f>
        <v>1.7399999999999999E-2</v>
      </c>
      <c r="T62" s="15">
        <f>_xll.qlRateHelperEarliestDate(R62,Trigger)</f>
        <v>42201</v>
      </c>
      <c r="U62" s="15">
        <f>_xll.qlRateHelperLatestDate(R62,Trigger)</f>
        <v>64116</v>
      </c>
      <c r="V62" s="117">
        <v>1.7273628305425431E-2</v>
      </c>
    </row>
    <row r="63" spans="1:22" ht="11.25" customHeight="1" x14ac:dyDescent="0.2">
      <c r="A63" s="107" t="s">
        <v>45</v>
      </c>
      <c r="B63" s="137"/>
      <c r="C63" s="137" t="s">
        <v>14</v>
      </c>
      <c r="D63" s="138" t="str">
        <v>34Y</v>
      </c>
      <c r="E63" s="130" t="s">
        <v>15</v>
      </c>
      <c r="F63" s="137" t="s">
        <v>16</v>
      </c>
      <c r="G63" s="130" t="s">
        <v>17</v>
      </c>
      <c r="H63" s="139">
        <v>1.7965903320000001E-2</v>
      </c>
      <c r="I63" s="105" t="str">
        <f>_xll.qlSwapRateHelper2(,$H63,2,$D63,Calendar,$F63,$E63,$G63,$I$30,0,C63,,Permanent,Trigger,ObjectOverwrite)</f>
        <v>obj_00162#0005</v>
      </c>
      <c r="J63" s="133" t="b">
        <f t="shared" si="18"/>
        <v>1</v>
      </c>
      <c r="L63" s="24" t="str">
        <f t="shared" si="14"/>
        <v>Sw</v>
      </c>
      <c r="M63" s="24" t="str">
        <f t="shared" si="15"/>
        <v>39Y</v>
      </c>
      <c r="N63" s="24" t="str">
        <f t="shared" si="16"/>
        <v>obj_0016b#0005</v>
      </c>
      <c r="O63" s="24" t="b">
        <f t="shared" si="17"/>
        <v>1</v>
      </c>
      <c r="P63" s="14" t="e">
        <v>#N/A</v>
      </c>
      <c r="Q63" s="14" t="e">
        <v>#N/A</v>
      </c>
      <c r="R63" s="14" t="e">
        <v>#N/A</v>
      </c>
      <c r="S63" s="117" t="e">
        <f>_xll.qlRateHelperRate(R63,Trigger)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7" t="e">
        <v>#N/A</v>
      </c>
    </row>
    <row r="64" spans="1:22" ht="11.25" customHeight="1" x14ac:dyDescent="0.2">
      <c r="A64" s="107" t="s">
        <v>45</v>
      </c>
      <c r="B64" s="137"/>
      <c r="C64" s="137" t="s">
        <v>14</v>
      </c>
      <c r="D64" s="138" t="str">
        <v>35Y</v>
      </c>
      <c r="E64" s="130" t="s">
        <v>15</v>
      </c>
      <c r="F64" s="137" t="s">
        <v>16</v>
      </c>
      <c r="G64" s="130" t="s">
        <v>17</v>
      </c>
      <c r="H64" s="139">
        <v>1.7979999999999999E-2</v>
      </c>
      <c r="I64" s="105" t="str">
        <f>_xll.qlSwapRateHelper2(,$H64,2,$D64,Calendar,$F64,$E64,$G64,$I$30,0,C64,,Permanent,Trigger,ObjectOverwrite)</f>
        <v>obj_00164#0005</v>
      </c>
      <c r="J64" s="133" t="b">
        <f t="shared" si="18"/>
        <v>1</v>
      </c>
      <c r="L64" s="24" t="str">
        <f t="shared" si="14"/>
        <v>Sw</v>
      </c>
      <c r="M64" s="24" t="str">
        <f t="shared" si="15"/>
        <v>40Y</v>
      </c>
      <c r="N64" s="24" t="str">
        <f t="shared" si="16"/>
        <v>obj_00150#0005</v>
      </c>
      <c r="O64" s="24" t="b">
        <f t="shared" si="17"/>
        <v>1</v>
      </c>
      <c r="P64" s="14" t="e">
        <v>#N/A</v>
      </c>
      <c r="Q64" s="14" t="e">
        <v>#N/A</v>
      </c>
      <c r="R64" s="14" t="e">
        <v>#N/A</v>
      </c>
      <c r="S64" s="117" t="e">
        <f>_xll.qlRateHelperRate(R64,Trigger)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7" t="s">
        <v>45</v>
      </c>
      <c r="B65" s="137"/>
      <c r="C65" s="137" t="s">
        <v>14</v>
      </c>
      <c r="D65" s="138" t="str">
        <v>36Y</v>
      </c>
      <c r="E65" s="130" t="s">
        <v>15</v>
      </c>
      <c r="F65" s="137" t="s">
        <v>16</v>
      </c>
      <c r="G65" s="130" t="s">
        <v>17</v>
      </c>
      <c r="H65" s="139">
        <v>1.7986508080000001E-2</v>
      </c>
      <c r="I65" s="105" t="str">
        <f>_xll.qlSwapRateHelper2(,$H65,2,$D65,Calendar,$F65,$E65,$G65,$I$30,0,C65,,Permanent,Trigger,ObjectOverwrite)</f>
        <v>obj_00158#0005</v>
      </c>
      <c r="J65" s="133" t="b">
        <f t="shared" si="18"/>
        <v>1</v>
      </c>
      <c r="L65" s="24" t="str">
        <f t="shared" si="14"/>
        <v>Sw</v>
      </c>
      <c r="M65" s="24" t="str">
        <f t="shared" si="15"/>
        <v>50Y</v>
      </c>
      <c r="N65" s="24" t="str">
        <f t="shared" si="16"/>
        <v>obj_00168#0005</v>
      </c>
      <c r="O65" s="24" t="b">
        <f t="shared" si="17"/>
        <v>1</v>
      </c>
      <c r="P65" s="14" t="e">
        <v>#N/A</v>
      </c>
      <c r="Q65" s="14" t="e">
        <v>#N/A</v>
      </c>
      <c r="R65" s="14" t="e">
        <v>#N/A</v>
      </c>
      <c r="S65" s="117" t="e">
        <f>_xll.qlRateHelperRate(R65,Trigger)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7" t="s">
        <v>45</v>
      </c>
      <c r="B66" s="137"/>
      <c r="C66" s="137" t="s">
        <v>14</v>
      </c>
      <c r="D66" s="138" t="str">
        <v>37Y</v>
      </c>
      <c r="E66" s="130" t="s">
        <v>15</v>
      </c>
      <c r="F66" s="137" t="s">
        <v>16</v>
      </c>
      <c r="G66" s="130" t="s">
        <v>17</v>
      </c>
      <c r="H66" s="139">
        <v>1.798837717E-2</v>
      </c>
      <c r="I66" s="105" t="str">
        <f>_xll.qlSwapRateHelper2(,$H66,2,$D66,Calendar,$F66,$E66,$G66,$I$30,0,C66,,Permanent,Trigger,ObjectOverwrite)</f>
        <v>obj_0015c#0005</v>
      </c>
      <c r="J66" s="133" t="b">
        <f t="shared" si="18"/>
        <v>1</v>
      </c>
      <c r="L66" s="24" t="str">
        <f t="shared" si="14"/>
        <v>Sw</v>
      </c>
      <c r="M66" s="24" t="str">
        <f t="shared" si="15"/>
        <v>60Y</v>
      </c>
      <c r="N66" s="24" t="str">
        <f t="shared" si="16"/>
        <v>obj_0014c#0005</v>
      </c>
      <c r="O66" s="24" t="b">
        <f t="shared" si="17"/>
        <v>1</v>
      </c>
      <c r="P66" s="14" t="e">
        <v>#N/A</v>
      </c>
      <c r="Q66" s="14" t="e">
        <v>#N/A</v>
      </c>
      <c r="R66" s="14" t="e">
        <v>#N/A</v>
      </c>
      <c r="S66" s="117" t="e">
        <f>_xll.qlRateHelperRate(R66,Trigger)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7" t="s">
        <v>45</v>
      </c>
      <c r="B67" s="137"/>
      <c r="C67" s="137" t="s">
        <v>14</v>
      </c>
      <c r="D67" s="138" t="str">
        <v>38Y</v>
      </c>
      <c r="E67" s="130" t="s">
        <v>15</v>
      </c>
      <c r="F67" s="137" t="s">
        <v>16</v>
      </c>
      <c r="G67" s="130" t="s">
        <v>17</v>
      </c>
      <c r="H67" s="139">
        <v>1.7986077359999998E-2</v>
      </c>
      <c r="I67" s="105" t="str">
        <f>_xll.qlSwapRateHelper2(,$H67,2,$D67,Calendar,$F67,$E67,$G67,$I$30,0,C67,,Permanent,Trigger,ObjectOverwrite)</f>
        <v>obj_0016e#0005</v>
      </c>
      <c r="J67" s="133" t="b">
        <f t="shared" si="18"/>
        <v>1</v>
      </c>
      <c r="L67" s="24" t="str">
        <f t="shared" si="14"/>
        <v>Sw</v>
      </c>
      <c r="M67" s="24" t="e">
        <f t="shared" si="15"/>
        <v>#N/A</v>
      </c>
      <c r="N67" s="24" t="e">
        <f t="shared" si="16"/>
        <v>#VALUE!</v>
      </c>
      <c r="O67" s="24" t="b">
        <f t="shared" si="17"/>
        <v>0</v>
      </c>
      <c r="P67" s="14" t="e">
        <v>#N/A</v>
      </c>
      <c r="Q67" s="14" t="e">
        <v>#N/A</v>
      </c>
      <c r="R67" s="14" t="e">
        <v>#N/A</v>
      </c>
      <c r="S67" s="117" t="e">
        <f>_xll.qlRateHelperRate(R67,Trigger)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7" t="s">
        <v>45</v>
      </c>
      <c r="B68" s="137"/>
      <c r="C68" s="137" t="s">
        <v>14</v>
      </c>
      <c r="D68" s="138" t="str">
        <v>39Y</v>
      </c>
      <c r="E68" s="130" t="s">
        <v>15</v>
      </c>
      <c r="F68" s="137" t="s">
        <v>16</v>
      </c>
      <c r="G68" s="130" t="s">
        <v>17</v>
      </c>
      <c r="H68" s="139">
        <v>1.798266598E-2</v>
      </c>
      <c r="I68" s="105" t="str">
        <f>_xll.qlSwapRateHelper2(,$H68,2,$D68,Calendar,$F68,$E68,$G68,$I$30,0,C68,,Permanent,Trigger,ObjectOverwrite)</f>
        <v>obj_0016b#0005</v>
      </c>
      <c r="J68" s="133" t="b">
        <f t="shared" si="18"/>
        <v>1</v>
      </c>
      <c r="L68" s="24" t="str">
        <f t="shared" si="14"/>
        <v>Sw</v>
      </c>
      <c r="M68" s="24" t="e">
        <f t="shared" si="15"/>
        <v>#N/A</v>
      </c>
      <c r="N68" s="24" t="e">
        <f t="shared" si="16"/>
        <v>#VALUE!</v>
      </c>
      <c r="O68" s="24" t="b">
        <f t="shared" si="17"/>
        <v>0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7" t="s">
        <v>45</v>
      </c>
      <c r="B69" s="137"/>
      <c r="C69" s="137" t="s">
        <v>14</v>
      </c>
      <c r="D69" s="138" t="str">
        <v>40Y</v>
      </c>
      <c r="E69" s="130" t="s">
        <v>15</v>
      </c>
      <c r="F69" s="137" t="s">
        <v>16</v>
      </c>
      <c r="G69" s="130" t="s">
        <v>17</v>
      </c>
      <c r="H69" s="139">
        <v>1.7979999999999999E-2</v>
      </c>
      <c r="I69" s="105" t="str">
        <f>_xll.qlSwapRateHelper2(,$H69,2,$D69,Calendar,$F69,$E69,$G69,$I$30,0,C69,,Permanent,Trigger,ObjectOverwrite)</f>
        <v>obj_00150#0005</v>
      </c>
      <c r="J69" s="133" t="b">
        <f t="shared" si="18"/>
        <v>1</v>
      </c>
      <c r="L69" s="24" t="str">
        <f t="shared" si="14"/>
        <v>Sw</v>
      </c>
      <c r="M69" s="24" t="e">
        <f t="shared" si="15"/>
        <v>#N/A</v>
      </c>
      <c r="N69" s="24" t="e">
        <f t="shared" si="16"/>
        <v>#VALUE!</v>
      </c>
      <c r="O69" s="24" t="b">
        <f t="shared" si="17"/>
        <v>0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7" t="s">
        <v>45</v>
      </c>
      <c r="B70" s="137"/>
      <c r="C70" s="137" t="s">
        <v>14</v>
      </c>
      <c r="D70" s="138" t="str">
        <v>50Y</v>
      </c>
      <c r="E70" s="130" t="s">
        <v>15</v>
      </c>
      <c r="F70" s="137" t="s">
        <v>16</v>
      </c>
      <c r="G70" s="130" t="s">
        <v>17</v>
      </c>
      <c r="H70" s="139">
        <v>1.755E-2</v>
      </c>
      <c r="I70" s="105" t="str">
        <f>_xll.qlSwapRateHelper2(,$H70,2,$D70,Calendar,$F70,$E70,$G70,$I$30,0,C70,,Permanent,Trigger,ObjectOverwrite)</f>
        <v>obj_00168#0005</v>
      </c>
      <c r="J70" s="133" t="b">
        <f t="shared" si="18"/>
        <v>1</v>
      </c>
      <c r="L70" s="118" t="str">
        <f t="shared" si="14"/>
        <v>Sw</v>
      </c>
      <c r="M70" s="118" t="e">
        <f t="shared" si="15"/>
        <v>#N/A</v>
      </c>
      <c r="N70" s="118" t="e">
        <f t="shared" si="16"/>
        <v>#VALUE!</v>
      </c>
      <c r="O70" s="118" t="b">
        <f t="shared" si="17"/>
        <v>0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7" t="s">
        <v>45</v>
      </c>
      <c r="B71" s="137"/>
      <c r="C71" s="137" t="s">
        <v>14</v>
      </c>
      <c r="D71" s="138" t="str">
        <v>60Y</v>
      </c>
      <c r="E71" s="130" t="s">
        <v>15</v>
      </c>
      <c r="F71" s="137" t="s">
        <v>16</v>
      </c>
      <c r="G71" s="130" t="s">
        <v>17</v>
      </c>
      <c r="H71" s="139">
        <v>1.7399999999999999E-2</v>
      </c>
      <c r="I71" s="105" t="str">
        <f>_xll.qlSwapRateHelper2(,$H71,2,$D71,Calendar,$F71,$E71,$G71,$I$30,0,C71,,Permanent,Trigger,ObjectOverwrite)</f>
        <v>obj_0014c#0005</v>
      </c>
      <c r="J71" s="133" t="b">
        <f t="shared" si="18"/>
        <v>1</v>
      </c>
      <c r="L71" s="119" t="str">
        <f t="shared" si="14"/>
        <v>Sw</v>
      </c>
      <c r="M71" s="119" t="e">
        <f t="shared" si="15"/>
        <v>#N/A</v>
      </c>
      <c r="N71" s="119" t="e">
        <f t="shared" si="16"/>
        <v>#VALUE!</v>
      </c>
      <c r="O71" s="119" t="b">
        <f t="shared" si="17"/>
        <v>0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6" t="e">
        <v>#N/A</v>
      </c>
    </row>
    <row r="72" spans="1:22" ht="11.25" customHeight="1" x14ac:dyDescent="0.2">
      <c r="A72" s="107" t="s">
        <v>45</v>
      </c>
      <c r="B72" s="137"/>
      <c r="C72" s="137" t="s">
        <v>14</v>
      </c>
      <c r="D72" s="138" t="e">
        <v>#N/A</v>
      </c>
      <c r="E72" s="130" t="s">
        <v>15</v>
      </c>
      <c r="F72" s="137" t="s">
        <v>16</v>
      </c>
      <c r="G72" s="130" t="s">
        <v>17</v>
      </c>
      <c r="H72" s="139" t="e">
        <v>#N/A</v>
      </c>
      <c r="I72" s="105" t="e">
        <f>_xll.qlSwapRateHelper2(,$H72,2,$D72,Calendar,$F72,$E72,$G72,$I$30,0,C72,,Permanent,Trigger,ObjectOverwrite)</f>
        <v>#VALUE!</v>
      </c>
      <c r="J72" s="133" t="b">
        <f t="shared" si="18"/>
        <v>0</v>
      </c>
    </row>
    <row r="73" spans="1:22" ht="11.25" customHeight="1" x14ac:dyDescent="0.2">
      <c r="A73" s="107" t="s">
        <v>45</v>
      </c>
      <c r="B73" s="137"/>
      <c r="C73" s="137" t="s">
        <v>14</v>
      </c>
      <c r="D73" s="138" t="e">
        <v>#N/A</v>
      </c>
      <c r="E73" s="130" t="s">
        <v>15</v>
      </c>
      <c r="F73" s="137" t="s">
        <v>16</v>
      </c>
      <c r="G73" s="130" t="s">
        <v>17</v>
      </c>
      <c r="H73" s="139" t="e">
        <v>#N/A</v>
      </c>
      <c r="I73" s="105" t="e">
        <f>_xll.qlSwapRateHelper2(,$H73,2,$D73,Calendar,$F73,$E73,$G73,$I$30,0,C73,,Permanent,Trigger,ObjectOverwrite)</f>
        <v>#VALUE!</v>
      </c>
      <c r="J73" s="133" t="b">
        <f t="shared" si="18"/>
        <v>0</v>
      </c>
    </row>
    <row r="74" spans="1:22" ht="11.25" customHeight="1" x14ac:dyDescent="0.2">
      <c r="A74" s="107" t="s">
        <v>45</v>
      </c>
      <c r="B74" s="137"/>
      <c r="C74" s="137" t="s">
        <v>14</v>
      </c>
      <c r="D74" s="138" t="e">
        <v>#N/A</v>
      </c>
      <c r="E74" s="130" t="s">
        <v>15</v>
      </c>
      <c r="F74" s="137" t="s">
        <v>16</v>
      </c>
      <c r="G74" s="130" t="s">
        <v>17</v>
      </c>
      <c r="H74" s="139" t="e">
        <v>#N/A</v>
      </c>
      <c r="I74" s="105" t="e">
        <f>_xll.qlSwapRateHelper2(,$H74,2,$D74,Calendar,$F74,$E74,$G74,$I$30,0,C74,,Permanent,Trigger,ObjectOverwrite)</f>
        <v>#VALUE!</v>
      </c>
      <c r="J74" s="133" t="b">
        <f t="shared" si="18"/>
        <v>0</v>
      </c>
    </row>
    <row r="75" spans="1:22" ht="11.25" customHeight="1" x14ac:dyDescent="0.2">
      <c r="A75" s="107" t="s">
        <v>45</v>
      </c>
      <c r="B75" s="137"/>
      <c r="C75" s="137" t="s">
        <v>14</v>
      </c>
      <c r="D75" s="138" t="e">
        <v>#N/A</v>
      </c>
      <c r="E75" s="130" t="s">
        <v>15</v>
      </c>
      <c r="F75" s="137" t="s">
        <v>16</v>
      </c>
      <c r="G75" s="130" t="s">
        <v>17</v>
      </c>
      <c r="H75" s="139" t="e">
        <v>#N/A</v>
      </c>
      <c r="I75" s="105" t="e">
        <f>_xll.qlSwapRateHelper2(,$H75,2,$D75,Calendar,$F75,$E75,$G75,$I$30,0,C75,,Permanent,Trigger,ObjectOverwrite)</f>
        <v>#VALUE!</v>
      </c>
      <c r="J75" s="133" t="b">
        <f t="shared" si="18"/>
        <v>0</v>
      </c>
    </row>
    <row r="76" spans="1:22" ht="11.25" customHeight="1" x14ac:dyDescent="0.2">
      <c r="A76" s="7" t="s">
        <v>45</v>
      </c>
      <c r="B76" s="140"/>
      <c r="C76" s="140" t="s">
        <v>14</v>
      </c>
      <c r="D76" s="141" t="e">
        <v>#N/A</v>
      </c>
      <c r="E76" s="3" t="s">
        <v>15</v>
      </c>
      <c r="F76" s="140" t="s">
        <v>16</v>
      </c>
      <c r="G76" s="3" t="s">
        <v>17</v>
      </c>
      <c r="H76" s="142" t="e">
        <v>#N/A</v>
      </c>
      <c r="I76" s="5" t="e">
        <f>_xll.qlSwapRateHelper2(,$H76,2,$D76,Calendar,$F76,$E76,$G76,$I$30,0,C76,,Permanent,Trigger,ObjectOverwrite)</f>
        <v>#VALUE!</v>
      </c>
      <c r="J76" s="12" t="b">
        <f t="shared" si="18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2" hidden="1" customWidth="1" outlineLevel="1"/>
    <col min="2" max="2" width="17.28515625" style="72" hidden="1" customWidth="1" outlineLevel="2"/>
    <col min="3" max="3" width="10" style="89" hidden="1" customWidth="1" outlineLevel="1" collapsed="1"/>
    <col min="4" max="4" width="7.85546875" style="88" hidden="1" customWidth="1" outlineLevel="1"/>
    <col min="5" max="5" width="19.28515625" style="90" hidden="1" customWidth="1" outlineLevel="1"/>
    <col min="6" max="6" width="10" style="72" hidden="1" customWidth="1" outlineLevel="1"/>
    <col min="7" max="7" width="21.42578125" style="72" hidden="1" customWidth="1" outlineLevel="1"/>
    <col min="8" max="8" width="13.5703125" style="72" hidden="1" customWidth="1" outlineLevel="1"/>
    <col min="9" max="9" width="15.140625" style="72" hidden="1" customWidth="1" outlineLevel="1"/>
    <col min="10" max="10" width="9" style="88" hidden="1" customWidth="1" outlineLevel="1"/>
    <col min="11" max="11" width="2.7109375" style="72" customWidth="1" collapsed="1"/>
    <col min="12" max="12" width="5" style="72" hidden="1" customWidth="1" outlineLevel="1"/>
    <col min="13" max="13" width="6" style="72" hidden="1" customWidth="1" outlineLevel="1"/>
    <col min="14" max="14" width="15.140625" style="72" hidden="1" customWidth="1" outlineLevel="1"/>
    <col min="15" max="15" width="6" style="72" hidden="1" customWidth="1" outlineLevel="1"/>
    <col min="16" max="16" width="5" style="72" bestFit="1" customWidth="1" collapsed="1"/>
    <col min="17" max="17" width="6" style="72" bestFit="1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2" width="9" style="72" bestFit="1" customWidth="1"/>
    <col min="23" max="23" width="15.140625" style="72" bestFit="1" customWidth="1"/>
    <col min="24" max="16384" width="9.140625" style="72"/>
  </cols>
  <sheetData>
    <row r="1" spans="1:22" ht="21" customHeight="1" x14ac:dyDescent="0.2">
      <c r="B1" s="78"/>
      <c r="C1" s="79"/>
      <c r="D1" s="80"/>
      <c r="E1" s="81"/>
      <c r="F1" s="82"/>
      <c r="J1" s="80"/>
      <c r="L1" s="109"/>
      <c r="M1" s="110"/>
      <c r="N1" s="110"/>
      <c r="O1" s="111"/>
      <c r="P1" s="147" t="s">
        <v>179</v>
      </c>
      <c r="Q1" s="110"/>
      <c r="R1" s="110"/>
      <c r="S1" s="115"/>
      <c r="T1" s="110"/>
      <c r="U1" s="110"/>
      <c r="V1" s="146" t="s">
        <v>193</v>
      </c>
    </row>
    <row r="2" spans="1:22" ht="21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13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3" t="s">
        <v>18</v>
      </c>
      <c r="M2" s="143"/>
      <c r="N2" s="143" t="s">
        <v>43</v>
      </c>
      <c r="O2" s="143"/>
      <c r="P2" s="143" t="s">
        <v>18</v>
      </c>
      <c r="Q2" s="143" t="s">
        <v>56</v>
      </c>
      <c r="R2" s="143" t="s">
        <v>43</v>
      </c>
      <c r="S2" s="144" t="s">
        <v>39</v>
      </c>
      <c r="T2" s="143" t="s">
        <v>37</v>
      </c>
      <c r="U2" s="143" t="s">
        <v>38</v>
      </c>
      <c r="V2" s="116">
        <f t="array" ref="V2:V71">_xll.qlPiecewiseYieldCurveData(YieldCurve_3M,Trigger)</f>
        <v>-1.1152784677836568E-3</v>
      </c>
    </row>
    <row r="3" spans="1:22" ht="11.25" customHeight="1" x14ac:dyDescent="0.2">
      <c r="A3" s="92" t="s">
        <v>46</v>
      </c>
      <c r="B3" s="92" t="str">
        <f t="array" ref="B3:B18">_xll.ohFilter(PastedValue!E2:E62,PastedValue!A2:A62="Dp")</f>
        <v>O/N</v>
      </c>
      <c r="C3" s="93" t="str">
        <f>IF(LEFT(B3,1)="#",(_xll.qlCalendarBusinessDaysBetween(Calendar,Settlementdate,DATE(RIGHT(LEFT(B3,5),4),LEFT(RIGHT(B3,4),2),RIGHT(B3,2)),,TRUE,Trigger)-1)&amp;"D",B3)</f>
        <v>O/N</v>
      </c>
      <c r="D3" s="94">
        <f>IF(C3="O/N",0,IF(C3="T/N",1,2))</f>
        <v>0</v>
      </c>
      <c r="E3" s="95" t="str">
        <f>IF(OR(RIGHT(C3,1)="M",RIGHT(C3,1)="D"),"Modified Following","Following")</f>
        <v>Following</v>
      </c>
      <c r="F3" s="96" t="str">
        <f>IF(OR(RIGHT(C3,1)="M",RIGHT(C3,1)="D"),"TRUE","FALSE")</f>
        <v>FALSE</v>
      </c>
      <c r="G3" s="94" t="s">
        <v>50</v>
      </c>
      <c r="H3" s="98">
        <f t="array" ref="H3:H18">_xll.ohFilter(PastedValue!H2:H62,PastedValue!A2:A62="Dp")/100</f>
        <v>-1.0999989999999999E-3</v>
      </c>
      <c r="I3" s="99" t="str">
        <f>_xll.qlDepositRateHelper2(,H3,IF(RIGHT(C3,1)="N","1D",C3),D3,Calendar,E3,F3,G3,,Trigger)</f>
        <v>obj_00134#0018</v>
      </c>
      <c r="J3" s="94" t="b">
        <f>IF(ISNUMBER(H3),TRUE,FALSE)</f>
        <v>1</v>
      </c>
      <c r="K3" s="78"/>
      <c r="L3" s="24" t="str">
        <f t="shared" ref="L3:L18" si="0">A3</f>
        <v>Dp</v>
      </c>
      <c r="M3" s="24" t="str">
        <f t="shared" ref="M3:M18" si="1">C3</f>
        <v>O/N</v>
      </c>
      <c r="N3" s="14" t="str">
        <f t="shared" ref="N3:N18" si="2">I3</f>
        <v>obj_00134#0018</v>
      </c>
      <c r="O3" s="14" t="b">
        <f t="shared" ref="O3:O18" si="3"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obj_00134#0018</v>
      </c>
      <c r="S3" s="117">
        <f>_xll.qlRateHelperRate(R3,Trigger)</f>
        <v>-1.0999989999999999E-3</v>
      </c>
      <c r="T3" s="15">
        <f>_xll.qlRateHelperEarliestDate(R3,Trigger)</f>
        <v>42199</v>
      </c>
      <c r="U3" s="15">
        <f>_xll.qlRateHelperLatestDate(R3,Trigger)</f>
        <v>42200</v>
      </c>
      <c r="V3" s="117">
        <v>-1.1152784677836568E-3</v>
      </c>
    </row>
    <row r="4" spans="1:22" ht="11.25" customHeight="1" x14ac:dyDescent="0.2">
      <c r="A4" s="100" t="s">
        <v>46</v>
      </c>
      <c r="B4" s="100" t="str">
        <v>T/N</v>
      </c>
      <c r="C4" s="101" t="str">
        <f>IF(LEFT(B4,1)="#",(_xll.qlCalendarBusinessDaysBetween(Calendar,Settlementdate,DATE(RIGHT(LEFT(B4,5),4),LEFT(RIGHT(B4,4),2),RIGHT(B4,2)),,TRUE,Trigger)-1)&amp;"D",B4)</f>
        <v>T/N</v>
      </c>
      <c r="D4" s="102">
        <f t="shared" ref="D4:D18" si="4">IF(C4="O/N",0,IF(C4="T/N",1,2))</f>
        <v>1</v>
      </c>
      <c r="E4" s="103" t="str">
        <f t="shared" ref="E4:E18" si="5">IF(OR(RIGHT(C4,1)="M",RIGHT(C4,1)="D"),"Modified Following","Following")</f>
        <v>Following</v>
      </c>
      <c r="F4" s="104" t="str">
        <f t="shared" ref="F4:F18" si="6">IF(OR(RIGHT(C4,1)="M",RIGHT(C4,1)="D"),"TRUE","FALSE")</f>
        <v>FALSE</v>
      </c>
      <c r="G4" s="102" t="s">
        <v>50</v>
      </c>
      <c r="H4" s="106">
        <v>-1.1000000000000001E-3</v>
      </c>
      <c r="I4" s="107" t="str">
        <f>_xll.qlDepositRateHelper2(,H4,IF(RIGHT(C4,1)="N","1D",C4),D4,Calendar,E4,F4,G4,,Trigger)</f>
        <v>obj_00140#0018</v>
      </c>
      <c r="J4" s="102" t="b">
        <f t="shared" ref="J4:J18" si="7">IF(ISNUMBER(H4),TRUE,FALSE)</f>
        <v>1</v>
      </c>
      <c r="K4" s="75"/>
      <c r="L4" s="24" t="str">
        <f t="shared" si="0"/>
        <v>Dp</v>
      </c>
      <c r="M4" s="24" t="str">
        <f t="shared" si="1"/>
        <v>T/N</v>
      </c>
      <c r="N4" s="14" t="str">
        <f t="shared" si="2"/>
        <v>obj_00140#0018</v>
      </c>
      <c r="O4" s="14" t="b">
        <f t="shared" si="3"/>
        <v>1</v>
      </c>
      <c r="P4" s="14" t="str">
        <v>Dp</v>
      </c>
      <c r="Q4" s="14" t="str">
        <v>T/N</v>
      </c>
      <c r="R4" s="14" t="str">
        <v>obj_00140#0018</v>
      </c>
      <c r="S4" s="117">
        <f>_xll.qlRateHelperRate(R4,Trigger)</f>
        <v>-1.1000000000000001E-3</v>
      </c>
      <c r="T4" s="15">
        <f>_xll.qlRateHelperEarliestDate(R4,Trigger)</f>
        <v>42200</v>
      </c>
      <c r="U4" s="15">
        <f>_xll.qlRateHelperLatestDate(R4,Trigger)</f>
        <v>42201</v>
      </c>
      <c r="V4" s="117">
        <v>-1.1152789747393133E-3</v>
      </c>
    </row>
    <row r="5" spans="1:22" ht="11.25" customHeight="1" x14ac:dyDescent="0.2">
      <c r="A5" s="100" t="s">
        <v>46</v>
      </c>
      <c r="B5" s="100" t="str">
        <v>S/N</v>
      </c>
      <c r="C5" s="101" t="str">
        <f>IF(LEFT(B5,1)="#",(_xll.qlCalendarBusinessDaysBetween(Calendar,Settlementdate,DATE(RIGHT(LEFT(B5,5),4),LEFT(RIGHT(B5,4),2),RIGHT(B5,2)),,TRUE,Trigger)-1)&amp;"D",B5)</f>
        <v>S/N</v>
      </c>
      <c r="D5" s="102">
        <f t="shared" si="4"/>
        <v>2</v>
      </c>
      <c r="E5" s="103" t="str">
        <f t="shared" si="5"/>
        <v>Following</v>
      </c>
      <c r="F5" s="104" t="str">
        <f t="shared" si="6"/>
        <v>FALSE</v>
      </c>
      <c r="G5" s="102" t="s">
        <v>50</v>
      </c>
      <c r="H5" s="106">
        <v>-1.1000000000000001E-3</v>
      </c>
      <c r="I5" s="107" t="str">
        <f>_xll.qlDepositRateHelper2(,H5,IF(RIGHT(C5,1)="N","1D",C5),D5,Calendar,E5,F5,G5,,Trigger)</f>
        <v>obj_00137#0018</v>
      </c>
      <c r="J5" s="102" t="b">
        <f t="shared" si="7"/>
        <v>1</v>
      </c>
      <c r="K5" s="75"/>
      <c r="L5" s="24" t="str">
        <f t="shared" si="0"/>
        <v>Dp</v>
      </c>
      <c r="M5" s="24" t="str">
        <f t="shared" si="1"/>
        <v>S/N</v>
      </c>
      <c r="N5" s="14" t="str">
        <f t="shared" si="2"/>
        <v>obj_00137#0018</v>
      </c>
      <c r="O5" s="14" t="b">
        <f t="shared" si="3"/>
        <v>1</v>
      </c>
      <c r="P5" s="14" t="str">
        <v>Dp</v>
      </c>
      <c r="Q5" s="14" t="str">
        <v>S/N</v>
      </c>
      <c r="R5" s="14" t="str">
        <v>obj_00137#0018</v>
      </c>
      <c r="S5" s="117">
        <f>_xll.qlRateHelperRate(R5,Trigger)</f>
        <v>-1.1000000000000001E-3</v>
      </c>
      <c r="T5" s="15">
        <f>_xll.qlRateHelperEarliestDate(R5,Trigger)</f>
        <v>42201</v>
      </c>
      <c r="U5" s="15">
        <f>_xll.qlRateHelperLatestDate(R5,Trigger)</f>
        <v>42202</v>
      </c>
      <c r="V5" s="117">
        <v>-1.1152791437232458E-3</v>
      </c>
    </row>
    <row r="6" spans="1:22" ht="11.25" customHeight="1" x14ac:dyDescent="0.2">
      <c r="A6" s="100" t="s">
        <v>46</v>
      </c>
      <c r="B6" s="100" t="str">
        <v>1W</v>
      </c>
      <c r="C6" s="101" t="str">
        <f>IF(LEFT(B6,1)="#",(_xll.qlCalendarBusinessDaysBetween(Calendar,Settlementdate,DATE(RIGHT(LEFT(B6,5),4),LEFT(RIGHT(B6,4),2),RIGHT(B6,2)),,TRUE,Trigger)-1)&amp;"D",B6)</f>
        <v>1W</v>
      </c>
      <c r="D6" s="102">
        <f t="shared" si="4"/>
        <v>2</v>
      </c>
      <c r="E6" s="103" t="str">
        <f t="shared" si="5"/>
        <v>Following</v>
      </c>
      <c r="F6" s="104" t="str">
        <f t="shared" si="6"/>
        <v>FALSE</v>
      </c>
      <c r="G6" s="102" t="s">
        <v>50</v>
      </c>
      <c r="H6" s="106">
        <v>-4.9899999999999999E-4</v>
      </c>
      <c r="I6" s="107" t="str">
        <f>_xll.qlDepositRateHelper2(,H6,IF(RIGHT(C6,1)="N","1D",C6),D6,Calendar,E6,F6,G6,,Trigger)</f>
        <v>obj_0013e#0018</v>
      </c>
      <c r="J6" s="102" t="b">
        <f t="shared" si="7"/>
        <v>1</v>
      </c>
      <c r="K6" s="75"/>
      <c r="L6" s="24" t="str">
        <f t="shared" si="0"/>
        <v>Dp</v>
      </c>
      <c r="M6" s="24" t="str">
        <f t="shared" si="1"/>
        <v>1W</v>
      </c>
      <c r="N6" s="14" t="str">
        <f t="shared" si="2"/>
        <v>obj_0013e#0018</v>
      </c>
      <c r="O6" s="14" t="b">
        <f t="shared" si="3"/>
        <v>1</v>
      </c>
      <c r="P6" s="14" t="str">
        <v>Dp</v>
      </c>
      <c r="Q6" s="14" t="str">
        <v>1W</v>
      </c>
      <c r="R6" s="14" t="str">
        <v>obj_0013e#0018</v>
      </c>
      <c r="S6" s="117">
        <f>_xll.qlRateHelperRate(R6,Trigger)</f>
        <v>-4.9899999999999999E-4</v>
      </c>
      <c r="T6" s="15">
        <f>_xll.qlRateHelperEarliestDate(R6,Trigger)</f>
        <v>42201</v>
      </c>
      <c r="U6" s="15">
        <f>_xll.qlRateHelperLatestDate(R6,Trigger)</f>
        <v>42208</v>
      </c>
      <c r="V6" s="117">
        <v>-6.4134322441244452E-4</v>
      </c>
    </row>
    <row r="7" spans="1:22" ht="11.25" customHeight="1" x14ac:dyDescent="0.2">
      <c r="A7" s="100" t="s">
        <v>46</v>
      </c>
      <c r="B7" s="100" t="str">
        <v>2W</v>
      </c>
      <c r="C7" s="101" t="str">
        <f>IF(LEFT(B7,1)="#",(_xll.qlCalendarBusinessDaysBetween(Calendar,Settlementdate,DATE(RIGHT(LEFT(B7,5),4),LEFT(RIGHT(B7,4),2),RIGHT(B7,2)),,TRUE,Trigger)-1)&amp;"D",B7)</f>
        <v>2W</v>
      </c>
      <c r="D7" s="102">
        <f t="shared" si="4"/>
        <v>2</v>
      </c>
      <c r="E7" s="103" t="str">
        <f t="shared" si="5"/>
        <v>Following</v>
      </c>
      <c r="F7" s="104" t="str">
        <f t="shared" si="6"/>
        <v>FALSE</v>
      </c>
      <c r="G7" s="102" t="s">
        <v>50</v>
      </c>
      <c r="H7" s="106">
        <v>-4.5900000000000004E-4</v>
      </c>
      <c r="I7" s="107" t="str">
        <f>_xll.qlDepositRateHelper2(,H7,IF(RIGHT(C7,1)="N","1D",C7),D7,Calendar,E7,F7,G7,,Trigger)</f>
        <v>obj_00149#0018</v>
      </c>
      <c r="J7" s="102" t="b">
        <f t="shared" si="7"/>
        <v>1</v>
      </c>
      <c r="K7" s="75"/>
      <c r="L7" s="24" t="str">
        <f t="shared" si="0"/>
        <v>Dp</v>
      </c>
      <c r="M7" s="24" t="str">
        <f t="shared" si="1"/>
        <v>2W</v>
      </c>
      <c r="N7" s="14" t="str">
        <f t="shared" si="2"/>
        <v>obj_00149#0018</v>
      </c>
      <c r="O7" s="14" t="b">
        <f t="shared" si="3"/>
        <v>1</v>
      </c>
      <c r="P7" s="14" t="str">
        <v>Dp</v>
      </c>
      <c r="Q7" s="14" t="str">
        <v>2W</v>
      </c>
      <c r="R7" s="14" t="str">
        <v>obj_00149#0018</v>
      </c>
      <c r="S7" s="117">
        <f>_xll.qlRateHelperRate(R7,Trigger)</f>
        <v>-4.5900000000000004E-4</v>
      </c>
      <c r="T7" s="15">
        <f>_xll.qlRateHelperEarliestDate(R7,Trigger)</f>
        <v>42201</v>
      </c>
      <c r="U7" s="15">
        <f>_xll.qlRateHelperLatestDate(R7,Trigger)</f>
        <v>42215</v>
      </c>
      <c r="V7" s="117">
        <v>-5.4661663117205395E-4</v>
      </c>
    </row>
    <row r="8" spans="1:22" ht="11.25" customHeight="1" x14ac:dyDescent="0.2">
      <c r="A8" s="100" t="s">
        <v>46</v>
      </c>
      <c r="B8" s="100" t="str">
        <v>3W</v>
      </c>
      <c r="C8" s="101" t="str">
        <f>IF(LEFT(B8,1)="#",(_xll.qlCalendarBusinessDaysBetween(Calendar,Settlementdate,DATE(RIGHT(LEFT(B8,5),4),LEFT(RIGHT(B8,4),2),RIGHT(B8,2)),,TRUE,Trigger)-1)&amp;"D",B8)</f>
        <v>3W</v>
      </c>
      <c r="D8" s="102">
        <f t="shared" si="4"/>
        <v>2</v>
      </c>
      <c r="E8" s="103" t="str">
        <f t="shared" si="5"/>
        <v>Following</v>
      </c>
      <c r="F8" s="104" t="str">
        <f t="shared" si="6"/>
        <v>FALSE</v>
      </c>
      <c r="G8" s="102" t="s">
        <v>50</v>
      </c>
      <c r="H8" s="106">
        <v>-3.6299999999999999E-4</v>
      </c>
      <c r="I8" s="107" t="str">
        <f>_xll.qlDepositRateHelper2(,H8,IF(RIGHT(C8,1)="N","1D",C8),D8,Calendar,E8,F8,G8,,Trigger)</f>
        <v>obj_0013a#0018</v>
      </c>
      <c r="J8" s="102" t="b">
        <f t="shared" si="7"/>
        <v>1</v>
      </c>
      <c r="K8" s="75"/>
      <c r="L8" s="24" t="str">
        <f t="shared" si="0"/>
        <v>Dp</v>
      </c>
      <c r="M8" s="24" t="str">
        <f t="shared" si="1"/>
        <v>3W</v>
      </c>
      <c r="N8" s="14" t="str">
        <f t="shared" si="2"/>
        <v>obj_0013a#0018</v>
      </c>
      <c r="O8" s="14" t="b">
        <f t="shared" si="3"/>
        <v>1</v>
      </c>
      <c r="P8" s="14" t="str">
        <v>Dp</v>
      </c>
      <c r="Q8" s="14" t="str">
        <v>3W</v>
      </c>
      <c r="R8" s="14" t="str">
        <v>obj_0013a#0018</v>
      </c>
      <c r="S8" s="117">
        <f>_xll.qlRateHelperRate(R8,Trigger)</f>
        <v>-3.6299999999999999E-4</v>
      </c>
      <c r="T8" s="15">
        <f>_xll.qlRateHelperEarliestDate(R8,Trigger)</f>
        <v>42201</v>
      </c>
      <c r="U8" s="15">
        <f>_xll.qlRateHelperLatestDate(R8,Trigger)</f>
        <v>42222</v>
      </c>
      <c r="V8" s="117">
        <v>-4.3302238172906012E-4</v>
      </c>
    </row>
    <row r="9" spans="1:22" ht="11.25" customHeight="1" x14ac:dyDescent="0.2">
      <c r="A9" s="100" t="s">
        <v>46</v>
      </c>
      <c r="B9" s="100" t="str">
        <v>1M</v>
      </c>
      <c r="C9" s="101" t="str">
        <f>IF(LEFT(B9,1)="#",(_xll.qlCalendarBusinessDaysBetween(Calendar,Settlementdate,DATE(RIGHT(LEFT(B9,5),4),LEFT(RIGHT(B9,4),2),RIGHT(B9,2)),,TRUE,Trigger)-1)&amp;"D",B9)</f>
        <v>1M</v>
      </c>
      <c r="D9" s="102">
        <f t="shared" si="4"/>
        <v>2</v>
      </c>
      <c r="E9" s="103" t="str">
        <f t="shared" si="5"/>
        <v>Modified Following</v>
      </c>
      <c r="F9" s="104" t="str">
        <f t="shared" si="6"/>
        <v>TRUE</v>
      </c>
      <c r="G9" s="102" t="s">
        <v>50</v>
      </c>
      <c r="H9" s="106">
        <v>-3.1099999999999997E-4</v>
      </c>
      <c r="I9" s="107" t="str">
        <f>_xll.qlDepositRateHelper2(,H9,IF(RIGHT(C9,1)="N","1D",C9),D9,Calendar,E9,F9,G9,,Trigger)</f>
        <v>obj_00135#0018</v>
      </c>
      <c r="J9" s="102" t="b">
        <f t="shared" si="7"/>
        <v>1</v>
      </c>
      <c r="K9" s="75"/>
      <c r="L9" s="24" t="str">
        <f t="shared" si="0"/>
        <v>Dp</v>
      </c>
      <c r="M9" s="24" t="str">
        <f t="shared" si="1"/>
        <v>1M</v>
      </c>
      <c r="N9" s="14" t="str">
        <f t="shared" si="2"/>
        <v>obj_00135#0018</v>
      </c>
      <c r="O9" s="14" t="b">
        <f t="shared" si="3"/>
        <v>1</v>
      </c>
      <c r="P9" s="14" t="str">
        <v>Dp</v>
      </c>
      <c r="Q9" s="14" t="str">
        <v>1M</v>
      </c>
      <c r="R9" s="14" t="str">
        <v>obj_00135#0018</v>
      </c>
      <c r="S9" s="117">
        <f>_xll.qlRateHelperRate(R9,Trigger)</f>
        <v>-3.1099999999999997E-4</v>
      </c>
      <c r="T9" s="15">
        <f>_xll.qlRateHelperEarliestDate(R9,Trigger)</f>
        <v>42201</v>
      </c>
      <c r="U9" s="15">
        <f>_xll.qlRateHelperLatestDate(R9,Trigger)</f>
        <v>42233</v>
      </c>
      <c r="V9" s="117">
        <v>-3.6237998951724827E-4</v>
      </c>
    </row>
    <row r="10" spans="1:22" ht="11.25" customHeight="1" x14ac:dyDescent="0.2">
      <c r="A10" s="100" t="s">
        <v>46</v>
      </c>
      <c r="B10" s="100" t="str">
        <v>2M</v>
      </c>
      <c r="C10" s="101" t="str">
        <f>IF(LEFT(B10,1)="#",(_xll.qlCalendarBusinessDaysBetween(Calendar,Settlementdate,DATE(RIGHT(LEFT(B10,5),4),LEFT(RIGHT(B10,4),2),RIGHT(B10,2)),,TRUE,Trigger)-1)&amp;"D",B10)</f>
        <v>2M</v>
      </c>
      <c r="D10" s="102">
        <f t="shared" si="4"/>
        <v>2</v>
      </c>
      <c r="E10" s="103" t="str">
        <f t="shared" si="5"/>
        <v>Modified Following</v>
      </c>
      <c r="F10" s="104" t="str">
        <f t="shared" si="6"/>
        <v>TRUE</v>
      </c>
      <c r="G10" s="102" t="s">
        <v>50</v>
      </c>
      <c r="H10" s="106">
        <v>-3.1800000000000003E-4</v>
      </c>
      <c r="I10" s="107" t="str">
        <f>_xll.qlDepositRateHelper2(,H10,IF(RIGHT(C10,1)="N","1D",C10),D10,Calendar,E10,F10,G10,,Trigger)</f>
        <v>obj_00133#0018</v>
      </c>
      <c r="J10" s="102" t="b">
        <f t="shared" si="7"/>
        <v>1</v>
      </c>
      <c r="K10" s="75"/>
      <c r="L10" s="24" t="str">
        <f t="shared" si="0"/>
        <v>Dp</v>
      </c>
      <c r="M10" s="24" t="str">
        <f t="shared" si="1"/>
        <v>2M</v>
      </c>
      <c r="N10" s="14" t="str">
        <f t="shared" si="2"/>
        <v>obj_00133#0018</v>
      </c>
      <c r="O10" s="14" t="b">
        <f t="shared" si="3"/>
        <v>1</v>
      </c>
      <c r="P10" s="14" t="str">
        <v>Dp</v>
      </c>
      <c r="Q10" s="14" t="str">
        <v>2M</v>
      </c>
      <c r="R10" s="14" t="str">
        <v>obj_00133#0018</v>
      </c>
      <c r="S10" s="117">
        <f>_xll.qlRateHelperRate(R10,Trigger)</f>
        <v>-3.1800000000000003E-4</v>
      </c>
      <c r="T10" s="15">
        <f>_xll.qlRateHelperEarliestDate(R10,Trigger)</f>
        <v>42201</v>
      </c>
      <c r="U10" s="15">
        <f>_xll.qlRateHelperLatestDate(R10,Trigger)</f>
        <v>42263</v>
      </c>
      <c r="V10" s="117">
        <v>-3.4720216704826917E-4</v>
      </c>
    </row>
    <row r="11" spans="1:22" ht="11.25" customHeight="1" x14ac:dyDescent="0.2">
      <c r="A11" s="100" t="s">
        <v>46</v>
      </c>
      <c r="B11" s="100" t="str">
        <v>3M</v>
      </c>
      <c r="C11" s="101" t="str">
        <f>IF(LEFT(B11,1)="#",(_xll.qlCalendarBusinessDaysBetween(Calendar,Settlementdate,DATE(RIGHT(LEFT(B11,5),4),LEFT(RIGHT(B11,4),2),RIGHT(B11,2)),,TRUE,Trigger)-1)&amp;"D",B11)</f>
        <v>3M</v>
      </c>
      <c r="D11" s="102">
        <f t="shared" si="4"/>
        <v>2</v>
      </c>
      <c r="E11" s="103" t="str">
        <f t="shared" si="5"/>
        <v>Modified Following</v>
      </c>
      <c r="F11" s="104" t="str">
        <f t="shared" si="6"/>
        <v>TRUE</v>
      </c>
      <c r="G11" s="102" t="s">
        <v>50</v>
      </c>
      <c r="H11" s="106">
        <v>-1.8999999999999998E-4</v>
      </c>
      <c r="I11" s="107" t="str">
        <f>_xll.qlDepositRateHelper2(,H11,IF(RIGHT(C11,1)="N","1D",C11),D11,Calendar,E11,F11,G11,,Trigger)</f>
        <v>obj_00142#0018</v>
      </c>
      <c r="J11" s="102" t="b">
        <f t="shared" si="7"/>
        <v>1</v>
      </c>
      <c r="K11" s="75"/>
      <c r="L11" s="24" t="str">
        <f t="shared" si="0"/>
        <v>Dp</v>
      </c>
      <c r="M11" s="24" t="str">
        <f t="shared" si="1"/>
        <v>3M</v>
      </c>
      <c r="N11" s="14" t="str">
        <f t="shared" si="2"/>
        <v>obj_00142#0018</v>
      </c>
      <c r="O11" s="14" t="b">
        <f t="shared" si="3"/>
        <v>1</v>
      </c>
      <c r="P11" s="14" t="str">
        <v>Dp</v>
      </c>
      <c r="Q11" s="14" t="str">
        <v>3M</v>
      </c>
      <c r="R11" s="14" t="str">
        <v>obj_00142#0018</v>
      </c>
      <c r="S11" s="117">
        <f>_xll.qlRateHelperRate(R11,Trigger)</f>
        <v>-1.8999999999999998E-4</v>
      </c>
      <c r="T11" s="15">
        <f>_xll.qlRateHelperEarliestDate(R11,Trigger)</f>
        <v>42201</v>
      </c>
      <c r="U11" s="15">
        <f>_xll.qlRateHelperLatestDate(R11,Trigger)</f>
        <v>42293</v>
      </c>
      <c r="V11" s="117">
        <v>-2.1227410649869255E-4</v>
      </c>
    </row>
    <row r="12" spans="1:22" ht="11.25" customHeight="1" x14ac:dyDescent="0.2">
      <c r="A12" s="100" t="s">
        <v>46</v>
      </c>
      <c r="B12" s="100" t="str">
        <v>4M</v>
      </c>
      <c r="C12" s="101" t="str">
        <f>IF(LEFT(B12,1)="#",(_xll.qlCalendarBusinessDaysBetween(Calendar,Settlementdate,DATE(RIGHT(LEFT(B12,5),4),LEFT(RIGHT(B12,4),2),RIGHT(B12,2)),,TRUE,Trigger)-1)&amp;"D",B12)</f>
        <v>4M</v>
      </c>
      <c r="D12" s="102">
        <f t="shared" si="4"/>
        <v>2</v>
      </c>
      <c r="E12" s="103" t="str">
        <f t="shared" si="5"/>
        <v>Modified Following</v>
      </c>
      <c r="F12" s="104" t="str">
        <f t="shared" si="6"/>
        <v>TRUE</v>
      </c>
      <c r="G12" s="102" t="s">
        <v>50</v>
      </c>
      <c r="H12" s="106">
        <v>-1.47E-4</v>
      </c>
      <c r="I12" s="107" t="str">
        <f>_xll.qlDepositRateHelper2(,H12,IF(RIGHT(C12,1)="N","1D",C12),D12,Calendar,E12,F12,G12,,Trigger)</f>
        <v>obj_00145#0018</v>
      </c>
      <c r="J12" s="102" t="b">
        <f t="shared" si="7"/>
        <v>1</v>
      </c>
      <c r="K12" s="75"/>
      <c r="L12" s="24" t="str">
        <f t="shared" si="0"/>
        <v>Dp</v>
      </c>
      <c r="M12" s="24" t="str">
        <f t="shared" si="1"/>
        <v>4M</v>
      </c>
      <c r="N12" s="14" t="str">
        <f t="shared" si="2"/>
        <v>obj_00145#0018</v>
      </c>
      <c r="O12" s="14" t="b">
        <f t="shared" si="3"/>
        <v>1</v>
      </c>
      <c r="P12" s="14" t="str">
        <v>Dp</v>
      </c>
      <c r="Q12" s="14" t="str">
        <v>4M</v>
      </c>
      <c r="R12" s="14" t="str">
        <v>obj_00145#0018</v>
      </c>
      <c r="S12" s="117">
        <f>_xll.qlRateHelperRate(R12,Trigger)</f>
        <v>-1.47E-4</v>
      </c>
      <c r="T12" s="15">
        <f>_xll.qlRateHelperEarliestDate(R12,Trigger)</f>
        <v>42201</v>
      </c>
      <c r="U12" s="15">
        <f>_xll.qlRateHelperLatestDate(R12,Trigger)</f>
        <v>42324</v>
      </c>
      <c r="V12" s="117">
        <v>-1.6450514664330702E-4</v>
      </c>
    </row>
    <row r="13" spans="1:22" ht="11.25" customHeight="1" x14ac:dyDescent="0.2">
      <c r="A13" s="100" t="s">
        <v>46</v>
      </c>
      <c r="B13" s="100" t="str">
        <v>5M</v>
      </c>
      <c r="C13" s="101" t="str">
        <f>IF(LEFT(B13,1)="#",(_xll.qlCalendarBusinessDaysBetween(Calendar,Settlementdate,DATE(RIGHT(LEFT(B13,5),4),LEFT(RIGHT(B13,4),2),RIGHT(B13,2)),,TRUE,Trigger)-1)&amp;"D",B13)</f>
        <v>5M</v>
      </c>
      <c r="D13" s="102">
        <f t="shared" si="4"/>
        <v>2</v>
      </c>
      <c r="E13" s="103" t="str">
        <f t="shared" si="5"/>
        <v>Modified Following</v>
      </c>
      <c r="F13" s="104" t="str">
        <f t="shared" si="6"/>
        <v>TRUE</v>
      </c>
      <c r="G13" s="102" t="s">
        <v>50</v>
      </c>
      <c r="H13" s="106">
        <v>-1.36E-4</v>
      </c>
      <c r="I13" s="107" t="str">
        <f>_xll.qlDepositRateHelper2(,H13,IF(RIGHT(C13,1)="N","1D",C13),D13,Calendar,E13,F13,G13,,Trigger)</f>
        <v>obj_00143#0018</v>
      </c>
      <c r="J13" s="102" t="b">
        <f t="shared" si="7"/>
        <v>1</v>
      </c>
      <c r="K13" s="75"/>
      <c r="L13" s="24" t="str">
        <f t="shared" si="0"/>
        <v>Dp</v>
      </c>
      <c r="M13" s="24" t="str">
        <f t="shared" si="1"/>
        <v>5M</v>
      </c>
      <c r="N13" s="14" t="str">
        <f t="shared" si="2"/>
        <v>obj_00143#0018</v>
      </c>
      <c r="O13" s="14" t="b">
        <f t="shared" si="3"/>
        <v>1</v>
      </c>
      <c r="P13" s="14" t="str">
        <v>Dp</v>
      </c>
      <c r="Q13" s="14" t="str">
        <v>5M</v>
      </c>
      <c r="R13" s="14" t="str">
        <v>obj_00143#0018</v>
      </c>
      <c r="S13" s="117">
        <f>_xll.qlRateHelperRate(R13,Trigger)</f>
        <v>-1.36E-4</v>
      </c>
      <c r="T13" s="15">
        <f>_xll.qlRateHelperEarliestDate(R13,Trigger)</f>
        <v>42201</v>
      </c>
      <c r="U13" s="15">
        <f>_xll.qlRateHelperLatestDate(R13,Trigger)</f>
        <v>42354</v>
      </c>
      <c r="V13" s="117">
        <v>-1.5050430758888872E-4</v>
      </c>
    </row>
    <row r="14" spans="1:22" ht="11.25" customHeight="1" x14ac:dyDescent="0.2">
      <c r="A14" s="100" t="s">
        <v>46</v>
      </c>
      <c r="B14" s="100" t="str">
        <v>6M</v>
      </c>
      <c r="C14" s="101" t="str">
        <f>IF(LEFT(B14,1)="#",(_xll.qlCalendarBusinessDaysBetween(Calendar,Settlementdate,DATE(RIGHT(LEFT(B14,5),4),LEFT(RIGHT(B14,4),2),RIGHT(B14,2)),,TRUE,Trigger)-1)&amp;"D",B14)</f>
        <v>6M</v>
      </c>
      <c r="D14" s="102">
        <f t="shared" si="4"/>
        <v>2</v>
      </c>
      <c r="E14" s="103" t="str">
        <f t="shared" si="5"/>
        <v>Modified Following</v>
      </c>
      <c r="F14" s="104" t="str">
        <f t="shared" si="6"/>
        <v>TRUE</v>
      </c>
      <c r="G14" s="102" t="s">
        <v>50</v>
      </c>
      <c r="H14" s="106">
        <v>-1.13E-4</v>
      </c>
      <c r="I14" s="107" t="str">
        <f>_xll.qlDepositRateHelper2(,H14,IF(RIGHT(C14,1)="N","1D",C14),D14,Calendar,E14,F14,G14,,Trigger)</f>
        <v>obj_0013f#0018</v>
      </c>
      <c r="J14" s="102" t="b">
        <f t="shared" si="7"/>
        <v>1</v>
      </c>
      <c r="K14" s="75"/>
      <c r="L14" s="24" t="str">
        <f t="shared" si="0"/>
        <v>Dp</v>
      </c>
      <c r="M14" s="24" t="str">
        <f t="shared" si="1"/>
        <v>6M</v>
      </c>
      <c r="N14" s="14" t="str">
        <f t="shared" si="2"/>
        <v>obj_0013f#0018</v>
      </c>
      <c r="O14" s="14" t="b">
        <f t="shared" si="3"/>
        <v>1</v>
      </c>
      <c r="P14" s="14" t="str">
        <v>Dp</v>
      </c>
      <c r="Q14" s="14" t="str">
        <v>6M</v>
      </c>
      <c r="R14" s="14" t="str">
        <v>obj_0013f#0018</v>
      </c>
      <c r="S14" s="117">
        <f>_xll.qlRateHelperRate(R14,Trigger)</f>
        <v>-1.13E-4</v>
      </c>
      <c r="T14" s="15">
        <f>_xll.qlRateHelperEarliestDate(R14,Trigger)</f>
        <v>42201</v>
      </c>
      <c r="U14" s="15">
        <f>_xll.qlRateHelperLatestDate(R14,Trigger)</f>
        <v>42387</v>
      </c>
      <c r="V14" s="117">
        <v>-1.2521859953375404E-4</v>
      </c>
    </row>
    <row r="15" spans="1:22" ht="11.25" customHeight="1" x14ac:dyDescent="0.2">
      <c r="A15" s="100" t="s">
        <v>46</v>
      </c>
      <c r="B15" s="100" t="str">
        <v>7M</v>
      </c>
      <c r="C15" s="101" t="str">
        <f>IF(LEFT(B15,1)="#",(_xll.qlCalendarBusinessDaysBetween(Calendar,Settlementdate,DATE(RIGHT(LEFT(B15,5),4),LEFT(RIGHT(B15,4),2),RIGHT(B15,2)),,TRUE,Trigger)-1)&amp;"D",B15)</f>
        <v>7M</v>
      </c>
      <c r="D15" s="102">
        <f t="shared" si="4"/>
        <v>2</v>
      </c>
      <c r="E15" s="103" t="str">
        <f t="shared" si="5"/>
        <v>Modified Following</v>
      </c>
      <c r="F15" s="104" t="str">
        <f t="shared" si="6"/>
        <v>TRUE</v>
      </c>
      <c r="G15" s="102" t="s">
        <v>50</v>
      </c>
      <c r="H15" s="106">
        <v>-1.03E-4</v>
      </c>
      <c r="I15" s="107" t="str">
        <f>_xll.qlDepositRateHelper2(,H15,IF(RIGHT(C15,1)="N","1D",C15),D15,Calendar,E15,F15,G15,,Trigger)</f>
        <v>obj_00148#0018</v>
      </c>
      <c r="J15" s="102" t="b">
        <f t="shared" si="7"/>
        <v>1</v>
      </c>
      <c r="K15" s="75"/>
      <c r="L15" s="24" t="str">
        <f t="shared" si="0"/>
        <v>Dp</v>
      </c>
      <c r="M15" s="24" t="str">
        <f t="shared" si="1"/>
        <v>7M</v>
      </c>
      <c r="N15" s="14" t="str">
        <f t="shared" si="2"/>
        <v>obj_00148#0018</v>
      </c>
      <c r="O15" s="14" t="b">
        <f t="shared" si="3"/>
        <v>1</v>
      </c>
      <c r="P15" s="14" t="str">
        <v>Dp</v>
      </c>
      <c r="Q15" s="14" t="str">
        <v>7M</v>
      </c>
      <c r="R15" s="14" t="str">
        <v>obj_00148#0018</v>
      </c>
      <c r="S15" s="117">
        <f>_xll.qlRateHelperRate(R15,Trigger)</f>
        <v>-1.03E-4</v>
      </c>
      <c r="T15" s="15">
        <f>_xll.qlRateHelperEarliestDate(R15,Trigger)</f>
        <v>42201</v>
      </c>
      <c r="U15" s="15">
        <f>_xll.qlRateHelperLatestDate(R15,Trigger)</f>
        <v>42416</v>
      </c>
      <c r="V15" s="117">
        <v>-1.1375031333933008E-4</v>
      </c>
    </row>
    <row r="16" spans="1:22" ht="11.25" customHeight="1" x14ac:dyDescent="0.2">
      <c r="A16" s="100" t="s">
        <v>46</v>
      </c>
      <c r="B16" s="100" t="str">
        <v>#20160316</v>
      </c>
      <c r="C16" s="101" t="str">
        <f>IF(LEFT(B16,1)="#",(_xll.qlCalendarBusinessDaysBetween(Calendar,Settlementdate,DATE(RIGHT(LEFT(B16,5),4),LEFT(RIGHT(B16,4),2),RIGHT(B16,2)),,TRUE,Trigger)-1)&amp;"D",B16)</f>
        <v>172D</v>
      </c>
      <c r="D16" s="102">
        <f t="shared" si="4"/>
        <v>2</v>
      </c>
      <c r="E16" s="103" t="str">
        <f t="shared" si="5"/>
        <v>Modified Following</v>
      </c>
      <c r="F16" s="104" t="str">
        <f t="shared" si="6"/>
        <v>TRUE</v>
      </c>
      <c r="G16" s="102" t="s">
        <v>50</v>
      </c>
      <c r="H16" s="106">
        <v>-1E-4</v>
      </c>
      <c r="I16" s="107" t="str">
        <f>_xll.qlDepositRateHelper2(,H16,IF(RIGHT(C16,1)="N","1D",C16),D16,Calendar,E16,F16,G16,,Trigger)</f>
        <v>obj_00186#0017</v>
      </c>
      <c r="J16" s="102" t="b">
        <f t="shared" si="7"/>
        <v>1</v>
      </c>
      <c r="K16" s="75"/>
      <c r="L16" s="24" t="str">
        <f t="shared" si="0"/>
        <v>Dp</v>
      </c>
      <c r="M16" s="24" t="str">
        <f t="shared" si="1"/>
        <v>172D</v>
      </c>
      <c r="N16" s="14" t="str">
        <f t="shared" si="2"/>
        <v>obj_00186#0017</v>
      </c>
      <c r="O16" s="14" t="b">
        <f t="shared" si="3"/>
        <v>1</v>
      </c>
      <c r="P16" s="14" t="str">
        <v>Dp</v>
      </c>
      <c r="Q16" s="14" t="str">
        <v>172D</v>
      </c>
      <c r="R16" s="14" t="str">
        <v>obj_00186#0017</v>
      </c>
      <c r="S16" s="117">
        <f>_xll.qlRateHelperRate(R16,Trigger)</f>
        <v>-1E-4</v>
      </c>
      <c r="T16" s="15">
        <f>_xll.qlRateHelperEarliestDate(R16,Trigger)</f>
        <v>42201</v>
      </c>
      <c r="U16" s="15">
        <f>_xll.qlRateHelperLatestDate(R16,Trigger)</f>
        <v>42445</v>
      </c>
      <c r="V16" s="117">
        <v>-1.0963530589322656E-4</v>
      </c>
    </row>
    <row r="17" spans="1:22" ht="11.25" customHeight="1" x14ac:dyDescent="0.2">
      <c r="A17" s="100" t="s">
        <v>46</v>
      </c>
      <c r="B17" s="100" t="e">
        <v>#N/A</v>
      </c>
      <c r="C17" s="101" t="e">
        <f>IF(LEFT(B17,1)="#",(_xll.qlCalendarBusinessDaysBetween(Calendar,Settlementdate,DATE(RIGHT(LEFT(B17,5),4),LEFT(RIGHT(B17,4),2),RIGHT(B17,2)),,TRUE,Trigger)-1)&amp;"D",B17)</f>
        <v>#N/A</v>
      </c>
      <c r="D17" s="102" t="e">
        <f t="shared" si="4"/>
        <v>#N/A</v>
      </c>
      <c r="E17" s="103" t="e">
        <f t="shared" si="5"/>
        <v>#N/A</v>
      </c>
      <c r="F17" s="104" t="e">
        <f t="shared" si="6"/>
        <v>#N/A</v>
      </c>
      <c r="G17" s="102" t="s">
        <v>50</v>
      </c>
      <c r="H17" s="106" t="e">
        <v>#N/A</v>
      </c>
      <c r="I17" s="107" t="e">
        <f>_xll.qlDepositRateHelper2(,H17,IF(RIGHT(C17,1)="N","1D",C17),D17,Calendar,E17,F17,G17,,Trigger)</f>
        <v>#VALUE!</v>
      </c>
      <c r="J17" s="102" t="b">
        <f t="shared" si="7"/>
        <v>0</v>
      </c>
      <c r="K17" s="75"/>
      <c r="L17" s="24" t="str">
        <f t="shared" si="0"/>
        <v>Dp</v>
      </c>
      <c r="M17" s="24" t="e">
        <f t="shared" si="1"/>
        <v>#N/A</v>
      </c>
      <c r="N17" s="14" t="e">
        <f t="shared" si="2"/>
        <v>#VALUE!</v>
      </c>
      <c r="O17" s="14" t="b">
        <f t="shared" si="3"/>
        <v>0</v>
      </c>
      <c r="P17" s="14" t="str">
        <v>Sf</v>
      </c>
      <c r="Q17" s="14" t="str">
        <v>H6</v>
      </c>
      <c r="R17" s="14" t="str">
        <v>obj_0010c#0018</v>
      </c>
      <c r="S17" s="117">
        <f>_xll.qlRateHelperRate(R17,Trigger)</f>
        <v>-1.7500000000003624E-4</v>
      </c>
      <c r="T17" s="15">
        <f>_xll.qlRateHelperEarliestDate(R17,Trigger)</f>
        <v>42445</v>
      </c>
      <c r="U17" s="15">
        <f>_xll.qlRateHelperLatestDate(R17,Trigger)</f>
        <v>42537</v>
      </c>
      <c r="V17" s="117">
        <v>-1.2808953072727353E-4</v>
      </c>
    </row>
    <row r="18" spans="1:22" ht="11.25" customHeight="1" x14ac:dyDescent="0.2">
      <c r="A18" s="4" t="s">
        <v>46</v>
      </c>
      <c r="B18" s="4" t="e">
        <v>#N/A</v>
      </c>
      <c r="C18" s="21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4"/>
        <v>#N/A</v>
      </c>
      <c r="E18" s="20" t="e">
        <f t="shared" si="5"/>
        <v>#N/A</v>
      </c>
      <c r="F18" s="22" t="e">
        <f t="shared" si="6"/>
        <v>#N/A</v>
      </c>
      <c r="G18" s="19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7"/>
        <v>0</v>
      </c>
      <c r="K18" s="75"/>
      <c r="L18" s="25" t="str">
        <f t="shared" si="0"/>
        <v>Dp</v>
      </c>
      <c r="M18" s="25" t="e">
        <f t="shared" si="1"/>
        <v>#N/A</v>
      </c>
      <c r="N18" s="16" t="e">
        <f t="shared" si="2"/>
        <v>#VALUE!</v>
      </c>
      <c r="O18" s="16" t="b">
        <f t="shared" si="3"/>
        <v>0</v>
      </c>
      <c r="P18" s="14" t="str">
        <v>Sf</v>
      </c>
      <c r="Q18" s="14" t="str">
        <v>M6</v>
      </c>
      <c r="R18" s="14" t="str">
        <v>obj_0012e#0018</v>
      </c>
      <c r="S18" s="117">
        <f>_xll.qlRateHelperRate(R18,Trigger)</f>
        <v>-2.4999999999941735E-5</v>
      </c>
      <c r="T18" s="15">
        <f>_xll.qlRateHelperEarliestDate(R18,Trigger)</f>
        <v>42536</v>
      </c>
      <c r="U18" s="15">
        <f>_xll.qlRateHelperLatestDate(R18,Trigger)</f>
        <v>42628</v>
      </c>
      <c r="V18" s="117">
        <v>-1.0589865995852688E-4</v>
      </c>
    </row>
    <row r="19" spans="1:22" ht="11.25" customHeight="1" x14ac:dyDescent="0.2">
      <c r="A19" s="83"/>
      <c r="B19" s="83"/>
      <c r="C19" s="84"/>
      <c r="D19" s="85"/>
      <c r="E19" s="86"/>
      <c r="F19" s="83"/>
      <c r="G19" s="87"/>
      <c r="J19" s="80"/>
      <c r="K19" s="75"/>
      <c r="L19" s="24" t="str">
        <f t="shared" ref="L19:L26" si="8">A21</f>
        <v>Sf</v>
      </c>
      <c r="M19" s="24" t="str">
        <f t="shared" ref="M19:M26" si="9">D21</f>
        <v>H6</v>
      </c>
      <c r="N19" s="24" t="str">
        <f t="shared" ref="N19:O26" si="10">I21</f>
        <v>obj_0010c#0018</v>
      </c>
      <c r="O19" s="14" t="b">
        <f t="shared" si="10"/>
        <v>1</v>
      </c>
      <c r="P19" s="14" t="str">
        <v>Sf</v>
      </c>
      <c r="Q19" s="14" t="str">
        <v>U6</v>
      </c>
      <c r="R19" s="14" t="str">
        <v>obj_000f0#0018</v>
      </c>
      <c r="S19" s="117">
        <f>_xll.qlRateHelperRate(R19,Trigger)</f>
        <v>3.2500000000001972E-4</v>
      </c>
      <c r="T19" s="15">
        <f>_xll.qlRateHelperEarliestDate(R19,Trigger)</f>
        <v>42634</v>
      </c>
      <c r="U19" s="15">
        <f>_xll.qlRateHelperLatestDate(R19,Trigger)</f>
        <v>42725</v>
      </c>
      <c r="V19" s="117">
        <v>-2.6511997582682575E-5</v>
      </c>
    </row>
    <row r="20" spans="1:22" ht="11.25" customHeight="1" x14ac:dyDescent="0.2">
      <c r="A20" s="108" t="s">
        <v>18</v>
      </c>
      <c r="B20" s="108" t="s">
        <v>35</v>
      </c>
      <c r="C20" s="108" t="s">
        <v>35</v>
      </c>
      <c r="D20" s="108" t="s">
        <v>191</v>
      </c>
      <c r="E20" s="108" t="s">
        <v>13</v>
      </c>
      <c r="F20" s="108" t="s">
        <v>9</v>
      </c>
      <c r="G20" s="108" t="s">
        <v>5</v>
      </c>
      <c r="H20" s="108" t="s">
        <v>10</v>
      </c>
      <c r="I20" s="108" t="s">
        <v>43</v>
      </c>
      <c r="J20" s="108" t="s">
        <v>47</v>
      </c>
      <c r="K20" s="75"/>
      <c r="L20" s="24" t="str">
        <f t="shared" si="8"/>
        <v>Sf</v>
      </c>
      <c r="M20" s="24" t="str">
        <f t="shared" si="9"/>
        <v>M6</v>
      </c>
      <c r="N20" s="24" t="str">
        <f t="shared" si="10"/>
        <v>obj_0012e#0018</v>
      </c>
      <c r="O20" s="14" t="b">
        <f t="shared" si="10"/>
        <v>1</v>
      </c>
      <c r="P20" s="14" t="str">
        <v>Sf</v>
      </c>
      <c r="Q20" s="14" t="str">
        <v>Z6</v>
      </c>
      <c r="R20" s="14" t="str">
        <v>obj_00106#0018</v>
      </c>
      <c r="S20" s="117">
        <f>_xll.qlRateHelperRate(R20,Trigger)</f>
        <v>7.2249999999995929E-4</v>
      </c>
      <c r="T20" s="15">
        <f>_xll.qlRateHelperEarliestDate(R20,Trigger)</f>
        <v>42725</v>
      </c>
      <c r="U20" s="15">
        <f>_xll.qlRateHelperLatestDate(R20,Trigger)</f>
        <v>42815</v>
      </c>
      <c r="V20" s="117">
        <v>8.4378020857754215E-5</v>
      </c>
    </row>
    <row r="21" spans="1:22" ht="11.25" customHeight="1" x14ac:dyDescent="0.2">
      <c r="A21" s="120" t="s">
        <v>44</v>
      </c>
      <c r="B21" s="121">
        <f t="shared" ref="B21:B28" si="11">DATE(2000+RIGHT(C21,2),RIGHT(LEFT(C21,5),2),LEFT(C21,2))</f>
        <v>54343</v>
      </c>
      <c r="C21" s="148">
        <f t="array" ref="C21:C28">_xll.ohFilter(PastedValue!B2:B62,PastedValue!A2:A62="Sf")</f>
        <v>42445</v>
      </c>
      <c r="D21" s="122" t="str">
        <f>_xll.qlIMMcode(C21)</f>
        <v>H6</v>
      </c>
      <c r="E21" s="95" t="s">
        <v>15</v>
      </c>
      <c r="F21" s="123" t="s">
        <v>53</v>
      </c>
      <c r="G21" s="124">
        <f t="array" ref="G21:G28">_xll.ohFilter(PastedValue!H2:H62,PastedValue!A2:A62="Sf")</f>
        <v>100.0175</v>
      </c>
      <c r="H21" s="125">
        <v>0</v>
      </c>
      <c r="I21" s="126" t="str">
        <f>_xll.qlFuturesRateHelper(,$G21,"IMM",$D21,$F21,$H21,Permanent,Trigger,ObjectOverwrite)</f>
        <v>obj_0010c#0018</v>
      </c>
      <c r="J21" s="94" t="b">
        <f>IF(ISNUMBER(G21),TRUE,FALSE)</f>
        <v>1</v>
      </c>
      <c r="K21" s="75"/>
      <c r="L21" s="24" t="str">
        <f t="shared" si="8"/>
        <v>Sf</v>
      </c>
      <c r="M21" s="24" t="str">
        <f t="shared" si="9"/>
        <v>U6</v>
      </c>
      <c r="N21" s="24" t="str">
        <f t="shared" si="10"/>
        <v>obj_000f0#0018</v>
      </c>
      <c r="O21" s="14" t="b">
        <f t="shared" si="10"/>
        <v>1</v>
      </c>
      <c r="P21" s="14" t="str">
        <v>Sf</v>
      </c>
      <c r="Q21" s="14" t="str">
        <v>H7</v>
      </c>
      <c r="R21" s="14" t="str">
        <v>obj_000fe#0018</v>
      </c>
      <c r="S21" s="117">
        <f>_xll.qlRateHelperRate(R21,Trigger)</f>
        <v>1.2099999999999334E-3</v>
      </c>
      <c r="T21" s="15">
        <f>_xll.qlRateHelperEarliestDate(R21,Trigger)</f>
        <v>42809</v>
      </c>
      <c r="U21" s="15">
        <f>_xll.qlRateHelperLatestDate(R21,Trigger)</f>
        <v>42901</v>
      </c>
      <c r="V21" s="117">
        <v>2.2764918753239742E-4</v>
      </c>
    </row>
    <row r="22" spans="1:22" ht="11.25" customHeight="1" x14ac:dyDescent="0.2">
      <c r="A22" s="127" t="s">
        <v>44</v>
      </c>
      <c r="B22" s="128">
        <f t="shared" si="11"/>
        <v>50781</v>
      </c>
      <c r="C22" s="149">
        <v>42536</v>
      </c>
      <c r="D22" s="129" t="str">
        <f>_xll.qlIMMcode(C22)</f>
        <v>M6</v>
      </c>
      <c r="E22" s="103" t="s">
        <v>15</v>
      </c>
      <c r="F22" s="130" t="s">
        <v>53</v>
      </c>
      <c r="G22" s="131">
        <v>100.0025</v>
      </c>
      <c r="H22" s="132">
        <v>0</v>
      </c>
      <c r="I22" s="133" t="str">
        <f>_xll.qlFuturesRateHelper(,$G22,"IMM",$D22,$F22,$H22,Permanent,Trigger,ObjectOverwrite)</f>
        <v>obj_0012e#0018</v>
      </c>
      <c r="J22" s="102" t="b">
        <f t="shared" ref="J22:J28" si="12">IF(ISNUMBER(G22),TRUE,FALSE)</f>
        <v>1</v>
      </c>
      <c r="K22" s="75"/>
      <c r="L22" s="24" t="str">
        <f t="shared" si="8"/>
        <v>Sf</v>
      </c>
      <c r="M22" s="24" t="str">
        <f t="shared" si="9"/>
        <v>Z6</v>
      </c>
      <c r="N22" s="24" t="str">
        <f t="shared" si="10"/>
        <v>obj_00106#0018</v>
      </c>
      <c r="O22" s="14" t="b">
        <f t="shared" si="10"/>
        <v>1</v>
      </c>
      <c r="P22" s="14" t="str">
        <v>Sf</v>
      </c>
      <c r="Q22" s="14" t="str">
        <v>M7</v>
      </c>
      <c r="R22" s="14" t="str">
        <v>obj_00110#0018</v>
      </c>
      <c r="S22" s="117">
        <f>_xll.qlRateHelperRate(R22,Trigger)</f>
        <v>1.7449999999999966E-3</v>
      </c>
      <c r="T22" s="15">
        <f>_xll.qlRateHelperEarliestDate(R22,Trigger)</f>
        <v>42907</v>
      </c>
      <c r="U22" s="15">
        <f>_xll.qlRateHelperLatestDate(R22,Trigger)</f>
        <v>42999</v>
      </c>
      <c r="V22" s="117">
        <v>4.1503984500865427E-4</v>
      </c>
    </row>
    <row r="23" spans="1:22" ht="11.25" customHeight="1" x14ac:dyDescent="0.2">
      <c r="A23" s="127" t="s">
        <v>44</v>
      </c>
      <c r="B23" s="128">
        <f t="shared" si="11"/>
        <v>49990</v>
      </c>
      <c r="C23" s="149">
        <v>42634</v>
      </c>
      <c r="D23" s="129" t="str">
        <f>_xll.qlIMMcode(C23)</f>
        <v>U6</v>
      </c>
      <c r="E23" s="103" t="s">
        <v>15</v>
      </c>
      <c r="F23" s="130" t="s">
        <v>53</v>
      </c>
      <c r="G23" s="131">
        <v>99.967500000000001</v>
      </c>
      <c r="H23" s="132">
        <v>0</v>
      </c>
      <c r="I23" s="133" t="str">
        <f>_xll.qlFuturesRateHelper(,$G23,"IMM",$D23,$F23,$H23,Permanent,Trigger,ObjectOverwrite)</f>
        <v>obj_000f0#0018</v>
      </c>
      <c r="J23" s="102" t="b">
        <f t="shared" si="12"/>
        <v>1</v>
      </c>
      <c r="K23" s="75"/>
      <c r="L23" s="24" t="str">
        <f t="shared" si="8"/>
        <v>Sf</v>
      </c>
      <c r="M23" s="24" t="str">
        <f t="shared" si="9"/>
        <v>H7</v>
      </c>
      <c r="N23" s="24" t="str">
        <f t="shared" si="10"/>
        <v>obj_000fe#0018</v>
      </c>
      <c r="O23" s="14" t="b">
        <f t="shared" si="10"/>
        <v>1</v>
      </c>
      <c r="P23" s="14" t="str">
        <v>Sw</v>
      </c>
      <c r="Q23" s="14" t="str">
        <v>3Y</v>
      </c>
      <c r="R23" s="14" t="str">
        <v>obj_000e4#0032</v>
      </c>
      <c r="S23" s="117">
        <f>_xll.qlRateHelperRate(R23,Trigger)</f>
        <v>1.17E-3</v>
      </c>
      <c r="T23" s="15">
        <f>_xll.qlRateHelperEarliestDate(R23,Trigger)</f>
        <v>42201</v>
      </c>
      <c r="U23" s="15">
        <f>_xll.qlRateHelperLatestDate(R23,Trigger)</f>
        <v>43297</v>
      </c>
      <c r="V23" s="117">
        <v>1.1642742358755579E-3</v>
      </c>
    </row>
    <row r="24" spans="1:22" ht="11.25" customHeight="1" x14ac:dyDescent="0.2">
      <c r="A24" s="127" t="s">
        <v>44</v>
      </c>
      <c r="B24" s="128">
        <f t="shared" si="11"/>
        <v>46429</v>
      </c>
      <c r="C24" s="149">
        <v>42725</v>
      </c>
      <c r="D24" s="129" t="str">
        <f>_xll.qlIMMcode(C24)</f>
        <v>Z6</v>
      </c>
      <c r="E24" s="103" t="s">
        <v>15</v>
      </c>
      <c r="F24" s="130" t="s">
        <v>53</v>
      </c>
      <c r="G24" s="131">
        <v>99.927750000000003</v>
      </c>
      <c r="H24" s="132">
        <v>0</v>
      </c>
      <c r="I24" s="133" t="str">
        <f>_xll.qlFuturesRateHelper(,$G24,"IMM",$D24,$F24,$H24,Permanent,Trigger,ObjectOverwrite)</f>
        <v>obj_00106#0018</v>
      </c>
      <c r="J24" s="102" t="b">
        <f t="shared" si="12"/>
        <v>1</v>
      </c>
      <c r="K24" s="75"/>
      <c r="L24" s="24" t="str">
        <f t="shared" si="8"/>
        <v>Sf</v>
      </c>
      <c r="M24" s="24" t="str">
        <f t="shared" si="9"/>
        <v>M7</v>
      </c>
      <c r="N24" s="24" t="str">
        <f t="shared" si="10"/>
        <v>obj_00110#0018</v>
      </c>
      <c r="O24" s="14" t="b">
        <f t="shared" si="10"/>
        <v>1</v>
      </c>
      <c r="P24" s="14" t="str">
        <v>Sw</v>
      </c>
      <c r="Q24" s="14" t="str">
        <v>4Y</v>
      </c>
      <c r="R24" s="14" t="str">
        <v>obj_000df#0019</v>
      </c>
      <c r="S24" s="117">
        <f>_xll.qlRateHelperRate(R24,Trigger)</f>
        <v>2.49E-3</v>
      </c>
      <c r="T24" s="15">
        <f>_xll.qlRateHelperEarliestDate(R24,Trigger)</f>
        <v>42201</v>
      </c>
      <c r="U24" s="15">
        <f>_xll.qlRateHelperLatestDate(R24,Trigger)</f>
        <v>43662</v>
      </c>
      <c r="V24" s="117">
        <v>2.4839649533802428E-3</v>
      </c>
    </row>
    <row r="25" spans="1:22" ht="11.25" customHeight="1" x14ac:dyDescent="0.2">
      <c r="A25" s="127" t="s">
        <v>44</v>
      </c>
      <c r="B25" s="128">
        <f t="shared" si="11"/>
        <v>40098</v>
      </c>
      <c r="C25" s="149">
        <v>42809</v>
      </c>
      <c r="D25" s="129" t="str">
        <f>_xll.qlIMMcode(C25)</f>
        <v>H7</v>
      </c>
      <c r="E25" s="103" t="s">
        <v>15</v>
      </c>
      <c r="F25" s="130" t="s">
        <v>53</v>
      </c>
      <c r="G25" s="131">
        <v>99.879000000000005</v>
      </c>
      <c r="H25" s="132">
        <v>0</v>
      </c>
      <c r="I25" s="133" t="str">
        <f>_xll.qlFuturesRateHelper(,$G25,"IMM",$D25,$F25,$H25,Permanent,Trigger,ObjectOverwrite)</f>
        <v>obj_000fe#0018</v>
      </c>
      <c r="J25" s="102" t="b">
        <f t="shared" si="12"/>
        <v>1</v>
      </c>
      <c r="K25" s="75"/>
      <c r="L25" s="24" t="str">
        <f t="shared" si="8"/>
        <v>Sf</v>
      </c>
      <c r="M25" s="24" t="e">
        <f t="shared" si="9"/>
        <v>#NUM!</v>
      </c>
      <c r="N25" s="24" t="e">
        <f t="shared" si="10"/>
        <v>#NUM!</v>
      </c>
      <c r="O25" s="14" t="b">
        <f t="shared" si="10"/>
        <v>0</v>
      </c>
      <c r="P25" s="14" t="str">
        <v>Sw</v>
      </c>
      <c r="Q25" s="14" t="str">
        <v>5Y</v>
      </c>
      <c r="R25" s="14" t="str">
        <v>obj_000cf#0019</v>
      </c>
      <c r="S25" s="117">
        <f>_xll.qlRateHelperRate(R25,Trigger)</f>
        <v>4.0699999999999998E-3</v>
      </c>
      <c r="T25" s="15">
        <f>_xll.qlRateHelperEarliestDate(R25,Trigger)</f>
        <v>42201</v>
      </c>
      <c r="U25" s="15">
        <f>_xll.qlRateHelperLatestDate(R25,Trigger)</f>
        <v>44028</v>
      </c>
      <c r="V25" s="117">
        <v>4.066942779034027E-3</v>
      </c>
    </row>
    <row r="26" spans="1:22" ht="11.25" customHeight="1" x14ac:dyDescent="0.2">
      <c r="A26" s="127" t="s">
        <v>44</v>
      </c>
      <c r="B26" s="128">
        <f t="shared" si="11"/>
        <v>39305</v>
      </c>
      <c r="C26" s="149">
        <v>42907</v>
      </c>
      <c r="D26" s="129" t="str">
        <f>_xll.qlIMMcode(C26)</f>
        <v>M7</v>
      </c>
      <c r="E26" s="103" t="s">
        <v>15</v>
      </c>
      <c r="F26" s="130" t="s">
        <v>53</v>
      </c>
      <c r="G26" s="131">
        <v>99.825500000000005</v>
      </c>
      <c r="H26" s="132">
        <v>0</v>
      </c>
      <c r="I26" s="133" t="str">
        <f>_xll.qlFuturesRateHelper(,$G26,"IMM",$D26,$F26,$H26,Permanent,Trigger,ObjectOverwrite)</f>
        <v>obj_00110#0018</v>
      </c>
      <c r="J26" s="102" t="b">
        <f t="shared" si="12"/>
        <v>1</v>
      </c>
      <c r="K26" s="75"/>
      <c r="L26" s="25" t="str">
        <f t="shared" si="8"/>
        <v>Sf</v>
      </c>
      <c r="M26" s="25" t="e">
        <f t="shared" si="9"/>
        <v>#NUM!</v>
      </c>
      <c r="N26" s="25" t="e">
        <f t="shared" si="10"/>
        <v>#NUM!</v>
      </c>
      <c r="O26" s="16" t="b">
        <f t="shared" si="10"/>
        <v>0</v>
      </c>
      <c r="P26" s="14" t="str">
        <v>Sw</v>
      </c>
      <c r="Q26" s="14" t="str">
        <v>6Y</v>
      </c>
      <c r="R26" s="14" t="str">
        <v>obj_00119#0019</v>
      </c>
      <c r="S26" s="117">
        <f>_xll.qlRateHelperRate(R26,Trigger)</f>
        <v>5.6799999999999993E-3</v>
      </c>
      <c r="T26" s="15">
        <f>_xll.qlRateHelperEarliestDate(R26,Trigger)</f>
        <v>42201</v>
      </c>
      <c r="U26" s="15">
        <f>_xll.qlRateHelperLatestDate(R26,Trigger)</f>
        <v>44393</v>
      </c>
      <c r="V26" s="117">
        <v>5.6904941834256843E-3</v>
      </c>
    </row>
    <row r="27" spans="1:22" ht="11.25" customHeight="1" x14ac:dyDescent="0.2">
      <c r="A27" s="127" t="s">
        <v>44</v>
      </c>
      <c r="B27" s="128" t="e">
        <f t="shared" si="11"/>
        <v>#N/A</v>
      </c>
      <c r="C27" s="149" t="e">
        <v>#N/A</v>
      </c>
      <c r="D27" s="129" t="e">
        <f>_xll.qlIMMcode(C27)</f>
        <v>#NUM!</v>
      </c>
      <c r="E27" s="103" t="s">
        <v>15</v>
      </c>
      <c r="F27" s="130" t="s">
        <v>53</v>
      </c>
      <c r="G27" s="131" t="e">
        <v>#N/A</v>
      </c>
      <c r="H27" s="132">
        <v>0</v>
      </c>
      <c r="I27" s="133" t="e">
        <f>_xll.qlFuturesRateHelper(,$G27,"IMM",$D27,$F27,$H27,Permanent,Trigger,ObjectOverwrite)</f>
        <v>#NUM!</v>
      </c>
      <c r="J27" s="102" t="b">
        <f t="shared" si="12"/>
        <v>0</v>
      </c>
      <c r="K27" s="75"/>
      <c r="L27" s="24" t="str">
        <f t="shared" ref="L27:L71" si="13">A32</f>
        <v>Sw</v>
      </c>
      <c r="M27" s="24" t="str">
        <f t="shared" ref="M27:M71" si="14">D32</f>
        <v>3Y</v>
      </c>
      <c r="N27" s="24" t="str">
        <f t="shared" ref="N27:N71" si="15">I32</f>
        <v>obj_000e4#0032</v>
      </c>
      <c r="O27" s="24" t="b">
        <f t="shared" ref="O27:O71" si="16">J32</f>
        <v>1</v>
      </c>
      <c r="P27" s="14" t="str">
        <v>Sw</v>
      </c>
      <c r="Q27" s="14" t="str">
        <v>7Y</v>
      </c>
      <c r="R27" s="14" t="str">
        <v>obj_00128#0019</v>
      </c>
      <c r="S27" s="117">
        <f>_xll.qlRateHelperRate(R27,Trigger)</f>
        <v>7.26E-3</v>
      </c>
      <c r="T27" s="15">
        <f>_xll.qlRateHelperEarliestDate(R27,Trigger)</f>
        <v>42201</v>
      </c>
      <c r="U27" s="15">
        <f>_xll.qlRateHelperLatestDate(R27,Trigger)</f>
        <v>44760</v>
      </c>
      <c r="V27" s="117">
        <v>7.2946350405553211E-3</v>
      </c>
    </row>
    <row r="28" spans="1:22" ht="11.25" customHeight="1" x14ac:dyDescent="0.2">
      <c r="A28" s="23" t="s">
        <v>44</v>
      </c>
      <c r="B28" s="10" t="e">
        <f t="shared" si="11"/>
        <v>#N/A</v>
      </c>
      <c r="C28" s="150" t="e">
        <v>#N/A</v>
      </c>
      <c r="D28" s="9" t="e">
        <f>_xll.qlIMMcode(C28)</f>
        <v>#NUM!</v>
      </c>
      <c r="E28" s="20" t="s">
        <v>15</v>
      </c>
      <c r="F28" s="3" t="s">
        <v>53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9" t="b">
        <f t="shared" si="12"/>
        <v>0</v>
      </c>
      <c r="K28" s="75"/>
      <c r="L28" s="24" t="str">
        <f t="shared" si="13"/>
        <v>Sw</v>
      </c>
      <c r="M28" s="24" t="str">
        <f t="shared" si="14"/>
        <v>4Y</v>
      </c>
      <c r="N28" s="24" t="str">
        <f t="shared" si="15"/>
        <v>obj_000df#0019</v>
      </c>
      <c r="O28" s="24" t="b">
        <f t="shared" si="16"/>
        <v>1</v>
      </c>
      <c r="P28" s="14" t="str">
        <v>Sw</v>
      </c>
      <c r="Q28" s="14" t="str">
        <v>8Y</v>
      </c>
      <c r="R28" s="14" t="str">
        <v>obj_000e8#0019</v>
      </c>
      <c r="S28" s="117">
        <f>_xll.qlRateHelperRate(R28,Trigger)</f>
        <v>8.7399999999999995E-3</v>
      </c>
      <c r="T28" s="15">
        <f>_xll.qlRateHelperEarliestDate(R28,Trigger)</f>
        <v>42201</v>
      </c>
      <c r="U28" s="15">
        <f>_xll.qlRateHelperLatestDate(R28,Trigger)</f>
        <v>45124</v>
      </c>
      <c r="V28" s="117">
        <v>8.8089303969652762E-3</v>
      </c>
    </row>
    <row r="29" spans="1:22" ht="11.25" customHeight="1" x14ac:dyDescent="0.2">
      <c r="K29" s="75"/>
      <c r="L29" s="24" t="str">
        <f t="shared" si="13"/>
        <v>Sw</v>
      </c>
      <c r="M29" s="24" t="str">
        <f t="shared" si="14"/>
        <v>5Y</v>
      </c>
      <c r="N29" s="24" t="str">
        <f t="shared" si="15"/>
        <v>obj_000cf#0019</v>
      </c>
      <c r="O29" s="24" t="b">
        <f t="shared" si="16"/>
        <v>1</v>
      </c>
      <c r="P29" s="14" t="str">
        <v>Sw</v>
      </c>
      <c r="Q29" s="14" t="str">
        <v>9Y</v>
      </c>
      <c r="R29" s="14" t="str">
        <v>obj_0011a#0019</v>
      </c>
      <c r="S29" s="117">
        <f>_xll.qlRateHelperRate(R29,Trigger)</f>
        <v>1.0059999999999999E-2</v>
      </c>
      <c r="T29" s="15">
        <f>_xll.qlRateHelperEarliestDate(R29,Trigger)</f>
        <v>42201</v>
      </c>
      <c r="U29" s="15">
        <f>_xll.qlRateHelperLatestDate(R29,Trigger)</f>
        <v>45489</v>
      </c>
      <c r="V29" s="117">
        <v>1.0167357977769373E-2</v>
      </c>
    </row>
    <row r="30" spans="1:22" ht="11.25" customHeight="1" x14ac:dyDescent="0.2">
      <c r="C30" s="72"/>
      <c r="D30" s="72"/>
      <c r="E30" s="72"/>
      <c r="G30" s="91" t="s">
        <v>0</v>
      </c>
      <c r="H30" s="108" t="s">
        <v>9</v>
      </c>
      <c r="I30" s="2" t="str">
        <f>_xll.qlEuribor(,G30,,,Trigger)</f>
        <v>obj_000ca#0018</v>
      </c>
      <c r="J30" s="72"/>
      <c r="K30" s="75"/>
      <c r="L30" s="24" t="str">
        <f t="shared" si="13"/>
        <v>Sw</v>
      </c>
      <c r="M30" s="24" t="str">
        <f t="shared" si="14"/>
        <v>6Y</v>
      </c>
      <c r="N30" s="24" t="str">
        <f t="shared" si="15"/>
        <v>obj_00119#0019</v>
      </c>
      <c r="O30" s="24" t="b">
        <f t="shared" si="16"/>
        <v>1</v>
      </c>
      <c r="P30" s="14" t="str">
        <v>Sw</v>
      </c>
      <c r="Q30" s="14" t="str">
        <v>10Y</v>
      </c>
      <c r="R30" s="14" t="str">
        <v>obj_000ce#0019</v>
      </c>
      <c r="S30" s="117">
        <f>_xll.qlRateHelperRate(R30,Trigger)</f>
        <v>1.123E-2</v>
      </c>
      <c r="T30" s="15">
        <f>_xll.qlRateHelperEarliestDate(R30,Trigger)</f>
        <v>42201</v>
      </c>
      <c r="U30" s="15">
        <f>_xll.qlRateHelperLatestDate(R30,Trigger)</f>
        <v>45854</v>
      </c>
      <c r="V30" s="117">
        <v>1.1384075143430891E-2</v>
      </c>
    </row>
    <row r="31" spans="1:22" ht="11.25" customHeight="1" x14ac:dyDescent="0.2">
      <c r="A31" s="108" t="s">
        <v>18</v>
      </c>
      <c r="B31" s="108"/>
      <c r="C31" s="108" t="s">
        <v>11</v>
      </c>
      <c r="D31" s="108" t="s">
        <v>1</v>
      </c>
      <c r="E31" s="108" t="s">
        <v>13</v>
      </c>
      <c r="F31" s="108" t="s">
        <v>12</v>
      </c>
      <c r="G31" s="108" t="s">
        <v>4</v>
      </c>
      <c r="H31" s="108" t="s">
        <v>5</v>
      </c>
      <c r="I31" s="108" t="s">
        <v>43</v>
      </c>
      <c r="J31" s="108" t="s">
        <v>47</v>
      </c>
      <c r="K31" s="75"/>
      <c r="L31" s="24" t="str">
        <f t="shared" si="13"/>
        <v>Sw</v>
      </c>
      <c r="M31" s="24" t="str">
        <f t="shared" si="14"/>
        <v>7Y</v>
      </c>
      <c r="N31" s="24" t="str">
        <f t="shared" si="15"/>
        <v>obj_00128#0019</v>
      </c>
      <c r="O31" s="24" t="b">
        <f t="shared" si="16"/>
        <v>1</v>
      </c>
      <c r="P31" s="14" t="str">
        <v>Sw</v>
      </c>
      <c r="Q31" s="14" t="str">
        <v>11Y</v>
      </c>
      <c r="R31" s="14" t="str">
        <v>obj_00127#0019</v>
      </c>
      <c r="S31" s="117">
        <f>_xll.qlRateHelperRate(R31,Trigger)</f>
        <v>1.2271421899999999E-2</v>
      </c>
      <c r="T31" s="15">
        <f>_xll.qlRateHelperEarliestDate(R31,Trigger)</f>
        <v>42201</v>
      </c>
      <c r="U31" s="15">
        <f>_xll.qlRateHelperLatestDate(R31,Trigger)</f>
        <v>46219</v>
      </c>
      <c r="V31" s="117">
        <v>1.2476146232844914E-2</v>
      </c>
    </row>
    <row r="32" spans="1:22" ht="11.25" customHeight="1" x14ac:dyDescent="0.2">
      <c r="A32" s="99" t="s">
        <v>45</v>
      </c>
      <c r="B32" s="134"/>
      <c r="C32" s="134" t="s">
        <v>14</v>
      </c>
      <c r="D32" s="135" t="str">
        <f t="array" ref="D32:D76">_xll.ohFilter(PastedValue!E2:E62,PastedValue!A2:A62="Sw")</f>
        <v>3Y</v>
      </c>
      <c r="E32" s="123" t="s">
        <v>15</v>
      </c>
      <c r="F32" s="134" t="s">
        <v>16</v>
      </c>
      <c r="G32" s="123" t="s">
        <v>17</v>
      </c>
      <c r="H32" s="136">
        <f t="array" ref="H32:H76">_xll.ohFilter(PastedValue!H2:H62,PastedValue!A2:A62="Sw")/100</f>
        <v>1.17E-3</v>
      </c>
      <c r="I32" s="97" t="str">
        <f>_xll.qlSwapRateHelper2(,$H32,,$D32,Calendar,$F32,$E32,$G32,$I$30,0,C32,Discounting,Permanent,Trigger,ObjectOverwrite)</f>
        <v>obj_000e4#0032</v>
      </c>
      <c r="J32" s="94" t="b">
        <f>IF(ISNUMBER(H32),TRUE,FALSE)</f>
        <v>1</v>
      </c>
      <c r="K32" s="75"/>
      <c r="L32" s="24" t="str">
        <f t="shared" si="13"/>
        <v>Sw</v>
      </c>
      <c r="M32" s="24" t="str">
        <f t="shared" si="14"/>
        <v>8Y</v>
      </c>
      <c r="N32" s="24" t="str">
        <f t="shared" si="15"/>
        <v>obj_000e8#0019</v>
      </c>
      <c r="O32" s="24" t="b">
        <f t="shared" si="16"/>
        <v>1</v>
      </c>
      <c r="P32" s="14" t="str">
        <v>Sw</v>
      </c>
      <c r="Q32" s="14" t="str">
        <v>12Y</v>
      </c>
      <c r="R32" s="14" t="str">
        <v>obj_000ff#0019</v>
      </c>
      <c r="S32" s="117">
        <f>_xll.qlRateHelperRate(R32,Trigger)</f>
        <v>1.3180000000000001E-2</v>
      </c>
      <c r="T32" s="15">
        <f>_xll.qlRateHelperEarliestDate(R32,Trigger)</f>
        <v>42201</v>
      </c>
      <c r="U32" s="15">
        <f>_xll.qlRateHelperLatestDate(R32,Trigger)</f>
        <v>46584</v>
      </c>
      <c r="V32" s="117">
        <v>1.3436285542016153E-2</v>
      </c>
    </row>
    <row r="33" spans="1:22" ht="11.25" customHeight="1" x14ac:dyDescent="0.2">
      <c r="A33" s="107" t="s">
        <v>45</v>
      </c>
      <c r="B33" s="137"/>
      <c r="C33" s="137" t="s">
        <v>14</v>
      </c>
      <c r="D33" s="138" t="str">
        <v>4Y</v>
      </c>
      <c r="E33" s="130" t="s">
        <v>15</v>
      </c>
      <c r="F33" s="137" t="s">
        <v>16</v>
      </c>
      <c r="G33" s="130" t="s">
        <v>17</v>
      </c>
      <c r="H33" s="139">
        <v>2.49E-3</v>
      </c>
      <c r="I33" s="105" t="str">
        <f>_xll.qlSwapRateHelper2(,$H33,,$D33,Calendar,$F33,$E33,$G33,$I$30,0,C33,Discounting,Permanent,Trigger,ObjectOverwrite)</f>
        <v>obj_000df#0019</v>
      </c>
      <c r="J33" s="102" t="b">
        <f t="shared" ref="J33:J76" si="17">IF(ISNUMBER(H33),TRUE,FALSE)</f>
        <v>1</v>
      </c>
      <c r="L33" s="24" t="str">
        <f t="shared" si="13"/>
        <v>Sw</v>
      </c>
      <c r="M33" s="24" t="str">
        <f t="shared" si="14"/>
        <v>9Y</v>
      </c>
      <c r="N33" s="24" t="str">
        <f t="shared" si="15"/>
        <v>obj_0011a#0019</v>
      </c>
      <c r="O33" s="24" t="b">
        <f t="shared" si="16"/>
        <v>1</v>
      </c>
      <c r="P33" s="14" t="str">
        <v>Sw</v>
      </c>
      <c r="Q33" s="14" t="str">
        <v>13Y</v>
      </c>
      <c r="R33" s="14" t="str">
        <v>obj_0010d#0019</v>
      </c>
      <c r="S33" s="117">
        <f>_xll.qlRateHelperRate(R33,Trigger)</f>
        <v>1.396160508E-2</v>
      </c>
      <c r="T33" s="15">
        <f>_xll.qlRateHelperEarliestDate(R33,Trigger)</f>
        <v>42201</v>
      </c>
      <c r="U33" s="15">
        <f>_xll.qlRateHelperLatestDate(R33,Trigger)</f>
        <v>46951</v>
      </c>
      <c r="V33" s="117">
        <v>1.4265021236977E-2</v>
      </c>
    </row>
    <row r="34" spans="1:22" ht="11.25" customHeight="1" x14ac:dyDescent="0.2">
      <c r="A34" s="107" t="s">
        <v>45</v>
      </c>
      <c r="B34" s="137"/>
      <c r="C34" s="137" t="s">
        <v>14</v>
      </c>
      <c r="D34" s="138" t="str">
        <v>5Y</v>
      </c>
      <c r="E34" s="130" t="s">
        <v>15</v>
      </c>
      <c r="F34" s="137" t="s">
        <v>16</v>
      </c>
      <c r="G34" s="130" t="s">
        <v>17</v>
      </c>
      <c r="H34" s="139">
        <v>4.0699999999999998E-3</v>
      </c>
      <c r="I34" s="105" t="str">
        <f>_xll.qlSwapRateHelper2(,$H34,,$D34,Calendar,$F34,$E34,$G34,$I$30,0,C34,Discounting,Permanent,Trigger,ObjectOverwrite)</f>
        <v>obj_000cf#0019</v>
      </c>
      <c r="J34" s="102" t="b">
        <f t="shared" si="17"/>
        <v>1</v>
      </c>
      <c r="L34" s="24" t="str">
        <f t="shared" si="13"/>
        <v>Sw</v>
      </c>
      <c r="M34" s="24" t="str">
        <f t="shared" si="14"/>
        <v>10Y</v>
      </c>
      <c r="N34" s="24" t="str">
        <f t="shared" si="15"/>
        <v>obj_000ce#0019</v>
      </c>
      <c r="O34" s="24" t="b">
        <f t="shared" si="16"/>
        <v>1</v>
      </c>
      <c r="P34" s="14" t="str">
        <v>Sw</v>
      </c>
      <c r="Q34" s="14" t="str">
        <v>14Y</v>
      </c>
      <c r="R34" s="14" t="str">
        <v>obj_00111#0019</v>
      </c>
      <c r="S34" s="117">
        <f>_xll.qlRateHelperRate(R34,Trigger)</f>
        <v>1.461886265E-2</v>
      </c>
      <c r="T34" s="15">
        <f>_xll.qlRateHelperEarliestDate(R34,Trigger)</f>
        <v>42201</v>
      </c>
      <c r="U34" s="15">
        <f>_xll.qlRateHelperLatestDate(R34,Trigger)</f>
        <v>47315</v>
      </c>
      <c r="V34" s="117">
        <v>1.4968212496894975E-2</v>
      </c>
    </row>
    <row r="35" spans="1:22" ht="11.25" customHeight="1" x14ac:dyDescent="0.2">
      <c r="A35" s="107" t="s">
        <v>45</v>
      </c>
      <c r="B35" s="137"/>
      <c r="C35" s="137" t="s">
        <v>14</v>
      </c>
      <c r="D35" s="138" t="str">
        <v>6Y</v>
      </c>
      <c r="E35" s="130" t="s">
        <v>15</v>
      </c>
      <c r="F35" s="137" t="s">
        <v>16</v>
      </c>
      <c r="G35" s="130" t="s">
        <v>17</v>
      </c>
      <c r="H35" s="139">
        <v>5.6799999999999993E-3</v>
      </c>
      <c r="I35" s="105" t="str">
        <f>_xll.qlSwapRateHelper2(,$H35,,$D35,Calendar,$F35,$E35,$G35,$I$30,0,C35,Discounting,Permanent,Trigger,ObjectOverwrite)</f>
        <v>obj_00119#0019</v>
      </c>
      <c r="J35" s="102" t="b">
        <f t="shared" si="17"/>
        <v>1</v>
      </c>
      <c r="L35" s="24" t="str">
        <f t="shared" si="13"/>
        <v>Sw</v>
      </c>
      <c r="M35" s="24" t="str">
        <f t="shared" si="14"/>
        <v>11Y</v>
      </c>
      <c r="N35" s="24" t="str">
        <f t="shared" si="15"/>
        <v>obj_00127#0019</v>
      </c>
      <c r="O35" s="24" t="b">
        <f t="shared" si="16"/>
        <v>1</v>
      </c>
      <c r="P35" s="14" t="str">
        <v>Sw</v>
      </c>
      <c r="Q35" s="14" t="str">
        <v>15Y</v>
      </c>
      <c r="R35" s="14" t="str">
        <v>obj_000e0#0019</v>
      </c>
      <c r="S35" s="117">
        <f>_xll.qlRateHelperRate(R35,Trigger)</f>
        <v>1.5180000000000001E-2</v>
      </c>
      <c r="T35" s="15">
        <f>_xll.qlRateHelperEarliestDate(R35,Trigger)</f>
        <v>42201</v>
      </c>
      <c r="U35" s="15">
        <f>_xll.qlRateHelperLatestDate(R35,Trigger)</f>
        <v>47680</v>
      </c>
      <c r="V35" s="117">
        <v>1.5571079145532881E-2</v>
      </c>
    </row>
    <row r="36" spans="1:22" ht="11.25" customHeight="1" x14ac:dyDescent="0.2">
      <c r="A36" s="107" t="s">
        <v>45</v>
      </c>
      <c r="B36" s="137"/>
      <c r="C36" s="137" t="s">
        <v>14</v>
      </c>
      <c r="D36" s="138" t="str">
        <v>7Y</v>
      </c>
      <c r="E36" s="130" t="s">
        <v>15</v>
      </c>
      <c r="F36" s="137" t="s">
        <v>16</v>
      </c>
      <c r="G36" s="130" t="s">
        <v>17</v>
      </c>
      <c r="H36" s="139">
        <v>7.26E-3</v>
      </c>
      <c r="I36" s="105" t="str">
        <f>_xll.qlSwapRateHelper2(,$H36,,$D36,Calendar,$F36,$E36,$G36,$I$30,0,C36,Discounting,Permanent,Trigger,ObjectOverwrite)</f>
        <v>obj_00128#0019</v>
      </c>
      <c r="J36" s="102" t="b">
        <f t="shared" si="17"/>
        <v>1</v>
      </c>
      <c r="L36" s="24" t="str">
        <f t="shared" si="13"/>
        <v>Sw</v>
      </c>
      <c r="M36" s="24" t="str">
        <f t="shared" si="14"/>
        <v>12Y</v>
      </c>
      <c r="N36" s="24" t="str">
        <f t="shared" si="15"/>
        <v>obj_000ff#0019</v>
      </c>
      <c r="O36" s="24" t="b">
        <f t="shared" si="16"/>
        <v>1</v>
      </c>
      <c r="P36" s="14" t="str">
        <v>Sw</v>
      </c>
      <c r="Q36" s="14" t="str">
        <v>16Y</v>
      </c>
      <c r="R36" s="14" t="str">
        <v>obj_000da#0019</v>
      </c>
      <c r="S36" s="117">
        <f>_xll.qlRateHelperRate(R36,Trigger)</f>
        <v>1.5655874899999998E-2</v>
      </c>
      <c r="T36" s="15">
        <f>_xll.qlRateHelperEarliestDate(R36,Trigger)</f>
        <v>42201</v>
      </c>
      <c r="U36" s="15">
        <f>_xll.qlRateHelperLatestDate(R36,Trigger)</f>
        <v>48045</v>
      </c>
      <c r="V36" s="117">
        <v>1.6083785534923772E-2</v>
      </c>
    </row>
    <row r="37" spans="1:22" ht="11.25" customHeight="1" x14ac:dyDescent="0.2">
      <c r="A37" s="107" t="s">
        <v>45</v>
      </c>
      <c r="B37" s="137"/>
      <c r="C37" s="137" t="s">
        <v>14</v>
      </c>
      <c r="D37" s="138" t="str">
        <v>8Y</v>
      </c>
      <c r="E37" s="130" t="s">
        <v>15</v>
      </c>
      <c r="F37" s="137" t="s">
        <v>16</v>
      </c>
      <c r="G37" s="130" t="s">
        <v>17</v>
      </c>
      <c r="H37" s="139">
        <v>8.7399999999999995E-3</v>
      </c>
      <c r="I37" s="105" t="str">
        <f>_xll.qlSwapRateHelper2(,$H37,,$D37,Calendar,$F37,$E37,$G37,$I$30,0,C37,Discounting,Permanent,Trigger,ObjectOverwrite)</f>
        <v>obj_000e8#0019</v>
      </c>
      <c r="J37" s="102" t="b">
        <f t="shared" si="17"/>
        <v>1</v>
      </c>
      <c r="L37" s="24" t="str">
        <f t="shared" si="13"/>
        <v>Sw</v>
      </c>
      <c r="M37" s="24" t="str">
        <f t="shared" si="14"/>
        <v>13Y</v>
      </c>
      <c r="N37" s="24" t="str">
        <f t="shared" si="15"/>
        <v>obj_0010d#0019</v>
      </c>
      <c r="O37" s="24" t="b">
        <f t="shared" si="16"/>
        <v>1</v>
      </c>
      <c r="P37" s="14" t="str">
        <v>Sw</v>
      </c>
      <c r="Q37" s="14" t="str">
        <v>17Y</v>
      </c>
      <c r="R37" s="14" t="str">
        <v>obj_000e3#0019</v>
      </c>
      <c r="S37" s="117">
        <f>_xll.qlRateHelperRate(R37,Trigger)</f>
        <v>1.605857971E-2</v>
      </c>
      <c r="T37" s="15">
        <f>_xll.qlRateHelperEarliestDate(R37,Trigger)</f>
        <v>42201</v>
      </c>
      <c r="U37" s="15">
        <f>_xll.qlRateHelperLatestDate(R37,Trigger)</f>
        <v>48411</v>
      </c>
      <c r="V37" s="117">
        <v>1.6515551216141167E-2</v>
      </c>
    </row>
    <row r="38" spans="1:22" ht="11.25" customHeight="1" x14ac:dyDescent="0.2">
      <c r="A38" s="107" t="s">
        <v>45</v>
      </c>
      <c r="B38" s="137"/>
      <c r="C38" s="137" t="s">
        <v>14</v>
      </c>
      <c r="D38" s="138" t="str">
        <v>9Y</v>
      </c>
      <c r="E38" s="130" t="s">
        <v>15</v>
      </c>
      <c r="F38" s="137" t="s">
        <v>16</v>
      </c>
      <c r="G38" s="130" t="s">
        <v>17</v>
      </c>
      <c r="H38" s="139">
        <v>1.0059999999999999E-2</v>
      </c>
      <c r="I38" s="105" t="str">
        <f>_xll.qlSwapRateHelper2(,$H38,,$D38,Calendar,$F38,$E38,$G38,$I$30,0,C38,Discounting,Permanent,Trigger,ObjectOverwrite)</f>
        <v>obj_0011a#0019</v>
      </c>
      <c r="J38" s="102" t="b">
        <f t="shared" si="17"/>
        <v>1</v>
      </c>
      <c r="L38" s="24" t="str">
        <f t="shared" si="13"/>
        <v>Sw</v>
      </c>
      <c r="M38" s="24" t="str">
        <f t="shared" si="14"/>
        <v>14Y</v>
      </c>
      <c r="N38" s="24" t="str">
        <f t="shared" si="15"/>
        <v>obj_00111#0019</v>
      </c>
      <c r="O38" s="24" t="b">
        <f t="shared" si="16"/>
        <v>1</v>
      </c>
      <c r="P38" s="14" t="str">
        <v>Sw</v>
      </c>
      <c r="Q38" s="14" t="str">
        <v>18Y</v>
      </c>
      <c r="R38" s="14" t="str">
        <v>obj_00113#0019</v>
      </c>
      <c r="S38" s="117">
        <f>_xll.qlRateHelperRate(R38,Trigger)</f>
        <v>1.638988093E-2</v>
      </c>
      <c r="T38" s="15">
        <f>_xll.qlRateHelperEarliestDate(R38,Trigger)</f>
        <v>42201</v>
      </c>
      <c r="U38" s="15">
        <f>_xll.qlRateHelperLatestDate(R38,Trigger)</f>
        <v>48778</v>
      </c>
      <c r="V38" s="117">
        <v>1.6871761365054912E-2</v>
      </c>
    </row>
    <row r="39" spans="1:22" ht="11.25" customHeight="1" x14ac:dyDescent="0.2">
      <c r="A39" s="107" t="s">
        <v>45</v>
      </c>
      <c r="B39" s="137"/>
      <c r="C39" s="137" t="s">
        <v>14</v>
      </c>
      <c r="D39" s="138" t="str">
        <v>10Y</v>
      </c>
      <c r="E39" s="130" t="s">
        <v>15</v>
      </c>
      <c r="F39" s="137" t="s">
        <v>16</v>
      </c>
      <c r="G39" s="130" t="s">
        <v>17</v>
      </c>
      <c r="H39" s="139">
        <v>1.123E-2</v>
      </c>
      <c r="I39" s="105" t="str">
        <f>_xll.qlSwapRateHelper2(,$H39,,$D39,Calendar,$F39,$E39,$G39,$I$30,0,C39,Discounting,Permanent,Trigger,ObjectOverwrite)</f>
        <v>obj_000ce#0019</v>
      </c>
      <c r="J39" s="102" t="b">
        <f t="shared" si="17"/>
        <v>1</v>
      </c>
      <c r="L39" s="24" t="str">
        <f t="shared" si="13"/>
        <v>Sw</v>
      </c>
      <c r="M39" s="24" t="str">
        <f t="shared" si="14"/>
        <v>15Y</v>
      </c>
      <c r="N39" s="24" t="str">
        <f t="shared" si="15"/>
        <v>obj_000e0#0019</v>
      </c>
      <c r="O39" s="24" t="b">
        <f t="shared" si="16"/>
        <v>1</v>
      </c>
      <c r="P39" s="14" t="str">
        <v>Sw</v>
      </c>
      <c r="Q39" s="14" t="str">
        <v>19Y</v>
      </c>
      <c r="R39" s="14" t="str">
        <v>obj_000e2#0019</v>
      </c>
      <c r="S39" s="117">
        <f>_xll.qlRateHelperRate(R39,Trigger)</f>
        <v>1.665454584E-2</v>
      </c>
      <c r="T39" s="15">
        <f>_xll.qlRateHelperEarliestDate(R39,Trigger)</f>
        <v>42201</v>
      </c>
      <c r="U39" s="15">
        <f>_xll.qlRateHelperLatestDate(R39,Trigger)</f>
        <v>49142</v>
      </c>
      <c r="V39" s="117">
        <v>1.7154022666942225E-2</v>
      </c>
    </row>
    <row r="40" spans="1:22" ht="11.25" customHeight="1" x14ac:dyDescent="0.2">
      <c r="A40" s="107" t="s">
        <v>45</v>
      </c>
      <c r="B40" s="137"/>
      <c r="C40" s="137" t="s">
        <v>14</v>
      </c>
      <c r="D40" s="138" t="str">
        <v>11Y</v>
      </c>
      <c r="E40" s="130" t="s">
        <v>15</v>
      </c>
      <c r="F40" s="137" t="s">
        <v>16</v>
      </c>
      <c r="G40" s="130" t="s">
        <v>17</v>
      </c>
      <c r="H40" s="139">
        <v>1.2271421899999999E-2</v>
      </c>
      <c r="I40" s="105" t="str">
        <f>_xll.qlSwapRateHelper2(,$H40,,$D40,Calendar,$F40,$E40,$G40,$I$30,0,C40,Discounting,Permanent,Trigger,ObjectOverwrite)</f>
        <v>obj_00127#0019</v>
      </c>
      <c r="J40" s="102" t="b">
        <f t="shared" si="17"/>
        <v>1</v>
      </c>
      <c r="L40" s="24" t="str">
        <f t="shared" si="13"/>
        <v>Sw</v>
      </c>
      <c r="M40" s="24" t="str">
        <f t="shared" si="14"/>
        <v>16Y</v>
      </c>
      <c r="N40" s="24" t="str">
        <f t="shared" si="15"/>
        <v>obj_000da#0019</v>
      </c>
      <c r="O40" s="24" t="b">
        <f t="shared" si="16"/>
        <v>1</v>
      </c>
      <c r="P40" s="14" t="str">
        <v>Sw</v>
      </c>
      <c r="Q40" s="14" t="str">
        <v>20Y</v>
      </c>
      <c r="R40" s="14" t="str">
        <v>obj_000fc#0019</v>
      </c>
      <c r="S40" s="117">
        <f>_xll.qlRateHelperRate(R40,Trigger)</f>
        <v>1.686E-2</v>
      </c>
      <c r="T40" s="15">
        <f>_xll.qlRateHelperEarliestDate(R40,Trigger)</f>
        <v>42201</v>
      </c>
      <c r="U40" s="15">
        <f>_xll.qlRateHelperLatestDate(R40,Trigger)</f>
        <v>49506</v>
      </c>
      <c r="V40" s="117">
        <v>1.7369286483274418E-2</v>
      </c>
    </row>
    <row r="41" spans="1:22" ht="11.25" customHeight="1" x14ac:dyDescent="0.2">
      <c r="A41" s="107" t="s">
        <v>45</v>
      </c>
      <c r="B41" s="137"/>
      <c r="C41" s="137" t="s">
        <v>14</v>
      </c>
      <c r="D41" s="138" t="str">
        <v>12Y</v>
      </c>
      <c r="E41" s="130" t="s">
        <v>15</v>
      </c>
      <c r="F41" s="137" t="s">
        <v>16</v>
      </c>
      <c r="G41" s="130" t="s">
        <v>17</v>
      </c>
      <c r="H41" s="139">
        <v>1.3180000000000001E-2</v>
      </c>
      <c r="I41" s="105" t="str">
        <f>_xll.qlSwapRateHelper2(,$H41,,$D41,Calendar,$F41,$E41,$G41,$I$30,0,C41,Discounting,Permanent,Trigger,ObjectOverwrite)</f>
        <v>obj_000ff#0019</v>
      </c>
      <c r="J41" s="102" t="b">
        <f t="shared" si="17"/>
        <v>1</v>
      </c>
      <c r="L41" s="24" t="str">
        <f t="shared" si="13"/>
        <v>Sw</v>
      </c>
      <c r="M41" s="24" t="str">
        <f t="shared" si="14"/>
        <v>17Y</v>
      </c>
      <c r="N41" s="24" t="str">
        <f t="shared" si="15"/>
        <v>obj_000e3#0019</v>
      </c>
      <c r="O41" s="24" t="b">
        <f t="shared" si="16"/>
        <v>1</v>
      </c>
      <c r="P41" s="14" t="str">
        <v>Sw</v>
      </c>
      <c r="Q41" s="14" t="str">
        <v>21Y</v>
      </c>
      <c r="R41" s="14" t="str">
        <v>obj_000f6#0019</v>
      </c>
      <c r="S41" s="117">
        <f>_xll.qlRateHelperRate(R41,Trigger)</f>
        <v>1.7014261749999999E-2</v>
      </c>
      <c r="T41" s="15">
        <f>_xll.qlRateHelperEarliestDate(R41,Trigger)</f>
        <v>42201</v>
      </c>
      <c r="U41" s="15">
        <f>_xll.qlRateHelperLatestDate(R41,Trigger)</f>
        <v>49872</v>
      </c>
      <c r="V41" s="117">
        <v>1.7523654618371076E-2</v>
      </c>
    </row>
    <row r="42" spans="1:22" ht="11.25" customHeight="1" x14ac:dyDescent="0.2">
      <c r="A42" s="107" t="s">
        <v>45</v>
      </c>
      <c r="B42" s="137"/>
      <c r="C42" s="137" t="s">
        <v>14</v>
      </c>
      <c r="D42" s="138" t="str">
        <v>13Y</v>
      </c>
      <c r="E42" s="130" t="s">
        <v>15</v>
      </c>
      <c r="F42" s="137" t="s">
        <v>16</v>
      </c>
      <c r="G42" s="130" t="s">
        <v>17</v>
      </c>
      <c r="H42" s="139">
        <v>1.396160508E-2</v>
      </c>
      <c r="I42" s="105" t="str">
        <f>_xll.qlSwapRateHelper2(,$H42,,$D42,Calendar,$F42,$E42,$G42,$I$30,0,C42,Discounting,Permanent,Trigger,ObjectOverwrite)</f>
        <v>obj_0010d#0019</v>
      </c>
      <c r="J42" s="102" t="b">
        <f t="shared" si="17"/>
        <v>1</v>
      </c>
      <c r="L42" s="24" t="str">
        <f t="shared" si="13"/>
        <v>Sw</v>
      </c>
      <c r="M42" s="24" t="str">
        <f t="shared" si="14"/>
        <v>18Y</v>
      </c>
      <c r="N42" s="24" t="str">
        <f t="shared" si="15"/>
        <v>obj_00113#0019</v>
      </c>
      <c r="O42" s="24" t="b">
        <f t="shared" si="16"/>
        <v>1</v>
      </c>
      <c r="P42" s="14" t="str">
        <v>Sw</v>
      </c>
      <c r="Q42" s="14" t="str">
        <v>22Y</v>
      </c>
      <c r="R42" s="14" t="str">
        <v>obj_000d9#0019</v>
      </c>
      <c r="S42" s="117">
        <f>_xll.qlRateHelperRate(R42,Trigger)</f>
        <v>1.7123745699999998E-2</v>
      </c>
      <c r="T42" s="15">
        <f>_xll.qlRateHelperEarliestDate(R42,Trigger)</f>
        <v>42201</v>
      </c>
      <c r="U42" s="15">
        <f>_xll.qlRateHelperLatestDate(R42,Trigger)</f>
        <v>50237</v>
      </c>
      <c r="V42" s="117">
        <v>1.7628504292824396E-2</v>
      </c>
    </row>
    <row r="43" spans="1:22" ht="11.25" customHeight="1" x14ac:dyDescent="0.2">
      <c r="A43" s="107" t="s">
        <v>45</v>
      </c>
      <c r="B43" s="137"/>
      <c r="C43" s="137" t="s">
        <v>14</v>
      </c>
      <c r="D43" s="138" t="str">
        <v>14Y</v>
      </c>
      <c r="E43" s="130" t="s">
        <v>15</v>
      </c>
      <c r="F43" s="137" t="s">
        <v>16</v>
      </c>
      <c r="G43" s="130" t="s">
        <v>17</v>
      </c>
      <c r="H43" s="139">
        <v>1.461886265E-2</v>
      </c>
      <c r="I43" s="105" t="str">
        <f>_xll.qlSwapRateHelper2(,$H43,,$D43,Calendar,$F43,$E43,$G43,$I$30,0,C43,Discounting,Permanent,Trigger,ObjectOverwrite)</f>
        <v>obj_00111#0019</v>
      </c>
      <c r="J43" s="102" t="b">
        <f t="shared" si="17"/>
        <v>1</v>
      </c>
      <c r="L43" s="24" t="str">
        <f t="shared" si="13"/>
        <v>Sw</v>
      </c>
      <c r="M43" s="24" t="str">
        <f t="shared" si="14"/>
        <v>19Y</v>
      </c>
      <c r="N43" s="24" t="str">
        <f t="shared" si="15"/>
        <v>obj_000e2#0019</v>
      </c>
      <c r="O43" s="24" t="b">
        <f t="shared" si="16"/>
        <v>1</v>
      </c>
      <c r="P43" s="14" t="str">
        <v>Sw</v>
      </c>
      <c r="Q43" s="14" t="str">
        <v>23Y</v>
      </c>
      <c r="R43" s="14" t="str">
        <v>obj_00121#0019</v>
      </c>
      <c r="S43" s="117">
        <f>_xll.qlRateHelperRate(R43,Trigger)</f>
        <v>1.7201830540000001E-2</v>
      </c>
      <c r="T43" s="15">
        <f>_xll.qlRateHelperEarliestDate(R43,Trigger)</f>
        <v>42201</v>
      </c>
      <c r="U43" s="15">
        <f>_xll.qlRateHelperLatestDate(R43,Trigger)</f>
        <v>50602</v>
      </c>
      <c r="V43" s="117">
        <v>1.7697124064829924E-2</v>
      </c>
    </row>
    <row r="44" spans="1:22" ht="11.25" customHeight="1" x14ac:dyDescent="0.2">
      <c r="A44" s="107" t="s">
        <v>45</v>
      </c>
      <c r="B44" s="137"/>
      <c r="C44" s="137" t="s">
        <v>14</v>
      </c>
      <c r="D44" s="138" t="str">
        <v>15Y</v>
      </c>
      <c r="E44" s="130" t="s">
        <v>15</v>
      </c>
      <c r="F44" s="137" t="s">
        <v>16</v>
      </c>
      <c r="G44" s="130" t="s">
        <v>17</v>
      </c>
      <c r="H44" s="139">
        <v>1.5180000000000001E-2</v>
      </c>
      <c r="I44" s="105" t="str">
        <f>_xll.qlSwapRateHelper2(,$H44,,$D44,Calendar,$F44,$E44,$G44,$I$30,0,C44,Discounting,Permanent,Trigger,ObjectOverwrite)</f>
        <v>obj_000e0#0019</v>
      </c>
      <c r="J44" s="102" t="b">
        <f t="shared" si="17"/>
        <v>1</v>
      </c>
      <c r="L44" s="24" t="str">
        <f t="shared" si="13"/>
        <v>Sw</v>
      </c>
      <c r="M44" s="24" t="str">
        <f t="shared" si="14"/>
        <v>20Y</v>
      </c>
      <c r="N44" s="24" t="str">
        <f t="shared" si="15"/>
        <v>obj_000fc#0019</v>
      </c>
      <c r="O44" s="24" t="b">
        <f t="shared" si="16"/>
        <v>1</v>
      </c>
      <c r="P44" s="14" t="str">
        <v>Sw</v>
      </c>
      <c r="Q44" s="14" t="str">
        <v>24Y</v>
      </c>
      <c r="R44" s="14" t="str">
        <v>obj_0010e#0019</v>
      </c>
      <c r="S44" s="117">
        <f>_xll.qlRateHelperRate(R44,Trigger)</f>
        <v>1.725780319E-2</v>
      </c>
      <c r="T44" s="15">
        <f>_xll.qlRateHelperEarliestDate(R44,Trigger)</f>
        <v>42201</v>
      </c>
      <c r="U44" s="15">
        <f>_xll.qlRateHelperLatestDate(R44,Trigger)</f>
        <v>50969</v>
      </c>
      <c r="V44" s="117">
        <v>1.7740324610133387E-2</v>
      </c>
    </row>
    <row r="45" spans="1:22" ht="11.25" customHeight="1" x14ac:dyDescent="0.2">
      <c r="A45" s="107" t="s">
        <v>45</v>
      </c>
      <c r="B45" s="137"/>
      <c r="C45" s="137" t="s">
        <v>14</v>
      </c>
      <c r="D45" s="138" t="str">
        <v>16Y</v>
      </c>
      <c r="E45" s="130" t="s">
        <v>15</v>
      </c>
      <c r="F45" s="137" t="s">
        <v>16</v>
      </c>
      <c r="G45" s="130" t="s">
        <v>17</v>
      </c>
      <c r="H45" s="139">
        <v>1.5655874899999998E-2</v>
      </c>
      <c r="I45" s="105" t="str">
        <f>_xll.qlSwapRateHelper2(,$H45,,$D45,Calendar,$F45,$E45,$G45,$I$30,0,C45,Discounting,Permanent,Trigger,ObjectOverwrite)</f>
        <v>obj_000da#0019</v>
      </c>
      <c r="J45" s="102" t="b">
        <f t="shared" si="17"/>
        <v>1</v>
      </c>
      <c r="L45" s="24" t="str">
        <f t="shared" si="13"/>
        <v>Sw</v>
      </c>
      <c r="M45" s="24" t="str">
        <f t="shared" si="14"/>
        <v>21Y</v>
      </c>
      <c r="N45" s="24" t="str">
        <f t="shared" si="15"/>
        <v>obj_000f6#0019</v>
      </c>
      <c r="O45" s="24" t="b">
        <f t="shared" si="16"/>
        <v>1</v>
      </c>
      <c r="P45" s="14" t="str">
        <v>Sw</v>
      </c>
      <c r="Q45" s="14" t="str">
        <v>25Y</v>
      </c>
      <c r="R45" s="14" t="str">
        <v>obj_000ed#0019</v>
      </c>
      <c r="S45" s="117">
        <f>_xll.qlRateHelperRate(R45,Trigger)</f>
        <v>1.7299999999999999E-2</v>
      </c>
      <c r="T45" s="15">
        <f>_xll.qlRateHelperEarliestDate(R45,Trigger)</f>
        <v>42201</v>
      </c>
      <c r="U45" s="15">
        <f>_xll.qlRateHelperLatestDate(R45,Trigger)</f>
        <v>51333</v>
      </c>
      <c r="V45" s="117">
        <v>1.7766910483606974E-2</v>
      </c>
    </row>
    <row r="46" spans="1:22" ht="11.25" customHeight="1" x14ac:dyDescent="0.2">
      <c r="A46" s="107" t="s">
        <v>45</v>
      </c>
      <c r="B46" s="137"/>
      <c r="C46" s="137" t="s">
        <v>14</v>
      </c>
      <c r="D46" s="138" t="str">
        <v>17Y</v>
      </c>
      <c r="E46" s="130" t="s">
        <v>15</v>
      </c>
      <c r="F46" s="137" t="s">
        <v>16</v>
      </c>
      <c r="G46" s="130" t="s">
        <v>17</v>
      </c>
      <c r="H46" s="139">
        <v>1.605857971E-2</v>
      </c>
      <c r="I46" s="105" t="str">
        <f>_xll.qlSwapRateHelper2(,$H46,,$D46,Calendar,$F46,$E46,$G46,$I$30,0,C46,Discounting,Permanent,Trigger,ObjectOverwrite)</f>
        <v>obj_000e3#0019</v>
      </c>
      <c r="J46" s="102" t="b">
        <f t="shared" si="17"/>
        <v>1</v>
      </c>
      <c r="L46" s="24" t="str">
        <f t="shared" si="13"/>
        <v>Sw</v>
      </c>
      <c r="M46" s="24" t="str">
        <f t="shared" si="14"/>
        <v>22Y</v>
      </c>
      <c r="N46" s="24" t="str">
        <f t="shared" si="15"/>
        <v>obj_000d9#0019</v>
      </c>
      <c r="O46" s="24" t="b">
        <f t="shared" si="16"/>
        <v>1</v>
      </c>
      <c r="P46" s="14" t="str">
        <v>Sw</v>
      </c>
      <c r="Q46" s="14" t="str">
        <v>26Y</v>
      </c>
      <c r="R46" s="14" t="str">
        <v>obj_00107#0019</v>
      </c>
      <c r="S46" s="117">
        <f>_xll.qlRateHelperRate(R46,Trigger)</f>
        <v>1.733188888E-2</v>
      </c>
      <c r="T46" s="15">
        <f>_xll.qlRateHelperEarliestDate(R46,Trigger)</f>
        <v>42201</v>
      </c>
      <c r="U46" s="15">
        <f>_xll.qlRateHelperLatestDate(R46,Trigger)</f>
        <v>51698</v>
      </c>
      <c r="V46" s="117">
        <v>1.7783976618477297E-2</v>
      </c>
    </row>
    <row r="47" spans="1:22" ht="11.25" customHeight="1" x14ac:dyDescent="0.2">
      <c r="A47" s="107" t="s">
        <v>45</v>
      </c>
      <c r="B47" s="137"/>
      <c r="C47" s="137" t="s">
        <v>14</v>
      </c>
      <c r="D47" s="138" t="str">
        <v>18Y</v>
      </c>
      <c r="E47" s="130" t="s">
        <v>15</v>
      </c>
      <c r="F47" s="137" t="s">
        <v>16</v>
      </c>
      <c r="G47" s="130" t="s">
        <v>17</v>
      </c>
      <c r="H47" s="139">
        <v>1.638988093E-2</v>
      </c>
      <c r="I47" s="105" t="str">
        <f>_xll.qlSwapRateHelper2(,$H47,,$D47,Calendar,$F47,$E47,$G47,$I$30,0,C47,Discounting,Permanent,Trigger,ObjectOverwrite)</f>
        <v>obj_00113#0019</v>
      </c>
      <c r="J47" s="102" t="b">
        <f t="shared" si="17"/>
        <v>1</v>
      </c>
      <c r="L47" s="24" t="str">
        <f t="shared" si="13"/>
        <v>Sw</v>
      </c>
      <c r="M47" s="24" t="str">
        <f t="shared" si="14"/>
        <v>23Y</v>
      </c>
      <c r="N47" s="24" t="str">
        <f t="shared" si="15"/>
        <v>obj_00121#0019</v>
      </c>
      <c r="O47" s="24" t="b">
        <f t="shared" si="16"/>
        <v>1</v>
      </c>
      <c r="P47" s="14" t="str">
        <v>Sw</v>
      </c>
      <c r="Q47" s="14" t="str">
        <v>27Y</v>
      </c>
      <c r="R47" s="14" t="str">
        <v>obj_000d8#0019</v>
      </c>
      <c r="S47" s="117">
        <f>_xll.qlRateHelperRate(R47,Trigger)</f>
        <v>1.7358838410000001E-2</v>
      </c>
      <c r="T47" s="15">
        <f>_xll.qlRateHelperEarliestDate(R47,Trigger)</f>
        <v>42201</v>
      </c>
      <c r="U47" s="15">
        <f>_xll.qlRateHelperLatestDate(R47,Trigger)</f>
        <v>52063</v>
      </c>
      <c r="V47" s="117">
        <v>1.7796424075763956E-2</v>
      </c>
    </row>
    <row r="48" spans="1:22" ht="11.25" customHeight="1" x14ac:dyDescent="0.2">
      <c r="A48" s="107" t="s">
        <v>45</v>
      </c>
      <c r="B48" s="137"/>
      <c r="C48" s="137" t="s">
        <v>14</v>
      </c>
      <c r="D48" s="138" t="str">
        <v>19Y</v>
      </c>
      <c r="E48" s="130" t="s">
        <v>15</v>
      </c>
      <c r="F48" s="137" t="s">
        <v>16</v>
      </c>
      <c r="G48" s="130" t="s">
        <v>17</v>
      </c>
      <c r="H48" s="139">
        <v>1.665454584E-2</v>
      </c>
      <c r="I48" s="105" t="str">
        <f>_xll.qlSwapRateHelper2(,$H48,,$D48,Calendar,$F48,$E48,$G48,$I$30,0,C48,Discounting,Permanent,Trigger,ObjectOverwrite)</f>
        <v>obj_000e2#0019</v>
      </c>
      <c r="J48" s="102" t="b">
        <f t="shared" si="17"/>
        <v>1</v>
      </c>
      <c r="L48" s="24" t="str">
        <f t="shared" si="13"/>
        <v>Sw</v>
      </c>
      <c r="M48" s="24" t="str">
        <f t="shared" si="14"/>
        <v>24Y</v>
      </c>
      <c r="N48" s="24" t="str">
        <f t="shared" si="15"/>
        <v>obj_0010e#0019</v>
      </c>
      <c r="O48" s="24" t="b">
        <f t="shared" si="16"/>
        <v>1</v>
      </c>
      <c r="P48" s="14" t="str">
        <v>Sw</v>
      </c>
      <c r="Q48" s="14" t="str">
        <v>28Y</v>
      </c>
      <c r="R48" s="14" t="str">
        <v>obj_000d0#0019</v>
      </c>
      <c r="S48" s="117">
        <f>_xll.qlRateHelperRate(R48,Trigger)</f>
        <v>1.738393265E-2</v>
      </c>
      <c r="T48" s="15">
        <f>_xll.qlRateHelperEarliestDate(R48,Trigger)</f>
        <v>42201</v>
      </c>
      <c r="U48" s="15">
        <f>_xll.qlRateHelperLatestDate(R48,Trigger)</f>
        <v>52428</v>
      </c>
      <c r="V48" s="117">
        <v>1.7808153529117174E-2</v>
      </c>
    </row>
    <row r="49" spans="1:22" ht="11.25" customHeight="1" x14ac:dyDescent="0.2">
      <c r="A49" s="107" t="s">
        <v>45</v>
      </c>
      <c r="B49" s="137"/>
      <c r="C49" s="137" t="s">
        <v>14</v>
      </c>
      <c r="D49" s="138" t="str">
        <v>20Y</v>
      </c>
      <c r="E49" s="130" t="s">
        <v>15</v>
      </c>
      <c r="F49" s="137" t="s">
        <v>16</v>
      </c>
      <c r="G49" s="130" t="s">
        <v>17</v>
      </c>
      <c r="H49" s="139">
        <v>1.686E-2</v>
      </c>
      <c r="I49" s="105" t="str">
        <f>_xll.qlSwapRateHelper2(,$H49,,$D49,Calendar,$F49,$E49,$G49,$I$30,0,C49,Discounting,Permanent,Trigger,ObjectOverwrite)</f>
        <v>obj_000fc#0019</v>
      </c>
      <c r="J49" s="102" t="b">
        <f t="shared" si="17"/>
        <v>1</v>
      </c>
      <c r="L49" s="24" t="str">
        <f t="shared" si="13"/>
        <v>Sw</v>
      </c>
      <c r="M49" s="24" t="str">
        <f t="shared" si="14"/>
        <v>25Y</v>
      </c>
      <c r="N49" s="24" t="str">
        <f t="shared" si="15"/>
        <v>obj_000ed#0019</v>
      </c>
      <c r="O49" s="24" t="b">
        <f t="shared" si="16"/>
        <v>1</v>
      </c>
      <c r="P49" s="14" t="str">
        <v>Sw</v>
      </c>
      <c r="Q49" s="14" t="str">
        <v>29Y</v>
      </c>
      <c r="R49" s="14" t="str">
        <v>obj_00126#0019</v>
      </c>
      <c r="S49" s="117">
        <f>_xll.qlRateHelperRate(R49,Trigger)</f>
        <v>1.741124174E-2</v>
      </c>
      <c r="T49" s="15">
        <f>_xll.qlRateHelperEarliestDate(R49,Trigger)</f>
        <v>42201</v>
      </c>
      <c r="U49" s="15">
        <f>_xll.qlRateHelperLatestDate(R49,Trigger)</f>
        <v>52796</v>
      </c>
      <c r="V49" s="117">
        <v>1.7822634448683591E-2</v>
      </c>
    </row>
    <row r="50" spans="1:22" ht="11.25" customHeight="1" x14ac:dyDescent="0.2">
      <c r="A50" s="107" t="s">
        <v>45</v>
      </c>
      <c r="B50" s="137"/>
      <c r="C50" s="137" t="s">
        <v>14</v>
      </c>
      <c r="D50" s="138" t="str">
        <v>21Y</v>
      </c>
      <c r="E50" s="130" t="s">
        <v>15</v>
      </c>
      <c r="F50" s="137" t="s">
        <v>16</v>
      </c>
      <c r="G50" s="130" t="s">
        <v>17</v>
      </c>
      <c r="H50" s="139">
        <v>1.7014261749999999E-2</v>
      </c>
      <c r="I50" s="105" t="str">
        <f>_xll.qlSwapRateHelper2(,$H50,,$D50,Calendar,$F50,$E50,$G50,$I$30,0,C50,Discounting,Permanent,Trigger,ObjectOverwrite)</f>
        <v>obj_000f6#0019</v>
      </c>
      <c r="J50" s="102" t="b">
        <f t="shared" si="17"/>
        <v>1</v>
      </c>
      <c r="L50" s="24" t="str">
        <f t="shared" si="13"/>
        <v>Sw</v>
      </c>
      <c r="M50" s="24" t="str">
        <f t="shared" si="14"/>
        <v>26Y</v>
      </c>
      <c r="N50" s="24" t="str">
        <f t="shared" si="15"/>
        <v>obj_00107#0019</v>
      </c>
      <c r="O50" s="24" t="b">
        <f t="shared" si="16"/>
        <v>1</v>
      </c>
      <c r="P50" s="14" t="str">
        <v>Sw</v>
      </c>
      <c r="Q50" s="14" t="str">
        <v>30Y</v>
      </c>
      <c r="R50" s="14" t="str">
        <v>obj_00125#0019</v>
      </c>
      <c r="S50" s="117">
        <f>_xll.qlRateHelperRate(R50,Trigger)</f>
        <v>1.7440000000000001E-2</v>
      </c>
      <c r="T50" s="15">
        <f>_xll.qlRateHelperEarliestDate(R50,Trigger)</f>
        <v>42201</v>
      </c>
      <c r="U50" s="15">
        <f>_xll.qlRateHelperLatestDate(R50,Trigger)</f>
        <v>53160</v>
      </c>
      <c r="V50" s="117">
        <v>1.7841729321810128E-2</v>
      </c>
    </row>
    <row r="51" spans="1:22" ht="11.25" customHeight="1" x14ac:dyDescent="0.2">
      <c r="A51" s="107" t="s">
        <v>45</v>
      </c>
      <c r="B51" s="137"/>
      <c r="C51" s="137" t="s">
        <v>14</v>
      </c>
      <c r="D51" s="138" t="str">
        <v>22Y</v>
      </c>
      <c r="E51" s="130" t="s">
        <v>15</v>
      </c>
      <c r="F51" s="137" t="s">
        <v>16</v>
      </c>
      <c r="G51" s="130" t="s">
        <v>17</v>
      </c>
      <c r="H51" s="139">
        <v>1.7123745699999998E-2</v>
      </c>
      <c r="I51" s="105" t="str">
        <f>_xll.qlSwapRateHelper2(,$H51,,$D51,Calendar,$F51,$E51,$G51,$I$30,0,C51,Discounting,Permanent,Trigger,ObjectOverwrite)</f>
        <v>obj_000d9#0019</v>
      </c>
      <c r="J51" s="102" t="b">
        <f t="shared" si="17"/>
        <v>1</v>
      </c>
      <c r="L51" s="24" t="str">
        <f t="shared" si="13"/>
        <v>Sw</v>
      </c>
      <c r="M51" s="24" t="str">
        <f t="shared" si="14"/>
        <v>27Y</v>
      </c>
      <c r="N51" s="24" t="str">
        <f t="shared" si="15"/>
        <v>obj_000d8#0019</v>
      </c>
      <c r="O51" s="24" t="b">
        <f t="shared" si="16"/>
        <v>1</v>
      </c>
      <c r="P51" s="14" t="str">
        <v>Sw</v>
      </c>
      <c r="Q51" s="14" t="str">
        <v>31Y</v>
      </c>
      <c r="R51" s="14" t="str">
        <v>obj_000fb#0019</v>
      </c>
      <c r="S51" s="117">
        <f>_xll.qlRateHelperRate(R51,Trigger)</f>
        <v>1.74728444E-2</v>
      </c>
      <c r="T51" s="15">
        <f>_xll.qlRateHelperEarliestDate(R51,Trigger)</f>
        <v>42201</v>
      </c>
      <c r="U51" s="15">
        <f>_xll.qlRateHelperLatestDate(R51,Trigger)</f>
        <v>53524</v>
      </c>
      <c r="V51" s="117">
        <v>1.7867705517477406E-2</v>
      </c>
    </row>
    <row r="52" spans="1:22" ht="11.25" customHeight="1" x14ac:dyDescent="0.2">
      <c r="A52" s="107" t="s">
        <v>45</v>
      </c>
      <c r="B52" s="137"/>
      <c r="C52" s="137" t="s">
        <v>14</v>
      </c>
      <c r="D52" s="138" t="str">
        <v>23Y</v>
      </c>
      <c r="E52" s="130" t="s">
        <v>15</v>
      </c>
      <c r="F52" s="137" t="s">
        <v>16</v>
      </c>
      <c r="G52" s="130" t="s">
        <v>17</v>
      </c>
      <c r="H52" s="139">
        <v>1.7201830540000001E-2</v>
      </c>
      <c r="I52" s="105" t="str">
        <f>_xll.qlSwapRateHelper2(,$H52,,$D52,Calendar,$F52,$E52,$G52,$I$30,0,C52,Discounting,Permanent,Trigger,ObjectOverwrite)</f>
        <v>obj_00121#0019</v>
      </c>
      <c r="J52" s="102" t="b">
        <f t="shared" si="17"/>
        <v>1</v>
      </c>
      <c r="L52" s="24" t="str">
        <f t="shared" si="13"/>
        <v>Sw</v>
      </c>
      <c r="M52" s="24" t="str">
        <f t="shared" si="14"/>
        <v>28Y</v>
      </c>
      <c r="N52" s="24" t="str">
        <f t="shared" si="15"/>
        <v>obj_000d0#0019</v>
      </c>
      <c r="O52" s="24" t="b">
        <f t="shared" si="16"/>
        <v>1</v>
      </c>
      <c r="P52" s="14" t="str">
        <v>Sw</v>
      </c>
      <c r="Q52" s="14" t="str">
        <v>32Y</v>
      </c>
      <c r="R52" s="14" t="str">
        <v>obj_000f7#0019</v>
      </c>
      <c r="S52" s="117">
        <f>_xll.qlRateHelperRate(R52,Trigger)</f>
        <v>1.75078605E-2</v>
      </c>
      <c r="T52" s="15">
        <f>_xll.qlRateHelperEarliestDate(R52,Trigger)</f>
        <v>42201</v>
      </c>
      <c r="U52" s="15">
        <f>_xll.qlRateHelperLatestDate(R52,Trigger)</f>
        <v>53889</v>
      </c>
      <c r="V52" s="117">
        <v>1.7897809533755506E-2</v>
      </c>
    </row>
    <row r="53" spans="1:22" ht="11.25" customHeight="1" x14ac:dyDescent="0.2">
      <c r="A53" s="107" t="s">
        <v>45</v>
      </c>
      <c r="B53" s="137"/>
      <c r="C53" s="137" t="s">
        <v>14</v>
      </c>
      <c r="D53" s="138" t="str">
        <v>24Y</v>
      </c>
      <c r="E53" s="130" t="s">
        <v>15</v>
      </c>
      <c r="F53" s="137" t="s">
        <v>16</v>
      </c>
      <c r="G53" s="130" t="s">
        <v>17</v>
      </c>
      <c r="H53" s="139">
        <v>1.725780319E-2</v>
      </c>
      <c r="I53" s="105" t="str">
        <f>_xll.qlSwapRateHelper2(,$H53,,$D53,Calendar,$F53,$E53,$G53,$I$30,0,C53,Discounting,Permanent,Trigger,ObjectOverwrite)</f>
        <v>obj_0010e#0019</v>
      </c>
      <c r="J53" s="102" t="b">
        <f t="shared" si="17"/>
        <v>1</v>
      </c>
      <c r="L53" s="24" t="str">
        <f t="shared" si="13"/>
        <v>Sw</v>
      </c>
      <c r="M53" s="24" t="str">
        <f t="shared" si="14"/>
        <v>29Y</v>
      </c>
      <c r="N53" s="24" t="str">
        <f t="shared" si="15"/>
        <v>obj_00126#0019</v>
      </c>
      <c r="O53" s="24" t="b">
        <f t="shared" si="16"/>
        <v>1</v>
      </c>
      <c r="P53" s="14" t="str">
        <v>Sw</v>
      </c>
      <c r="Q53" s="14" t="str">
        <v>33Y</v>
      </c>
      <c r="R53" s="14" t="str">
        <v>obj_00114#0019</v>
      </c>
      <c r="S53" s="117">
        <f>_xll.qlRateHelperRate(R53,Trigger)</f>
        <v>1.7543665119999999E-2</v>
      </c>
      <c r="T53" s="15">
        <f>_xll.qlRateHelperEarliestDate(R53,Trigger)</f>
        <v>42201</v>
      </c>
      <c r="U53" s="15">
        <f>_xll.qlRateHelperLatestDate(R53,Trigger)</f>
        <v>54255</v>
      </c>
      <c r="V53" s="117">
        <v>1.7928670708114564E-2</v>
      </c>
    </row>
    <row r="54" spans="1:22" ht="11.25" customHeight="1" x14ac:dyDescent="0.2">
      <c r="A54" s="107" t="s">
        <v>45</v>
      </c>
      <c r="B54" s="137"/>
      <c r="C54" s="137" t="s">
        <v>14</v>
      </c>
      <c r="D54" s="138" t="str">
        <v>25Y</v>
      </c>
      <c r="E54" s="130" t="s">
        <v>15</v>
      </c>
      <c r="F54" s="137" t="s">
        <v>16</v>
      </c>
      <c r="G54" s="130" t="s">
        <v>17</v>
      </c>
      <c r="H54" s="139">
        <v>1.7299999999999999E-2</v>
      </c>
      <c r="I54" s="105" t="str">
        <f>_xll.qlSwapRateHelper2(,$H54,,$D54,Calendar,$F54,$E54,$G54,$I$30,0,C54,Discounting,Permanent,Trigger,ObjectOverwrite)</f>
        <v>obj_000ed#0019</v>
      </c>
      <c r="J54" s="102" t="b">
        <f t="shared" si="17"/>
        <v>1</v>
      </c>
      <c r="L54" s="24" t="str">
        <f t="shared" si="13"/>
        <v>Sw</v>
      </c>
      <c r="M54" s="24" t="str">
        <f t="shared" si="14"/>
        <v>30Y</v>
      </c>
      <c r="N54" s="24" t="str">
        <f t="shared" si="15"/>
        <v>obj_00125#0019</v>
      </c>
      <c r="O54" s="24" t="b">
        <f t="shared" si="16"/>
        <v>1</v>
      </c>
      <c r="P54" s="14" t="str">
        <v>Sw</v>
      </c>
      <c r="Q54" s="14" t="str">
        <v>34Y</v>
      </c>
      <c r="R54" s="14" t="str">
        <v>obj_00108#0019</v>
      </c>
      <c r="S54" s="117">
        <f>_xll.qlRateHelperRate(R54,Trigger)</f>
        <v>1.7575798930000001E-2</v>
      </c>
      <c r="T54" s="15">
        <f>_xll.qlRateHelperEarliestDate(R54,Trigger)</f>
        <v>42201</v>
      </c>
      <c r="U54" s="15">
        <f>_xll.qlRateHelperLatestDate(R54,Trigger)</f>
        <v>54620</v>
      </c>
      <c r="V54" s="117">
        <v>1.7957114822929516E-2</v>
      </c>
    </row>
    <row r="55" spans="1:22" ht="11.25" customHeight="1" x14ac:dyDescent="0.2">
      <c r="A55" s="107" t="s">
        <v>45</v>
      </c>
      <c r="B55" s="137"/>
      <c r="C55" s="137" t="s">
        <v>14</v>
      </c>
      <c r="D55" s="138" t="str">
        <v>26Y</v>
      </c>
      <c r="E55" s="130" t="s">
        <v>15</v>
      </c>
      <c r="F55" s="137" t="s">
        <v>16</v>
      </c>
      <c r="G55" s="130" t="s">
        <v>17</v>
      </c>
      <c r="H55" s="139">
        <v>1.733188888E-2</v>
      </c>
      <c r="I55" s="105" t="str">
        <f>_xll.qlSwapRateHelper2(,$H55,,$D55,Calendar,$F55,$E55,$G55,$I$30,0,C55,Discounting,Permanent,Trigger,ObjectOverwrite)</f>
        <v>obj_00107#0019</v>
      </c>
      <c r="J55" s="102" t="b">
        <f t="shared" si="17"/>
        <v>1</v>
      </c>
      <c r="L55" s="24" t="str">
        <f t="shared" si="13"/>
        <v>Sw</v>
      </c>
      <c r="M55" s="24" t="str">
        <f t="shared" si="14"/>
        <v>31Y</v>
      </c>
      <c r="N55" s="24" t="str">
        <f t="shared" si="15"/>
        <v>obj_000fb#0019</v>
      </c>
      <c r="O55" s="24" t="b">
        <f t="shared" si="16"/>
        <v>1</v>
      </c>
      <c r="P55" s="14" t="str">
        <v>Sw</v>
      </c>
      <c r="Q55" s="14" t="str">
        <v>35Y</v>
      </c>
      <c r="R55" s="14" t="str">
        <v>obj_00124#0019</v>
      </c>
      <c r="S55" s="117">
        <f>_xll.qlRateHelperRate(R55,Trigger)</f>
        <v>1.7603739490000003E-2</v>
      </c>
      <c r="T55" s="15">
        <f>_xll.qlRateHelperEarliestDate(R55,Trigger)</f>
        <v>42201</v>
      </c>
      <c r="U55" s="15">
        <f>_xll.qlRateHelperLatestDate(R55,Trigger)</f>
        <v>54987</v>
      </c>
      <c r="V55" s="117">
        <v>1.7980687314998248E-2</v>
      </c>
    </row>
    <row r="56" spans="1:22" ht="11.25" customHeight="1" x14ac:dyDescent="0.2">
      <c r="A56" s="107" t="s">
        <v>45</v>
      </c>
      <c r="B56" s="137"/>
      <c r="C56" s="137" t="s">
        <v>14</v>
      </c>
      <c r="D56" s="138" t="str">
        <v>27Y</v>
      </c>
      <c r="E56" s="130" t="s">
        <v>15</v>
      </c>
      <c r="F56" s="137" t="s">
        <v>16</v>
      </c>
      <c r="G56" s="130" t="s">
        <v>17</v>
      </c>
      <c r="H56" s="139">
        <v>1.7358838410000001E-2</v>
      </c>
      <c r="I56" s="105" t="str">
        <f>_xll.qlSwapRateHelper2(,$H56,,$D56,Calendar,$F56,$E56,$G56,$I$30,0,C56,Discounting,Permanent,Trigger,ObjectOverwrite)</f>
        <v>obj_000d8#0019</v>
      </c>
      <c r="J56" s="102" t="b">
        <f t="shared" si="17"/>
        <v>1</v>
      </c>
      <c r="L56" s="24" t="str">
        <f t="shared" si="13"/>
        <v>Sw</v>
      </c>
      <c r="M56" s="24" t="str">
        <f t="shared" si="14"/>
        <v>32Y</v>
      </c>
      <c r="N56" s="24" t="str">
        <f t="shared" si="15"/>
        <v>obj_000f7#0019</v>
      </c>
      <c r="O56" s="24" t="b">
        <f t="shared" si="16"/>
        <v>1</v>
      </c>
      <c r="P56" s="14" t="str">
        <v>Sw</v>
      </c>
      <c r="Q56" s="14" t="str">
        <v>36Y</v>
      </c>
      <c r="R56" s="14" t="str">
        <v>obj_00116#0019</v>
      </c>
      <c r="S56" s="117">
        <f>_xll.qlRateHelperRate(R56,Trigger)</f>
        <v>1.7625564319999999E-2</v>
      </c>
      <c r="T56" s="15">
        <f>_xll.qlRateHelperEarliestDate(R56,Trigger)</f>
        <v>42201</v>
      </c>
      <c r="U56" s="15">
        <f>_xll.qlRateHelperLatestDate(R56,Trigger)</f>
        <v>55351</v>
      </c>
      <c r="V56" s="117">
        <v>1.7996675042337436E-2</v>
      </c>
    </row>
    <row r="57" spans="1:22" ht="11.25" customHeight="1" x14ac:dyDescent="0.2">
      <c r="A57" s="107" t="s">
        <v>45</v>
      </c>
      <c r="B57" s="137"/>
      <c r="C57" s="137" t="s">
        <v>14</v>
      </c>
      <c r="D57" s="138" t="str">
        <v>28Y</v>
      </c>
      <c r="E57" s="130" t="s">
        <v>15</v>
      </c>
      <c r="F57" s="137" t="s">
        <v>16</v>
      </c>
      <c r="G57" s="130" t="s">
        <v>17</v>
      </c>
      <c r="H57" s="139">
        <v>1.738393265E-2</v>
      </c>
      <c r="I57" s="105" t="str">
        <f>_xll.qlSwapRateHelper2(,$H57,,$D57,Calendar,$F57,$E57,$G57,$I$30,0,C57,Discounting,Permanent,Trigger,ObjectOverwrite)</f>
        <v>obj_000d0#0019</v>
      </c>
      <c r="J57" s="102" t="b">
        <f t="shared" si="17"/>
        <v>1</v>
      </c>
      <c r="L57" s="24" t="str">
        <f t="shared" si="13"/>
        <v>Sw</v>
      </c>
      <c r="M57" s="24" t="str">
        <f t="shared" si="14"/>
        <v>33Y</v>
      </c>
      <c r="N57" s="24" t="str">
        <f t="shared" si="15"/>
        <v>obj_00114#0019</v>
      </c>
      <c r="O57" s="24" t="b">
        <f t="shared" si="16"/>
        <v>1</v>
      </c>
      <c r="P57" s="14" t="str">
        <v>Sw</v>
      </c>
      <c r="Q57" s="14" t="str">
        <v>37Y</v>
      </c>
      <c r="R57" s="14" t="str">
        <v>obj_0011c#0019</v>
      </c>
      <c r="S57" s="117">
        <f>_xll.qlRateHelperRate(R57,Trigger)</f>
        <v>1.7641092930000001E-2</v>
      </c>
      <c r="T57" s="15">
        <f>_xll.qlRateHelperEarliestDate(R57,Trigger)</f>
        <v>42201</v>
      </c>
      <c r="U57" s="15">
        <f>_xll.qlRateHelperLatestDate(R57,Trigger)</f>
        <v>55716</v>
      </c>
      <c r="V57" s="117">
        <v>1.8003229683533736E-2</v>
      </c>
    </row>
    <row r="58" spans="1:22" ht="11.25" customHeight="1" x14ac:dyDescent="0.2">
      <c r="A58" s="107" t="s">
        <v>45</v>
      </c>
      <c r="B58" s="137"/>
      <c r="C58" s="137" t="s">
        <v>14</v>
      </c>
      <c r="D58" s="138" t="str">
        <v>29Y</v>
      </c>
      <c r="E58" s="130" t="s">
        <v>15</v>
      </c>
      <c r="F58" s="137" t="s">
        <v>16</v>
      </c>
      <c r="G58" s="130" t="s">
        <v>17</v>
      </c>
      <c r="H58" s="139">
        <v>1.741124174E-2</v>
      </c>
      <c r="I58" s="105" t="str">
        <f>_xll.qlSwapRateHelper2(,$H58,,$D58,Calendar,$F58,$E58,$G58,$I$30,0,C58,Discounting,Permanent,Trigger,ObjectOverwrite)</f>
        <v>obj_00126#0019</v>
      </c>
      <c r="J58" s="102" t="b">
        <f t="shared" si="17"/>
        <v>1</v>
      </c>
      <c r="L58" s="24" t="str">
        <f t="shared" si="13"/>
        <v>Sw</v>
      </c>
      <c r="M58" s="24" t="str">
        <f t="shared" si="14"/>
        <v>34Y</v>
      </c>
      <c r="N58" s="24" t="str">
        <f t="shared" si="15"/>
        <v>obj_00108#0019</v>
      </c>
      <c r="O58" s="24" t="b">
        <f t="shared" si="16"/>
        <v>1</v>
      </c>
      <c r="P58" s="14" t="str">
        <v>Sw</v>
      </c>
      <c r="Q58" s="14" t="str">
        <v>38Y</v>
      </c>
      <c r="R58" s="14" t="str">
        <v>obj_0011d#0019</v>
      </c>
      <c r="S58" s="117">
        <f>_xll.qlRateHelperRate(R58,Trigger)</f>
        <v>1.764721357E-2</v>
      </c>
      <c r="T58" s="15">
        <f>_xll.qlRateHelperEarliestDate(R58,Trigger)</f>
        <v>42201</v>
      </c>
      <c r="U58" s="15">
        <f>_xll.qlRateHelperLatestDate(R58,Trigger)</f>
        <v>56081</v>
      </c>
      <c r="V58" s="117">
        <v>1.7998452930212593E-2</v>
      </c>
    </row>
    <row r="59" spans="1:22" ht="11.25" customHeight="1" x14ac:dyDescent="0.2">
      <c r="A59" s="107" t="s">
        <v>45</v>
      </c>
      <c r="B59" s="137"/>
      <c r="C59" s="137" t="s">
        <v>14</v>
      </c>
      <c r="D59" s="138" t="str">
        <v>30Y</v>
      </c>
      <c r="E59" s="130" t="s">
        <v>15</v>
      </c>
      <c r="F59" s="137" t="s">
        <v>16</v>
      </c>
      <c r="G59" s="130" t="s">
        <v>17</v>
      </c>
      <c r="H59" s="139">
        <v>1.7440000000000001E-2</v>
      </c>
      <c r="I59" s="105" t="str">
        <f>_xll.qlSwapRateHelper2(,$H59,,$D59,Calendar,$F59,$E59,$G59,$I$30,0,C59,Discounting,Permanent,Trigger,ObjectOverwrite)</f>
        <v>obj_00125#0019</v>
      </c>
      <c r="J59" s="102" t="b">
        <f t="shared" si="17"/>
        <v>1</v>
      </c>
      <c r="L59" s="24" t="str">
        <f t="shared" si="13"/>
        <v>Sw</v>
      </c>
      <c r="M59" s="24" t="str">
        <f t="shared" si="14"/>
        <v>35Y</v>
      </c>
      <c r="N59" s="24" t="str">
        <f t="shared" si="15"/>
        <v>obj_00124#0019</v>
      </c>
      <c r="O59" s="24" t="b">
        <f t="shared" si="16"/>
        <v>1</v>
      </c>
      <c r="P59" s="14" t="str">
        <v>Sw</v>
      </c>
      <c r="Q59" s="14" t="str">
        <v>39Y</v>
      </c>
      <c r="R59" s="14" t="str">
        <v>obj_000f1#0019</v>
      </c>
      <c r="S59" s="117">
        <f>_xll.qlRateHelperRate(R59,Trigger)</f>
        <v>1.7643821300000001E-2</v>
      </c>
      <c r="T59" s="15">
        <f>_xll.qlRateHelperEarliestDate(R59,Trigger)</f>
        <v>42201</v>
      </c>
      <c r="U59" s="15">
        <f>_xll.qlRateHelperLatestDate(R59,Trigger)</f>
        <v>56446</v>
      </c>
      <c r="V59" s="117">
        <v>1.7980688385333798E-2</v>
      </c>
    </row>
    <row r="60" spans="1:22" ht="11.25" customHeight="1" x14ac:dyDescent="0.2">
      <c r="A60" s="107" t="s">
        <v>45</v>
      </c>
      <c r="B60" s="137"/>
      <c r="C60" s="137" t="s">
        <v>14</v>
      </c>
      <c r="D60" s="138" t="str">
        <v>31Y</v>
      </c>
      <c r="E60" s="130" t="s">
        <v>15</v>
      </c>
      <c r="F60" s="137" t="s">
        <v>16</v>
      </c>
      <c r="G60" s="130" t="s">
        <v>17</v>
      </c>
      <c r="H60" s="139">
        <v>1.74728444E-2</v>
      </c>
      <c r="I60" s="105" t="str">
        <f>_xll.qlSwapRateHelper2(,$H60,,$D60,Calendar,$F60,$E60,$G60,$I$30,0,C60,Discounting,Permanent,Trigger,ObjectOverwrite)</f>
        <v>obj_000fb#0019</v>
      </c>
      <c r="J60" s="102" t="b">
        <f t="shared" si="17"/>
        <v>1</v>
      </c>
      <c r="L60" s="24" t="str">
        <f t="shared" si="13"/>
        <v>Sw</v>
      </c>
      <c r="M60" s="24" t="str">
        <f t="shared" si="14"/>
        <v>36Y</v>
      </c>
      <c r="N60" s="24" t="str">
        <f t="shared" si="15"/>
        <v>obj_00116#0019</v>
      </c>
      <c r="O60" s="24" t="b">
        <f t="shared" si="16"/>
        <v>1</v>
      </c>
      <c r="P60" s="14" t="str">
        <v>Sw</v>
      </c>
      <c r="Q60" s="14" t="str">
        <v>40Y</v>
      </c>
      <c r="R60" s="14" t="str">
        <v>obj_00123#0019</v>
      </c>
      <c r="S60" s="117">
        <f>_xll.qlRateHelperRate(R60,Trigger)</f>
        <v>1.763E-2</v>
      </c>
      <c r="T60" s="15">
        <f>_xll.qlRateHelperEarliestDate(R60,Trigger)</f>
        <v>42201</v>
      </c>
      <c r="U60" s="15">
        <f>_xll.qlRateHelperLatestDate(R60,Trigger)</f>
        <v>56811</v>
      </c>
      <c r="V60" s="117">
        <v>1.7948447977660389E-2</v>
      </c>
    </row>
    <row r="61" spans="1:22" ht="11.25" customHeight="1" x14ac:dyDescent="0.2">
      <c r="A61" s="107" t="s">
        <v>45</v>
      </c>
      <c r="B61" s="137"/>
      <c r="C61" s="137" t="s">
        <v>14</v>
      </c>
      <c r="D61" s="138" t="str">
        <v>32Y</v>
      </c>
      <c r="E61" s="130" t="s">
        <v>15</v>
      </c>
      <c r="F61" s="137" t="s">
        <v>16</v>
      </c>
      <c r="G61" s="130" t="s">
        <v>17</v>
      </c>
      <c r="H61" s="139">
        <v>1.75078605E-2</v>
      </c>
      <c r="I61" s="105" t="str">
        <f>_xll.qlSwapRateHelper2(,$H61,,$D61,Calendar,$F61,$E61,$G61,$I$30,0,C61,Discounting,Permanent,Trigger,ObjectOverwrite)</f>
        <v>obj_000f7#0019</v>
      </c>
      <c r="J61" s="102" t="b">
        <f t="shared" si="17"/>
        <v>1</v>
      </c>
      <c r="L61" s="24" t="str">
        <f t="shared" si="13"/>
        <v>Sw</v>
      </c>
      <c r="M61" s="24" t="str">
        <f t="shared" si="14"/>
        <v>37Y</v>
      </c>
      <c r="N61" s="24" t="str">
        <f t="shared" si="15"/>
        <v>obj_0011c#0019</v>
      </c>
      <c r="O61" s="24" t="b">
        <f t="shared" si="16"/>
        <v>1</v>
      </c>
      <c r="P61" s="14" t="str">
        <v>Sw</v>
      </c>
      <c r="Q61" s="14" t="str">
        <v>50Y</v>
      </c>
      <c r="R61" s="14" t="str">
        <v>obj_000f2#0019</v>
      </c>
      <c r="S61" s="117">
        <f>_xll.qlRateHelperRate(R61,Trigger)</f>
        <v>1.7239999999999998E-2</v>
      </c>
      <c r="T61" s="15">
        <f>_xll.qlRateHelperEarliestDate(R61,Trigger)</f>
        <v>42201</v>
      </c>
      <c r="U61" s="15">
        <f>_xll.qlRateHelperLatestDate(R61,Trigger)</f>
        <v>60464</v>
      </c>
      <c r="V61" s="117">
        <v>1.7280044646938181E-2</v>
      </c>
    </row>
    <row r="62" spans="1:22" ht="11.25" customHeight="1" x14ac:dyDescent="0.2">
      <c r="A62" s="107" t="s">
        <v>45</v>
      </c>
      <c r="B62" s="137"/>
      <c r="C62" s="137" t="s">
        <v>14</v>
      </c>
      <c r="D62" s="138" t="str">
        <v>33Y</v>
      </c>
      <c r="E62" s="130" t="s">
        <v>15</v>
      </c>
      <c r="F62" s="137" t="s">
        <v>16</v>
      </c>
      <c r="G62" s="130" t="s">
        <v>17</v>
      </c>
      <c r="H62" s="139">
        <v>1.7543665119999999E-2</v>
      </c>
      <c r="I62" s="105" t="str">
        <f>_xll.qlSwapRateHelper2(,$H62,,$D62,Calendar,$F62,$E62,$G62,$I$30,0,C62,Discounting,Permanent,Trigger,ObjectOverwrite)</f>
        <v>obj_00114#0019</v>
      </c>
      <c r="J62" s="102" t="b">
        <f t="shared" si="17"/>
        <v>1</v>
      </c>
      <c r="L62" s="24" t="str">
        <f t="shared" si="13"/>
        <v>Sw</v>
      </c>
      <c r="M62" s="24" t="str">
        <f t="shared" si="14"/>
        <v>38Y</v>
      </c>
      <c r="N62" s="24" t="str">
        <f t="shared" si="15"/>
        <v>obj_0011d#0019</v>
      </c>
      <c r="O62" s="24" t="b">
        <f t="shared" si="16"/>
        <v>1</v>
      </c>
      <c r="P62" s="14" t="str">
        <v>Sw</v>
      </c>
      <c r="Q62" s="14" t="str">
        <v>60Y</v>
      </c>
      <c r="R62" s="14" t="str">
        <v>obj_0011b#0019</v>
      </c>
      <c r="S62" s="117">
        <f>_xll.qlRateHelperRate(R62,Trigger)</f>
        <v>1.712E-2</v>
      </c>
      <c r="T62" s="15">
        <f>_xll.qlRateHelperEarliestDate(R62,Trigger)</f>
        <v>42201</v>
      </c>
      <c r="U62" s="15">
        <f>_xll.qlRateHelperLatestDate(R62,Trigger)</f>
        <v>64116</v>
      </c>
      <c r="V62" s="117">
        <v>1.7057484379535203E-2</v>
      </c>
    </row>
    <row r="63" spans="1:22" ht="11.25" customHeight="1" x14ac:dyDescent="0.2">
      <c r="A63" s="107" t="s">
        <v>45</v>
      </c>
      <c r="B63" s="137"/>
      <c r="C63" s="137" t="s">
        <v>14</v>
      </c>
      <c r="D63" s="138" t="str">
        <v>34Y</v>
      </c>
      <c r="E63" s="130" t="s">
        <v>15</v>
      </c>
      <c r="F63" s="137" t="s">
        <v>16</v>
      </c>
      <c r="G63" s="130" t="s">
        <v>17</v>
      </c>
      <c r="H63" s="139">
        <v>1.7575798930000001E-2</v>
      </c>
      <c r="I63" s="105" t="str">
        <f>_xll.qlSwapRateHelper2(,$H63,,$D63,Calendar,$F63,$E63,$G63,$I$30,0,C63,Discounting,Permanent,Trigger,ObjectOverwrite)</f>
        <v>obj_00108#0019</v>
      </c>
      <c r="J63" s="102" t="b">
        <f t="shared" si="17"/>
        <v>1</v>
      </c>
      <c r="L63" s="24" t="str">
        <f t="shared" si="13"/>
        <v>Sw</v>
      </c>
      <c r="M63" s="24" t="str">
        <f t="shared" si="14"/>
        <v>39Y</v>
      </c>
      <c r="N63" s="24" t="str">
        <f t="shared" si="15"/>
        <v>obj_000f1#0019</v>
      </c>
      <c r="O63" s="24" t="b">
        <f t="shared" si="16"/>
        <v>1</v>
      </c>
      <c r="P63" s="14" t="e">
        <v>#N/A</v>
      </c>
      <c r="Q63" s="14" t="e">
        <v>#N/A</v>
      </c>
      <c r="R63" s="14" t="e">
        <v>#N/A</v>
      </c>
      <c r="S63" s="117" t="e">
        <f>_xll.qlRateHelperRate(R63,Trigger)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7" t="e">
        <v>#N/A</v>
      </c>
    </row>
    <row r="64" spans="1:22" ht="11.25" customHeight="1" x14ac:dyDescent="0.2">
      <c r="A64" s="107" t="s">
        <v>45</v>
      </c>
      <c r="B64" s="137"/>
      <c r="C64" s="137" t="s">
        <v>14</v>
      </c>
      <c r="D64" s="138" t="str">
        <v>35Y</v>
      </c>
      <c r="E64" s="130" t="s">
        <v>15</v>
      </c>
      <c r="F64" s="137" t="s">
        <v>16</v>
      </c>
      <c r="G64" s="130" t="s">
        <v>17</v>
      </c>
      <c r="H64" s="139">
        <v>1.7603739490000003E-2</v>
      </c>
      <c r="I64" s="105" t="str">
        <f>_xll.qlSwapRateHelper2(,$H64,,$D64,Calendar,$F64,$E64,$G64,$I$30,0,C64,Discounting,Permanent,Trigger,ObjectOverwrite)</f>
        <v>obj_00124#0019</v>
      </c>
      <c r="J64" s="102" t="b">
        <f t="shared" si="17"/>
        <v>1</v>
      </c>
      <c r="L64" s="24" t="str">
        <f t="shared" si="13"/>
        <v>Sw</v>
      </c>
      <c r="M64" s="24" t="str">
        <f t="shared" si="14"/>
        <v>40Y</v>
      </c>
      <c r="N64" s="24" t="str">
        <f t="shared" si="15"/>
        <v>obj_00123#0019</v>
      </c>
      <c r="O64" s="24" t="b">
        <f t="shared" si="16"/>
        <v>1</v>
      </c>
      <c r="P64" s="14" t="e">
        <v>#N/A</v>
      </c>
      <c r="Q64" s="14" t="e">
        <v>#N/A</v>
      </c>
      <c r="R64" s="14" t="e">
        <v>#N/A</v>
      </c>
      <c r="S64" s="117" t="e">
        <f>_xll.qlRateHelperRate(R64,Trigger)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7" t="s">
        <v>45</v>
      </c>
      <c r="B65" s="137"/>
      <c r="C65" s="137" t="s">
        <v>14</v>
      </c>
      <c r="D65" s="138" t="str">
        <v>36Y</v>
      </c>
      <c r="E65" s="130" t="s">
        <v>15</v>
      </c>
      <c r="F65" s="137" t="s">
        <v>16</v>
      </c>
      <c r="G65" s="130" t="s">
        <v>17</v>
      </c>
      <c r="H65" s="139">
        <v>1.7625564319999999E-2</v>
      </c>
      <c r="I65" s="105" t="str">
        <f>_xll.qlSwapRateHelper2(,$H65,,$D65,Calendar,$F65,$E65,$G65,$I$30,0,C65,Discounting,Permanent,Trigger,ObjectOverwrite)</f>
        <v>obj_00116#0019</v>
      </c>
      <c r="J65" s="102" t="b">
        <f t="shared" si="17"/>
        <v>1</v>
      </c>
      <c r="L65" s="24" t="str">
        <f t="shared" si="13"/>
        <v>Sw</v>
      </c>
      <c r="M65" s="24" t="str">
        <f t="shared" si="14"/>
        <v>50Y</v>
      </c>
      <c r="N65" s="24" t="str">
        <f t="shared" si="15"/>
        <v>obj_000f2#0019</v>
      </c>
      <c r="O65" s="24" t="b">
        <f t="shared" si="16"/>
        <v>1</v>
      </c>
      <c r="P65" s="14" t="e">
        <v>#N/A</v>
      </c>
      <c r="Q65" s="14" t="e">
        <v>#N/A</v>
      </c>
      <c r="R65" s="14" t="e">
        <v>#N/A</v>
      </c>
      <c r="S65" s="117" t="e">
        <f>_xll.qlRateHelperRate(R65,Trigger)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7" t="s">
        <v>45</v>
      </c>
      <c r="B66" s="137"/>
      <c r="C66" s="137" t="s">
        <v>14</v>
      </c>
      <c r="D66" s="138" t="str">
        <v>37Y</v>
      </c>
      <c r="E66" s="130" t="s">
        <v>15</v>
      </c>
      <c r="F66" s="137" t="s">
        <v>16</v>
      </c>
      <c r="G66" s="130" t="s">
        <v>17</v>
      </c>
      <c r="H66" s="139">
        <v>1.7641092930000001E-2</v>
      </c>
      <c r="I66" s="105" t="str">
        <f>_xll.qlSwapRateHelper2(,$H66,,$D66,Calendar,$F66,$E66,$G66,$I$30,0,C66,Discounting,Permanent,Trigger,ObjectOverwrite)</f>
        <v>obj_0011c#0019</v>
      </c>
      <c r="J66" s="102" t="b">
        <f t="shared" si="17"/>
        <v>1</v>
      </c>
      <c r="L66" s="24" t="str">
        <f t="shared" si="13"/>
        <v>Sw</v>
      </c>
      <c r="M66" s="24" t="str">
        <f t="shared" si="14"/>
        <v>60Y</v>
      </c>
      <c r="N66" s="24" t="str">
        <f t="shared" si="15"/>
        <v>obj_0011b#0019</v>
      </c>
      <c r="O66" s="24" t="b">
        <f t="shared" si="16"/>
        <v>1</v>
      </c>
      <c r="P66" s="14" t="e">
        <v>#N/A</v>
      </c>
      <c r="Q66" s="14" t="e">
        <v>#N/A</v>
      </c>
      <c r="R66" s="14" t="e">
        <v>#N/A</v>
      </c>
      <c r="S66" s="117" t="e">
        <f>_xll.qlRateHelperRate(R66,Trigger)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7" t="s">
        <v>45</v>
      </c>
      <c r="B67" s="137"/>
      <c r="C67" s="137" t="s">
        <v>14</v>
      </c>
      <c r="D67" s="138" t="str">
        <v>38Y</v>
      </c>
      <c r="E67" s="130" t="s">
        <v>15</v>
      </c>
      <c r="F67" s="137" t="s">
        <v>16</v>
      </c>
      <c r="G67" s="130" t="s">
        <v>17</v>
      </c>
      <c r="H67" s="139">
        <v>1.764721357E-2</v>
      </c>
      <c r="I67" s="105" t="str">
        <f>_xll.qlSwapRateHelper2(,$H67,,$D67,Calendar,$F67,$E67,$G67,$I$30,0,C67,Discounting,Permanent,Trigger,ObjectOverwrite)</f>
        <v>obj_0011d#0019</v>
      </c>
      <c r="J67" s="102" t="b">
        <f t="shared" si="17"/>
        <v>1</v>
      </c>
      <c r="L67" s="24" t="str">
        <f t="shared" si="13"/>
        <v>Sw</v>
      </c>
      <c r="M67" s="24" t="e">
        <f t="shared" si="14"/>
        <v>#N/A</v>
      </c>
      <c r="N67" s="24" t="e">
        <f t="shared" si="15"/>
        <v>#VALUE!</v>
      </c>
      <c r="O67" s="24" t="b">
        <f t="shared" si="16"/>
        <v>0</v>
      </c>
      <c r="P67" s="14" t="e">
        <v>#N/A</v>
      </c>
      <c r="Q67" s="14" t="e">
        <v>#N/A</v>
      </c>
      <c r="R67" s="14" t="e">
        <v>#N/A</v>
      </c>
      <c r="S67" s="117" t="e">
        <f>_xll.qlRateHelperRate(R67,Trigger)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7" t="s">
        <v>45</v>
      </c>
      <c r="B68" s="137"/>
      <c r="C68" s="137" t="s">
        <v>14</v>
      </c>
      <c r="D68" s="138" t="str">
        <v>39Y</v>
      </c>
      <c r="E68" s="130" t="s">
        <v>15</v>
      </c>
      <c r="F68" s="137" t="s">
        <v>16</v>
      </c>
      <c r="G68" s="130" t="s">
        <v>17</v>
      </c>
      <c r="H68" s="139">
        <v>1.7643821300000001E-2</v>
      </c>
      <c r="I68" s="105" t="str">
        <f>_xll.qlSwapRateHelper2(,$H68,,$D68,Calendar,$F68,$E68,$G68,$I$30,0,C68,Discounting,Permanent,Trigger,ObjectOverwrite)</f>
        <v>obj_000f1#0019</v>
      </c>
      <c r="J68" s="102" t="b">
        <f t="shared" si="17"/>
        <v>1</v>
      </c>
      <c r="L68" s="24" t="str">
        <f t="shared" si="13"/>
        <v>Sw</v>
      </c>
      <c r="M68" s="24" t="e">
        <f t="shared" si="14"/>
        <v>#N/A</v>
      </c>
      <c r="N68" s="24" t="e">
        <f t="shared" si="15"/>
        <v>#VALUE!</v>
      </c>
      <c r="O68" s="24" t="b">
        <f t="shared" si="16"/>
        <v>0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7" t="s">
        <v>45</v>
      </c>
      <c r="B69" s="137"/>
      <c r="C69" s="137" t="s">
        <v>14</v>
      </c>
      <c r="D69" s="138" t="str">
        <v>40Y</v>
      </c>
      <c r="E69" s="130" t="s">
        <v>15</v>
      </c>
      <c r="F69" s="137" t="s">
        <v>16</v>
      </c>
      <c r="G69" s="130" t="s">
        <v>17</v>
      </c>
      <c r="H69" s="139">
        <v>1.763E-2</v>
      </c>
      <c r="I69" s="105" t="str">
        <f>_xll.qlSwapRateHelper2(,$H69,,$D69,Calendar,$F69,$E69,$G69,$I$30,0,C69,Discounting,Permanent,Trigger,ObjectOverwrite)</f>
        <v>obj_00123#0019</v>
      </c>
      <c r="J69" s="102" t="b">
        <f t="shared" si="17"/>
        <v>1</v>
      </c>
      <c r="L69" s="24" t="str">
        <f t="shared" si="13"/>
        <v>Sw</v>
      </c>
      <c r="M69" s="24" t="e">
        <f t="shared" si="14"/>
        <v>#N/A</v>
      </c>
      <c r="N69" s="24" t="e">
        <f t="shared" si="15"/>
        <v>#VALUE!</v>
      </c>
      <c r="O69" s="24" t="b">
        <f t="shared" si="16"/>
        <v>0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7" t="s">
        <v>45</v>
      </c>
      <c r="B70" s="137"/>
      <c r="C70" s="137" t="s">
        <v>14</v>
      </c>
      <c r="D70" s="138" t="str">
        <v>50Y</v>
      </c>
      <c r="E70" s="130" t="s">
        <v>15</v>
      </c>
      <c r="F70" s="137" t="s">
        <v>16</v>
      </c>
      <c r="G70" s="130" t="s">
        <v>17</v>
      </c>
      <c r="H70" s="139">
        <v>1.7239999999999998E-2</v>
      </c>
      <c r="I70" s="105" t="str">
        <f>_xll.qlSwapRateHelper2(,$H70,,$D70,Calendar,$F70,$E70,$G70,$I$30,0,C70,Discounting,Permanent,Trigger,ObjectOverwrite)</f>
        <v>obj_000f2#0019</v>
      </c>
      <c r="J70" s="102" t="b">
        <f t="shared" si="17"/>
        <v>1</v>
      </c>
      <c r="L70" s="24" t="str">
        <f t="shared" si="13"/>
        <v>Sw</v>
      </c>
      <c r="M70" s="24" t="e">
        <f t="shared" si="14"/>
        <v>#N/A</v>
      </c>
      <c r="N70" s="24" t="e">
        <f t="shared" si="15"/>
        <v>#VALUE!</v>
      </c>
      <c r="O70" s="24" t="b">
        <f t="shared" si="16"/>
        <v>0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7" t="s">
        <v>45</v>
      </c>
      <c r="B71" s="137"/>
      <c r="C71" s="137" t="s">
        <v>14</v>
      </c>
      <c r="D71" s="138" t="str">
        <v>60Y</v>
      </c>
      <c r="E71" s="130" t="s">
        <v>15</v>
      </c>
      <c r="F71" s="137" t="s">
        <v>16</v>
      </c>
      <c r="G71" s="130" t="s">
        <v>17</v>
      </c>
      <c r="H71" s="139">
        <v>1.712E-2</v>
      </c>
      <c r="I71" s="105" t="str">
        <f>_xll.qlSwapRateHelper2(,$H71,,$D71,Calendar,$F71,$E71,$G71,$I$30,0,C71,Discounting,Permanent,Trigger,ObjectOverwrite)</f>
        <v>obj_0011b#0019</v>
      </c>
      <c r="J71" s="102" t="b">
        <f t="shared" si="17"/>
        <v>1</v>
      </c>
      <c r="L71" s="25" t="str">
        <f t="shared" si="13"/>
        <v>Sw</v>
      </c>
      <c r="M71" s="25" t="e">
        <f t="shared" si="14"/>
        <v>#N/A</v>
      </c>
      <c r="N71" s="25" t="e">
        <f t="shared" si="15"/>
        <v>#VALUE!</v>
      </c>
      <c r="O71" s="25" t="b">
        <f t="shared" si="16"/>
        <v>0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6" t="e">
        <v>#N/A</v>
      </c>
    </row>
    <row r="72" spans="1:22" ht="11.25" customHeight="1" x14ac:dyDescent="0.2">
      <c r="A72" s="107" t="s">
        <v>45</v>
      </c>
      <c r="B72" s="137"/>
      <c r="C72" s="137" t="s">
        <v>14</v>
      </c>
      <c r="D72" s="138" t="e">
        <v>#N/A</v>
      </c>
      <c r="E72" s="130" t="s">
        <v>15</v>
      </c>
      <c r="F72" s="137" t="s">
        <v>16</v>
      </c>
      <c r="G72" s="130" t="s">
        <v>17</v>
      </c>
      <c r="H72" s="139" t="e">
        <v>#N/A</v>
      </c>
      <c r="I72" s="105" t="e">
        <f>_xll.qlSwapRateHelper2(,$H72,,$D72,Calendar,$F72,$E72,$G72,$I$30,0,C72,Discounting,Permanent,Trigger,ObjectOverwrite)</f>
        <v>#VALUE!</v>
      </c>
      <c r="J72" s="102" t="b">
        <f t="shared" si="17"/>
        <v>0</v>
      </c>
    </row>
    <row r="73" spans="1:22" ht="11.25" customHeight="1" x14ac:dyDescent="0.2">
      <c r="A73" s="107" t="s">
        <v>45</v>
      </c>
      <c r="B73" s="137"/>
      <c r="C73" s="137" t="s">
        <v>14</v>
      </c>
      <c r="D73" s="138" t="e">
        <v>#N/A</v>
      </c>
      <c r="E73" s="130" t="s">
        <v>15</v>
      </c>
      <c r="F73" s="137" t="s">
        <v>16</v>
      </c>
      <c r="G73" s="130" t="s">
        <v>17</v>
      </c>
      <c r="H73" s="139" t="e">
        <v>#N/A</v>
      </c>
      <c r="I73" s="105" t="e">
        <f>_xll.qlSwapRateHelper2(,$H73,,$D73,Calendar,$F73,$E73,$G73,$I$30,0,C73,Discounting,Permanent,Trigger,ObjectOverwrite)</f>
        <v>#VALUE!</v>
      </c>
      <c r="J73" s="102" t="b">
        <f t="shared" si="17"/>
        <v>0</v>
      </c>
    </row>
    <row r="74" spans="1:22" ht="11.25" customHeight="1" x14ac:dyDescent="0.2">
      <c r="A74" s="107" t="s">
        <v>45</v>
      </c>
      <c r="B74" s="137"/>
      <c r="C74" s="137" t="s">
        <v>14</v>
      </c>
      <c r="D74" s="138" t="e">
        <v>#N/A</v>
      </c>
      <c r="E74" s="130" t="s">
        <v>15</v>
      </c>
      <c r="F74" s="137" t="s">
        <v>16</v>
      </c>
      <c r="G74" s="130" t="s">
        <v>17</v>
      </c>
      <c r="H74" s="139" t="e">
        <v>#N/A</v>
      </c>
      <c r="I74" s="105" t="e">
        <f>_xll.qlSwapRateHelper2(,$H74,,$D74,Calendar,$F74,$E74,$G74,$I$30,0,C74,Discounting,Permanent,Trigger,ObjectOverwrite)</f>
        <v>#VALUE!</v>
      </c>
      <c r="J74" s="102" t="b">
        <f t="shared" si="17"/>
        <v>0</v>
      </c>
    </row>
    <row r="75" spans="1:22" ht="11.25" customHeight="1" x14ac:dyDescent="0.2">
      <c r="A75" s="107" t="s">
        <v>45</v>
      </c>
      <c r="B75" s="137"/>
      <c r="C75" s="137" t="s">
        <v>14</v>
      </c>
      <c r="D75" s="138" t="e">
        <v>#N/A</v>
      </c>
      <c r="E75" s="130" t="s">
        <v>15</v>
      </c>
      <c r="F75" s="137" t="s">
        <v>16</v>
      </c>
      <c r="G75" s="130" t="s">
        <v>17</v>
      </c>
      <c r="H75" s="139" t="e">
        <v>#N/A</v>
      </c>
      <c r="I75" s="105" t="e">
        <f>_xll.qlSwapRateHelper2(,$H75,,$D75,Calendar,$F75,$E75,$G75,$I$30,0,C75,Discounting,Permanent,Trigger,ObjectOverwrite)</f>
        <v>#VALUE!</v>
      </c>
      <c r="J75" s="102" t="b">
        <f t="shared" si="17"/>
        <v>0</v>
      </c>
    </row>
    <row r="76" spans="1:22" ht="11.25" customHeight="1" x14ac:dyDescent="0.2">
      <c r="A76" s="7" t="s">
        <v>45</v>
      </c>
      <c r="B76" s="140"/>
      <c r="C76" s="140" t="s">
        <v>14</v>
      </c>
      <c r="D76" s="141" t="e">
        <v>#N/A</v>
      </c>
      <c r="E76" s="3" t="s">
        <v>15</v>
      </c>
      <c r="F76" s="140" t="s">
        <v>16</v>
      </c>
      <c r="G76" s="3" t="s">
        <v>17</v>
      </c>
      <c r="H76" s="142" t="e">
        <v>#N/A</v>
      </c>
      <c r="I76" s="5" t="e">
        <f>_xll.qlSwapRateHelper2(,$H76,,$D76,Calendar,$F76,$E76,$G76,$I$30,0,C76,Discounting,Permanent,Trigger,ObjectOverwrite)</f>
        <v>#VALUE!</v>
      </c>
      <c r="J76" s="19" t="b">
        <f t="shared" si="17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disablePrompts="1" count="4">
    <dataValidation type="list" allowBlank="1" showInputMessage="1" showErrorMessage="1" sqref="E21:E28">
      <formula1>"Following,Modified Following,Preceding,Modified Preceding,Unadjusted"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E32:E76">
      <formula1>"Following,Modified Following,Preceding,Modified Preceding,Month End Reference,Unadjusted Month End,Unadjusted"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81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2" hidden="1" customWidth="1" outlineLevel="1"/>
    <col min="2" max="2" width="17.28515625" style="72" hidden="1" customWidth="1" outlineLevel="2"/>
    <col min="3" max="3" width="10" style="89" hidden="1" customWidth="1" outlineLevel="1" collapsed="1"/>
    <col min="4" max="4" width="8.7109375" style="88" hidden="1" customWidth="1" outlineLevel="1"/>
    <col min="5" max="5" width="19" style="90" hidden="1" customWidth="1" outlineLevel="1"/>
    <col min="6" max="6" width="10" style="72" hidden="1" customWidth="1" outlineLevel="1"/>
    <col min="7" max="7" width="20.28515625" style="72" hidden="1" customWidth="1" outlineLevel="1"/>
    <col min="8" max="8" width="11.5703125" style="72" hidden="1" customWidth="1" outlineLevel="1"/>
    <col min="9" max="9" width="15.140625" style="72" hidden="1" customWidth="1" outlineLevel="1"/>
    <col min="10" max="10" width="9" style="88" hidden="1" customWidth="1" outlineLevel="1"/>
    <col min="11" max="11" width="2.7109375" style="72" customWidth="1" collapsed="1"/>
    <col min="12" max="12" width="5" style="72" hidden="1" customWidth="1" outlineLevel="1"/>
    <col min="13" max="13" width="6" style="72" hidden="1" customWidth="1" outlineLevel="1"/>
    <col min="14" max="14" width="15.140625" style="72" hidden="1" customWidth="1" outlineLevel="1"/>
    <col min="15" max="15" width="6" style="72" hidden="1" customWidth="1" outlineLevel="1"/>
    <col min="16" max="16" width="5" style="72" bestFit="1" customWidth="1" collapsed="1"/>
    <col min="17" max="17" width="6" style="72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2" width="9" style="72" customWidth="1"/>
    <col min="23" max="16384" width="9.140625" style="72"/>
  </cols>
  <sheetData>
    <row r="1" spans="1:22" ht="21" customHeight="1" x14ac:dyDescent="0.2">
      <c r="B1" s="78"/>
      <c r="C1" s="79"/>
      <c r="D1" s="80"/>
      <c r="E1" s="81"/>
      <c r="F1" s="82"/>
      <c r="J1" s="80"/>
      <c r="L1" s="109"/>
      <c r="M1" s="110"/>
      <c r="N1" s="110"/>
      <c r="O1" s="111"/>
      <c r="P1" s="147" t="s">
        <v>178</v>
      </c>
      <c r="Q1" s="110"/>
      <c r="R1" s="110"/>
      <c r="S1" s="115"/>
      <c r="T1" s="110"/>
      <c r="U1" s="110"/>
      <c r="V1" s="146" t="s">
        <v>193</v>
      </c>
    </row>
    <row r="2" spans="1:22" ht="21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13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6" t="s">
        <v>18</v>
      </c>
      <c r="M2" s="146"/>
      <c r="N2" s="146" t="s">
        <v>43</v>
      </c>
      <c r="O2" s="146"/>
      <c r="P2" s="146" t="s">
        <v>18</v>
      </c>
      <c r="Q2" s="146" t="s">
        <v>56</v>
      </c>
      <c r="R2" s="146" t="s">
        <v>43</v>
      </c>
      <c r="S2" s="153" t="s">
        <v>39</v>
      </c>
      <c r="T2" s="146" t="s">
        <v>37</v>
      </c>
      <c r="U2" s="146" t="s">
        <v>38</v>
      </c>
      <c r="V2" s="116">
        <f t="array" ref="V2:V71">_xll.qlPiecewiseYieldCurveData(YieldCurve_6M,Trigger)</f>
        <v>-1.1152784677836568E-3</v>
      </c>
    </row>
    <row r="3" spans="1:22" ht="11.25" customHeight="1" x14ac:dyDescent="0.2">
      <c r="A3" s="92" t="s">
        <v>46</v>
      </c>
      <c r="B3" s="92" t="str">
        <f t="array" ref="B3:B18">_xll.ohFilter(PastedValue!Y2:Y62,PastedValue!U2:U62="Dp")</f>
        <v>O/N</v>
      </c>
      <c r="C3" s="93" t="str">
        <f>IF(LEFT(B3,1)="#",(_xll.qlCalendarBusinessDaysBetween(Calendar,Settlementdate,DATE(RIGHT(LEFT(B3,5),4),LEFT(RIGHT(B3,4),2),RIGHT(B3,2)),,TRUE,Trigger)-1)&amp;"D",B3)</f>
        <v>O/N</v>
      </c>
      <c r="D3" s="94">
        <f>IF(C3="O/N",0,IF(C3="T/N",1,2))</f>
        <v>0</v>
      </c>
      <c r="E3" s="95" t="str">
        <f>IF(OR(RIGHT(C3,1)="M",RIGHT(C3,1)="D"),"Modified Following","Following")</f>
        <v>Following</v>
      </c>
      <c r="F3" s="96" t="str">
        <f>IF(OR(RIGHT(C3,1)="M",RIGHT(C3,1)="D"),"TRUE","FALSE")</f>
        <v>FALSE</v>
      </c>
      <c r="G3" s="97" t="s">
        <v>50</v>
      </c>
      <c r="H3" s="98">
        <f t="array" ref="H3:H18">_xll.ohFilter(PastedValue!AB2:AB62,PastedValue!U2:U62="Dp")/100</f>
        <v>-1.0999989999999999E-3</v>
      </c>
      <c r="I3" s="99" t="str">
        <f>_xll.qlDepositRateHelper2(,H3,IF(RIGHT(C3,1)="N","1D",C3),D3,Calendar,E3,F3,G3,,Trigger)</f>
        <v>obj_00130#0009</v>
      </c>
      <c r="J3" s="94" t="b">
        <f>IF(ISNUMBER(H3),TRUE,FALSE)</f>
        <v>1</v>
      </c>
      <c r="K3" s="78"/>
      <c r="L3" s="24" t="str">
        <f>A3</f>
        <v>Dp</v>
      </c>
      <c r="M3" s="24" t="str">
        <f>C3</f>
        <v>O/N</v>
      </c>
      <c r="N3" s="14" t="str">
        <f>I3</f>
        <v>obj_00130#0009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obj_00130#0009</v>
      </c>
      <c r="S3" s="117">
        <f>_xll.qlRateHelperRate(R3,Trigger)</f>
        <v>-1.0999989999999999E-3</v>
      </c>
      <c r="T3" s="15">
        <f>_xll.qlRateHelperEarliestDate(R3,Trigger)</f>
        <v>42199</v>
      </c>
      <c r="U3" s="15">
        <f>_xll.qlRateHelperLatestDate(R3,Trigger)</f>
        <v>42200</v>
      </c>
      <c r="V3" s="117">
        <v>-1.1152784677836568E-3</v>
      </c>
    </row>
    <row r="4" spans="1:22" ht="11.25" customHeight="1" x14ac:dyDescent="0.2">
      <c r="A4" s="100" t="s">
        <v>46</v>
      </c>
      <c r="B4" s="100" t="str">
        <v>T/N</v>
      </c>
      <c r="C4" s="101" t="str">
        <f>IF(LEFT(B4,1)="#",(_xll.qlCalendarBusinessDaysBetween(Calendar,Settlementdate,DATE(RIGHT(LEFT(B4,5),4),LEFT(RIGHT(B4,4),2),RIGHT(B4,2)),,TRUE,Trigger)-1)&amp;"D",B4)</f>
        <v>T/N</v>
      </c>
      <c r="D4" s="102">
        <f t="shared" ref="D4:D18" si="0">IF(C4="O/N",0,IF(C4="T/N",1,2))</f>
        <v>1</v>
      </c>
      <c r="E4" s="103" t="str">
        <f t="shared" ref="E4:E18" si="1">IF(OR(RIGHT(C4,1)="M",RIGHT(C4,1)="D"),"Modified Following","Following")</f>
        <v>Following</v>
      </c>
      <c r="F4" s="104" t="str">
        <f t="shared" ref="F4:F18" si="2">IF(OR(RIGHT(C4,1)="M",RIGHT(C4,1)="D"),"TRUE","FALSE")</f>
        <v>FALSE</v>
      </c>
      <c r="G4" s="105" t="s">
        <v>50</v>
      </c>
      <c r="H4" s="106">
        <v>-1.1000000000000001E-3</v>
      </c>
      <c r="I4" s="107" t="str">
        <f>_xll.qlDepositRateHelper2(,H4,IF(RIGHT(C4,1)="N","1D",C4),D4,Calendar,E4,F4,G4,,Trigger)</f>
        <v>obj_00132#0009</v>
      </c>
      <c r="J4" s="102" t="b">
        <f t="shared" ref="J4:J18" si="3">IF(ISNUMBER(H4),TRUE,FALSE)</f>
        <v>1</v>
      </c>
      <c r="K4" s="75"/>
      <c r="L4" s="24" t="str">
        <f t="shared" ref="L4:L18" si="4">A4</f>
        <v>Dp</v>
      </c>
      <c r="M4" s="24" t="str">
        <f t="shared" ref="M4:M18" si="5">C4</f>
        <v>T/N</v>
      </c>
      <c r="N4" s="14" t="str">
        <f t="shared" ref="N4:O18" si="6">I4</f>
        <v>obj_00132#0009</v>
      </c>
      <c r="O4" s="14" t="b">
        <f t="shared" si="6"/>
        <v>1</v>
      </c>
      <c r="P4" s="14" t="str">
        <v>Dp</v>
      </c>
      <c r="Q4" s="14" t="str">
        <v>T/N</v>
      </c>
      <c r="R4" s="14" t="str">
        <v>obj_00132#0009</v>
      </c>
      <c r="S4" s="117">
        <f>_xll.qlRateHelperRate(R4,Trigger)</f>
        <v>-1.1000000000000001E-3</v>
      </c>
      <c r="T4" s="15">
        <f>_xll.qlRateHelperEarliestDate(R4,Trigger)</f>
        <v>42200</v>
      </c>
      <c r="U4" s="15">
        <f>_xll.qlRateHelperLatestDate(R4,Trigger)</f>
        <v>42201</v>
      </c>
      <c r="V4" s="117">
        <v>-1.1152789747393133E-3</v>
      </c>
    </row>
    <row r="5" spans="1:22" ht="11.25" customHeight="1" x14ac:dyDescent="0.2">
      <c r="A5" s="100" t="s">
        <v>46</v>
      </c>
      <c r="B5" s="100" t="str">
        <v>S/N</v>
      </c>
      <c r="C5" s="101" t="str">
        <f>IF(LEFT(B5,1)="#",(_xll.qlCalendarBusinessDaysBetween(Calendar,Settlementdate,DATE(RIGHT(LEFT(B5,5),4),LEFT(RIGHT(B5,4),2),RIGHT(B5,2)),,TRUE,Trigger)-1)&amp;"D",B5)</f>
        <v>S/N</v>
      </c>
      <c r="D5" s="102">
        <f t="shared" si="0"/>
        <v>2</v>
      </c>
      <c r="E5" s="103" t="str">
        <f t="shared" si="1"/>
        <v>Following</v>
      </c>
      <c r="F5" s="104" t="str">
        <f t="shared" si="2"/>
        <v>FALSE</v>
      </c>
      <c r="G5" s="105" t="s">
        <v>50</v>
      </c>
      <c r="H5" s="106">
        <v>3.6709999999999998E-3</v>
      </c>
      <c r="I5" s="107" t="str">
        <f>_xll.qlDepositRateHelper2(,H5,IF(RIGHT(C5,1)="N","1D",C5),D5,Calendar,E5,F5,G5,,Trigger)</f>
        <v>obj_00136#0009</v>
      </c>
      <c r="J5" s="102" t="b">
        <f t="shared" si="3"/>
        <v>1</v>
      </c>
      <c r="K5" s="75"/>
      <c r="L5" s="24" t="str">
        <f t="shared" si="4"/>
        <v>Dp</v>
      </c>
      <c r="M5" s="24" t="str">
        <f t="shared" si="5"/>
        <v>S/N</v>
      </c>
      <c r="N5" s="14" t="str">
        <f t="shared" si="6"/>
        <v>obj_00136#0009</v>
      </c>
      <c r="O5" s="14" t="b">
        <f t="shared" si="6"/>
        <v>1</v>
      </c>
      <c r="P5" s="14" t="str">
        <v>Dp</v>
      </c>
      <c r="Q5" s="14" t="str">
        <v>S/N</v>
      </c>
      <c r="R5" s="14" t="str">
        <v>obj_00136#0009</v>
      </c>
      <c r="S5" s="117">
        <f>_xll.qlRateHelperRate(R5,Trigger)</f>
        <v>3.6709999999999998E-3</v>
      </c>
      <c r="T5" s="15">
        <f>_xll.qlRateHelperEarliestDate(R5,Trigger)</f>
        <v>42201</v>
      </c>
      <c r="U5" s="15">
        <f>_xll.qlRateHelperLatestDate(R5,Trigger)</f>
        <v>42202</v>
      </c>
      <c r="V5" s="117">
        <v>4.9713639518229728E-4</v>
      </c>
    </row>
    <row r="6" spans="1:22" ht="11.25" customHeight="1" x14ac:dyDescent="0.2">
      <c r="A6" s="100" t="s">
        <v>46</v>
      </c>
      <c r="B6" s="100" t="str">
        <v>1W</v>
      </c>
      <c r="C6" s="101" t="str">
        <f>IF(LEFT(B6,1)="#",(_xll.qlCalendarBusinessDaysBetween(Calendar,Settlementdate,DATE(RIGHT(LEFT(B6,5),4),LEFT(RIGHT(B6,4),2),RIGHT(B6,2)),,TRUE,Trigger)-1)&amp;"D",B6)</f>
        <v>1W</v>
      </c>
      <c r="D6" s="102">
        <f t="shared" si="0"/>
        <v>2</v>
      </c>
      <c r="E6" s="103" t="str">
        <f t="shared" si="1"/>
        <v>Following</v>
      </c>
      <c r="F6" s="104" t="str">
        <f t="shared" si="2"/>
        <v>FALSE</v>
      </c>
      <c r="G6" s="105" t="s">
        <v>50</v>
      </c>
      <c r="H6" s="106">
        <v>2.99E-4</v>
      </c>
      <c r="I6" s="107" t="str">
        <f>_xll.qlDepositRateHelper2(,H6,IF(RIGHT(C6,1)="N","1D",C6),D6,Calendar,E6,F6,G6,,Trigger)</f>
        <v>obj_0013c#0009</v>
      </c>
      <c r="J6" s="102" t="b">
        <f t="shared" si="3"/>
        <v>1</v>
      </c>
      <c r="K6" s="75"/>
      <c r="L6" s="24" t="str">
        <f t="shared" si="4"/>
        <v>Dp</v>
      </c>
      <c r="M6" s="24" t="str">
        <f t="shared" si="5"/>
        <v>1W</v>
      </c>
      <c r="N6" s="14" t="str">
        <f t="shared" si="6"/>
        <v>obj_0013c#0009</v>
      </c>
      <c r="O6" s="14" t="b">
        <f t="shared" si="6"/>
        <v>1</v>
      </c>
      <c r="P6" s="14" t="str">
        <v>Dp</v>
      </c>
      <c r="Q6" s="14" t="str">
        <v>1W</v>
      </c>
      <c r="R6" s="14" t="str">
        <v>obj_0013c#0009</v>
      </c>
      <c r="S6" s="117">
        <f>_xll.qlRateHelperRate(R6,Trigger)</f>
        <v>2.99E-4</v>
      </c>
      <c r="T6" s="15">
        <f>_xll.qlRateHelperEarliestDate(R6,Trigger)</f>
        <v>42201</v>
      </c>
      <c r="U6" s="15">
        <f>_xll.qlRateHelperLatestDate(R6,Trigger)</f>
        <v>42208</v>
      </c>
      <c r="V6" s="117">
        <v>-1.2054963749854828E-5</v>
      </c>
    </row>
    <row r="7" spans="1:22" ht="11.25" customHeight="1" x14ac:dyDescent="0.2">
      <c r="A7" s="100" t="s">
        <v>46</v>
      </c>
      <c r="B7" s="100" t="str">
        <v>2W</v>
      </c>
      <c r="C7" s="101" t="str">
        <f>IF(LEFT(B7,1)="#",(_xll.qlCalendarBusinessDaysBetween(Calendar,Settlementdate,DATE(RIGHT(LEFT(B7,5),4),LEFT(RIGHT(B7,4),2),RIGHT(B7,2)),,TRUE,Trigger)-1)&amp;"D",B7)</f>
        <v>2W</v>
      </c>
      <c r="D7" s="102">
        <f t="shared" si="0"/>
        <v>2</v>
      </c>
      <c r="E7" s="103" t="str">
        <f t="shared" si="1"/>
        <v>Following</v>
      </c>
      <c r="F7" s="104" t="str">
        <f t="shared" si="2"/>
        <v>FALSE</v>
      </c>
      <c r="G7" s="105" t="s">
        <v>50</v>
      </c>
      <c r="H7" s="106">
        <v>3.3099999999999997E-4</v>
      </c>
      <c r="I7" s="107" t="str">
        <f>_xll.qlDepositRateHelper2(,H7,IF(RIGHT(C7,1)="N","1D",C7),D7,Calendar,E7,F7,G7,,Trigger)</f>
        <v>obj_00147#0009</v>
      </c>
      <c r="J7" s="102" t="b">
        <f t="shared" si="3"/>
        <v>1</v>
      </c>
      <c r="K7" s="75"/>
      <c r="L7" s="24" t="str">
        <f t="shared" si="4"/>
        <v>Dp</v>
      </c>
      <c r="M7" s="24" t="str">
        <f t="shared" si="5"/>
        <v>2W</v>
      </c>
      <c r="N7" s="14" t="str">
        <f t="shared" si="6"/>
        <v>obj_00147#0009</v>
      </c>
      <c r="O7" s="14" t="b">
        <f t="shared" si="6"/>
        <v>1</v>
      </c>
      <c r="P7" s="14" t="str">
        <v>Dp</v>
      </c>
      <c r="Q7" s="14" t="str">
        <v>2W</v>
      </c>
      <c r="R7" s="14" t="str">
        <v>obj_00147#0009</v>
      </c>
      <c r="S7" s="117">
        <f>_xll.qlRateHelperRate(R7,Trigger)</f>
        <v>3.3099999999999997E-4</v>
      </c>
      <c r="T7" s="15">
        <f>_xll.qlRateHelperEarliestDate(R7,Trigger)</f>
        <v>42201</v>
      </c>
      <c r="U7" s="15">
        <f>_xll.qlRateHelperLatestDate(R7,Trigger)</f>
        <v>42215</v>
      </c>
      <c r="V7" s="117">
        <v>1.5423580766736944E-4</v>
      </c>
    </row>
    <row r="8" spans="1:22" ht="11.25" customHeight="1" x14ac:dyDescent="0.2">
      <c r="A8" s="100" t="s">
        <v>46</v>
      </c>
      <c r="B8" s="100" t="str">
        <v>3W</v>
      </c>
      <c r="C8" s="101" t="str">
        <f>IF(LEFT(B8,1)="#",(_xll.qlCalendarBusinessDaysBetween(Calendar,Settlementdate,DATE(RIGHT(LEFT(B8,5),4),LEFT(RIGHT(B8,4),2),RIGHT(B8,2)),,TRUE,Trigger)-1)&amp;"D",B8)</f>
        <v>3W</v>
      </c>
      <c r="D8" s="102">
        <f t="shared" si="0"/>
        <v>2</v>
      </c>
      <c r="E8" s="103" t="str">
        <f t="shared" si="1"/>
        <v>Following</v>
      </c>
      <c r="F8" s="104" t="str">
        <f t="shared" si="2"/>
        <v>FALSE</v>
      </c>
      <c r="G8" s="105" t="s">
        <v>50</v>
      </c>
      <c r="H8" s="106">
        <v>3.7300000000000001E-4</v>
      </c>
      <c r="I8" s="107" t="str">
        <f>_xll.qlDepositRateHelper2(,H8,IF(RIGHT(C8,1)="N","1D",C8),D8,Calendar,E8,F8,G8,,Trigger)</f>
        <v>obj_00138#0009</v>
      </c>
      <c r="J8" s="102" t="b">
        <f t="shared" si="3"/>
        <v>1</v>
      </c>
      <c r="K8" s="75"/>
      <c r="L8" s="24" t="str">
        <f t="shared" si="4"/>
        <v>Dp</v>
      </c>
      <c r="M8" s="24" t="str">
        <f t="shared" si="5"/>
        <v>3W</v>
      </c>
      <c r="N8" s="14" t="str">
        <f t="shared" si="6"/>
        <v>obj_00138#0009</v>
      </c>
      <c r="O8" s="14" t="b">
        <f t="shared" si="6"/>
        <v>1</v>
      </c>
      <c r="P8" s="14" t="str">
        <v>Dp</v>
      </c>
      <c r="Q8" s="14" t="str">
        <v>3W</v>
      </c>
      <c r="R8" s="14" t="str">
        <v>obj_00138#0009</v>
      </c>
      <c r="S8" s="117">
        <f>_xll.qlRateHelperRate(R8,Trigger)</f>
        <v>3.7300000000000001E-4</v>
      </c>
      <c r="T8" s="15">
        <f>_xll.qlRateHelperEarliestDate(R8,Trigger)</f>
        <v>42201</v>
      </c>
      <c r="U8" s="15">
        <f>_xll.qlRateHelperLatestDate(R8,Trigger)</f>
        <v>42222</v>
      </c>
      <c r="V8" s="117">
        <v>2.4831075297155773E-4</v>
      </c>
    </row>
    <row r="9" spans="1:22" ht="11.25" customHeight="1" x14ac:dyDescent="0.2">
      <c r="A9" s="100" t="s">
        <v>46</v>
      </c>
      <c r="B9" s="100" t="str">
        <v>1M</v>
      </c>
      <c r="C9" s="101" t="str">
        <f>IF(LEFT(B9,1)="#",(_xll.qlCalendarBusinessDaysBetween(Calendar,Settlementdate,DATE(RIGHT(LEFT(B9,5),4),LEFT(RIGHT(B9,4),2),RIGHT(B9,2)),,TRUE,Trigger)-1)&amp;"D",B9)</f>
        <v>1M</v>
      </c>
      <c r="D9" s="102">
        <f t="shared" si="0"/>
        <v>2</v>
      </c>
      <c r="E9" s="103" t="str">
        <f t="shared" si="1"/>
        <v>Modified Following</v>
      </c>
      <c r="F9" s="104" t="str">
        <f t="shared" si="2"/>
        <v>TRUE</v>
      </c>
      <c r="G9" s="105" t="s">
        <v>50</v>
      </c>
      <c r="H9" s="106">
        <v>3.4099999999999999E-4</v>
      </c>
      <c r="I9" s="107" t="str">
        <f>_xll.qlDepositRateHelper2(,H9,IF(RIGHT(C9,1)="N","1D",C9),D9,Calendar,E9,F9,G9,,Trigger)</f>
        <v>obj_0013b#0009</v>
      </c>
      <c r="J9" s="102" t="b">
        <f t="shared" si="3"/>
        <v>1</v>
      </c>
      <c r="K9" s="75"/>
      <c r="L9" s="24" t="str">
        <f t="shared" si="4"/>
        <v>Dp</v>
      </c>
      <c r="M9" s="24" t="str">
        <f t="shared" si="5"/>
        <v>1M</v>
      </c>
      <c r="N9" s="14" t="str">
        <f t="shared" si="6"/>
        <v>obj_0013b#0009</v>
      </c>
      <c r="O9" s="14" t="b">
        <f t="shared" si="6"/>
        <v>1</v>
      </c>
      <c r="P9" s="14" t="str">
        <v>Dp</v>
      </c>
      <c r="Q9" s="14" t="str">
        <v>1M</v>
      </c>
      <c r="R9" s="14" t="str">
        <v>obj_0013b#0009</v>
      </c>
      <c r="S9" s="117">
        <f>_xll.qlRateHelperRate(R9,Trigger)</f>
        <v>3.4099999999999999E-4</v>
      </c>
      <c r="T9" s="15">
        <f>_xll.qlRateHelperEarliestDate(R9,Trigger)</f>
        <v>42201</v>
      </c>
      <c r="U9" s="15">
        <f>_xll.qlRateHelperLatestDate(R9,Trigger)</f>
        <v>42233</v>
      </c>
      <c r="V9" s="117">
        <v>2.5978911573836146E-4</v>
      </c>
    </row>
    <row r="10" spans="1:22" ht="11.25" customHeight="1" x14ac:dyDescent="0.2">
      <c r="A10" s="100" t="s">
        <v>46</v>
      </c>
      <c r="B10" s="100" t="str">
        <v>2M</v>
      </c>
      <c r="C10" s="101" t="str">
        <f>IF(LEFT(B10,1)="#",(_xll.qlCalendarBusinessDaysBetween(Calendar,Settlementdate,DATE(RIGHT(LEFT(B10,5),4),LEFT(RIGHT(B10,4),2),RIGHT(B10,2)),,TRUE,Trigger)-1)&amp;"D",B10)</f>
        <v>2M</v>
      </c>
      <c r="D10" s="102">
        <f t="shared" si="0"/>
        <v>2</v>
      </c>
      <c r="E10" s="103" t="str">
        <f t="shared" si="1"/>
        <v>Modified Following</v>
      </c>
      <c r="F10" s="104" t="str">
        <f t="shared" si="2"/>
        <v>TRUE</v>
      </c>
      <c r="G10" s="105" t="s">
        <v>50</v>
      </c>
      <c r="H10" s="106">
        <v>2.2900000000000001E-4</v>
      </c>
      <c r="I10" s="107" t="str">
        <f>_xll.qlDepositRateHelper2(,H10,IF(RIGHT(C10,1)="N","1D",C10),D10,Calendar,E10,F10,G10,,Trigger)</f>
        <v>obj_00141#0009</v>
      </c>
      <c r="J10" s="102" t="b">
        <f t="shared" si="3"/>
        <v>1</v>
      </c>
      <c r="K10" s="75"/>
      <c r="L10" s="24" t="str">
        <f t="shared" si="4"/>
        <v>Dp</v>
      </c>
      <c r="M10" s="24" t="str">
        <f t="shared" si="5"/>
        <v>2M</v>
      </c>
      <c r="N10" s="14" t="str">
        <f t="shared" si="6"/>
        <v>obj_00141#0009</v>
      </c>
      <c r="O10" s="14" t="b">
        <f t="shared" si="6"/>
        <v>1</v>
      </c>
      <c r="P10" s="14" t="str">
        <v>Dp</v>
      </c>
      <c r="Q10" s="14" t="str">
        <v>2M</v>
      </c>
      <c r="R10" s="14" t="str">
        <v>obj_00141#0009</v>
      </c>
      <c r="S10" s="117">
        <f>_xll.qlRateHelperRate(R10,Trigger)</f>
        <v>2.2900000000000001E-4</v>
      </c>
      <c r="T10" s="15">
        <f>_xll.qlRateHelperEarliestDate(R10,Trigger)</f>
        <v>42201</v>
      </c>
      <c r="U10" s="15">
        <f>_xll.qlRateHelperLatestDate(R10,Trigger)</f>
        <v>42263</v>
      </c>
      <c r="V10" s="117">
        <v>1.9006800995631482E-4</v>
      </c>
    </row>
    <row r="11" spans="1:22" ht="11.25" customHeight="1" x14ac:dyDescent="0.2">
      <c r="A11" s="100" t="s">
        <v>46</v>
      </c>
      <c r="B11" s="100" t="str">
        <v>3M</v>
      </c>
      <c r="C11" s="101" t="str">
        <f>IF(LEFT(B11,1)="#",(_xll.qlCalendarBusinessDaysBetween(Calendar,Settlementdate,DATE(RIGHT(LEFT(B11,5),4),LEFT(RIGHT(B11,4),2),RIGHT(B11,2)),,TRUE,Trigger)-1)&amp;"D",B11)</f>
        <v>3M</v>
      </c>
      <c r="D11" s="102">
        <f t="shared" si="0"/>
        <v>2</v>
      </c>
      <c r="E11" s="103" t="str">
        <f t="shared" si="1"/>
        <v>Modified Following</v>
      </c>
      <c r="F11" s="104" t="str">
        <f t="shared" si="2"/>
        <v>TRUE</v>
      </c>
      <c r="G11" s="105" t="s">
        <v>50</v>
      </c>
      <c r="H11" s="106">
        <v>3.4200000000000002E-4</v>
      </c>
      <c r="I11" s="107" t="str">
        <f>_xll.qlDepositRateHelper2(,H11,IF(RIGHT(C11,1)="N","1D",C11),D11,Calendar,E11,F11,G11,,Trigger)</f>
        <v>obj_00131#0009</v>
      </c>
      <c r="J11" s="102" t="b">
        <f t="shared" si="3"/>
        <v>1</v>
      </c>
      <c r="K11" s="75"/>
      <c r="L11" s="24" t="str">
        <f t="shared" si="4"/>
        <v>Dp</v>
      </c>
      <c r="M11" s="24" t="str">
        <f t="shared" si="5"/>
        <v>3M</v>
      </c>
      <c r="N11" s="14" t="str">
        <f t="shared" si="6"/>
        <v>obj_00131#0009</v>
      </c>
      <c r="O11" s="14" t="b">
        <f t="shared" si="6"/>
        <v>1</v>
      </c>
      <c r="P11" s="14" t="str">
        <v>Dp</v>
      </c>
      <c r="Q11" s="14" t="str">
        <v>3M</v>
      </c>
      <c r="R11" s="14" t="str">
        <v>obj_00131#0009</v>
      </c>
      <c r="S11" s="117">
        <f>_xll.qlRateHelperRate(R11,Trigger)</f>
        <v>3.4200000000000002E-4</v>
      </c>
      <c r="T11" s="15">
        <f>_xll.qlRateHelperEarliestDate(R11,Trigger)</f>
        <v>42201</v>
      </c>
      <c r="U11" s="15">
        <f>_xll.qlRateHelperLatestDate(R11,Trigger)</f>
        <v>42293</v>
      </c>
      <c r="V11" s="117">
        <v>3.156281708296694E-4</v>
      </c>
    </row>
    <row r="12" spans="1:22" ht="11.25" customHeight="1" x14ac:dyDescent="0.2">
      <c r="A12" s="100" t="s">
        <v>46</v>
      </c>
      <c r="B12" s="100" t="str">
        <v>4M</v>
      </c>
      <c r="C12" s="101" t="str">
        <f>IF(LEFT(B12,1)="#",(_xll.qlCalendarBusinessDaysBetween(Calendar,Settlementdate,DATE(RIGHT(LEFT(B12,5),4),LEFT(RIGHT(B12,4),2),RIGHT(B12,2)),,TRUE,Trigger)-1)&amp;"D",B12)</f>
        <v>4M</v>
      </c>
      <c r="D12" s="102">
        <f t="shared" si="0"/>
        <v>2</v>
      </c>
      <c r="E12" s="103" t="str">
        <f t="shared" si="1"/>
        <v>Modified Following</v>
      </c>
      <c r="F12" s="104" t="str">
        <f t="shared" si="2"/>
        <v>TRUE</v>
      </c>
      <c r="G12" s="105" t="s">
        <v>50</v>
      </c>
      <c r="H12" s="106">
        <v>4.26E-4</v>
      </c>
      <c r="I12" s="107" t="str">
        <f>_xll.qlDepositRateHelper2(,H12,IF(RIGHT(C12,1)="N","1D",C12),D12,Calendar,E12,F12,G12,,Trigger)</f>
        <v>obj_0013d#0009</v>
      </c>
      <c r="J12" s="102" t="b">
        <f t="shared" si="3"/>
        <v>1</v>
      </c>
      <c r="K12" s="75"/>
      <c r="L12" s="24" t="str">
        <f t="shared" si="4"/>
        <v>Dp</v>
      </c>
      <c r="M12" s="24" t="str">
        <f t="shared" si="5"/>
        <v>4M</v>
      </c>
      <c r="N12" s="14" t="str">
        <f t="shared" si="6"/>
        <v>obj_0013d#0009</v>
      </c>
      <c r="O12" s="14" t="b">
        <f t="shared" si="6"/>
        <v>1</v>
      </c>
      <c r="P12" s="14" t="str">
        <v>Dp</v>
      </c>
      <c r="Q12" s="14" t="str">
        <v>4M</v>
      </c>
      <c r="R12" s="14" t="str">
        <v>obj_0013d#0009</v>
      </c>
      <c r="S12" s="117">
        <f>_xll.qlRateHelperRate(R12,Trigger)</f>
        <v>4.26E-4</v>
      </c>
      <c r="T12" s="15">
        <f>_xll.qlRateHelperEarliestDate(R12,Trigger)</f>
        <v>42201</v>
      </c>
      <c r="U12" s="15">
        <f>_xll.qlRateHelperLatestDate(R12,Trigger)</f>
        <v>42324</v>
      </c>
      <c r="V12" s="117">
        <v>4.0713060959351788E-4</v>
      </c>
    </row>
    <row r="13" spans="1:22" ht="11.25" customHeight="1" x14ac:dyDescent="0.2">
      <c r="A13" s="100" t="s">
        <v>46</v>
      </c>
      <c r="B13" s="100" t="str">
        <v>5M</v>
      </c>
      <c r="C13" s="101" t="str">
        <f>IF(LEFT(B13,1)="#",(_xll.qlCalendarBusinessDaysBetween(Calendar,Settlementdate,DATE(RIGHT(LEFT(B13,5),4),LEFT(RIGHT(B13,4),2),RIGHT(B13,2)),,TRUE,Trigger)-1)&amp;"D",B13)</f>
        <v>5M</v>
      </c>
      <c r="D13" s="102">
        <f t="shared" si="0"/>
        <v>2</v>
      </c>
      <c r="E13" s="103" t="str">
        <f t="shared" si="1"/>
        <v>Modified Following</v>
      </c>
      <c r="F13" s="104" t="str">
        <f t="shared" si="2"/>
        <v>TRUE</v>
      </c>
      <c r="G13" s="105" t="s">
        <v>50</v>
      </c>
      <c r="H13" s="106">
        <v>4.9700000000000005E-4</v>
      </c>
      <c r="I13" s="107" t="str">
        <f>_xll.qlDepositRateHelper2(,H13,IF(RIGHT(C13,1)="N","1D",C13),D13,Calendar,E13,F13,G13,,Trigger)</f>
        <v>obj_00144#0009</v>
      </c>
      <c r="J13" s="102" t="b">
        <f t="shared" si="3"/>
        <v>1</v>
      </c>
      <c r="K13" s="75"/>
      <c r="L13" s="24" t="str">
        <f t="shared" si="4"/>
        <v>Dp</v>
      </c>
      <c r="M13" s="24" t="str">
        <f t="shared" si="5"/>
        <v>5M</v>
      </c>
      <c r="N13" s="14" t="str">
        <f t="shared" si="6"/>
        <v>obj_00144#0009</v>
      </c>
      <c r="O13" s="14" t="b">
        <f t="shared" si="6"/>
        <v>1</v>
      </c>
      <c r="P13" s="14" t="str">
        <v>Dp</v>
      </c>
      <c r="Q13" s="14" t="str">
        <v>5M</v>
      </c>
      <c r="R13" s="14" t="str">
        <v>obj_00144#0009</v>
      </c>
      <c r="S13" s="117">
        <f>_xll.qlRateHelperRate(R13,Trigger)</f>
        <v>4.9700000000000005E-4</v>
      </c>
      <c r="T13" s="15">
        <f>_xll.qlRateHelperEarliestDate(R13,Trigger)</f>
        <v>42201</v>
      </c>
      <c r="U13" s="15">
        <f>_xll.qlRateHelperLatestDate(R13,Trigger)</f>
        <v>42354</v>
      </c>
      <c r="V13" s="117">
        <v>4.8295758565669193E-4</v>
      </c>
    </row>
    <row r="14" spans="1:22" ht="11.25" customHeight="1" x14ac:dyDescent="0.2">
      <c r="A14" s="100" t="s">
        <v>46</v>
      </c>
      <c r="B14" s="100" t="str">
        <v>6M</v>
      </c>
      <c r="C14" s="101" t="str">
        <f>IF(LEFT(B14,1)="#",(_xll.qlCalendarBusinessDaysBetween(Calendar,Settlementdate,DATE(RIGHT(LEFT(B14,5),4),LEFT(RIGHT(B14,4),2),RIGHT(B14,2)),,TRUE,Trigger)-1)&amp;"D",B14)</f>
        <v>6M</v>
      </c>
      <c r="D14" s="102">
        <f t="shared" si="0"/>
        <v>2</v>
      </c>
      <c r="E14" s="103" t="str">
        <f t="shared" si="1"/>
        <v>Modified Following</v>
      </c>
      <c r="F14" s="104" t="str">
        <f t="shared" si="2"/>
        <v>TRUE</v>
      </c>
      <c r="G14" s="105" t="s">
        <v>50</v>
      </c>
      <c r="H14" s="106">
        <v>4.8800000000000004E-4</v>
      </c>
      <c r="I14" s="107" t="str">
        <f>_xll.qlDepositRateHelper2(,H14,IF(RIGHT(C14,1)="N","1D",C14),D14,Calendar,E14,F14,G14,,Trigger)</f>
        <v>obj_00146#0009</v>
      </c>
      <c r="J14" s="102" t="b">
        <f t="shared" si="3"/>
        <v>1</v>
      </c>
      <c r="K14" s="75"/>
      <c r="L14" s="24" t="str">
        <f t="shared" si="4"/>
        <v>Dp</v>
      </c>
      <c r="M14" s="24" t="str">
        <f t="shared" si="5"/>
        <v>6M</v>
      </c>
      <c r="N14" s="14" t="str">
        <f t="shared" si="6"/>
        <v>obj_00146#0009</v>
      </c>
      <c r="O14" s="14" t="b">
        <f t="shared" si="6"/>
        <v>1</v>
      </c>
      <c r="P14" s="14" t="str">
        <v>Dp</v>
      </c>
      <c r="Q14" s="14" t="str">
        <v>6M</v>
      </c>
      <c r="R14" s="14" t="str">
        <v>obj_00146#0009</v>
      </c>
      <c r="S14" s="117">
        <f>_xll.qlRateHelperRate(R14,Trigger)</f>
        <v>4.8800000000000004E-4</v>
      </c>
      <c r="T14" s="15">
        <f>_xll.qlRateHelperEarliestDate(R14,Trigger)</f>
        <v>42201</v>
      </c>
      <c r="U14" s="15">
        <f>_xll.qlRateHelperLatestDate(R14,Trigger)</f>
        <v>42387</v>
      </c>
      <c r="V14" s="117">
        <v>4.7758781340267661E-4</v>
      </c>
    </row>
    <row r="15" spans="1:22" ht="11.25" customHeight="1" x14ac:dyDescent="0.2">
      <c r="A15" s="100" t="s">
        <v>46</v>
      </c>
      <c r="B15" s="100" t="str">
        <v>7M</v>
      </c>
      <c r="C15" s="101" t="str">
        <f>IF(LEFT(B15,1)="#",(_xll.qlCalendarBusinessDaysBetween(Calendar,Settlementdate,DATE(RIGHT(LEFT(B15,5),4),LEFT(RIGHT(B15,4),2),RIGHT(B15,2)),,TRUE,Trigger)-1)&amp;"D",B15)</f>
        <v>7M</v>
      </c>
      <c r="D15" s="102">
        <f t="shared" si="0"/>
        <v>2</v>
      </c>
      <c r="E15" s="103" t="str">
        <f t="shared" si="1"/>
        <v>Modified Following</v>
      </c>
      <c r="F15" s="104" t="str">
        <f t="shared" si="2"/>
        <v>TRUE</v>
      </c>
      <c r="G15" s="105" t="s">
        <v>50</v>
      </c>
      <c r="H15" s="106">
        <v>4.6899999999999996E-4</v>
      </c>
      <c r="I15" s="107" t="str">
        <f>_xll.qlDepositRateHelper2(,H15,IF(RIGHT(C15,1)="N","1D",C15),D15,Calendar,E15,F15,G15,,Trigger)</f>
        <v>obj_00139#0009</v>
      </c>
      <c r="J15" s="102" t="b">
        <f t="shared" si="3"/>
        <v>1</v>
      </c>
      <c r="K15" s="75"/>
      <c r="L15" s="24" t="str">
        <f t="shared" si="4"/>
        <v>Dp</v>
      </c>
      <c r="M15" s="24" t="str">
        <f t="shared" si="5"/>
        <v>7M</v>
      </c>
      <c r="N15" s="14" t="str">
        <f t="shared" si="6"/>
        <v>obj_00139#0009</v>
      </c>
      <c r="O15" s="14" t="b">
        <f t="shared" si="6"/>
        <v>1</v>
      </c>
      <c r="P15" s="14" t="str">
        <v>Dp</v>
      </c>
      <c r="Q15" s="14" t="str">
        <v>7M</v>
      </c>
      <c r="R15" s="14" t="str">
        <v>obj_00139#0009</v>
      </c>
      <c r="S15" s="117">
        <f>_xll.qlRateHelperRate(R15,Trigger)</f>
        <v>4.6899999999999996E-4</v>
      </c>
      <c r="T15" s="15">
        <f>_xll.qlRateHelperEarliestDate(R15,Trigger)</f>
        <v>42201</v>
      </c>
      <c r="U15" s="15">
        <f>_xll.qlRateHelperLatestDate(R15,Trigger)</f>
        <v>42416</v>
      </c>
      <c r="V15" s="117">
        <v>4.6078623454772947E-4</v>
      </c>
    </row>
    <row r="16" spans="1:22" ht="11.25" customHeight="1" x14ac:dyDescent="0.2">
      <c r="A16" s="100" t="s">
        <v>46</v>
      </c>
      <c r="B16" s="100" t="str">
        <v>#20160316</v>
      </c>
      <c r="C16" s="101" t="str">
        <f>IF(LEFT(B16,1)="#",(_xll.qlCalendarBusinessDaysBetween(Calendar,Settlementdate,DATE(RIGHT(LEFT(B16,5),4),LEFT(RIGHT(B16,4),2),RIGHT(B16,2)),,TRUE,Trigger)-1)&amp;"D",B16)</f>
        <v>172D</v>
      </c>
      <c r="D16" s="102">
        <f t="shared" si="0"/>
        <v>2</v>
      </c>
      <c r="E16" s="103" t="str">
        <f t="shared" si="1"/>
        <v>Modified Following</v>
      </c>
      <c r="F16" s="104" t="str">
        <f t="shared" si="2"/>
        <v>TRUE</v>
      </c>
      <c r="G16" s="105" t="s">
        <v>50</v>
      </c>
      <c r="H16" s="106">
        <v>4.3799999999999997E-4</v>
      </c>
      <c r="I16" s="107" t="str">
        <f>_xll.qlDepositRateHelper2(,H16,IF(RIGHT(C16,1)="N","1D",C16),D16,Calendar,E16,F16,G16,,Trigger)</f>
        <v>obj_00188#0008</v>
      </c>
      <c r="J16" s="102" t="b">
        <f t="shared" si="3"/>
        <v>1</v>
      </c>
      <c r="K16" s="75"/>
      <c r="L16" s="24" t="str">
        <f t="shared" si="4"/>
        <v>Dp</v>
      </c>
      <c r="M16" s="24" t="str">
        <f t="shared" si="5"/>
        <v>172D</v>
      </c>
      <c r="N16" s="14" t="str">
        <f t="shared" si="6"/>
        <v>obj_00188#0008</v>
      </c>
      <c r="O16" s="14" t="b">
        <f t="shared" si="6"/>
        <v>1</v>
      </c>
      <c r="P16" s="14" t="str">
        <v>Dp</v>
      </c>
      <c r="Q16" s="14" t="str">
        <v>172D</v>
      </c>
      <c r="R16" s="14" t="str">
        <v>obj_00188#0008</v>
      </c>
      <c r="S16" s="117">
        <f>_xll.qlRateHelperRate(R16,Trigger)</f>
        <v>4.3799999999999997E-4</v>
      </c>
      <c r="T16" s="15">
        <f>_xll.qlRateHelperEarliestDate(R16,Trigger)</f>
        <v>42201</v>
      </c>
      <c r="U16" s="15">
        <f>_xll.qlRateHelperLatestDate(R16,Trigger)</f>
        <v>42445</v>
      </c>
      <c r="V16" s="117">
        <v>4.3134022306699028E-4</v>
      </c>
    </row>
    <row r="17" spans="1:22" ht="11.25" customHeight="1" x14ac:dyDescent="0.2">
      <c r="A17" s="100" t="s">
        <v>46</v>
      </c>
      <c r="B17" s="100" t="e">
        <v>#N/A</v>
      </c>
      <c r="C17" s="101" t="e">
        <f>IF(LEFT(B17,1)="#",(_xll.qlCalendarBusinessDaysBetween(Calendar,Settlementdate,DATE(RIGHT(LEFT(B17,5),4),LEFT(RIGHT(B17,4),2),RIGHT(B17,2)),,TRUE,Trigger)-1)&amp;"D",B17)</f>
        <v>#N/A</v>
      </c>
      <c r="D17" s="102" t="e">
        <f t="shared" si="0"/>
        <v>#N/A</v>
      </c>
      <c r="E17" s="103" t="e">
        <f t="shared" si="1"/>
        <v>#N/A</v>
      </c>
      <c r="F17" s="104" t="e">
        <f t="shared" si="2"/>
        <v>#N/A</v>
      </c>
      <c r="G17" s="105" t="s">
        <v>50</v>
      </c>
      <c r="H17" s="106" t="e">
        <v>#N/A</v>
      </c>
      <c r="I17" s="107" t="e">
        <f>_xll.qlDepositRateHelper2(,H17,IF(RIGHT(C17,1)="N","1D",C17),D17,Calendar,E17,F17,G17,,Trigger)</f>
        <v>#VALUE!</v>
      </c>
      <c r="J17" s="102" t="b">
        <f t="shared" si="3"/>
        <v>0</v>
      </c>
      <c r="K17" s="75"/>
      <c r="L17" s="24" t="str">
        <f t="shared" si="4"/>
        <v>Dp</v>
      </c>
      <c r="M17" s="24" t="e">
        <f t="shared" si="5"/>
        <v>#N/A</v>
      </c>
      <c r="N17" s="14" t="e">
        <f t="shared" si="6"/>
        <v>#VALUE!</v>
      </c>
      <c r="O17" s="14" t="b">
        <f t="shared" si="6"/>
        <v>0</v>
      </c>
      <c r="P17" s="14" t="str">
        <v>Sf</v>
      </c>
      <c r="Q17" s="14" t="str">
        <v>H6</v>
      </c>
      <c r="R17" s="14" t="str">
        <v>obj_000d6#0013</v>
      </c>
      <c r="S17" s="117">
        <f>_xll.qlRateHelperRate(R17,Trigger)</f>
        <v>6.9900000000000517E-4</v>
      </c>
      <c r="T17" s="15">
        <f>_xll.qlRateHelperEarliestDate(R17,Trigger)</f>
        <v>42445</v>
      </c>
      <c r="U17" s="15">
        <f>_xll.qlRateHelperLatestDate(R17,Trigger)</f>
        <v>42537</v>
      </c>
      <c r="V17" s="117">
        <v>5.0681964099895751E-4</v>
      </c>
    </row>
    <row r="18" spans="1:22" ht="11.25" customHeight="1" x14ac:dyDescent="0.2">
      <c r="A18" s="4" t="s">
        <v>46</v>
      </c>
      <c r="B18" s="4" t="e">
        <v>#N/A</v>
      </c>
      <c r="C18" s="21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0"/>
        <v>#N/A</v>
      </c>
      <c r="E18" s="20" t="e">
        <f t="shared" si="1"/>
        <v>#N/A</v>
      </c>
      <c r="F18" s="22" t="e">
        <f t="shared" si="2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5"/>
      <c r="L18" s="25" t="str">
        <f t="shared" si="4"/>
        <v>Dp</v>
      </c>
      <c r="M18" s="25" t="e">
        <f t="shared" si="5"/>
        <v>#N/A</v>
      </c>
      <c r="N18" s="16" t="e">
        <f t="shared" si="6"/>
        <v>#VALUE!</v>
      </c>
      <c r="O18" s="16" t="b">
        <f t="shared" si="6"/>
        <v>0</v>
      </c>
      <c r="P18" s="14" t="str">
        <v>Sf</v>
      </c>
      <c r="Q18" s="14" t="str">
        <v>M6</v>
      </c>
      <c r="R18" s="14" t="str">
        <v>obj_000f5#0011</v>
      </c>
      <c r="S18" s="117">
        <f>_xll.qlRateHelperRate(R18,Trigger)</f>
        <v>8.479999999999599E-4</v>
      </c>
      <c r="T18" s="15">
        <f>_xll.qlRateHelperEarliestDate(R18,Trigger)</f>
        <v>42536</v>
      </c>
      <c r="U18" s="15">
        <f>_xll.qlRateHelperLatestDate(R18,Trigger)</f>
        <v>42628</v>
      </c>
      <c r="V18" s="117">
        <v>5.8184783345852802E-4</v>
      </c>
    </row>
    <row r="19" spans="1:22" ht="11.25" customHeight="1" x14ac:dyDescent="0.2">
      <c r="C19" s="72"/>
      <c r="D19" s="72"/>
      <c r="E19" s="72"/>
      <c r="F19" s="72" t="str">
        <f>_xll.qlEuribor(,"3M",,,Trigger)</f>
        <v>obj_0018c#0014</v>
      </c>
      <c r="K19" s="75"/>
      <c r="L19" s="24" t="str">
        <f>A21</f>
        <v>Sf</v>
      </c>
      <c r="M19" s="24" t="str">
        <f>D21</f>
        <v>H6</v>
      </c>
      <c r="N19" s="24" t="str">
        <f>I21</f>
        <v>obj_000d6#0013</v>
      </c>
      <c r="O19" s="14" t="b">
        <f>J21</f>
        <v>1</v>
      </c>
      <c r="P19" s="14" t="str">
        <v>Sf</v>
      </c>
      <c r="Q19" s="14" t="str">
        <v>U6</v>
      </c>
      <c r="R19" s="14" t="str">
        <v>obj_00103#0011</v>
      </c>
      <c r="S19" s="117">
        <f>_xll.qlRateHelperRate(R19,Trigger)</f>
        <v>1.2360000000000149E-3</v>
      </c>
      <c r="T19" s="15">
        <f>_xll.qlRateHelperEarliestDate(R19,Trigger)</f>
        <v>42634</v>
      </c>
      <c r="U19" s="15">
        <f>_xll.qlRateHelperLatestDate(R19,Trigger)</f>
        <v>42725</v>
      </c>
      <c r="V19" s="117">
        <v>7.0421426488087807E-4</v>
      </c>
    </row>
    <row r="20" spans="1:22" ht="11.25" customHeight="1" x14ac:dyDescent="0.2">
      <c r="A20" s="108" t="s">
        <v>18</v>
      </c>
      <c r="B20" s="108" t="s">
        <v>35</v>
      </c>
      <c r="C20" s="108" t="s">
        <v>35</v>
      </c>
      <c r="D20" s="108" t="s">
        <v>191</v>
      </c>
      <c r="E20" s="108" t="s">
        <v>13</v>
      </c>
      <c r="F20" s="108" t="s">
        <v>9</v>
      </c>
      <c r="G20" s="108" t="s">
        <v>5</v>
      </c>
      <c r="H20" s="108" t="s">
        <v>10</v>
      </c>
      <c r="I20" s="108" t="s">
        <v>43</v>
      </c>
      <c r="J20" s="108" t="s">
        <v>47</v>
      </c>
      <c r="K20" s="75"/>
      <c r="L20" s="24" t="str">
        <f t="shared" ref="L20:L26" si="7">A22</f>
        <v>Sf</v>
      </c>
      <c r="M20" s="24" t="str">
        <f t="shared" ref="M20:M26" si="8">D22</f>
        <v>M6</v>
      </c>
      <c r="N20" s="24" t="str">
        <f t="shared" ref="N20:O26" si="9">I22</f>
        <v>obj_000f5#0011</v>
      </c>
      <c r="O20" s="14" t="b">
        <f t="shared" si="9"/>
        <v>1</v>
      </c>
      <c r="P20" s="14" t="str">
        <v>Sf</v>
      </c>
      <c r="Q20" s="14" t="str">
        <v>Z6</v>
      </c>
      <c r="R20" s="14" t="str">
        <v>obj_000f9#0011</v>
      </c>
      <c r="S20" s="117">
        <f>_xll.qlRateHelperRate(R20,Trigger)</f>
        <v>1.7574999999999674E-3</v>
      </c>
      <c r="T20" s="15">
        <f>_xll.qlRateHelperEarliestDate(R20,Trigger)</f>
        <v>42725</v>
      </c>
      <c r="U20" s="15">
        <f>_xll.qlRateHelperLatestDate(R20,Trigger)</f>
        <v>42815</v>
      </c>
      <c r="V20" s="117">
        <v>8.6161259243100171E-4</v>
      </c>
    </row>
    <row r="21" spans="1:22" ht="11.25" customHeight="1" x14ac:dyDescent="0.2">
      <c r="A21" s="120" t="s">
        <v>44</v>
      </c>
      <c r="B21" s="121">
        <f t="shared" ref="B21:B28" si="10">DATE(2000+RIGHT(C21,2),RIGHT(LEFT(C21,5),2),LEFT(C21,2))</f>
        <v>54343</v>
      </c>
      <c r="C21" s="148">
        <f t="array" ref="C21:C28">_xll.ohFilter(PastedValue!V2:V62,PastedValue!U2:U62="Sf")</f>
        <v>42445</v>
      </c>
      <c r="D21" s="122" t="str">
        <f>_xll.qlIMMcode(C21)</f>
        <v>H6</v>
      </c>
      <c r="E21" s="95" t="s">
        <v>15</v>
      </c>
      <c r="F21" s="151" t="str">
        <f>$F$19</f>
        <v>obj_0018c#0014</v>
      </c>
      <c r="G21" s="124">
        <f t="array" ref="G21:G28">_xll.ohFilter(PastedValue!AB2:AB62,PastedValue!U2:U62="Sf")</f>
        <v>99.930099999999996</v>
      </c>
      <c r="H21" s="125">
        <v>0</v>
      </c>
      <c r="I21" s="126" t="str">
        <f>_xll.qlFuturesRateHelper(,$G21,"IMM",$D21,$F21,$H21,Permanent,Trigger,ObjectOverwrite)</f>
        <v>obj_000d6#0013</v>
      </c>
      <c r="J21" s="94" t="b">
        <f>IF(ISNUMBER(G21),TRUE,FALSE)</f>
        <v>1</v>
      </c>
      <c r="K21" s="75"/>
      <c r="L21" s="24" t="str">
        <f t="shared" si="7"/>
        <v>Sf</v>
      </c>
      <c r="M21" s="24" t="str">
        <f t="shared" si="8"/>
        <v>U6</v>
      </c>
      <c r="N21" s="24" t="str">
        <f t="shared" si="9"/>
        <v>obj_00103#0011</v>
      </c>
      <c r="O21" s="14" t="b">
        <f t="shared" si="9"/>
        <v>1</v>
      </c>
      <c r="P21" s="14" t="str">
        <v>Sf</v>
      </c>
      <c r="Q21" s="14" t="str">
        <v>H7</v>
      </c>
      <c r="R21" s="14" t="str">
        <v>obj_000de#0011</v>
      </c>
      <c r="S21" s="117">
        <f>_xll.qlRateHelperRate(R21,Trigger)</f>
        <v>2.31899999999996E-3</v>
      </c>
      <c r="T21" s="15">
        <f>_xll.qlRateHelperEarliestDate(R21,Trigger)</f>
        <v>42809</v>
      </c>
      <c r="U21" s="15">
        <f>_xll.qlRateHelperLatestDate(R21,Trigger)</f>
        <v>42901</v>
      </c>
      <c r="V21" s="117">
        <v>1.0476209564497967E-3</v>
      </c>
    </row>
    <row r="22" spans="1:22" ht="11.25" customHeight="1" x14ac:dyDescent="0.2">
      <c r="A22" s="127" t="s">
        <v>44</v>
      </c>
      <c r="B22" s="128">
        <f t="shared" si="10"/>
        <v>50781</v>
      </c>
      <c r="C22" s="149">
        <v>42536</v>
      </c>
      <c r="D22" s="129" t="str">
        <f>_xll.qlIMMcode(C22)</f>
        <v>M6</v>
      </c>
      <c r="E22" s="103" t="s">
        <v>15</v>
      </c>
      <c r="F22" s="152" t="str">
        <f t="shared" ref="F22:F28" si="11">$F$19</f>
        <v>obj_0018c#0014</v>
      </c>
      <c r="G22" s="131">
        <v>99.915199999999999</v>
      </c>
      <c r="H22" s="132">
        <v>0</v>
      </c>
      <c r="I22" s="133" t="str">
        <f>_xll.qlFuturesRateHelper(,$G22,"IMM",$D22,$F22,$H22,Permanent,Trigger,ObjectOverwrite)</f>
        <v>obj_000f5#0011</v>
      </c>
      <c r="J22" s="133" t="b">
        <f t="shared" ref="J22:J28" si="12">IF(ISNUMBER(G22),TRUE,FALSE)</f>
        <v>1</v>
      </c>
      <c r="K22" s="75"/>
      <c r="L22" s="24" t="str">
        <f t="shared" si="7"/>
        <v>Sf</v>
      </c>
      <c r="M22" s="24" t="str">
        <f t="shared" si="8"/>
        <v>Z6</v>
      </c>
      <c r="N22" s="24" t="str">
        <f t="shared" si="9"/>
        <v>obj_000f9#0011</v>
      </c>
      <c r="O22" s="14" t="b">
        <f t="shared" si="9"/>
        <v>1</v>
      </c>
      <c r="P22" s="14" t="str">
        <v>Sf</v>
      </c>
      <c r="Q22" s="14" t="str">
        <v>M7</v>
      </c>
      <c r="R22" s="14" t="str">
        <v>obj_00112#0011</v>
      </c>
      <c r="S22" s="117">
        <f>_xll.qlRateHelperRate(R22,Trigger)</f>
        <v>2.7599999999999847E-3</v>
      </c>
      <c r="T22" s="15">
        <f>_xll.qlRateHelperEarliestDate(R22,Trigger)</f>
        <v>42907</v>
      </c>
      <c r="U22" s="15">
        <f>_xll.qlRateHelperLatestDate(R22,Trigger)</f>
        <v>42999</v>
      </c>
      <c r="V22" s="117">
        <v>1.2603667928517276E-3</v>
      </c>
    </row>
    <row r="23" spans="1:22" ht="11.25" customHeight="1" x14ac:dyDescent="0.2">
      <c r="A23" s="127" t="s">
        <v>44</v>
      </c>
      <c r="B23" s="128">
        <f t="shared" si="10"/>
        <v>49990</v>
      </c>
      <c r="C23" s="149">
        <v>42634</v>
      </c>
      <c r="D23" s="129" t="str">
        <f>_xll.qlIMMcode(C23)</f>
        <v>U6</v>
      </c>
      <c r="E23" s="103" t="s">
        <v>15</v>
      </c>
      <c r="F23" s="152" t="str">
        <f t="shared" si="11"/>
        <v>obj_0018c#0014</v>
      </c>
      <c r="G23" s="131">
        <v>99.876400000000004</v>
      </c>
      <c r="H23" s="132">
        <v>0</v>
      </c>
      <c r="I23" s="133" t="str">
        <f>_xll.qlFuturesRateHelper(,$G23,"IMM",$D23,$F23,$H23,Permanent,Trigger,ObjectOverwrite)</f>
        <v>obj_00103#0011</v>
      </c>
      <c r="J23" s="133" t="b">
        <f t="shared" si="12"/>
        <v>1</v>
      </c>
      <c r="K23" s="75"/>
      <c r="L23" s="24" t="str">
        <f t="shared" si="7"/>
        <v>Sf</v>
      </c>
      <c r="M23" s="24" t="str">
        <f t="shared" si="8"/>
        <v>H7</v>
      </c>
      <c r="N23" s="24" t="str">
        <f t="shared" si="9"/>
        <v>obj_000de#0011</v>
      </c>
      <c r="O23" s="14" t="b">
        <f t="shared" si="9"/>
        <v>1</v>
      </c>
      <c r="P23" s="14" t="str">
        <v>Sw</v>
      </c>
      <c r="Q23" s="14" t="str">
        <v>3Y</v>
      </c>
      <c r="R23" s="14" t="str">
        <v>obj_00120#0009</v>
      </c>
      <c r="S23" s="117">
        <f>_xll.qlRateHelperRate(R23,Trigger)</f>
        <v>2.0599999999999998E-3</v>
      </c>
      <c r="T23" s="15">
        <f>_xll.qlRateHelperEarliestDate(R23,Trigger)</f>
        <v>42201</v>
      </c>
      <c r="U23" s="15">
        <f>_xll.qlRateHelperLatestDate(R23,Trigger)</f>
        <v>43297</v>
      </c>
      <c r="V23" s="117">
        <v>2.0504425430052731E-3</v>
      </c>
    </row>
    <row r="24" spans="1:22" ht="11.25" customHeight="1" x14ac:dyDescent="0.2">
      <c r="A24" s="127" t="s">
        <v>44</v>
      </c>
      <c r="B24" s="128">
        <f t="shared" si="10"/>
        <v>46429</v>
      </c>
      <c r="C24" s="149">
        <v>42725</v>
      </c>
      <c r="D24" s="129" t="str">
        <f>_xll.qlIMMcode(C24)</f>
        <v>Z6</v>
      </c>
      <c r="E24" s="103" t="s">
        <v>15</v>
      </c>
      <c r="F24" s="152" t="str">
        <f t="shared" si="11"/>
        <v>obj_0018c#0014</v>
      </c>
      <c r="G24" s="131">
        <v>99.824250000000006</v>
      </c>
      <c r="H24" s="132">
        <v>0</v>
      </c>
      <c r="I24" s="133" t="str">
        <f>_xll.qlFuturesRateHelper(,$G24,"IMM",$D24,$F24,$H24,Permanent,Trigger,ObjectOverwrite)</f>
        <v>obj_000f9#0011</v>
      </c>
      <c r="J24" s="133" t="b">
        <f t="shared" si="12"/>
        <v>1</v>
      </c>
      <c r="K24" s="75"/>
      <c r="L24" s="24" t="str">
        <f t="shared" si="7"/>
        <v>Sf</v>
      </c>
      <c r="M24" s="24" t="str">
        <f t="shared" si="8"/>
        <v>M7</v>
      </c>
      <c r="N24" s="24" t="str">
        <f t="shared" si="9"/>
        <v>obj_00112#0011</v>
      </c>
      <c r="O24" s="14" t="b">
        <f t="shared" si="9"/>
        <v>1</v>
      </c>
      <c r="P24" s="14" t="str">
        <v>Sw</v>
      </c>
      <c r="Q24" s="14" t="str">
        <v>4Y</v>
      </c>
      <c r="R24" s="14" t="str">
        <v>obj_000f3#0009</v>
      </c>
      <c r="S24" s="117">
        <f>_xll.qlRateHelperRate(R24,Trigger)</f>
        <v>3.4200000000000003E-3</v>
      </c>
      <c r="T24" s="15">
        <f>_xll.qlRateHelperEarliestDate(R24,Trigger)</f>
        <v>42201</v>
      </c>
      <c r="U24" s="15">
        <f>_xll.qlRateHelperLatestDate(R24,Trigger)</f>
        <v>43662</v>
      </c>
      <c r="V24" s="117">
        <v>3.4096092529641298E-3</v>
      </c>
    </row>
    <row r="25" spans="1:22" ht="11.25" customHeight="1" x14ac:dyDescent="0.2">
      <c r="A25" s="127" t="s">
        <v>44</v>
      </c>
      <c r="B25" s="128">
        <f t="shared" si="10"/>
        <v>40098</v>
      </c>
      <c r="C25" s="149">
        <v>42809</v>
      </c>
      <c r="D25" s="129" t="str">
        <f>_xll.qlIMMcode(C25)</f>
        <v>H7</v>
      </c>
      <c r="E25" s="103" t="s">
        <v>15</v>
      </c>
      <c r="F25" s="152" t="str">
        <f t="shared" si="11"/>
        <v>obj_0018c#0014</v>
      </c>
      <c r="G25" s="131">
        <v>99.768100000000004</v>
      </c>
      <c r="H25" s="132">
        <v>0</v>
      </c>
      <c r="I25" s="133" t="str">
        <f>_xll.qlFuturesRateHelper(,$G25,"IMM",$D25,$F25,$H25,Permanent,Trigger,ObjectOverwrite)</f>
        <v>obj_000de#0011</v>
      </c>
      <c r="J25" s="133" t="b">
        <f t="shared" si="12"/>
        <v>1</v>
      </c>
      <c r="K25" s="75"/>
      <c r="L25" s="24" t="str">
        <f t="shared" si="7"/>
        <v>Sf</v>
      </c>
      <c r="M25" s="24" t="e">
        <f t="shared" si="8"/>
        <v>#NUM!</v>
      </c>
      <c r="N25" s="24" t="e">
        <f t="shared" si="9"/>
        <v>#NUM!</v>
      </c>
      <c r="O25" s="14" t="b">
        <f t="shared" si="9"/>
        <v>0</v>
      </c>
      <c r="P25" s="14" t="str">
        <v>Sw</v>
      </c>
      <c r="Q25" s="14" t="str">
        <v>5Y</v>
      </c>
      <c r="R25" s="14" t="str">
        <v>obj_000e7#0009</v>
      </c>
      <c r="S25" s="117">
        <f>_xll.qlRateHelperRate(R25,Trigger)</f>
        <v>5.0099999999999997E-3</v>
      </c>
      <c r="T25" s="15">
        <f>_xll.qlRateHelperEarliestDate(R25,Trigger)</f>
        <v>42201</v>
      </c>
      <c r="U25" s="15">
        <f>_xll.qlRateHelperLatestDate(R25,Trigger)</f>
        <v>44028</v>
      </c>
      <c r="V25" s="117">
        <v>5.0011181675505313E-3</v>
      </c>
    </row>
    <row r="26" spans="1:22" ht="11.25" customHeight="1" x14ac:dyDescent="0.2">
      <c r="A26" s="127" t="s">
        <v>44</v>
      </c>
      <c r="B26" s="128">
        <f t="shared" si="10"/>
        <v>39305</v>
      </c>
      <c r="C26" s="149">
        <v>42907</v>
      </c>
      <c r="D26" s="129" t="str">
        <f>_xll.qlIMMcode(C26)</f>
        <v>M7</v>
      </c>
      <c r="E26" s="103" t="s">
        <v>15</v>
      </c>
      <c r="F26" s="152" t="str">
        <f t="shared" si="11"/>
        <v>obj_0018c#0014</v>
      </c>
      <c r="G26" s="131">
        <v>99.724000000000004</v>
      </c>
      <c r="H26" s="132">
        <v>0</v>
      </c>
      <c r="I26" s="133" t="str">
        <f>_xll.qlFuturesRateHelper(,$G26,"IMM",$D26,$F26,$H26,Permanent,Trigger,ObjectOverwrite)</f>
        <v>obj_00112#0011</v>
      </c>
      <c r="J26" s="133" t="b">
        <f t="shared" si="12"/>
        <v>1</v>
      </c>
      <c r="K26" s="75"/>
      <c r="L26" s="25" t="str">
        <f t="shared" si="7"/>
        <v>Sf</v>
      </c>
      <c r="M26" s="25" t="e">
        <f t="shared" si="8"/>
        <v>#NUM!</v>
      </c>
      <c r="N26" s="25" t="e">
        <f t="shared" si="9"/>
        <v>#NUM!</v>
      </c>
      <c r="O26" s="16" t="b">
        <f t="shared" si="9"/>
        <v>0</v>
      </c>
      <c r="P26" s="14" t="str">
        <v>Sw</v>
      </c>
      <c r="Q26" s="14" t="str">
        <v>6Y</v>
      </c>
      <c r="R26" s="14" t="str">
        <v>obj_000d4#0009</v>
      </c>
      <c r="S26" s="117">
        <f>_xll.qlRateHelperRate(R26,Trigger)</f>
        <v>6.62E-3</v>
      </c>
      <c r="T26" s="15">
        <f>_xll.qlRateHelperEarliestDate(R26,Trigger)</f>
        <v>42201</v>
      </c>
      <c r="U26" s="15">
        <f>_xll.qlRateHelperLatestDate(R26,Trigger)</f>
        <v>44393</v>
      </c>
      <c r="V26" s="117">
        <v>6.6236070463724355E-3</v>
      </c>
    </row>
    <row r="27" spans="1:22" ht="11.25" customHeight="1" x14ac:dyDescent="0.2">
      <c r="A27" s="127" t="s">
        <v>44</v>
      </c>
      <c r="B27" s="128" t="e">
        <f t="shared" si="10"/>
        <v>#N/A</v>
      </c>
      <c r="C27" s="149" t="e">
        <v>#N/A</v>
      </c>
      <c r="D27" s="129" t="e">
        <f>_xll.qlIMMcode(C27)</f>
        <v>#NUM!</v>
      </c>
      <c r="E27" s="103" t="s">
        <v>15</v>
      </c>
      <c r="F27" s="152" t="str">
        <f t="shared" si="11"/>
        <v>obj_0018c#0014</v>
      </c>
      <c r="G27" s="131" t="e">
        <v>#N/A</v>
      </c>
      <c r="H27" s="132">
        <v>0</v>
      </c>
      <c r="I27" s="133" t="e">
        <f>_xll.qlFuturesRateHelper(,$G27,"IMM",$D27,$F27,$H27,Permanent,Trigger,ObjectOverwrite)</f>
        <v>#NUM!</v>
      </c>
      <c r="J27" s="133" t="b">
        <f t="shared" si="12"/>
        <v>0</v>
      </c>
      <c r="K27" s="75"/>
      <c r="L27" s="24" t="str">
        <f>A32</f>
        <v>Sw</v>
      </c>
      <c r="M27" s="24" t="str">
        <f>D32</f>
        <v>3Y</v>
      </c>
      <c r="N27" s="24" t="str">
        <f>I32</f>
        <v>obj_00120#0009</v>
      </c>
      <c r="O27" s="24" t="b">
        <f>J32</f>
        <v>1</v>
      </c>
      <c r="P27" s="14" t="str">
        <v>Sw</v>
      </c>
      <c r="Q27" s="14" t="str">
        <v>7Y</v>
      </c>
      <c r="R27" s="14" t="str">
        <v>obj_000d3#0009</v>
      </c>
      <c r="S27" s="117">
        <f>_xll.qlRateHelperRate(R27,Trigger)</f>
        <v>8.1899999999999994E-3</v>
      </c>
      <c r="T27" s="15">
        <f>_xll.qlRateHelperEarliestDate(R27,Trigger)</f>
        <v>42201</v>
      </c>
      <c r="U27" s="15">
        <f>_xll.qlRateHelperLatestDate(R27,Trigger)</f>
        <v>44760</v>
      </c>
      <c r="V27" s="117">
        <v>8.2164096262724601E-3</v>
      </c>
    </row>
    <row r="28" spans="1:22" ht="11.25" customHeight="1" x14ac:dyDescent="0.2">
      <c r="A28" s="23" t="s">
        <v>44</v>
      </c>
      <c r="B28" s="10" t="e">
        <f t="shared" si="10"/>
        <v>#N/A</v>
      </c>
      <c r="C28" s="150" t="e">
        <v>#N/A</v>
      </c>
      <c r="D28" s="9" t="e">
        <f>_xll.qlIMMcode(C28)</f>
        <v>#NUM!</v>
      </c>
      <c r="E28" s="20" t="s">
        <v>15</v>
      </c>
      <c r="F28" s="28" t="str">
        <f t="shared" si="11"/>
        <v>obj_0018c#0014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2" t="b">
        <f t="shared" si="12"/>
        <v>0</v>
      </c>
      <c r="K28" s="75"/>
      <c r="L28" s="24" t="str">
        <f t="shared" ref="L28:L71" si="13">A33</f>
        <v>Sw</v>
      </c>
      <c r="M28" s="24" t="str">
        <f t="shared" ref="M28:M71" si="14">D33</f>
        <v>4Y</v>
      </c>
      <c r="N28" s="24" t="str">
        <f t="shared" ref="N28:O43" si="15">I33</f>
        <v>obj_000f3#0009</v>
      </c>
      <c r="O28" s="24" t="b">
        <f t="shared" si="15"/>
        <v>1</v>
      </c>
      <c r="P28" s="14" t="str">
        <v>Sw</v>
      </c>
      <c r="Q28" s="14" t="str">
        <v>8Y</v>
      </c>
      <c r="R28" s="14" t="str">
        <v>obj_0011f#0009</v>
      </c>
      <c r="S28" s="117">
        <f>_xll.qlRateHelperRate(R28,Trigger)</f>
        <v>9.6399999999999993E-3</v>
      </c>
      <c r="T28" s="15">
        <f>_xll.qlRateHelperEarliestDate(R28,Trigger)</f>
        <v>42201</v>
      </c>
      <c r="U28" s="15">
        <f>_xll.qlRateHelperLatestDate(R28,Trigger)</f>
        <v>45124</v>
      </c>
      <c r="V28" s="117">
        <v>9.6987942889816426E-3</v>
      </c>
    </row>
    <row r="29" spans="1:22" ht="11.25" customHeight="1" x14ac:dyDescent="0.2">
      <c r="K29" s="75"/>
      <c r="L29" s="24" t="str">
        <f t="shared" si="13"/>
        <v>Sw</v>
      </c>
      <c r="M29" s="24" t="str">
        <f t="shared" si="14"/>
        <v>5Y</v>
      </c>
      <c r="N29" s="24" t="str">
        <f t="shared" si="15"/>
        <v>obj_000e7#0009</v>
      </c>
      <c r="O29" s="24" t="b">
        <f t="shared" si="15"/>
        <v>1</v>
      </c>
      <c r="P29" s="14" t="str">
        <v>Sw</v>
      </c>
      <c r="Q29" s="14" t="str">
        <v>9Y</v>
      </c>
      <c r="R29" s="14" t="str">
        <v>obj_000d5#0009</v>
      </c>
      <c r="S29" s="117">
        <f>_xll.qlRateHelperRate(R29,Trigger)</f>
        <v>1.094E-2</v>
      </c>
      <c r="T29" s="15">
        <f>_xll.qlRateHelperEarliestDate(R29,Trigger)</f>
        <v>42201</v>
      </c>
      <c r="U29" s="15">
        <f>_xll.qlRateHelperLatestDate(R29,Trigger)</f>
        <v>45489</v>
      </c>
      <c r="V29" s="117">
        <v>1.1035329988429507E-2</v>
      </c>
    </row>
    <row r="30" spans="1:22" ht="11.25" customHeight="1" x14ac:dyDescent="0.2">
      <c r="C30" s="72"/>
      <c r="D30" s="72"/>
      <c r="E30" s="72"/>
      <c r="G30" s="91" t="s">
        <v>7</v>
      </c>
      <c r="H30" s="108" t="s">
        <v>9</v>
      </c>
      <c r="I30" s="2" t="str">
        <f>_xll.qlEuribor(,G30,,,Trigger)</f>
        <v>obj_000b6#0008</v>
      </c>
      <c r="J30" s="72"/>
      <c r="K30" s="75"/>
      <c r="L30" s="24" t="str">
        <f t="shared" si="13"/>
        <v>Sw</v>
      </c>
      <c r="M30" s="24" t="str">
        <f t="shared" si="14"/>
        <v>6Y</v>
      </c>
      <c r="N30" s="24" t="str">
        <f t="shared" si="15"/>
        <v>obj_000d4#0009</v>
      </c>
      <c r="O30" s="24" t="b">
        <f t="shared" si="15"/>
        <v>1</v>
      </c>
      <c r="P30" s="14" t="str">
        <v>Sw</v>
      </c>
      <c r="Q30" s="14" t="str">
        <v>10Y</v>
      </c>
      <c r="R30" s="14" t="str">
        <v>obj_00105#0009</v>
      </c>
      <c r="S30" s="117">
        <f>_xll.qlRateHelperRate(R30,Trigger)</f>
        <v>1.208E-2</v>
      </c>
      <c r="T30" s="15">
        <f>_xll.qlRateHelperEarliestDate(R30,Trigger)</f>
        <v>42201</v>
      </c>
      <c r="U30" s="15">
        <f>_xll.qlRateHelperLatestDate(R30,Trigger)</f>
        <v>45854</v>
      </c>
      <c r="V30" s="117">
        <v>1.2219859110336786E-2</v>
      </c>
    </row>
    <row r="31" spans="1:22" ht="11.25" customHeight="1" x14ac:dyDescent="0.2">
      <c r="A31" s="108" t="s">
        <v>18</v>
      </c>
      <c r="B31" s="108"/>
      <c r="C31" s="108" t="s">
        <v>11</v>
      </c>
      <c r="D31" s="108" t="s">
        <v>1</v>
      </c>
      <c r="E31" s="108" t="s">
        <v>13</v>
      </c>
      <c r="F31" s="108" t="s">
        <v>12</v>
      </c>
      <c r="G31" s="108" t="s">
        <v>4</v>
      </c>
      <c r="H31" s="108" t="s">
        <v>5</v>
      </c>
      <c r="I31" s="108" t="s">
        <v>43</v>
      </c>
      <c r="J31" s="108" t="s">
        <v>47</v>
      </c>
      <c r="K31" s="75"/>
      <c r="L31" s="24" t="str">
        <f t="shared" si="13"/>
        <v>Sw</v>
      </c>
      <c r="M31" s="24" t="str">
        <f t="shared" si="14"/>
        <v>7Y</v>
      </c>
      <c r="N31" s="24" t="str">
        <f t="shared" si="15"/>
        <v>obj_000d3#0009</v>
      </c>
      <c r="O31" s="24" t="b">
        <f t="shared" si="15"/>
        <v>1</v>
      </c>
      <c r="P31" s="14" t="str">
        <v>Sw</v>
      </c>
      <c r="Q31" s="14" t="str">
        <v>11Y</v>
      </c>
      <c r="R31" s="14" t="str">
        <v>obj_00102#0009</v>
      </c>
      <c r="S31" s="117">
        <f>_xll.qlRateHelperRate(R31,Trigger)</f>
        <v>1.3086866210000001E-2</v>
      </c>
      <c r="T31" s="15">
        <f>_xll.qlRateHelperEarliestDate(R31,Trigger)</f>
        <v>42201</v>
      </c>
      <c r="U31" s="15">
        <f>_xll.qlRateHelperLatestDate(R31,Trigger)</f>
        <v>46219</v>
      </c>
      <c r="V31" s="117">
        <v>1.3274656375145273E-2</v>
      </c>
    </row>
    <row r="32" spans="1:22" ht="11.25" customHeight="1" x14ac:dyDescent="0.2">
      <c r="A32" s="99" t="s">
        <v>45</v>
      </c>
      <c r="B32" s="134"/>
      <c r="C32" s="134" t="s">
        <v>14</v>
      </c>
      <c r="D32" s="135" t="str">
        <f t="array" ref="D32:D76">_xll.ohFilter(PastedValue!Y2:Y62,PastedValue!U2:U62="Sw")</f>
        <v>3Y</v>
      </c>
      <c r="E32" s="123" t="s">
        <v>15</v>
      </c>
      <c r="F32" s="134" t="s">
        <v>16</v>
      </c>
      <c r="G32" s="123" t="s">
        <v>17</v>
      </c>
      <c r="H32" s="136">
        <f t="array" ref="H32:H76">_xll.ohFilter(PastedValue!AB2:AB62,PastedValue!U2:U62="Sw")/100</f>
        <v>2.0599999999999998E-3</v>
      </c>
      <c r="I32" s="97" t="str">
        <f>_xll.qlSwapRateHelper2(,$H32,,$D32,Calendar,$F32,$E32,$G32,$I$30,0,C32,Discounting,Permanent,Trigger,ObjectOverwrite)</f>
        <v>obj_00120#0009</v>
      </c>
      <c r="J32" s="94" t="b">
        <f t="shared" ref="J32:J76" si="16">IF(ISNUMBER(H32),TRUE,FALSE)</f>
        <v>1</v>
      </c>
      <c r="L32" s="24" t="str">
        <f t="shared" si="13"/>
        <v>Sw</v>
      </c>
      <c r="M32" s="24" t="str">
        <f t="shared" si="14"/>
        <v>8Y</v>
      </c>
      <c r="N32" s="24" t="str">
        <f t="shared" si="15"/>
        <v>obj_0011f#0009</v>
      </c>
      <c r="O32" s="24" t="b">
        <f t="shared" si="15"/>
        <v>1</v>
      </c>
      <c r="P32" s="14" t="str">
        <v>Sw</v>
      </c>
      <c r="Q32" s="14" t="str">
        <v>12Y</v>
      </c>
      <c r="R32" s="14" t="str">
        <v>obj_000d2#0009</v>
      </c>
      <c r="S32" s="117">
        <f>_xll.qlRateHelperRate(R32,Trigger)</f>
        <v>1.3959999999999998E-2</v>
      </c>
      <c r="T32" s="15">
        <f>_xll.qlRateHelperEarliestDate(R32,Trigger)</f>
        <v>42201</v>
      </c>
      <c r="U32" s="15">
        <f>_xll.qlRateHelperLatestDate(R32,Trigger)</f>
        <v>46584</v>
      </c>
      <c r="V32" s="117">
        <v>1.4196403385676805E-2</v>
      </c>
    </row>
    <row r="33" spans="1:22" ht="11.25" customHeight="1" x14ac:dyDescent="0.2">
      <c r="A33" s="107" t="s">
        <v>45</v>
      </c>
      <c r="B33" s="137"/>
      <c r="C33" s="137" t="s">
        <v>14</v>
      </c>
      <c r="D33" s="138" t="str">
        <v>4Y</v>
      </c>
      <c r="E33" s="130" t="s">
        <v>15</v>
      </c>
      <c r="F33" s="137" t="s">
        <v>16</v>
      </c>
      <c r="G33" s="130" t="s">
        <v>17</v>
      </c>
      <c r="H33" s="139">
        <v>3.4200000000000003E-3</v>
      </c>
      <c r="I33" s="105" t="str">
        <f>_xll.qlSwapRateHelper2(,$H33,,$D33,Calendar,$F33,$E33,$G33,$I$30,0,C33,Discounting,Permanent,Trigger,ObjectOverwrite)</f>
        <v>obj_000f3#0009</v>
      </c>
      <c r="J33" s="102" t="b">
        <f t="shared" si="16"/>
        <v>1</v>
      </c>
      <c r="L33" s="24" t="str">
        <f t="shared" si="13"/>
        <v>Sw</v>
      </c>
      <c r="M33" s="24" t="str">
        <f t="shared" si="14"/>
        <v>9Y</v>
      </c>
      <c r="N33" s="24" t="str">
        <f t="shared" si="15"/>
        <v>obj_000d5#0009</v>
      </c>
      <c r="O33" s="24" t="b">
        <f t="shared" si="15"/>
        <v>1</v>
      </c>
      <c r="P33" s="14" t="str">
        <v>Sw</v>
      </c>
      <c r="Q33" s="14" t="str">
        <v>13Y</v>
      </c>
      <c r="R33" s="14" t="str">
        <v>obj_0011e#0009</v>
      </c>
      <c r="S33" s="117">
        <f>_xll.qlRateHelperRate(R33,Trigger)</f>
        <v>1.470642713E-2</v>
      </c>
      <c r="T33" s="15">
        <f>_xll.qlRateHelperEarliestDate(R33,Trigger)</f>
        <v>42201</v>
      </c>
      <c r="U33" s="15">
        <f>_xll.qlRateHelperLatestDate(R33,Trigger)</f>
        <v>46951</v>
      </c>
      <c r="V33" s="117">
        <v>1.4986593141392845E-2</v>
      </c>
    </row>
    <row r="34" spans="1:22" ht="11.25" customHeight="1" x14ac:dyDescent="0.2">
      <c r="A34" s="107" t="s">
        <v>45</v>
      </c>
      <c r="B34" s="137"/>
      <c r="C34" s="137" t="s">
        <v>14</v>
      </c>
      <c r="D34" s="138" t="str">
        <v>5Y</v>
      </c>
      <c r="E34" s="130" t="s">
        <v>15</v>
      </c>
      <c r="F34" s="137" t="s">
        <v>16</v>
      </c>
      <c r="G34" s="130" t="s">
        <v>17</v>
      </c>
      <c r="H34" s="139">
        <v>5.0099999999999997E-3</v>
      </c>
      <c r="I34" s="105" t="str">
        <f>_xll.qlSwapRateHelper2(,$H34,,$D34,Calendar,$F34,$E34,$G34,$I$30,0,C34,Discounting,Permanent,Trigger,ObjectOverwrite)</f>
        <v>obj_000e7#0009</v>
      </c>
      <c r="J34" s="102" t="b">
        <f t="shared" si="16"/>
        <v>1</v>
      </c>
      <c r="L34" s="24" t="str">
        <f t="shared" si="13"/>
        <v>Sw</v>
      </c>
      <c r="M34" s="24" t="str">
        <f t="shared" si="14"/>
        <v>10Y</v>
      </c>
      <c r="N34" s="24" t="str">
        <f t="shared" si="15"/>
        <v>obj_00105#0009</v>
      </c>
      <c r="O34" s="24" t="b">
        <f t="shared" si="15"/>
        <v>1</v>
      </c>
      <c r="P34" s="14" t="str">
        <v>Sw</v>
      </c>
      <c r="Q34" s="14" t="str">
        <v>14Y</v>
      </c>
      <c r="R34" s="14" t="str">
        <v>obj_0010f#0009</v>
      </c>
      <c r="S34" s="117">
        <f>_xll.qlRateHelperRate(R34,Trigger)</f>
        <v>1.533012314E-2</v>
      </c>
      <c r="T34" s="15">
        <f>_xll.qlRateHelperEarliestDate(R34,Trigger)</f>
        <v>42201</v>
      </c>
      <c r="U34" s="15">
        <f>_xll.qlRateHelperLatestDate(R34,Trigger)</f>
        <v>47315</v>
      </c>
      <c r="V34" s="117">
        <v>1.5652877923828742E-2</v>
      </c>
    </row>
    <row r="35" spans="1:22" ht="11.25" customHeight="1" x14ac:dyDescent="0.2">
      <c r="A35" s="107" t="s">
        <v>45</v>
      </c>
      <c r="B35" s="137"/>
      <c r="C35" s="137" t="s">
        <v>14</v>
      </c>
      <c r="D35" s="138" t="str">
        <v>6Y</v>
      </c>
      <c r="E35" s="130" t="s">
        <v>15</v>
      </c>
      <c r="F35" s="137" t="s">
        <v>16</v>
      </c>
      <c r="G35" s="130" t="s">
        <v>17</v>
      </c>
      <c r="H35" s="139">
        <v>6.62E-3</v>
      </c>
      <c r="I35" s="105" t="str">
        <f>_xll.qlSwapRateHelper2(,$H35,,$D35,Calendar,$F35,$E35,$G35,$I$30,0,C35,Discounting,Permanent,Trigger,ObjectOverwrite)</f>
        <v>obj_000d4#0009</v>
      </c>
      <c r="J35" s="102" t="b">
        <f t="shared" si="16"/>
        <v>1</v>
      </c>
      <c r="L35" s="24" t="str">
        <f t="shared" si="13"/>
        <v>Sw</v>
      </c>
      <c r="M35" s="24" t="str">
        <f t="shared" si="14"/>
        <v>11Y</v>
      </c>
      <c r="N35" s="24" t="str">
        <f t="shared" si="15"/>
        <v>obj_00102#0009</v>
      </c>
      <c r="O35" s="24" t="b">
        <f t="shared" si="15"/>
        <v>1</v>
      </c>
      <c r="P35" s="14" t="str">
        <v>Sw</v>
      </c>
      <c r="Q35" s="14" t="str">
        <v>15Y</v>
      </c>
      <c r="R35" s="14" t="str">
        <v>obj_000e9#0009</v>
      </c>
      <c r="S35" s="117">
        <f>_xll.qlRateHelperRate(R35,Trigger)</f>
        <v>1.5859999999999999E-2</v>
      </c>
      <c r="T35" s="15">
        <f>_xll.qlRateHelperEarliestDate(R35,Trigger)</f>
        <v>42201</v>
      </c>
      <c r="U35" s="15">
        <f>_xll.qlRateHelperLatestDate(R35,Trigger)</f>
        <v>47680</v>
      </c>
      <c r="V35" s="117">
        <v>1.6221180609984877E-2</v>
      </c>
    </row>
    <row r="36" spans="1:22" ht="11.25" customHeight="1" x14ac:dyDescent="0.2">
      <c r="A36" s="107" t="s">
        <v>45</v>
      </c>
      <c r="B36" s="137"/>
      <c r="C36" s="137" t="s">
        <v>14</v>
      </c>
      <c r="D36" s="138" t="str">
        <v>7Y</v>
      </c>
      <c r="E36" s="130" t="s">
        <v>15</v>
      </c>
      <c r="F36" s="137" t="s">
        <v>16</v>
      </c>
      <c r="G36" s="130" t="s">
        <v>17</v>
      </c>
      <c r="H36" s="139">
        <v>8.1899999999999994E-3</v>
      </c>
      <c r="I36" s="105" t="str">
        <f>_xll.qlSwapRateHelper2(,$H36,,$D36,Calendar,$F36,$E36,$G36,$I$30,0,C36,Discounting,Permanent,Trigger,ObjectOverwrite)</f>
        <v>obj_000d3#0009</v>
      </c>
      <c r="J36" s="102" t="b">
        <f t="shared" si="16"/>
        <v>1</v>
      </c>
      <c r="L36" s="24" t="str">
        <f t="shared" si="13"/>
        <v>Sw</v>
      </c>
      <c r="M36" s="24" t="str">
        <f t="shared" si="14"/>
        <v>12Y</v>
      </c>
      <c r="N36" s="24" t="str">
        <f t="shared" si="15"/>
        <v>obj_000d2#0009</v>
      </c>
      <c r="O36" s="24" t="b">
        <f t="shared" si="15"/>
        <v>1</v>
      </c>
      <c r="P36" s="14" t="str">
        <v>Sw</v>
      </c>
      <c r="Q36" s="14" t="str">
        <v>16Y</v>
      </c>
      <c r="R36" s="14" t="str">
        <v>obj_000f8#0009</v>
      </c>
      <c r="S36" s="117">
        <f>_xll.qlRateHelperRate(R36,Trigger)</f>
        <v>1.630748236E-2</v>
      </c>
      <c r="T36" s="15">
        <f>_xll.qlRateHelperEarliestDate(R36,Trigger)</f>
        <v>42201</v>
      </c>
      <c r="U36" s="15">
        <f>_xll.qlRateHelperLatestDate(R36,Trigger)</f>
        <v>48045</v>
      </c>
      <c r="V36" s="117">
        <v>1.6702343945604554E-2</v>
      </c>
    </row>
    <row r="37" spans="1:22" ht="11.25" customHeight="1" x14ac:dyDescent="0.2">
      <c r="A37" s="107" t="s">
        <v>45</v>
      </c>
      <c r="B37" s="137"/>
      <c r="C37" s="137" t="s">
        <v>14</v>
      </c>
      <c r="D37" s="138" t="str">
        <v>8Y</v>
      </c>
      <c r="E37" s="130" t="s">
        <v>15</v>
      </c>
      <c r="F37" s="137" t="s">
        <v>16</v>
      </c>
      <c r="G37" s="130" t="s">
        <v>17</v>
      </c>
      <c r="H37" s="139">
        <v>9.6399999999999993E-3</v>
      </c>
      <c r="I37" s="105" t="str">
        <f>_xll.qlSwapRateHelper2(,$H37,,$D37,Calendar,$F37,$E37,$G37,$I$30,0,C37,Discounting,Permanent,Trigger,ObjectOverwrite)</f>
        <v>obj_0011f#0009</v>
      </c>
      <c r="J37" s="102" t="b">
        <f t="shared" si="16"/>
        <v>1</v>
      </c>
      <c r="L37" s="24" t="str">
        <f t="shared" si="13"/>
        <v>Sw</v>
      </c>
      <c r="M37" s="24" t="str">
        <f t="shared" si="14"/>
        <v>13Y</v>
      </c>
      <c r="N37" s="24" t="str">
        <f t="shared" si="15"/>
        <v>obj_0011e#0009</v>
      </c>
      <c r="O37" s="24" t="b">
        <f t="shared" si="15"/>
        <v>1</v>
      </c>
      <c r="P37" s="14" t="str">
        <v>Sw</v>
      </c>
      <c r="Q37" s="14" t="str">
        <v>17Y</v>
      </c>
      <c r="R37" s="14" t="str">
        <v>obj_00115#0009</v>
      </c>
      <c r="S37" s="117">
        <f>_xll.qlRateHelperRate(R37,Trigger)</f>
        <v>1.668436974E-2</v>
      </c>
      <c r="T37" s="15">
        <f>_xll.qlRateHelperEarliestDate(R37,Trigger)</f>
        <v>42201</v>
      </c>
      <c r="U37" s="15">
        <f>_xll.qlRateHelperLatestDate(R37,Trigger)</f>
        <v>48411</v>
      </c>
      <c r="V37" s="117">
        <v>1.7105182782207073E-2</v>
      </c>
    </row>
    <row r="38" spans="1:22" ht="11.25" customHeight="1" x14ac:dyDescent="0.2">
      <c r="A38" s="107" t="s">
        <v>45</v>
      </c>
      <c r="B38" s="137"/>
      <c r="C38" s="137" t="s">
        <v>14</v>
      </c>
      <c r="D38" s="138" t="str">
        <v>9Y</v>
      </c>
      <c r="E38" s="130" t="s">
        <v>15</v>
      </c>
      <c r="F38" s="137" t="s">
        <v>16</v>
      </c>
      <c r="G38" s="130" t="s">
        <v>17</v>
      </c>
      <c r="H38" s="139">
        <v>1.094E-2</v>
      </c>
      <c r="I38" s="105" t="str">
        <f>_xll.qlSwapRateHelper2(,$H38,,$D38,Calendar,$F38,$E38,$G38,$I$30,0,C38,Discounting,Permanent,Trigger,ObjectOverwrite)</f>
        <v>obj_000d5#0009</v>
      </c>
      <c r="J38" s="102" t="b">
        <f t="shared" si="16"/>
        <v>1</v>
      </c>
      <c r="L38" s="24" t="str">
        <f t="shared" si="13"/>
        <v>Sw</v>
      </c>
      <c r="M38" s="24" t="str">
        <f t="shared" si="14"/>
        <v>14Y</v>
      </c>
      <c r="N38" s="24" t="str">
        <f t="shared" si="15"/>
        <v>obj_0010f#0009</v>
      </c>
      <c r="O38" s="24" t="b">
        <f t="shared" si="15"/>
        <v>1</v>
      </c>
      <c r="P38" s="14" t="str">
        <v>Sw</v>
      </c>
      <c r="Q38" s="14" t="str">
        <v>18Y</v>
      </c>
      <c r="R38" s="14" t="str">
        <v>obj_000ef#0009</v>
      </c>
      <c r="S38" s="117">
        <f>_xll.qlRateHelperRate(R38,Trigger)</f>
        <v>1.6991863940000001E-2</v>
      </c>
      <c r="T38" s="15">
        <f>_xll.qlRateHelperEarliestDate(R38,Trigger)</f>
        <v>42201</v>
      </c>
      <c r="U38" s="15">
        <f>_xll.qlRateHelperLatestDate(R38,Trigger)</f>
        <v>48778</v>
      </c>
      <c r="V38" s="117">
        <v>1.7434727331373506E-2</v>
      </c>
    </row>
    <row r="39" spans="1:22" ht="11.25" customHeight="1" x14ac:dyDescent="0.2">
      <c r="A39" s="107" t="s">
        <v>45</v>
      </c>
      <c r="B39" s="137"/>
      <c r="C39" s="137" t="s">
        <v>14</v>
      </c>
      <c r="D39" s="138" t="str">
        <v>10Y</v>
      </c>
      <c r="E39" s="130" t="s">
        <v>15</v>
      </c>
      <c r="F39" s="137" t="s">
        <v>16</v>
      </c>
      <c r="G39" s="130" t="s">
        <v>17</v>
      </c>
      <c r="H39" s="139">
        <v>1.208E-2</v>
      </c>
      <c r="I39" s="105" t="str">
        <f>_xll.qlSwapRateHelper2(,$H39,,$D39,Calendar,$F39,$E39,$G39,$I$30,0,C39,Discounting,Permanent,Trigger,ObjectOverwrite)</f>
        <v>obj_00105#0009</v>
      </c>
      <c r="J39" s="102" t="b">
        <f t="shared" si="16"/>
        <v>1</v>
      </c>
      <c r="L39" s="24" t="str">
        <f t="shared" si="13"/>
        <v>Sw</v>
      </c>
      <c r="M39" s="24" t="str">
        <f t="shared" si="14"/>
        <v>15Y</v>
      </c>
      <c r="N39" s="24" t="str">
        <f t="shared" si="15"/>
        <v>obj_000e9#0009</v>
      </c>
      <c r="O39" s="24" t="b">
        <f t="shared" si="15"/>
        <v>1</v>
      </c>
      <c r="P39" s="14" t="str">
        <v>Sw</v>
      </c>
      <c r="Q39" s="14" t="str">
        <v>19Y</v>
      </c>
      <c r="R39" s="14" t="str">
        <v>obj_0012b#0009</v>
      </c>
      <c r="S39" s="117">
        <f>_xll.qlRateHelperRate(R39,Trigger)</f>
        <v>1.723475088E-2</v>
      </c>
      <c r="T39" s="15">
        <f>_xll.qlRateHelperEarliestDate(R39,Trigger)</f>
        <v>42201</v>
      </c>
      <c r="U39" s="15">
        <f>_xll.qlRateHelperLatestDate(R39,Trigger)</f>
        <v>49142</v>
      </c>
      <c r="V39" s="117">
        <v>1.7692491548256785E-2</v>
      </c>
    </row>
    <row r="40" spans="1:22" ht="11.25" customHeight="1" x14ac:dyDescent="0.2">
      <c r="A40" s="107" t="s">
        <v>45</v>
      </c>
      <c r="B40" s="137"/>
      <c r="C40" s="137" t="s">
        <v>14</v>
      </c>
      <c r="D40" s="138" t="str">
        <v>11Y</v>
      </c>
      <c r="E40" s="130" t="s">
        <v>15</v>
      </c>
      <c r="F40" s="137" t="s">
        <v>16</v>
      </c>
      <c r="G40" s="130" t="s">
        <v>17</v>
      </c>
      <c r="H40" s="139">
        <v>1.3086866210000001E-2</v>
      </c>
      <c r="I40" s="105" t="str">
        <f>_xll.qlSwapRateHelper2(,$H40,,$D40,Calendar,$F40,$E40,$G40,$I$30,0,C40,Discounting,Permanent,Trigger,ObjectOverwrite)</f>
        <v>obj_00102#0009</v>
      </c>
      <c r="J40" s="102" t="b">
        <f t="shared" si="16"/>
        <v>1</v>
      </c>
      <c r="L40" s="24" t="str">
        <f t="shared" si="13"/>
        <v>Sw</v>
      </c>
      <c r="M40" s="24" t="str">
        <f t="shared" si="14"/>
        <v>16Y</v>
      </c>
      <c r="N40" s="24" t="str">
        <f t="shared" si="15"/>
        <v>obj_000f8#0009</v>
      </c>
      <c r="O40" s="24" t="b">
        <f t="shared" si="15"/>
        <v>1</v>
      </c>
      <c r="P40" s="14" t="str">
        <v>Sw</v>
      </c>
      <c r="Q40" s="14" t="str">
        <v>20Y</v>
      </c>
      <c r="R40" s="14" t="str">
        <v>obj_000eb#0009</v>
      </c>
      <c r="S40" s="117">
        <f>_xll.qlRateHelperRate(R40,Trigger)</f>
        <v>1.7420000000000001E-2</v>
      </c>
      <c r="T40" s="15">
        <f>_xll.qlRateHelperEarliestDate(R40,Trigger)</f>
        <v>42201</v>
      </c>
      <c r="U40" s="15">
        <f>_xll.qlRateHelperLatestDate(R40,Trigger)</f>
        <v>49506</v>
      </c>
      <c r="V40" s="117">
        <v>1.7884974858180483E-2</v>
      </c>
    </row>
    <row r="41" spans="1:22" ht="11.25" customHeight="1" x14ac:dyDescent="0.2">
      <c r="A41" s="107" t="s">
        <v>45</v>
      </c>
      <c r="B41" s="137"/>
      <c r="C41" s="137" t="s">
        <v>14</v>
      </c>
      <c r="D41" s="138" t="str">
        <v>12Y</v>
      </c>
      <c r="E41" s="130" t="s">
        <v>15</v>
      </c>
      <c r="F41" s="137" t="s">
        <v>16</v>
      </c>
      <c r="G41" s="130" t="s">
        <v>17</v>
      </c>
      <c r="H41" s="139">
        <v>1.3959999999999998E-2</v>
      </c>
      <c r="I41" s="105" t="str">
        <f>_xll.qlSwapRateHelper2(,$H41,,$D41,Calendar,$F41,$E41,$G41,$I$30,0,C41,Discounting,Permanent,Trigger,ObjectOverwrite)</f>
        <v>obj_000d2#0009</v>
      </c>
      <c r="J41" s="102" t="b">
        <f t="shared" si="16"/>
        <v>1</v>
      </c>
      <c r="L41" s="24" t="str">
        <f t="shared" si="13"/>
        <v>Sw</v>
      </c>
      <c r="M41" s="24" t="str">
        <f t="shared" si="14"/>
        <v>17Y</v>
      </c>
      <c r="N41" s="24" t="str">
        <f t="shared" si="15"/>
        <v>obj_00115#0009</v>
      </c>
      <c r="O41" s="24" t="b">
        <f t="shared" si="15"/>
        <v>1</v>
      </c>
      <c r="P41" s="14" t="str">
        <v>Sw</v>
      </c>
      <c r="Q41" s="14" t="str">
        <v>21Y</v>
      </c>
      <c r="R41" s="14" t="str">
        <v>obj_00104#0009</v>
      </c>
      <c r="S41" s="117">
        <f>_xll.qlRateHelperRate(R41,Trigger)</f>
        <v>1.755541649E-2</v>
      </c>
      <c r="T41" s="15">
        <f>_xll.qlRateHelperEarliestDate(R41,Trigger)</f>
        <v>42201</v>
      </c>
      <c r="U41" s="15">
        <f>_xll.qlRateHelperLatestDate(R41,Trigger)</f>
        <v>49872</v>
      </c>
      <c r="V41" s="117">
        <v>1.8017950667270334E-2</v>
      </c>
    </row>
    <row r="42" spans="1:22" ht="11.25" customHeight="1" x14ac:dyDescent="0.2">
      <c r="A42" s="107" t="s">
        <v>45</v>
      </c>
      <c r="B42" s="137"/>
      <c r="C42" s="137" t="s">
        <v>14</v>
      </c>
      <c r="D42" s="138" t="str">
        <v>13Y</v>
      </c>
      <c r="E42" s="130" t="s">
        <v>15</v>
      </c>
      <c r="F42" s="137" t="s">
        <v>16</v>
      </c>
      <c r="G42" s="130" t="s">
        <v>17</v>
      </c>
      <c r="H42" s="139">
        <v>1.470642713E-2</v>
      </c>
      <c r="I42" s="105" t="str">
        <f>_xll.qlSwapRateHelper2(,$H42,,$D42,Calendar,$F42,$E42,$G42,$I$30,0,C42,Discounting,Permanent,Trigger,ObjectOverwrite)</f>
        <v>obj_0011e#0009</v>
      </c>
      <c r="J42" s="102" t="b">
        <f t="shared" si="16"/>
        <v>1</v>
      </c>
      <c r="L42" s="24" t="str">
        <f t="shared" si="13"/>
        <v>Sw</v>
      </c>
      <c r="M42" s="24" t="str">
        <f t="shared" si="14"/>
        <v>18Y</v>
      </c>
      <c r="N42" s="24" t="str">
        <f t="shared" si="15"/>
        <v>obj_000ef#0009</v>
      </c>
      <c r="O42" s="24" t="b">
        <f t="shared" si="15"/>
        <v>1</v>
      </c>
      <c r="P42" s="14" t="str">
        <v>Sw</v>
      </c>
      <c r="Q42" s="14" t="str">
        <v>22Y</v>
      </c>
      <c r="R42" s="14" t="str">
        <v>obj_0010a#0009</v>
      </c>
      <c r="S42" s="117">
        <f>_xll.qlRateHelperRate(R42,Trigger)</f>
        <v>1.7647449989999998E-2</v>
      </c>
      <c r="T42" s="15">
        <f>_xll.qlRateHelperEarliestDate(R42,Trigger)</f>
        <v>42201</v>
      </c>
      <c r="U42" s="15">
        <f>_xll.qlRateHelperLatestDate(R42,Trigger)</f>
        <v>50237</v>
      </c>
      <c r="V42" s="117">
        <v>1.8103037656817325E-2</v>
      </c>
    </row>
    <row r="43" spans="1:22" ht="11.25" customHeight="1" x14ac:dyDescent="0.2">
      <c r="A43" s="107" t="s">
        <v>45</v>
      </c>
      <c r="B43" s="137"/>
      <c r="C43" s="137" t="s">
        <v>14</v>
      </c>
      <c r="D43" s="138" t="str">
        <v>14Y</v>
      </c>
      <c r="E43" s="130" t="s">
        <v>15</v>
      </c>
      <c r="F43" s="137" t="s">
        <v>16</v>
      </c>
      <c r="G43" s="130" t="s">
        <v>17</v>
      </c>
      <c r="H43" s="139">
        <v>1.533012314E-2</v>
      </c>
      <c r="I43" s="105" t="str">
        <f>_xll.qlSwapRateHelper2(,$H43,,$D43,Calendar,$F43,$E43,$G43,$I$30,0,C43,Discounting,Permanent,Trigger,ObjectOverwrite)</f>
        <v>obj_0010f#0009</v>
      </c>
      <c r="J43" s="102" t="b">
        <f t="shared" si="16"/>
        <v>1</v>
      </c>
      <c r="L43" s="24" t="str">
        <f t="shared" si="13"/>
        <v>Sw</v>
      </c>
      <c r="M43" s="24" t="str">
        <f t="shared" si="14"/>
        <v>19Y</v>
      </c>
      <c r="N43" s="24" t="str">
        <f t="shared" si="15"/>
        <v>obj_0012b#0009</v>
      </c>
      <c r="O43" s="24" t="b">
        <f t="shared" si="15"/>
        <v>1</v>
      </c>
      <c r="P43" s="14" t="str">
        <v>Sw</v>
      </c>
      <c r="Q43" s="14" t="str">
        <v>23Y</v>
      </c>
      <c r="R43" s="14" t="str">
        <v>obj_000dd#0009</v>
      </c>
      <c r="S43" s="117">
        <f>_xll.qlRateHelperRate(R43,Trigger)</f>
        <v>1.7709512480000002E-2</v>
      </c>
      <c r="T43" s="15">
        <f>_xll.qlRateHelperEarliestDate(R43,Trigger)</f>
        <v>42201</v>
      </c>
      <c r="U43" s="15">
        <f>_xll.qlRateHelperLatestDate(R43,Trigger)</f>
        <v>50602</v>
      </c>
      <c r="V43" s="117">
        <v>1.8153516271486966E-2</v>
      </c>
    </row>
    <row r="44" spans="1:22" ht="11.25" customHeight="1" x14ac:dyDescent="0.2">
      <c r="A44" s="107" t="s">
        <v>45</v>
      </c>
      <c r="B44" s="137"/>
      <c r="C44" s="137" t="s">
        <v>14</v>
      </c>
      <c r="D44" s="138" t="str">
        <v>15Y</v>
      </c>
      <c r="E44" s="130" t="s">
        <v>15</v>
      </c>
      <c r="F44" s="137" t="s">
        <v>16</v>
      </c>
      <c r="G44" s="130" t="s">
        <v>17</v>
      </c>
      <c r="H44" s="139">
        <v>1.5859999999999999E-2</v>
      </c>
      <c r="I44" s="105" t="str">
        <f>_xll.qlSwapRateHelper2(,$H44,,$D44,Calendar,$F44,$E44,$G44,$I$30,0,C44,Discounting,Permanent,Trigger,ObjectOverwrite)</f>
        <v>obj_000e9#0009</v>
      </c>
      <c r="J44" s="102" t="b">
        <f t="shared" si="16"/>
        <v>1</v>
      </c>
      <c r="L44" s="24" t="str">
        <f t="shared" si="13"/>
        <v>Sw</v>
      </c>
      <c r="M44" s="24" t="str">
        <f t="shared" si="14"/>
        <v>20Y</v>
      </c>
      <c r="N44" s="24" t="str">
        <f t="shared" ref="N44:O59" si="17">I49</f>
        <v>obj_000eb#0009</v>
      </c>
      <c r="O44" s="24" t="b">
        <f t="shared" si="17"/>
        <v>1</v>
      </c>
      <c r="P44" s="14" t="str">
        <v>Sw</v>
      </c>
      <c r="Q44" s="14" t="str">
        <v>24Y</v>
      </c>
      <c r="R44" s="14" t="str">
        <v>obj_000dc#0009</v>
      </c>
      <c r="S44" s="117">
        <f>_xll.qlRateHelperRate(R44,Trigger)</f>
        <v>1.775083366E-2</v>
      </c>
      <c r="T44" s="15">
        <f>_xll.qlRateHelperEarliestDate(R44,Trigger)</f>
        <v>42201</v>
      </c>
      <c r="U44" s="15">
        <f>_xll.qlRateHelperLatestDate(R44,Trigger)</f>
        <v>50969</v>
      </c>
      <c r="V44" s="117">
        <v>1.818017392489928E-2</v>
      </c>
    </row>
    <row r="45" spans="1:22" ht="11.25" customHeight="1" x14ac:dyDescent="0.2">
      <c r="A45" s="107" t="s">
        <v>45</v>
      </c>
      <c r="B45" s="137"/>
      <c r="C45" s="137" t="s">
        <v>14</v>
      </c>
      <c r="D45" s="138" t="str">
        <v>16Y</v>
      </c>
      <c r="E45" s="130" t="s">
        <v>15</v>
      </c>
      <c r="F45" s="137" t="s">
        <v>16</v>
      </c>
      <c r="G45" s="130" t="s">
        <v>17</v>
      </c>
      <c r="H45" s="139">
        <v>1.630748236E-2</v>
      </c>
      <c r="I45" s="105" t="str">
        <f>_xll.qlSwapRateHelper2(,$H45,,$D45,Calendar,$F45,$E45,$G45,$I$30,0,C45,Discounting,Permanent,Trigger,ObjectOverwrite)</f>
        <v>obj_000f8#0009</v>
      </c>
      <c r="J45" s="102" t="b">
        <f t="shared" si="16"/>
        <v>1</v>
      </c>
      <c r="L45" s="24" t="str">
        <f t="shared" si="13"/>
        <v>Sw</v>
      </c>
      <c r="M45" s="24" t="str">
        <f t="shared" si="14"/>
        <v>21Y</v>
      </c>
      <c r="N45" s="24" t="str">
        <f t="shared" si="17"/>
        <v>obj_00104#0009</v>
      </c>
      <c r="O45" s="24" t="b">
        <f t="shared" si="17"/>
        <v>1</v>
      </c>
      <c r="P45" s="14" t="str">
        <v>Sw</v>
      </c>
      <c r="Q45" s="14" t="str">
        <v>25Y</v>
      </c>
      <c r="R45" s="14" t="str">
        <v>obj_000d1#0009</v>
      </c>
      <c r="S45" s="117">
        <f>_xll.qlRateHelperRate(R45,Trigger)</f>
        <v>1.7780000000000001E-2</v>
      </c>
      <c r="T45" s="15">
        <f>_xll.qlRateHelperEarliestDate(R45,Trigger)</f>
        <v>42201</v>
      </c>
      <c r="U45" s="15">
        <f>_xll.qlRateHelperLatestDate(R45,Trigger)</f>
        <v>51333</v>
      </c>
      <c r="V45" s="117">
        <v>1.8191943233251816E-2</v>
      </c>
    </row>
    <row r="46" spans="1:22" ht="11.25" customHeight="1" x14ac:dyDescent="0.2">
      <c r="A46" s="107" t="s">
        <v>45</v>
      </c>
      <c r="B46" s="137"/>
      <c r="C46" s="137" t="s">
        <v>14</v>
      </c>
      <c r="D46" s="138" t="str">
        <v>17Y</v>
      </c>
      <c r="E46" s="130" t="s">
        <v>15</v>
      </c>
      <c r="F46" s="137" t="s">
        <v>16</v>
      </c>
      <c r="G46" s="130" t="s">
        <v>17</v>
      </c>
      <c r="H46" s="139">
        <v>1.668436974E-2</v>
      </c>
      <c r="I46" s="105" t="str">
        <f>_xll.qlSwapRateHelper2(,$H46,,$D46,Calendar,$F46,$E46,$G46,$I$30,0,C46,Discounting,Permanent,Trigger,ObjectOverwrite)</f>
        <v>obj_00115#0009</v>
      </c>
      <c r="J46" s="102" t="b">
        <f t="shared" si="16"/>
        <v>1</v>
      </c>
      <c r="L46" s="24" t="str">
        <f t="shared" si="13"/>
        <v>Sw</v>
      </c>
      <c r="M46" s="24" t="str">
        <f t="shared" si="14"/>
        <v>22Y</v>
      </c>
      <c r="N46" s="24" t="str">
        <f t="shared" si="17"/>
        <v>obj_0010a#0009</v>
      </c>
      <c r="O46" s="24" t="b">
        <f t="shared" si="17"/>
        <v>1</v>
      </c>
      <c r="P46" s="14" t="str">
        <v>Sw</v>
      </c>
      <c r="Q46" s="14" t="str">
        <v>26Y</v>
      </c>
      <c r="R46" s="14" t="str">
        <v>obj_000e5#0009</v>
      </c>
      <c r="S46" s="117">
        <f>_xll.qlRateHelperRate(R46,Trigger)</f>
        <v>1.7800186539999999E-2</v>
      </c>
      <c r="T46" s="15">
        <f>_xll.qlRateHelperEarliestDate(R46,Trigger)</f>
        <v>42201</v>
      </c>
      <c r="U46" s="15">
        <f>_xll.qlRateHelperLatestDate(R46,Trigger)</f>
        <v>51698</v>
      </c>
      <c r="V46" s="117">
        <v>1.8195878547480948E-2</v>
      </c>
    </row>
    <row r="47" spans="1:22" ht="11.25" customHeight="1" x14ac:dyDescent="0.2">
      <c r="A47" s="107" t="s">
        <v>45</v>
      </c>
      <c r="B47" s="137"/>
      <c r="C47" s="137" t="s">
        <v>14</v>
      </c>
      <c r="D47" s="138" t="str">
        <v>18Y</v>
      </c>
      <c r="E47" s="130" t="s">
        <v>15</v>
      </c>
      <c r="F47" s="137" t="s">
        <v>16</v>
      </c>
      <c r="G47" s="130" t="s">
        <v>17</v>
      </c>
      <c r="H47" s="139">
        <v>1.6991863940000001E-2</v>
      </c>
      <c r="I47" s="105" t="str">
        <f>_xll.qlSwapRateHelper2(,$H47,,$D47,Calendar,$F47,$E47,$G47,$I$30,0,C47,Discounting,Permanent,Trigger,ObjectOverwrite)</f>
        <v>obj_000ef#0009</v>
      </c>
      <c r="J47" s="102" t="b">
        <f t="shared" si="16"/>
        <v>1</v>
      </c>
      <c r="L47" s="24" t="str">
        <f t="shared" si="13"/>
        <v>Sw</v>
      </c>
      <c r="M47" s="24" t="str">
        <f t="shared" si="14"/>
        <v>23Y</v>
      </c>
      <c r="N47" s="24" t="str">
        <f t="shared" si="17"/>
        <v>obj_000dd#0009</v>
      </c>
      <c r="O47" s="24" t="b">
        <f t="shared" si="17"/>
        <v>1</v>
      </c>
      <c r="P47" s="14" t="str">
        <v>Sw</v>
      </c>
      <c r="Q47" s="14" t="str">
        <v>27Y</v>
      </c>
      <c r="R47" s="14" t="str">
        <v>obj_00117#0009</v>
      </c>
      <c r="S47" s="117">
        <f>_xll.qlRateHelperRate(R47,Trigger)</f>
        <v>1.7816561309999999E-2</v>
      </c>
      <c r="T47" s="15">
        <f>_xll.qlRateHelperEarliestDate(R47,Trigger)</f>
        <v>42201</v>
      </c>
      <c r="U47" s="15">
        <f>_xll.qlRateHelperLatestDate(R47,Trigger)</f>
        <v>52063</v>
      </c>
      <c r="V47" s="117">
        <v>1.8196521713477531E-2</v>
      </c>
    </row>
    <row r="48" spans="1:22" ht="11.25" customHeight="1" x14ac:dyDescent="0.2">
      <c r="A48" s="107" t="s">
        <v>45</v>
      </c>
      <c r="B48" s="137"/>
      <c r="C48" s="137" t="s">
        <v>14</v>
      </c>
      <c r="D48" s="138" t="str">
        <v>19Y</v>
      </c>
      <c r="E48" s="130" t="s">
        <v>15</v>
      </c>
      <c r="F48" s="137" t="s">
        <v>16</v>
      </c>
      <c r="G48" s="130" t="s">
        <v>17</v>
      </c>
      <c r="H48" s="139">
        <v>1.723475088E-2</v>
      </c>
      <c r="I48" s="105" t="str">
        <f>_xll.qlSwapRateHelper2(,$H48,,$D48,Calendar,$F48,$E48,$G48,$I$30,0,C48,Discounting,Permanent,Trigger,ObjectOverwrite)</f>
        <v>obj_0012b#0009</v>
      </c>
      <c r="J48" s="102" t="b">
        <f t="shared" si="16"/>
        <v>1</v>
      </c>
      <c r="L48" s="24" t="str">
        <f t="shared" si="13"/>
        <v>Sw</v>
      </c>
      <c r="M48" s="24" t="str">
        <f t="shared" si="14"/>
        <v>24Y</v>
      </c>
      <c r="N48" s="24" t="str">
        <f t="shared" si="17"/>
        <v>obj_000dc#0009</v>
      </c>
      <c r="O48" s="24" t="b">
        <f t="shared" si="17"/>
        <v>1</v>
      </c>
      <c r="P48" s="14" t="str">
        <v>Sw</v>
      </c>
      <c r="Q48" s="14" t="str">
        <v>28Y</v>
      </c>
      <c r="R48" s="14" t="str">
        <v>obj_000e6#0009</v>
      </c>
      <c r="S48" s="117">
        <f>_xll.qlRateHelperRate(R48,Trigger)</f>
        <v>1.7831912219999999E-2</v>
      </c>
      <c r="T48" s="15">
        <f>_xll.qlRateHelperEarliestDate(R48,Trigger)</f>
        <v>42201</v>
      </c>
      <c r="U48" s="15">
        <f>_xll.qlRateHelperLatestDate(R48,Trigger)</f>
        <v>52428</v>
      </c>
      <c r="V48" s="117">
        <v>1.8197366823416123E-2</v>
      </c>
    </row>
    <row r="49" spans="1:22" ht="11.25" customHeight="1" x14ac:dyDescent="0.2">
      <c r="A49" s="107" t="s">
        <v>45</v>
      </c>
      <c r="B49" s="137"/>
      <c r="C49" s="137" t="s">
        <v>14</v>
      </c>
      <c r="D49" s="138" t="str">
        <v>20Y</v>
      </c>
      <c r="E49" s="130" t="s">
        <v>15</v>
      </c>
      <c r="F49" s="137" t="s">
        <v>16</v>
      </c>
      <c r="G49" s="130" t="s">
        <v>17</v>
      </c>
      <c r="H49" s="139">
        <v>1.7420000000000001E-2</v>
      </c>
      <c r="I49" s="105" t="str">
        <f>_xll.qlSwapRateHelper2(,$H49,,$D49,Calendar,$F49,$E49,$G49,$I$30,0,C49,Discounting,Permanent,Trigger,ObjectOverwrite)</f>
        <v>obj_000eb#0009</v>
      </c>
      <c r="J49" s="102" t="b">
        <f t="shared" si="16"/>
        <v>1</v>
      </c>
      <c r="L49" s="24" t="str">
        <f t="shared" si="13"/>
        <v>Sw</v>
      </c>
      <c r="M49" s="24" t="str">
        <f t="shared" si="14"/>
        <v>25Y</v>
      </c>
      <c r="N49" s="24" t="str">
        <f t="shared" si="17"/>
        <v>obj_000d1#0009</v>
      </c>
      <c r="O49" s="24" t="b">
        <f t="shared" si="17"/>
        <v>1</v>
      </c>
      <c r="P49" s="14" t="str">
        <v>Sw</v>
      </c>
      <c r="Q49" s="14" t="str">
        <v>29Y</v>
      </c>
      <c r="R49" s="14" t="str">
        <v>obj_000ee#0009</v>
      </c>
      <c r="S49" s="117">
        <f>_xll.qlRateHelperRate(R49,Trigger)</f>
        <v>1.7850015569999999E-2</v>
      </c>
      <c r="T49" s="15">
        <f>_xll.qlRateHelperEarliestDate(R49,Trigger)</f>
        <v>42201</v>
      </c>
      <c r="U49" s="15">
        <f>_xll.qlRateHelperLatestDate(R49,Trigger)</f>
        <v>52796</v>
      </c>
      <c r="V49" s="117">
        <v>1.82014439132475E-2</v>
      </c>
    </row>
    <row r="50" spans="1:22" ht="11.25" customHeight="1" x14ac:dyDescent="0.2">
      <c r="A50" s="107" t="s">
        <v>45</v>
      </c>
      <c r="B50" s="137"/>
      <c r="C50" s="137" t="s">
        <v>14</v>
      </c>
      <c r="D50" s="138" t="str">
        <v>21Y</v>
      </c>
      <c r="E50" s="130" t="s">
        <v>15</v>
      </c>
      <c r="F50" s="137" t="s">
        <v>16</v>
      </c>
      <c r="G50" s="130" t="s">
        <v>17</v>
      </c>
      <c r="H50" s="139">
        <v>1.755541649E-2</v>
      </c>
      <c r="I50" s="105" t="str">
        <f>_xll.qlSwapRateHelper2(,$H50,,$D50,Calendar,$F50,$E50,$G50,$I$30,0,C50,Discounting,Permanent,Trigger,ObjectOverwrite)</f>
        <v>obj_00104#0009</v>
      </c>
      <c r="J50" s="102" t="b">
        <f t="shared" si="16"/>
        <v>1</v>
      </c>
      <c r="L50" s="24" t="str">
        <f t="shared" si="13"/>
        <v>Sw</v>
      </c>
      <c r="M50" s="24" t="str">
        <f t="shared" si="14"/>
        <v>26Y</v>
      </c>
      <c r="N50" s="24" t="str">
        <f t="shared" si="17"/>
        <v>obj_000e5#0009</v>
      </c>
      <c r="O50" s="24" t="b">
        <f t="shared" si="17"/>
        <v>1</v>
      </c>
      <c r="P50" s="14" t="str">
        <v>Sw</v>
      </c>
      <c r="Q50" s="14" t="str">
        <v>30Y</v>
      </c>
      <c r="R50" s="14" t="str">
        <v>obj_00122#0009</v>
      </c>
      <c r="S50" s="117">
        <f>_xll.qlRateHelperRate(R50,Trigger)</f>
        <v>1.787E-2</v>
      </c>
      <c r="T50" s="15">
        <f>_xll.qlRateHelperEarliestDate(R50,Trigger)</f>
        <v>42201</v>
      </c>
      <c r="U50" s="15">
        <f>_xll.qlRateHelperLatestDate(R50,Trigger)</f>
        <v>53160</v>
      </c>
      <c r="V50" s="117">
        <v>1.8210767533389651E-2</v>
      </c>
    </row>
    <row r="51" spans="1:22" ht="11.25" customHeight="1" x14ac:dyDescent="0.2">
      <c r="A51" s="107" t="s">
        <v>45</v>
      </c>
      <c r="B51" s="137"/>
      <c r="C51" s="137" t="s">
        <v>14</v>
      </c>
      <c r="D51" s="138" t="str">
        <v>22Y</v>
      </c>
      <c r="E51" s="130" t="s">
        <v>15</v>
      </c>
      <c r="F51" s="137" t="s">
        <v>16</v>
      </c>
      <c r="G51" s="130" t="s">
        <v>17</v>
      </c>
      <c r="H51" s="139">
        <v>1.7647449989999998E-2</v>
      </c>
      <c r="I51" s="105" t="str">
        <f>_xll.qlSwapRateHelper2(,$H51,,$D51,Calendar,$F51,$E51,$G51,$I$30,0,C51,Discounting,Permanent,Trigger,ObjectOverwrite)</f>
        <v>obj_0010a#0009</v>
      </c>
      <c r="J51" s="102" t="b">
        <f t="shared" si="16"/>
        <v>1</v>
      </c>
      <c r="L51" s="24" t="str">
        <f t="shared" si="13"/>
        <v>Sw</v>
      </c>
      <c r="M51" s="24" t="str">
        <f t="shared" si="14"/>
        <v>27Y</v>
      </c>
      <c r="N51" s="24" t="str">
        <f t="shared" si="17"/>
        <v>obj_00117#0009</v>
      </c>
      <c r="O51" s="24" t="b">
        <f t="shared" si="17"/>
        <v>1</v>
      </c>
      <c r="P51" s="14" t="str">
        <v>Sw</v>
      </c>
      <c r="Q51" s="14" t="str">
        <v>31Y</v>
      </c>
      <c r="R51" s="14" t="str">
        <v>obj_0012c#0009</v>
      </c>
      <c r="S51" s="117">
        <f>_xll.qlRateHelperRate(R51,Trigger)</f>
        <v>1.7894162849999999E-2</v>
      </c>
      <c r="T51" s="15">
        <f>_xll.qlRateHelperEarliestDate(R51,Trigger)</f>
        <v>42201</v>
      </c>
      <c r="U51" s="15">
        <f>_xll.qlRateHelperLatestDate(R51,Trigger)</f>
        <v>53524</v>
      </c>
      <c r="V51" s="117">
        <v>1.8226909496444014E-2</v>
      </c>
    </row>
    <row r="52" spans="1:22" ht="11.25" customHeight="1" x14ac:dyDescent="0.2">
      <c r="A52" s="107" t="s">
        <v>45</v>
      </c>
      <c r="B52" s="137"/>
      <c r="C52" s="137" t="s">
        <v>14</v>
      </c>
      <c r="D52" s="138" t="str">
        <v>23Y</v>
      </c>
      <c r="E52" s="130" t="s">
        <v>15</v>
      </c>
      <c r="F52" s="137" t="s">
        <v>16</v>
      </c>
      <c r="G52" s="130" t="s">
        <v>17</v>
      </c>
      <c r="H52" s="139">
        <v>1.7709512480000002E-2</v>
      </c>
      <c r="I52" s="105" t="str">
        <f>_xll.qlSwapRateHelper2(,$H52,,$D52,Calendar,$F52,$E52,$G52,$I$30,0,C52,Discounting,Permanent,Trigger,ObjectOverwrite)</f>
        <v>obj_000dd#0009</v>
      </c>
      <c r="J52" s="102" t="b">
        <f t="shared" si="16"/>
        <v>1</v>
      </c>
      <c r="L52" s="24" t="str">
        <f t="shared" si="13"/>
        <v>Sw</v>
      </c>
      <c r="M52" s="24" t="str">
        <f t="shared" si="14"/>
        <v>28Y</v>
      </c>
      <c r="N52" s="24" t="str">
        <f t="shared" si="17"/>
        <v>obj_000e6#0009</v>
      </c>
      <c r="O52" s="24" t="b">
        <f t="shared" si="17"/>
        <v>1</v>
      </c>
      <c r="P52" s="14" t="str">
        <v>Sw</v>
      </c>
      <c r="Q52" s="14" t="str">
        <v>32Y</v>
      </c>
      <c r="R52" s="14" t="str">
        <v>obj_00100#0009</v>
      </c>
      <c r="S52" s="117">
        <f>_xll.qlRateHelperRate(R52,Trigger)</f>
        <v>1.791999528E-2</v>
      </c>
      <c r="T52" s="15">
        <f>_xll.qlRateHelperEarliestDate(R52,Trigger)</f>
        <v>42201</v>
      </c>
      <c r="U52" s="15">
        <f>_xll.qlRateHelperLatestDate(R52,Trigger)</f>
        <v>53889</v>
      </c>
      <c r="V52" s="117">
        <v>1.8246354840358886E-2</v>
      </c>
    </row>
    <row r="53" spans="1:22" ht="11.25" customHeight="1" x14ac:dyDescent="0.2">
      <c r="A53" s="107" t="s">
        <v>45</v>
      </c>
      <c r="B53" s="137"/>
      <c r="C53" s="137" t="s">
        <v>14</v>
      </c>
      <c r="D53" s="138" t="str">
        <v>24Y</v>
      </c>
      <c r="E53" s="130" t="s">
        <v>15</v>
      </c>
      <c r="F53" s="137" t="s">
        <v>16</v>
      </c>
      <c r="G53" s="130" t="s">
        <v>17</v>
      </c>
      <c r="H53" s="139">
        <v>1.775083366E-2</v>
      </c>
      <c r="I53" s="105" t="str">
        <f>_xll.qlSwapRateHelper2(,$H53,,$D53,Calendar,$F53,$E53,$G53,$I$30,0,C53,Discounting,Permanent,Trigger,ObjectOverwrite)</f>
        <v>obj_000dc#0009</v>
      </c>
      <c r="J53" s="102" t="b">
        <f t="shared" si="16"/>
        <v>1</v>
      </c>
      <c r="L53" s="24" t="str">
        <f t="shared" si="13"/>
        <v>Sw</v>
      </c>
      <c r="M53" s="24" t="str">
        <f t="shared" si="14"/>
        <v>29Y</v>
      </c>
      <c r="N53" s="24" t="str">
        <f t="shared" si="17"/>
        <v>obj_000ee#0009</v>
      </c>
      <c r="O53" s="24" t="b">
        <f t="shared" si="17"/>
        <v>1</v>
      </c>
      <c r="P53" s="14" t="str">
        <v>Sw</v>
      </c>
      <c r="Q53" s="14" t="str">
        <v>33Y</v>
      </c>
      <c r="R53" s="14" t="str">
        <v>obj_00118#0009</v>
      </c>
      <c r="S53" s="117">
        <f>_xll.qlRateHelperRate(R53,Trigger)</f>
        <v>1.794555816E-2</v>
      </c>
      <c r="T53" s="15">
        <f>_xll.qlRateHelperEarliestDate(R53,Trigger)</f>
        <v>42201</v>
      </c>
      <c r="U53" s="15">
        <f>_xll.qlRateHelperLatestDate(R53,Trigger)</f>
        <v>54255</v>
      </c>
      <c r="V53" s="117">
        <v>1.826493778678083E-2</v>
      </c>
    </row>
    <row r="54" spans="1:22" ht="11.25" customHeight="1" x14ac:dyDescent="0.2">
      <c r="A54" s="107" t="s">
        <v>45</v>
      </c>
      <c r="B54" s="137"/>
      <c r="C54" s="137" t="s">
        <v>14</v>
      </c>
      <c r="D54" s="138" t="str">
        <v>25Y</v>
      </c>
      <c r="E54" s="130" t="s">
        <v>15</v>
      </c>
      <c r="F54" s="137" t="s">
        <v>16</v>
      </c>
      <c r="G54" s="130" t="s">
        <v>17</v>
      </c>
      <c r="H54" s="139">
        <v>1.7780000000000001E-2</v>
      </c>
      <c r="I54" s="105" t="str">
        <f>_xll.qlSwapRateHelper2(,$H54,,$D54,Calendar,$F54,$E54,$G54,$I$30,0,C54,Discounting,Permanent,Trigger,ObjectOverwrite)</f>
        <v>obj_000d1#0009</v>
      </c>
      <c r="J54" s="102" t="b">
        <f t="shared" si="16"/>
        <v>1</v>
      </c>
      <c r="L54" s="24" t="str">
        <f t="shared" si="13"/>
        <v>Sw</v>
      </c>
      <c r="M54" s="24" t="str">
        <f t="shared" si="14"/>
        <v>30Y</v>
      </c>
      <c r="N54" s="24" t="str">
        <f t="shared" si="17"/>
        <v>obj_00122#0009</v>
      </c>
      <c r="O54" s="24" t="b">
        <f t="shared" si="17"/>
        <v>1</v>
      </c>
      <c r="P54" s="14" t="str">
        <v>Sw</v>
      </c>
      <c r="Q54" s="14" t="str">
        <v>34Y</v>
      </c>
      <c r="R54" s="14" t="str">
        <v>obj_000db#0009</v>
      </c>
      <c r="S54" s="117">
        <f>_xll.qlRateHelperRate(R54,Trigger)</f>
        <v>1.7965903320000001E-2</v>
      </c>
      <c r="T54" s="15">
        <f>_xll.qlRateHelperEarliestDate(R54,Trigger)</f>
        <v>42201</v>
      </c>
      <c r="U54" s="15">
        <f>_xll.qlRateHelperLatestDate(R54,Trigger)</f>
        <v>54620</v>
      </c>
      <c r="V54" s="117">
        <v>1.8278857854082557E-2</v>
      </c>
    </row>
    <row r="55" spans="1:22" ht="11.25" customHeight="1" x14ac:dyDescent="0.2">
      <c r="A55" s="107" t="s">
        <v>45</v>
      </c>
      <c r="B55" s="137"/>
      <c r="C55" s="137" t="s">
        <v>14</v>
      </c>
      <c r="D55" s="138" t="str">
        <v>26Y</v>
      </c>
      <c r="E55" s="130" t="s">
        <v>15</v>
      </c>
      <c r="F55" s="137" t="s">
        <v>16</v>
      </c>
      <c r="G55" s="130" t="s">
        <v>17</v>
      </c>
      <c r="H55" s="139">
        <v>1.7800186539999999E-2</v>
      </c>
      <c r="I55" s="105" t="str">
        <f>_xll.qlSwapRateHelper2(,$H55,,$D55,Calendar,$F55,$E55,$G55,$I$30,0,C55,Discounting,Permanent,Trigger,ObjectOverwrite)</f>
        <v>obj_000e5#0009</v>
      </c>
      <c r="J55" s="102" t="b">
        <f t="shared" si="16"/>
        <v>1</v>
      </c>
      <c r="L55" s="24" t="str">
        <f t="shared" si="13"/>
        <v>Sw</v>
      </c>
      <c r="M55" s="24" t="str">
        <f t="shared" si="14"/>
        <v>31Y</v>
      </c>
      <c r="N55" s="24" t="str">
        <f t="shared" si="17"/>
        <v>obj_0012c#0009</v>
      </c>
      <c r="O55" s="24" t="b">
        <f t="shared" si="17"/>
        <v>1</v>
      </c>
      <c r="P55" s="14" t="str">
        <v>Sw</v>
      </c>
      <c r="Q55" s="14" t="str">
        <v>35Y</v>
      </c>
      <c r="R55" s="14" t="str">
        <v>obj_000e1#0009</v>
      </c>
      <c r="S55" s="117">
        <f>_xll.qlRateHelperRate(R55,Trigger)</f>
        <v>1.7979999999999999E-2</v>
      </c>
      <c r="T55" s="15">
        <f>_xll.qlRateHelperEarliestDate(R55,Trigger)</f>
        <v>42201</v>
      </c>
      <c r="U55" s="15">
        <f>_xll.qlRateHelperLatestDate(R55,Trigger)</f>
        <v>54987</v>
      </c>
      <c r="V55" s="117">
        <v>1.8284914103583735E-2</v>
      </c>
    </row>
    <row r="56" spans="1:22" ht="11.25" customHeight="1" x14ac:dyDescent="0.2">
      <c r="A56" s="107" t="s">
        <v>45</v>
      </c>
      <c r="B56" s="137"/>
      <c r="C56" s="137" t="s">
        <v>14</v>
      </c>
      <c r="D56" s="138" t="str">
        <v>27Y</v>
      </c>
      <c r="E56" s="130" t="s">
        <v>15</v>
      </c>
      <c r="F56" s="137" t="s">
        <v>16</v>
      </c>
      <c r="G56" s="130" t="s">
        <v>17</v>
      </c>
      <c r="H56" s="139">
        <v>1.7816561309999999E-2</v>
      </c>
      <c r="I56" s="105" t="str">
        <f>_xll.qlSwapRateHelper2(,$H56,,$D56,Calendar,$F56,$E56,$G56,$I$30,0,C56,Discounting,Permanent,Trigger,ObjectOverwrite)</f>
        <v>obj_00117#0009</v>
      </c>
      <c r="J56" s="102" t="b">
        <f t="shared" si="16"/>
        <v>1</v>
      </c>
      <c r="L56" s="24" t="str">
        <f t="shared" si="13"/>
        <v>Sw</v>
      </c>
      <c r="M56" s="24" t="str">
        <f t="shared" si="14"/>
        <v>32Y</v>
      </c>
      <c r="N56" s="24" t="str">
        <f t="shared" si="17"/>
        <v>obj_00100#0009</v>
      </c>
      <c r="O56" s="24" t="b">
        <f t="shared" si="17"/>
        <v>1</v>
      </c>
      <c r="P56" s="14" t="str">
        <v>Sw</v>
      </c>
      <c r="Q56" s="14" t="str">
        <v>36Y</v>
      </c>
      <c r="R56" s="14" t="str">
        <v>obj_0012d#0009</v>
      </c>
      <c r="S56" s="117">
        <f>_xll.qlRateHelperRate(R56,Trigger)</f>
        <v>1.7986508080000001E-2</v>
      </c>
      <c r="T56" s="15">
        <f>_xll.qlRateHelperEarliestDate(R56,Trigger)</f>
        <v>42201</v>
      </c>
      <c r="U56" s="15">
        <f>_xll.qlRateHelperLatestDate(R56,Trigger)</f>
        <v>55351</v>
      </c>
      <c r="V56" s="117">
        <v>1.8281178128583792E-2</v>
      </c>
    </row>
    <row r="57" spans="1:22" ht="11.25" customHeight="1" x14ac:dyDescent="0.2">
      <c r="A57" s="107" t="s">
        <v>45</v>
      </c>
      <c r="B57" s="137"/>
      <c r="C57" s="137" t="s">
        <v>14</v>
      </c>
      <c r="D57" s="138" t="str">
        <v>28Y</v>
      </c>
      <c r="E57" s="130" t="s">
        <v>15</v>
      </c>
      <c r="F57" s="137" t="s">
        <v>16</v>
      </c>
      <c r="G57" s="130" t="s">
        <v>17</v>
      </c>
      <c r="H57" s="139">
        <v>1.7831912219999999E-2</v>
      </c>
      <c r="I57" s="105" t="str">
        <f>_xll.qlSwapRateHelper2(,$H57,,$D57,Calendar,$F57,$E57,$G57,$I$30,0,C57,Discounting,Permanent,Trigger,ObjectOverwrite)</f>
        <v>obj_000e6#0009</v>
      </c>
      <c r="J57" s="102" t="b">
        <f t="shared" si="16"/>
        <v>1</v>
      </c>
      <c r="L57" s="24" t="str">
        <f t="shared" si="13"/>
        <v>Sw</v>
      </c>
      <c r="M57" s="24" t="str">
        <f t="shared" si="14"/>
        <v>33Y</v>
      </c>
      <c r="N57" s="24" t="str">
        <f t="shared" si="17"/>
        <v>obj_00118#0009</v>
      </c>
      <c r="O57" s="24" t="b">
        <f t="shared" si="17"/>
        <v>1</v>
      </c>
      <c r="P57" s="14" t="str">
        <v>Sw</v>
      </c>
      <c r="Q57" s="14" t="str">
        <v>37Y</v>
      </c>
      <c r="R57" s="14" t="str">
        <v>obj_0012a#0009</v>
      </c>
      <c r="S57" s="117">
        <f>_xll.qlRateHelperRate(R57,Trigger)</f>
        <v>1.798837717E-2</v>
      </c>
      <c r="T57" s="15">
        <f>_xll.qlRateHelperEarliestDate(R57,Trigger)</f>
        <v>42201</v>
      </c>
      <c r="U57" s="15">
        <f>_xll.qlRateHelperLatestDate(R57,Trigger)</f>
        <v>55716</v>
      </c>
      <c r="V57" s="117">
        <v>1.8270223231583841E-2</v>
      </c>
    </row>
    <row r="58" spans="1:22" ht="11.25" customHeight="1" x14ac:dyDescent="0.2">
      <c r="A58" s="107" t="s">
        <v>45</v>
      </c>
      <c r="B58" s="137"/>
      <c r="C58" s="137" t="s">
        <v>14</v>
      </c>
      <c r="D58" s="138" t="str">
        <v>29Y</v>
      </c>
      <c r="E58" s="130" t="s">
        <v>15</v>
      </c>
      <c r="F58" s="137" t="s">
        <v>16</v>
      </c>
      <c r="G58" s="130" t="s">
        <v>17</v>
      </c>
      <c r="H58" s="139">
        <v>1.7850015569999999E-2</v>
      </c>
      <c r="I58" s="105" t="str">
        <f>_xll.qlSwapRateHelper2(,$H58,,$D58,Calendar,$F58,$E58,$G58,$I$30,0,C58,Discounting,Permanent,Trigger,ObjectOverwrite)</f>
        <v>obj_000ee#0009</v>
      </c>
      <c r="J58" s="102" t="b">
        <f t="shared" si="16"/>
        <v>1</v>
      </c>
      <c r="L58" s="24" t="str">
        <f t="shared" si="13"/>
        <v>Sw</v>
      </c>
      <c r="M58" s="24" t="str">
        <f t="shared" si="14"/>
        <v>34Y</v>
      </c>
      <c r="N58" s="24" t="str">
        <f t="shared" si="17"/>
        <v>obj_000db#0009</v>
      </c>
      <c r="O58" s="24" t="b">
        <f t="shared" si="17"/>
        <v>1</v>
      </c>
      <c r="P58" s="14" t="str">
        <v>Sw</v>
      </c>
      <c r="Q58" s="14" t="str">
        <v>38Y</v>
      </c>
      <c r="R58" s="14" t="str">
        <v>obj_00109#0009</v>
      </c>
      <c r="S58" s="117">
        <f>_xll.qlRateHelperRate(R58,Trigger)</f>
        <v>1.7986077359999998E-2</v>
      </c>
      <c r="T58" s="15">
        <f>_xll.qlRateHelperEarliestDate(R58,Trigger)</f>
        <v>42201</v>
      </c>
      <c r="U58" s="15">
        <f>_xll.qlRateHelperLatestDate(R58,Trigger)</f>
        <v>56081</v>
      </c>
      <c r="V58" s="117">
        <v>1.8255351848160156E-2</v>
      </c>
    </row>
    <row r="59" spans="1:22" ht="11.25" customHeight="1" x14ac:dyDescent="0.2">
      <c r="A59" s="107" t="s">
        <v>45</v>
      </c>
      <c r="B59" s="137"/>
      <c r="C59" s="137" t="s">
        <v>14</v>
      </c>
      <c r="D59" s="138" t="str">
        <v>30Y</v>
      </c>
      <c r="E59" s="130" t="s">
        <v>15</v>
      </c>
      <c r="F59" s="137" t="s">
        <v>16</v>
      </c>
      <c r="G59" s="130" t="s">
        <v>17</v>
      </c>
      <c r="H59" s="139">
        <v>1.787E-2</v>
      </c>
      <c r="I59" s="105" t="str">
        <f>_xll.qlSwapRateHelper2(,$H59,,$D59,Calendar,$F59,$E59,$G59,$I$30,0,C59,Discounting,Permanent,Trigger,ObjectOverwrite)</f>
        <v>obj_00122#0009</v>
      </c>
      <c r="J59" s="102" t="b">
        <f t="shared" si="16"/>
        <v>1</v>
      </c>
      <c r="L59" s="24" t="str">
        <f t="shared" si="13"/>
        <v>Sw</v>
      </c>
      <c r="M59" s="24" t="str">
        <f t="shared" si="14"/>
        <v>35Y</v>
      </c>
      <c r="N59" s="24" t="str">
        <f t="shared" si="17"/>
        <v>obj_000e1#0009</v>
      </c>
      <c r="O59" s="24" t="b">
        <f t="shared" si="17"/>
        <v>1</v>
      </c>
      <c r="P59" s="14" t="str">
        <v>Sw</v>
      </c>
      <c r="Q59" s="14" t="str">
        <v>39Y</v>
      </c>
      <c r="R59" s="14" t="str">
        <v>obj_0010b#0009</v>
      </c>
      <c r="S59" s="117">
        <f>_xll.qlRateHelperRate(R59,Trigger)</f>
        <v>1.798266598E-2</v>
      </c>
      <c r="T59" s="15">
        <f>_xll.qlRateHelperEarliestDate(R59,Trigger)</f>
        <v>42201</v>
      </c>
      <c r="U59" s="15">
        <f>_xll.qlRateHelperLatestDate(R59,Trigger)</f>
        <v>56446</v>
      </c>
      <c r="V59" s="117">
        <v>1.8239530210007109E-2</v>
      </c>
    </row>
    <row r="60" spans="1:22" ht="11.25" customHeight="1" x14ac:dyDescent="0.2">
      <c r="A60" s="107" t="s">
        <v>45</v>
      </c>
      <c r="B60" s="137"/>
      <c r="C60" s="137" t="s">
        <v>14</v>
      </c>
      <c r="D60" s="138" t="str">
        <v>31Y</v>
      </c>
      <c r="E60" s="130" t="s">
        <v>15</v>
      </c>
      <c r="F60" s="137" t="s">
        <v>16</v>
      </c>
      <c r="G60" s="130" t="s">
        <v>17</v>
      </c>
      <c r="H60" s="139">
        <v>1.7894162849999999E-2</v>
      </c>
      <c r="I60" s="105" t="str">
        <f>_xll.qlSwapRateHelper2(,$H60,,$D60,Calendar,$F60,$E60,$G60,$I$30,0,C60,Discounting,Permanent,Trigger,ObjectOverwrite)</f>
        <v>obj_0012c#0009</v>
      </c>
      <c r="J60" s="102" t="b">
        <f t="shared" si="16"/>
        <v>1</v>
      </c>
      <c r="L60" s="24" t="str">
        <f t="shared" si="13"/>
        <v>Sw</v>
      </c>
      <c r="M60" s="24" t="str">
        <f t="shared" si="14"/>
        <v>36Y</v>
      </c>
      <c r="N60" s="24" t="str">
        <f t="shared" ref="N60:O71" si="18">I65</f>
        <v>obj_0012d#0009</v>
      </c>
      <c r="O60" s="24" t="b">
        <f t="shared" si="18"/>
        <v>1</v>
      </c>
      <c r="P60" s="14" t="str">
        <v>Sw</v>
      </c>
      <c r="Q60" s="14" t="str">
        <v>40Y</v>
      </c>
      <c r="R60" s="14" t="str">
        <v>obj_000f4#0009</v>
      </c>
      <c r="S60" s="117">
        <f>_xll.qlRateHelperRate(R60,Trigger)</f>
        <v>1.7979999999999999E-2</v>
      </c>
      <c r="T60" s="15">
        <f>_xll.qlRateHelperEarliestDate(R60,Trigger)</f>
        <v>42201</v>
      </c>
      <c r="U60" s="15">
        <f>_xll.qlRateHelperLatestDate(R60,Trigger)</f>
        <v>56811</v>
      </c>
      <c r="V60" s="117">
        <v>1.8225428014199681E-2</v>
      </c>
    </row>
    <row r="61" spans="1:22" ht="11.25" customHeight="1" x14ac:dyDescent="0.2">
      <c r="A61" s="107" t="s">
        <v>45</v>
      </c>
      <c r="B61" s="137"/>
      <c r="C61" s="137" t="s">
        <v>14</v>
      </c>
      <c r="D61" s="138" t="str">
        <v>32Y</v>
      </c>
      <c r="E61" s="130" t="s">
        <v>15</v>
      </c>
      <c r="F61" s="137" t="s">
        <v>16</v>
      </c>
      <c r="G61" s="130" t="s">
        <v>17</v>
      </c>
      <c r="H61" s="139">
        <v>1.791999528E-2</v>
      </c>
      <c r="I61" s="105" t="str">
        <f>_xll.qlSwapRateHelper2(,$H61,,$D61,Calendar,$F61,$E61,$G61,$I$30,0,C61,Discounting,Permanent,Trigger,ObjectOverwrite)</f>
        <v>obj_00100#0009</v>
      </c>
      <c r="J61" s="102" t="b">
        <f t="shared" si="16"/>
        <v>1</v>
      </c>
      <c r="L61" s="24" t="str">
        <f t="shared" si="13"/>
        <v>Sw</v>
      </c>
      <c r="M61" s="24" t="str">
        <f t="shared" si="14"/>
        <v>37Y</v>
      </c>
      <c r="N61" s="24" t="str">
        <f t="shared" si="18"/>
        <v>obj_0012a#0009</v>
      </c>
      <c r="O61" s="24" t="b">
        <f t="shared" si="18"/>
        <v>1</v>
      </c>
      <c r="P61" s="14" t="str">
        <v>Sw</v>
      </c>
      <c r="Q61" s="14" t="str">
        <v>50Y</v>
      </c>
      <c r="R61" s="14" t="str">
        <v>obj_000fd#0009</v>
      </c>
      <c r="S61" s="117">
        <f>_xll.qlRateHelperRate(R61,Trigger)</f>
        <v>1.755E-2</v>
      </c>
      <c r="T61" s="15">
        <f>_xll.qlRateHelperEarliestDate(R61,Trigger)</f>
        <v>42201</v>
      </c>
      <c r="U61" s="15">
        <f>_xll.qlRateHelperLatestDate(R61,Trigger)</f>
        <v>60464</v>
      </c>
      <c r="V61" s="117">
        <v>1.7512032440678348E-2</v>
      </c>
    </row>
    <row r="62" spans="1:22" ht="11.25" customHeight="1" x14ac:dyDescent="0.2">
      <c r="A62" s="107" t="s">
        <v>45</v>
      </c>
      <c r="B62" s="137"/>
      <c r="C62" s="137" t="s">
        <v>14</v>
      </c>
      <c r="D62" s="138" t="str">
        <v>33Y</v>
      </c>
      <c r="E62" s="130" t="s">
        <v>15</v>
      </c>
      <c r="F62" s="137" t="s">
        <v>16</v>
      </c>
      <c r="G62" s="130" t="s">
        <v>17</v>
      </c>
      <c r="H62" s="139">
        <v>1.794555816E-2</v>
      </c>
      <c r="I62" s="105" t="str">
        <f>_xll.qlSwapRateHelper2(,$H62,,$D62,Calendar,$F62,$E62,$G62,$I$30,0,C62,Discounting,Permanent,Trigger,ObjectOverwrite)</f>
        <v>obj_00118#0009</v>
      </c>
      <c r="J62" s="102" t="b">
        <f t="shared" si="16"/>
        <v>1</v>
      </c>
      <c r="L62" s="24" t="str">
        <f t="shared" si="13"/>
        <v>Sw</v>
      </c>
      <c r="M62" s="24" t="str">
        <f t="shared" si="14"/>
        <v>38Y</v>
      </c>
      <c r="N62" s="24" t="str">
        <f t="shared" si="18"/>
        <v>obj_00109#0009</v>
      </c>
      <c r="O62" s="24" t="b">
        <f t="shared" si="18"/>
        <v>1</v>
      </c>
      <c r="P62" s="14" t="str">
        <v>Sw</v>
      </c>
      <c r="Q62" s="14" t="str">
        <v>60Y</v>
      </c>
      <c r="R62" s="14" t="str">
        <v>obj_00129#0009</v>
      </c>
      <c r="S62" s="117">
        <f>_xll.qlRateHelperRate(R62,Trigger)</f>
        <v>1.7399999999999999E-2</v>
      </c>
      <c r="T62" s="15">
        <f>_xll.qlRateHelperEarliestDate(R62,Trigger)</f>
        <v>42201</v>
      </c>
      <c r="U62" s="15">
        <f>_xll.qlRateHelperLatestDate(R62,Trigger)</f>
        <v>64116</v>
      </c>
      <c r="V62" s="117">
        <v>1.7254169562644993E-2</v>
      </c>
    </row>
    <row r="63" spans="1:22" ht="11.25" customHeight="1" x14ac:dyDescent="0.2">
      <c r="A63" s="107" t="s">
        <v>45</v>
      </c>
      <c r="B63" s="137"/>
      <c r="C63" s="137" t="s">
        <v>14</v>
      </c>
      <c r="D63" s="138" t="str">
        <v>34Y</v>
      </c>
      <c r="E63" s="130" t="s">
        <v>15</v>
      </c>
      <c r="F63" s="137" t="s">
        <v>16</v>
      </c>
      <c r="G63" s="130" t="s">
        <v>17</v>
      </c>
      <c r="H63" s="139">
        <v>1.7965903320000001E-2</v>
      </c>
      <c r="I63" s="105" t="str">
        <f>_xll.qlSwapRateHelper2(,$H63,,$D63,Calendar,$F63,$E63,$G63,$I$30,0,C63,Discounting,Permanent,Trigger,ObjectOverwrite)</f>
        <v>obj_000db#0009</v>
      </c>
      <c r="J63" s="102" t="b">
        <f t="shared" si="16"/>
        <v>1</v>
      </c>
      <c r="L63" s="24" t="str">
        <f t="shared" si="13"/>
        <v>Sw</v>
      </c>
      <c r="M63" s="24" t="str">
        <f t="shared" si="14"/>
        <v>39Y</v>
      </c>
      <c r="N63" s="24" t="str">
        <f t="shared" si="18"/>
        <v>obj_0010b#0009</v>
      </c>
      <c r="O63" s="24" t="b">
        <f t="shared" si="18"/>
        <v>1</v>
      </c>
      <c r="P63" s="14" t="e">
        <v>#N/A</v>
      </c>
      <c r="Q63" s="14" t="e">
        <v>#N/A</v>
      </c>
      <c r="R63" s="14" t="e">
        <v>#N/A</v>
      </c>
      <c r="S63" s="117" t="e">
        <f>_xll.qlRateHelperRate(R63,Trigger)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7" t="e">
        <v>#N/A</v>
      </c>
    </row>
    <row r="64" spans="1:22" ht="11.25" customHeight="1" x14ac:dyDescent="0.2">
      <c r="A64" s="107" t="s">
        <v>45</v>
      </c>
      <c r="B64" s="137"/>
      <c r="C64" s="137" t="s">
        <v>14</v>
      </c>
      <c r="D64" s="138" t="str">
        <v>35Y</v>
      </c>
      <c r="E64" s="130" t="s">
        <v>15</v>
      </c>
      <c r="F64" s="137" t="s">
        <v>16</v>
      </c>
      <c r="G64" s="130" t="s">
        <v>17</v>
      </c>
      <c r="H64" s="139">
        <v>1.7979999999999999E-2</v>
      </c>
      <c r="I64" s="105" t="str">
        <f>_xll.qlSwapRateHelper2(,$H64,,$D64,Calendar,$F64,$E64,$G64,$I$30,0,C64,Discounting,Permanent,Trigger,ObjectOverwrite)</f>
        <v>obj_000e1#0009</v>
      </c>
      <c r="J64" s="102" t="b">
        <f t="shared" si="16"/>
        <v>1</v>
      </c>
      <c r="L64" s="24" t="str">
        <f t="shared" si="13"/>
        <v>Sw</v>
      </c>
      <c r="M64" s="24" t="str">
        <f t="shared" si="14"/>
        <v>40Y</v>
      </c>
      <c r="N64" s="24" t="str">
        <f t="shared" si="18"/>
        <v>obj_000f4#0009</v>
      </c>
      <c r="O64" s="24" t="b">
        <f t="shared" si="18"/>
        <v>1</v>
      </c>
      <c r="P64" s="14" t="e">
        <v>#N/A</v>
      </c>
      <c r="Q64" s="14" t="e">
        <v>#N/A</v>
      </c>
      <c r="R64" s="14" t="e">
        <v>#N/A</v>
      </c>
      <c r="S64" s="117" t="e">
        <f>_xll.qlRateHelperRate(R64,Trigger)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7" t="s">
        <v>45</v>
      </c>
      <c r="B65" s="137"/>
      <c r="C65" s="137" t="s">
        <v>14</v>
      </c>
      <c r="D65" s="138" t="str">
        <v>36Y</v>
      </c>
      <c r="E65" s="130" t="s">
        <v>15</v>
      </c>
      <c r="F65" s="137" t="s">
        <v>16</v>
      </c>
      <c r="G65" s="130" t="s">
        <v>17</v>
      </c>
      <c r="H65" s="139">
        <v>1.7986508080000001E-2</v>
      </c>
      <c r="I65" s="105" t="str">
        <f>_xll.qlSwapRateHelper2(,$H65,,$D65,Calendar,$F65,$E65,$G65,$I$30,0,C65,Discounting,Permanent,Trigger,ObjectOverwrite)</f>
        <v>obj_0012d#0009</v>
      </c>
      <c r="J65" s="102" t="b">
        <f t="shared" si="16"/>
        <v>1</v>
      </c>
      <c r="L65" s="24" t="str">
        <f t="shared" si="13"/>
        <v>Sw</v>
      </c>
      <c r="M65" s="24" t="str">
        <f t="shared" si="14"/>
        <v>50Y</v>
      </c>
      <c r="N65" s="24" t="str">
        <f t="shared" si="18"/>
        <v>obj_000fd#0009</v>
      </c>
      <c r="O65" s="24" t="b">
        <f t="shared" si="18"/>
        <v>1</v>
      </c>
      <c r="P65" s="14" t="e">
        <v>#N/A</v>
      </c>
      <c r="Q65" s="14" t="e">
        <v>#N/A</v>
      </c>
      <c r="R65" s="14" t="e">
        <v>#N/A</v>
      </c>
      <c r="S65" s="117" t="e">
        <f>_xll.qlRateHelperRate(R65,Trigger)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7" t="s">
        <v>45</v>
      </c>
      <c r="B66" s="137"/>
      <c r="C66" s="137" t="s">
        <v>14</v>
      </c>
      <c r="D66" s="138" t="str">
        <v>37Y</v>
      </c>
      <c r="E66" s="130" t="s">
        <v>15</v>
      </c>
      <c r="F66" s="137" t="s">
        <v>16</v>
      </c>
      <c r="G66" s="130" t="s">
        <v>17</v>
      </c>
      <c r="H66" s="139">
        <v>1.798837717E-2</v>
      </c>
      <c r="I66" s="105" t="str">
        <f>_xll.qlSwapRateHelper2(,$H66,,$D66,Calendar,$F66,$E66,$G66,$I$30,0,C66,Discounting,Permanent,Trigger,ObjectOverwrite)</f>
        <v>obj_0012a#0009</v>
      </c>
      <c r="J66" s="102" t="b">
        <f t="shared" si="16"/>
        <v>1</v>
      </c>
      <c r="L66" s="24" t="str">
        <f t="shared" si="13"/>
        <v>Sw</v>
      </c>
      <c r="M66" s="24" t="str">
        <f t="shared" si="14"/>
        <v>60Y</v>
      </c>
      <c r="N66" s="24" t="str">
        <f t="shared" si="18"/>
        <v>obj_00129#0009</v>
      </c>
      <c r="O66" s="24" t="b">
        <f t="shared" si="18"/>
        <v>1</v>
      </c>
      <c r="P66" s="14" t="e">
        <v>#N/A</v>
      </c>
      <c r="Q66" s="14" t="e">
        <v>#N/A</v>
      </c>
      <c r="R66" s="14" t="e">
        <v>#N/A</v>
      </c>
      <c r="S66" s="117" t="e">
        <f>_xll.qlRateHelperRate(R66,Trigger)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7" t="s">
        <v>45</v>
      </c>
      <c r="B67" s="137"/>
      <c r="C67" s="137" t="s">
        <v>14</v>
      </c>
      <c r="D67" s="138" t="str">
        <v>38Y</v>
      </c>
      <c r="E67" s="130" t="s">
        <v>15</v>
      </c>
      <c r="F67" s="137" t="s">
        <v>16</v>
      </c>
      <c r="G67" s="130" t="s">
        <v>17</v>
      </c>
      <c r="H67" s="139">
        <v>1.7986077359999998E-2</v>
      </c>
      <c r="I67" s="105" t="str">
        <f>_xll.qlSwapRateHelper2(,$H67,,$D67,Calendar,$F67,$E67,$G67,$I$30,0,C67,Discounting,Permanent,Trigger,ObjectOverwrite)</f>
        <v>obj_00109#0009</v>
      </c>
      <c r="J67" s="102" t="b">
        <f t="shared" si="16"/>
        <v>1</v>
      </c>
      <c r="L67" s="24" t="str">
        <f t="shared" si="13"/>
        <v>Sw</v>
      </c>
      <c r="M67" s="24" t="e">
        <f t="shared" si="14"/>
        <v>#N/A</v>
      </c>
      <c r="N67" s="24" t="e">
        <f t="shared" si="18"/>
        <v>#VALUE!</v>
      </c>
      <c r="O67" s="24" t="b">
        <f t="shared" si="18"/>
        <v>0</v>
      </c>
      <c r="P67" s="14" t="e">
        <v>#N/A</v>
      </c>
      <c r="Q67" s="14" t="e">
        <v>#N/A</v>
      </c>
      <c r="R67" s="14" t="e">
        <v>#N/A</v>
      </c>
      <c r="S67" s="117" t="e">
        <f>_xll.qlRateHelperRate(R67,Trigger)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7" t="s">
        <v>45</v>
      </c>
      <c r="B68" s="137"/>
      <c r="C68" s="137" t="s">
        <v>14</v>
      </c>
      <c r="D68" s="138" t="str">
        <v>39Y</v>
      </c>
      <c r="E68" s="130" t="s">
        <v>15</v>
      </c>
      <c r="F68" s="137" t="s">
        <v>16</v>
      </c>
      <c r="G68" s="130" t="s">
        <v>17</v>
      </c>
      <c r="H68" s="139">
        <v>1.798266598E-2</v>
      </c>
      <c r="I68" s="105" t="str">
        <f>_xll.qlSwapRateHelper2(,$H68,,$D68,Calendar,$F68,$E68,$G68,$I$30,0,C68,Discounting,Permanent,Trigger,ObjectOverwrite)</f>
        <v>obj_0010b#0009</v>
      </c>
      <c r="J68" s="102" t="b">
        <f t="shared" si="16"/>
        <v>1</v>
      </c>
      <c r="L68" s="24" t="str">
        <f t="shared" si="13"/>
        <v>Sw</v>
      </c>
      <c r="M68" s="24" t="e">
        <f t="shared" si="14"/>
        <v>#N/A</v>
      </c>
      <c r="N68" s="24" t="e">
        <f t="shared" si="18"/>
        <v>#VALUE!</v>
      </c>
      <c r="O68" s="24" t="b">
        <f t="shared" si="18"/>
        <v>0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7" t="s">
        <v>45</v>
      </c>
      <c r="B69" s="137"/>
      <c r="C69" s="137" t="s">
        <v>14</v>
      </c>
      <c r="D69" s="138" t="str">
        <v>40Y</v>
      </c>
      <c r="E69" s="130" t="s">
        <v>15</v>
      </c>
      <c r="F69" s="137" t="s">
        <v>16</v>
      </c>
      <c r="G69" s="130" t="s">
        <v>17</v>
      </c>
      <c r="H69" s="139">
        <v>1.7979999999999999E-2</v>
      </c>
      <c r="I69" s="105" t="str">
        <f>_xll.qlSwapRateHelper2(,$H69,,$D69,Calendar,$F69,$E69,$G69,$I$30,0,C69,Discounting,Permanent,Trigger,ObjectOverwrite)</f>
        <v>obj_000f4#0009</v>
      </c>
      <c r="J69" s="102" t="b">
        <f t="shared" si="16"/>
        <v>1</v>
      </c>
      <c r="L69" s="24" t="str">
        <f t="shared" si="13"/>
        <v>Sw</v>
      </c>
      <c r="M69" s="24" t="e">
        <f t="shared" si="14"/>
        <v>#N/A</v>
      </c>
      <c r="N69" s="24" t="e">
        <f t="shared" si="18"/>
        <v>#VALUE!</v>
      </c>
      <c r="O69" s="24" t="b">
        <f t="shared" si="18"/>
        <v>0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7" t="s">
        <v>45</v>
      </c>
      <c r="B70" s="137"/>
      <c r="C70" s="137" t="s">
        <v>14</v>
      </c>
      <c r="D70" s="138" t="str">
        <v>50Y</v>
      </c>
      <c r="E70" s="130" t="s">
        <v>15</v>
      </c>
      <c r="F70" s="137" t="s">
        <v>16</v>
      </c>
      <c r="G70" s="130" t="s">
        <v>17</v>
      </c>
      <c r="H70" s="139">
        <v>1.755E-2</v>
      </c>
      <c r="I70" s="105" t="str">
        <f>_xll.qlSwapRateHelper2(,$H70,,$D70,Calendar,$F70,$E70,$G70,$I$30,0,C70,Discounting,Permanent,Trigger,ObjectOverwrite)</f>
        <v>obj_000fd#0009</v>
      </c>
      <c r="J70" s="102" t="b">
        <f t="shared" si="16"/>
        <v>1</v>
      </c>
      <c r="L70" s="24" t="str">
        <f t="shared" si="13"/>
        <v>Sw</v>
      </c>
      <c r="M70" s="24" t="e">
        <f t="shared" si="14"/>
        <v>#N/A</v>
      </c>
      <c r="N70" s="24" t="e">
        <f t="shared" si="18"/>
        <v>#VALUE!</v>
      </c>
      <c r="O70" s="24" t="b">
        <f t="shared" si="18"/>
        <v>0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7" t="s">
        <v>45</v>
      </c>
      <c r="B71" s="137"/>
      <c r="C71" s="137" t="s">
        <v>14</v>
      </c>
      <c r="D71" s="138" t="str">
        <v>60Y</v>
      </c>
      <c r="E71" s="130" t="s">
        <v>15</v>
      </c>
      <c r="F71" s="137" t="s">
        <v>16</v>
      </c>
      <c r="G71" s="130" t="s">
        <v>17</v>
      </c>
      <c r="H71" s="139">
        <v>1.7399999999999999E-2</v>
      </c>
      <c r="I71" s="105" t="str">
        <f>_xll.qlSwapRateHelper2(,$H71,,$D71,Calendar,$F71,$E71,$G71,$I$30,0,C71,Discounting,Permanent,Trigger,ObjectOverwrite)</f>
        <v>obj_00129#0009</v>
      </c>
      <c r="J71" s="102" t="b">
        <f t="shared" si="16"/>
        <v>1</v>
      </c>
      <c r="L71" s="25" t="str">
        <f t="shared" si="13"/>
        <v>Sw</v>
      </c>
      <c r="M71" s="25" t="e">
        <f t="shared" si="14"/>
        <v>#N/A</v>
      </c>
      <c r="N71" s="25" t="e">
        <f t="shared" si="18"/>
        <v>#VALUE!</v>
      </c>
      <c r="O71" s="25" t="b">
        <f t="shared" si="18"/>
        <v>0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6" t="e">
        <v>#N/A</v>
      </c>
    </row>
    <row r="72" spans="1:22" ht="11.25" customHeight="1" x14ac:dyDescent="0.2">
      <c r="A72" s="107" t="s">
        <v>45</v>
      </c>
      <c r="B72" s="137"/>
      <c r="C72" s="137" t="s">
        <v>14</v>
      </c>
      <c r="D72" s="138" t="e">
        <v>#N/A</v>
      </c>
      <c r="E72" s="130" t="s">
        <v>15</v>
      </c>
      <c r="F72" s="137" t="s">
        <v>16</v>
      </c>
      <c r="G72" s="130" t="s">
        <v>17</v>
      </c>
      <c r="H72" s="139" t="e">
        <v>#N/A</v>
      </c>
      <c r="I72" s="105" t="e">
        <f>_xll.qlSwapRateHelper2(,$H72,,$D72,Calendar,$F72,$E72,$G72,$I$30,0,C72,Discounting,Permanent,Trigger,ObjectOverwrite)</f>
        <v>#VALUE!</v>
      </c>
      <c r="J72" s="102" t="b">
        <f t="shared" si="16"/>
        <v>0</v>
      </c>
    </row>
    <row r="73" spans="1:22" ht="11.25" customHeight="1" x14ac:dyDescent="0.2">
      <c r="A73" s="107" t="s">
        <v>45</v>
      </c>
      <c r="B73" s="137"/>
      <c r="C73" s="137" t="s">
        <v>14</v>
      </c>
      <c r="D73" s="138" t="e">
        <v>#N/A</v>
      </c>
      <c r="E73" s="130" t="s">
        <v>15</v>
      </c>
      <c r="F73" s="137" t="s">
        <v>16</v>
      </c>
      <c r="G73" s="130" t="s">
        <v>17</v>
      </c>
      <c r="H73" s="139" t="e">
        <v>#N/A</v>
      </c>
      <c r="I73" s="105" t="e">
        <f>_xll.qlSwapRateHelper2(,$H73,,$D73,Calendar,$F73,$E73,$G73,$I$30,0,C73,Discounting,Permanent,Trigger,ObjectOverwrite)</f>
        <v>#VALUE!</v>
      </c>
      <c r="J73" s="102" t="b">
        <f t="shared" si="16"/>
        <v>0</v>
      </c>
    </row>
    <row r="74" spans="1:22" ht="11.25" customHeight="1" x14ac:dyDescent="0.2">
      <c r="A74" s="107" t="s">
        <v>45</v>
      </c>
      <c r="B74" s="137"/>
      <c r="C74" s="137" t="s">
        <v>14</v>
      </c>
      <c r="D74" s="138" t="e">
        <v>#N/A</v>
      </c>
      <c r="E74" s="130" t="s">
        <v>15</v>
      </c>
      <c r="F74" s="137" t="s">
        <v>16</v>
      </c>
      <c r="G74" s="130" t="s">
        <v>17</v>
      </c>
      <c r="H74" s="139" t="e">
        <v>#N/A</v>
      </c>
      <c r="I74" s="105" t="e">
        <f>_xll.qlSwapRateHelper2(,$H74,,$D74,Calendar,$F74,$E74,$G74,$I$30,0,C74,Discounting,Permanent,Trigger,ObjectOverwrite)</f>
        <v>#VALUE!</v>
      </c>
      <c r="J74" s="102" t="b">
        <f t="shared" si="16"/>
        <v>0</v>
      </c>
    </row>
    <row r="75" spans="1:22" ht="11.25" customHeight="1" x14ac:dyDescent="0.2">
      <c r="A75" s="107" t="s">
        <v>45</v>
      </c>
      <c r="B75" s="137"/>
      <c r="C75" s="137" t="s">
        <v>14</v>
      </c>
      <c r="D75" s="138" t="e">
        <v>#N/A</v>
      </c>
      <c r="E75" s="130" t="s">
        <v>15</v>
      </c>
      <c r="F75" s="137" t="s">
        <v>16</v>
      </c>
      <c r="G75" s="130" t="s">
        <v>17</v>
      </c>
      <c r="H75" s="139" t="e">
        <v>#N/A</v>
      </c>
      <c r="I75" s="105" t="e">
        <f>_xll.qlSwapRateHelper2(,$H75,,$D75,Calendar,$F75,$E75,$G75,$I$30,0,C75,Discounting,Permanent,Trigger,ObjectOverwrite)</f>
        <v>#VALUE!</v>
      </c>
      <c r="J75" s="102" t="b">
        <f t="shared" si="16"/>
        <v>0</v>
      </c>
    </row>
    <row r="76" spans="1:22" ht="11.25" customHeight="1" x14ac:dyDescent="0.2">
      <c r="A76" s="7" t="s">
        <v>45</v>
      </c>
      <c r="B76" s="140"/>
      <c r="C76" s="140" t="s">
        <v>14</v>
      </c>
      <c r="D76" s="141" t="e">
        <v>#N/A</v>
      </c>
      <c r="E76" s="3" t="s">
        <v>15</v>
      </c>
      <c r="F76" s="140" t="s">
        <v>16</v>
      </c>
      <c r="G76" s="3" t="s">
        <v>17</v>
      </c>
      <c r="H76" s="142" t="e">
        <v>#N/A</v>
      </c>
      <c r="I76" s="5" t="e">
        <f>_xll.qlSwapRateHelper2(,$H76,,$D76,Calendar,$F76,$E76,$G76,$I$30,0,C76,Discounting,Permanent,Trigger,ObjectOverwrite)</f>
        <v>#VALUE!</v>
      </c>
      <c r="J76" s="19" t="b">
        <f t="shared" si="16"/>
        <v>0</v>
      </c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  <row r="81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7.5703125" style="72" hidden="1" customWidth="1" outlineLevel="1"/>
    <col min="2" max="2" width="17.28515625" style="72" hidden="1" customWidth="1" outlineLevel="2"/>
    <col min="3" max="3" width="10" style="89" hidden="1" customWidth="1" outlineLevel="1" collapsed="1"/>
    <col min="4" max="4" width="7.85546875" style="88" hidden="1" customWidth="1" outlineLevel="1"/>
    <col min="5" max="5" width="19.42578125" style="90" hidden="1" customWidth="1" outlineLevel="1"/>
    <col min="6" max="6" width="10.140625" style="72" hidden="1" customWidth="1" outlineLevel="1"/>
    <col min="7" max="7" width="19.5703125" style="72" hidden="1" customWidth="1" outlineLevel="1"/>
    <col min="8" max="8" width="11.42578125" style="72" hidden="1" customWidth="1" outlineLevel="1"/>
    <col min="9" max="9" width="15.28515625" style="72" hidden="1" customWidth="1" outlineLevel="1"/>
    <col min="10" max="10" width="9.140625" style="88" hidden="1" customWidth="1" outlineLevel="1"/>
    <col min="11" max="11" width="2.7109375" style="72" customWidth="1" collapsed="1"/>
    <col min="12" max="12" width="5" style="72" hidden="1" customWidth="1" outlineLevel="1"/>
    <col min="13" max="13" width="6" style="72" hidden="1" customWidth="1" outlineLevel="1"/>
    <col min="14" max="14" width="15.140625" style="72" hidden="1" customWidth="1" outlineLevel="1"/>
    <col min="15" max="15" width="6" style="72" hidden="1" customWidth="1" outlineLevel="1"/>
    <col min="16" max="16" width="5" style="72" bestFit="1" customWidth="1" collapsed="1"/>
    <col min="17" max="17" width="6" style="72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2" width="9" style="72" customWidth="1"/>
    <col min="23" max="23" width="15.140625" style="72" bestFit="1" customWidth="1"/>
    <col min="24" max="24" width="9" style="72" bestFit="1" customWidth="1"/>
    <col min="25" max="16384" width="9.140625" style="72"/>
  </cols>
  <sheetData>
    <row r="1" spans="1:22" ht="21" customHeight="1" x14ac:dyDescent="0.2">
      <c r="B1" s="78"/>
      <c r="C1" s="79"/>
      <c r="D1" s="80"/>
      <c r="E1" s="81"/>
      <c r="F1" s="82"/>
      <c r="J1" s="80"/>
      <c r="L1" s="109"/>
      <c r="M1" s="110"/>
      <c r="N1" s="110"/>
      <c r="O1" s="111"/>
      <c r="P1" s="147" t="s">
        <v>177</v>
      </c>
      <c r="Q1" s="110"/>
      <c r="R1" s="110"/>
      <c r="S1" s="115"/>
      <c r="T1" s="110"/>
      <c r="U1" s="110"/>
      <c r="V1" s="146" t="s">
        <v>193</v>
      </c>
    </row>
    <row r="2" spans="1:22" ht="21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13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3" t="s">
        <v>18</v>
      </c>
      <c r="M2" s="143"/>
      <c r="N2" s="143" t="s">
        <v>43</v>
      </c>
      <c r="O2" s="143"/>
      <c r="P2" s="143" t="s">
        <v>18</v>
      </c>
      <c r="Q2" s="143" t="s">
        <v>56</v>
      </c>
      <c r="R2" s="143" t="s">
        <v>43</v>
      </c>
      <c r="S2" s="144" t="s">
        <v>39</v>
      </c>
      <c r="T2" s="143" t="s">
        <v>37</v>
      </c>
      <c r="U2" s="143" t="s">
        <v>38</v>
      </c>
      <c r="V2" s="116">
        <f t="array" ref="V2:V71">_xll.qlPiecewiseYieldCurveData(YieldCurve_1Y,Trigger)</f>
        <v>-1.1152784677836568E-3</v>
      </c>
    </row>
    <row r="3" spans="1:22" ht="11.25" customHeight="1" x14ac:dyDescent="0.2">
      <c r="A3" s="92" t="s">
        <v>46</v>
      </c>
      <c r="B3" s="92" t="str">
        <f t="array" ref="B3:B18">_xll.ohFilter(PastedValue!AS2:AS82,PastedValue!AO2:AO82="Dp")</f>
        <v>O/N</v>
      </c>
      <c r="C3" s="93" t="str">
        <f>IF(LEFT(B3,1)="#",(_xll.qlCalendarBusinessDaysBetween(Calendar,Settlementdate,DATE(RIGHT(LEFT(B3,5),4),LEFT(RIGHT(B3,4),2),RIGHT(B3,2)),,TRUE,Trigger)-1)&amp;"D",B3)</f>
        <v>O/N</v>
      </c>
      <c r="D3" s="94">
        <f>IF(C3="O/N",0,IF(C3="T/N",1,2))</f>
        <v>0</v>
      </c>
      <c r="E3" s="95" t="str">
        <f>IF(OR(RIGHT(C3,1)="M",RIGHT(C3,1)="D"),"Modified Following","Following")</f>
        <v>Following</v>
      </c>
      <c r="F3" s="96" t="str">
        <f>IF(OR(RIGHT(C3,1)="M",RIGHT(C3,1)="D"),"TRUE","FALSE")</f>
        <v>FALSE</v>
      </c>
      <c r="G3" s="97" t="s">
        <v>50</v>
      </c>
      <c r="H3" s="98">
        <f t="array" ref="H3:H18">_xll.ohFilter(PastedValue!AV2:AV82,PastedValue!AO2:AO82="Dp")/100</f>
        <v>-1.0999989999999999E-3</v>
      </c>
      <c r="I3" s="99" t="str">
        <f>_xll.qlDepositRateHelper2(,H3,IF(RIGHT(C3,1)="N","1D",C3),D3,Calendar,E3,F3,G3,,Trigger)</f>
        <v>obj_000bc#0005</v>
      </c>
      <c r="J3" s="94" t="b">
        <f>IF(ISNUMBER(H3),TRUE,FALSE)</f>
        <v>1</v>
      </c>
      <c r="K3" s="78"/>
      <c r="L3" s="24" t="str">
        <f>A3</f>
        <v>Dp</v>
      </c>
      <c r="M3" s="24" t="str">
        <f>C3</f>
        <v>O/N</v>
      </c>
      <c r="N3" s="14" t="str">
        <f>I3</f>
        <v>obj_000bc#0005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obj_000bc#0005</v>
      </c>
      <c r="S3" s="117">
        <f>_xll.qlRateHelperRate(R3,Trigger)</f>
        <v>-1.0999989999999999E-3</v>
      </c>
      <c r="T3" s="15">
        <f>_xll.qlRateHelperEarliestDate(R3,Trigger)</f>
        <v>42199</v>
      </c>
      <c r="U3" s="15">
        <f>_xll.qlRateHelperLatestDate(R3,Trigger)</f>
        <v>42200</v>
      </c>
      <c r="V3" s="117">
        <v>-1.1152784677836568E-3</v>
      </c>
    </row>
    <row r="4" spans="1:22" ht="11.25" customHeight="1" x14ac:dyDescent="0.2">
      <c r="A4" s="100" t="s">
        <v>46</v>
      </c>
      <c r="B4" s="100" t="str">
        <v>T/N</v>
      </c>
      <c r="C4" s="101" t="str">
        <f>IF(LEFT(B4,1)="#",(_xll.qlCalendarBusinessDaysBetween(Calendar,Settlementdate,DATE(RIGHT(LEFT(B4,5),4),LEFT(RIGHT(B4,4),2),RIGHT(B4,2)),,TRUE,Trigger)-1)&amp;"D",B4)</f>
        <v>T/N</v>
      </c>
      <c r="D4" s="102">
        <f t="shared" ref="D4:D18" si="0">IF(C4="O/N",0,IF(C4="T/N",1,2))</f>
        <v>1</v>
      </c>
      <c r="E4" s="103" t="str">
        <f t="shared" ref="E4:E18" si="1">IF(OR(RIGHT(C4,1)="M",RIGHT(C4,1)="D"),"Modified Following","Following")</f>
        <v>Following</v>
      </c>
      <c r="F4" s="104" t="str">
        <f t="shared" ref="F4:F18" si="2">IF(OR(RIGHT(C4,1)="M",RIGHT(C4,1)="D"),"TRUE","FALSE")</f>
        <v>FALSE</v>
      </c>
      <c r="G4" s="105" t="s">
        <v>50</v>
      </c>
      <c r="H4" s="106">
        <v>-1.1000000000000001E-3</v>
      </c>
      <c r="I4" s="107" t="str">
        <f>_xll.qlDepositRateHelper2(,H4,IF(RIGHT(C4,1)="N","1D",C4),D4,Calendar,E4,F4,G4,,Trigger)</f>
        <v>obj_000c9#0005</v>
      </c>
      <c r="J4" s="102" t="b">
        <f t="shared" ref="J4:J18" si="3">IF(ISNUMBER(H4),TRUE,FALSE)</f>
        <v>1</v>
      </c>
      <c r="K4" s="75"/>
      <c r="L4" s="24" t="str">
        <f t="shared" ref="L4:L18" si="4">A4</f>
        <v>Dp</v>
      </c>
      <c r="M4" s="24" t="str">
        <f t="shared" ref="M4:M18" si="5">C4</f>
        <v>T/N</v>
      </c>
      <c r="N4" s="14" t="str">
        <f t="shared" ref="N4:O18" si="6">I4</f>
        <v>obj_000c9#0005</v>
      </c>
      <c r="O4" s="14" t="b">
        <f t="shared" si="6"/>
        <v>1</v>
      </c>
      <c r="P4" s="14" t="str">
        <v>Dp</v>
      </c>
      <c r="Q4" s="14" t="str">
        <v>T/N</v>
      </c>
      <c r="R4" s="14" t="str">
        <v>obj_000c9#0005</v>
      </c>
      <c r="S4" s="117">
        <f>_xll.qlRateHelperRate(R4,Trigger)</f>
        <v>-1.1000000000000001E-3</v>
      </c>
      <c r="T4" s="15">
        <f>_xll.qlRateHelperEarliestDate(R4,Trigger)</f>
        <v>42200</v>
      </c>
      <c r="U4" s="15">
        <f>_xll.qlRateHelperLatestDate(R4,Trigger)</f>
        <v>42201</v>
      </c>
      <c r="V4" s="117">
        <v>-1.1152789747393133E-3</v>
      </c>
    </row>
    <row r="5" spans="1:22" ht="11.25" customHeight="1" x14ac:dyDescent="0.2">
      <c r="A5" s="100" t="s">
        <v>46</v>
      </c>
      <c r="B5" s="100" t="str">
        <v>S/N</v>
      </c>
      <c r="C5" s="101" t="str">
        <f>IF(LEFT(B5,1)="#",(_xll.qlCalendarBusinessDaysBetween(Calendar,Settlementdate,DATE(RIGHT(LEFT(B5,5),4),LEFT(RIGHT(B5,4),2),RIGHT(B5,2)),,TRUE,Trigger)-1)&amp;"D",B5)</f>
        <v>S/N</v>
      </c>
      <c r="D5" s="102">
        <f t="shared" si="0"/>
        <v>2</v>
      </c>
      <c r="E5" s="103" t="str">
        <f t="shared" si="1"/>
        <v>Following</v>
      </c>
      <c r="F5" s="104" t="str">
        <f t="shared" si="2"/>
        <v>FALSE</v>
      </c>
      <c r="G5" s="105" t="s">
        <v>50</v>
      </c>
      <c r="H5" s="106">
        <v>1.8729999999999999E-3</v>
      </c>
      <c r="I5" s="107" t="str">
        <f>_xll.qlDepositRateHelper2(,H5,IF(RIGHT(C5,1)="N","1D",C5),D5,Calendar,E5,F5,G5,,Trigger)</f>
        <v>obj_000c5#0005</v>
      </c>
      <c r="J5" s="102" t="b">
        <f t="shared" si="3"/>
        <v>1</v>
      </c>
      <c r="K5" s="75"/>
      <c r="L5" s="24" t="str">
        <f t="shared" si="4"/>
        <v>Dp</v>
      </c>
      <c r="M5" s="24" t="str">
        <f t="shared" si="5"/>
        <v>S/N</v>
      </c>
      <c r="N5" s="14" t="str">
        <f t="shared" si="6"/>
        <v>obj_000c5#0005</v>
      </c>
      <c r="O5" s="14" t="b">
        <f t="shared" si="6"/>
        <v>1</v>
      </c>
      <c r="P5" s="14" t="str">
        <v>Dp</v>
      </c>
      <c r="Q5" s="14" t="str">
        <v>S/N</v>
      </c>
      <c r="R5" s="14" t="str">
        <v>obj_000c5#0005</v>
      </c>
      <c r="S5" s="117">
        <f>_xll.qlRateHelperRate(R5,Trigger)</f>
        <v>1.8729999999999999E-3</v>
      </c>
      <c r="T5" s="15">
        <f>_xll.qlRateHelperEarliestDate(R5,Trigger)</f>
        <v>42201</v>
      </c>
      <c r="U5" s="15">
        <f>_xll.qlRateHelperLatestDate(R5,Trigger)</f>
        <v>42202</v>
      </c>
      <c r="V5" s="117">
        <v>-1.1051633346274025E-4</v>
      </c>
    </row>
    <row r="6" spans="1:22" ht="11.25" customHeight="1" x14ac:dyDescent="0.2">
      <c r="A6" s="100" t="s">
        <v>46</v>
      </c>
      <c r="B6" s="100" t="str">
        <v>1W</v>
      </c>
      <c r="C6" s="101" t="str">
        <f>IF(LEFT(B6,1)="#",(_xll.qlCalendarBusinessDaysBetween(Calendar,Settlementdate,DATE(RIGHT(LEFT(B6,5),4),LEFT(RIGHT(B6,4),2),RIGHT(B6,2)),,TRUE,Trigger)-1)&amp;"D",B6)</f>
        <v>1W</v>
      </c>
      <c r="D6" s="102">
        <f t="shared" si="0"/>
        <v>2</v>
      </c>
      <c r="E6" s="103" t="str">
        <f t="shared" si="1"/>
        <v>Following</v>
      </c>
      <c r="F6" s="104" t="str">
        <f t="shared" si="2"/>
        <v>FALSE</v>
      </c>
      <c r="G6" s="105" t="s">
        <v>50</v>
      </c>
      <c r="H6" s="106">
        <v>1.7619999999999999E-3</v>
      </c>
      <c r="I6" s="107" t="str">
        <f>_xll.qlDepositRateHelper2(,H6,IF(RIGHT(C6,1)="N","1D",C6),D6,Calendar,E6,F6,G6,,Trigger)</f>
        <v>obj_000c4#0005</v>
      </c>
      <c r="J6" s="102" t="b">
        <f t="shared" si="3"/>
        <v>1</v>
      </c>
      <c r="K6" s="75"/>
      <c r="L6" s="24" t="str">
        <f t="shared" si="4"/>
        <v>Dp</v>
      </c>
      <c r="M6" s="24" t="str">
        <f t="shared" si="5"/>
        <v>1W</v>
      </c>
      <c r="N6" s="14" t="str">
        <f t="shared" si="6"/>
        <v>obj_000c4#0005</v>
      </c>
      <c r="O6" s="14" t="b">
        <f t="shared" si="6"/>
        <v>1</v>
      </c>
      <c r="P6" s="14" t="str">
        <v>Dp</v>
      </c>
      <c r="Q6" s="14" t="str">
        <v>1W</v>
      </c>
      <c r="R6" s="14" t="str">
        <v>obj_000c4#0005</v>
      </c>
      <c r="S6" s="117">
        <f>_xll.qlRateHelperRate(R6,Trigger)</f>
        <v>1.7619999999999999E-3</v>
      </c>
      <c r="T6" s="15">
        <f>_xll.qlRateHelperEarliestDate(R6,Trigger)</f>
        <v>42201</v>
      </c>
      <c r="U6" s="15">
        <f>_xll.qlRateHelperLatestDate(R6,Trigger)</f>
        <v>42208</v>
      </c>
      <c r="V6" s="117">
        <v>1.1416148209040218E-3</v>
      </c>
    </row>
    <row r="7" spans="1:22" ht="11.25" customHeight="1" x14ac:dyDescent="0.2">
      <c r="A7" s="100" t="s">
        <v>46</v>
      </c>
      <c r="B7" s="100" t="str">
        <v>2W</v>
      </c>
      <c r="C7" s="101" t="str">
        <f>IF(LEFT(B7,1)="#",(_xll.qlCalendarBusinessDaysBetween(Calendar,Settlementdate,DATE(RIGHT(LEFT(B7,5),4),LEFT(RIGHT(B7,4),2),RIGHT(B7,2)),,TRUE,Trigger)-1)&amp;"D",B7)</f>
        <v>2W</v>
      </c>
      <c r="D7" s="102">
        <f t="shared" si="0"/>
        <v>2</v>
      </c>
      <c r="E7" s="103" t="str">
        <f t="shared" si="1"/>
        <v>Following</v>
      </c>
      <c r="F7" s="104" t="str">
        <f t="shared" si="2"/>
        <v>FALSE</v>
      </c>
      <c r="G7" s="105" t="s">
        <v>50</v>
      </c>
      <c r="H7" s="106">
        <v>1.7419999999999998E-3</v>
      </c>
      <c r="I7" s="107" t="str">
        <f>_xll.qlDepositRateHelper2(,H7,IF(RIGHT(C7,1)="N","1D",C7),D7,Calendar,E7,F7,G7,,Trigger)</f>
        <v>obj_000b5#0005</v>
      </c>
      <c r="J7" s="102" t="b">
        <f t="shared" si="3"/>
        <v>1</v>
      </c>
      <c r="K7" s="75"/>
      <c r="L7" s="24" t="str">
        <f t="shared" si="4"/>
        <v>Dp</v>
      </c>
      <c r="M7" s="24" t="str">
        <f t="shared" si="5"/>
        <v>2W</v>
      </c>
      <c r="N7" s="14" t="str">
        <f t="shared" si="6"/>
        <v>obj_000b5#0005</v>
      </c>
      <c r="O7" s="14" t="b">
        <f t="shared" si="6"/>
        <v>1</v>
      </c>
      <c r="P7" s="14" t="str">
        <v>Dp</v>
      </c>
      <c r="Q7" s="14" t="str">
        <v>2W</v>
      </c>
      <c r="R7" s="14" t="str">
        <v>obj_000b5#0005</v>
      </c>
      <c r="S7" s="117">
        <f>_xll.qlRateHelperRate(R7,Trigger)</f>
        <v>1.7419999999999998E-3</v>
      </c>
      <c r="T7" s="15">
        <f>_xll.qlRateHelperEarliestDate(R7,Trigger)</f>
        <v>42201</v>
      </c>
      <c r="U7" s="15">
        <f>_xll.qlRateHelperLatestDate(R7,Trigger)</f>
        <v>42215</v>
      </c>
      <c r="V7" s="117">
        <v>1.405957922595827E-3</v>
      </c>
    </row>
    <row r="8" spans="1:22" ht="11.25" customHeight="1" x14ac:dyDescent="0.2">
      <c r="A8" s="100" t="s">
        <v>46</v>
      </c>
      <c r="B8" s="100" t="str">
        <v>3W</v>
      </c>
      <c r="C8" s="101" t="str">
        <f>IF(LEFT(B8,1)="#",(_xll.qlCalendarBusinessDaysBetween(Calendar,Settlementdate,DATE(RIGHT(LEFT(B8,5),4),LEFT(RIGHT(B8,4),2),RIGHT(B8,2)),,TRUE,Trigger)-1)&amp;"D",B8)</f>
        <v>3W</v>
      </c>
      <c r="D8" s="102">
        <f t="shared" si="0"/>
        <v>2</v>
      </c>
      <c r="E8" s="103" t="str">
        <f t="shared" si="1"/>
        <v>Following</v>
      </c>
      <c r="F8" s="104" t="str">
        <f t="shared" si="2"/>
        <v>FALSE</v>
      </c>
      <c r="G8" s="105" t="s">
        <v>50</v>
      </c>
      <c r="H8" s="106">
        <v>1.792E-3</v>
      </c>
      <c r="I8" s="107" t="str">
        <f>_xll.qlDepositRateHelper2(,H8,IF(RIGHT(C8,1)="N","1D",C8),D8,Calendar,E8,F8,G8,,Trigger)</f>
        <v>obj_000c8#0005</v>
      </c>
      <c r="J8" s="102" t="b">
        <f t="shared" si="3"/>
        <v>1</v>
      </c>
      <c r="K8" s="75"/>
      <c r="L8" s="24" t="str">
        <f t="shared" si="4"/>
        <v>Dp</v>
      </c>
      <c r="M8" s="24" t="str">
        <f t="shared" si="5"/>
        <v>3W</v>
      </c>
      <c r="N8" s="14" t="str">
        <f t="shared" si="6"/>
        <v>obj_000c8#0005</v>
      </c>
      <c r="O8" s="14" t="b">
        <f t="shared" si="6"/>
        <v>1</v>
      </c>
      <c r="P8" s="14" t="str">
        <v>Dp</v>
      </c>
      <c r="Q8" s="14" t="str">
        <v>3W</v>
      </c>
      <c r="R8" s="14" t="str">
        <v>obj_000c8#0005</v>
      </c>
      <c r="S8" s="117">
        <f>_xll.qlRateHelperRate(R8,Trigger)</f>
        <v>1.792E-3</v>
      </c>
      <c r="T8" s="15">
        <f>_xll.qlRateHelperEarliestDate(R8,Trigger)</f>
        <v>42201</v>
      </c>
      <c r="U8" s="15">
        <f>_xll.qlRateHelperLatestDate(R8,Trigger)</f>
        <v>42222</v>
      </c>
      <c r="V8" s="117">
        <v>1.5618310712559621E-3</v>
      </c>
    </row>
    <row r="9" spans="1:22" ht="11.25" customHeight="1" x14ac:dyDescent="0.2">
      <c r="A9" s="100" t="s">
        <v>46</v>
      </c>
      <c r="B9" s="100" t="str">
        <v>1M</v>
      </c>
      <c r="C9" s="101" t="str">
        <f>IF(LEFT(B9,1)="#",(_xll.qlCalendarBusinessDaysBetween(Calendar,Settlementdate,DATE(RIGHT(LEFT(B9,5),4),LEFT(RIGHT(B9,4),2),RIGHT(B9,2)),,TRUE,Trigger)-1)&amp;"D",B9)</f>
        <v>1M</v>
      </c>
      <c r="D9" s="102">
        <f t="shared" si="0"/>
        <v>2</v>
      </c>
      <c r="E9" s="103" t="str">
        <f t="shared" si="1"/>
        <v>Modified Following</v>
      </c>
      <c r="F9" s="104" t="str">
        <f t="shared" si="2"/>
        <v>TRUE</v>
      </c>
      <c r="G9" s="105" t="s">
        <v>50</v>
      </c>
      <c r="H9" s="106">
        <v>1.7719999999999999E-3</v>
      </c>
      <c r="I9" s="107" t="str">
        <f>_xll.qlDepositRateHelper2(,H9,IF(RIGHT(C9,1)="N","1D",C9),D9,Calendar,E9,F9,G9,,Trigger)</f>
        <v>obj_000b4#0005</v>
      </c>
      <c r="J9" s="102" t="b">
        <f t="shared" si="3"/>
        <v>1</v>
      </c>
      <c r="K9" s="75"/>
      <c r="L9" s="24" t="str">
        <f t="shared" si="4"/>
        <v>Dp</v>
      </c>
      <c r="M9" s="24" t="str">
        <f t="shared" si="5"/>
        <v>1M</v>
      </c>
      <c r="N9" s="14" t="str">
        <f t="shared" si="6"/>
        <v>obj_000b4#0005</v>
      </c>
      <c r="O9" s="14" t="b">
        <f t="shared" si="6"/>
        <v>1</v>
      </c>
      <c r="P9" s="14" t="str">
        <v>Dp</v>
      </c>
      <c r="Q9" s="14" t="str">
        <v>1M</v>
      </c>
      <c r="R9" s="14" t="str">
        <v>obj_000b4#0005</v>
      </c>
      <c r="S9" s="117">
        <f>_xll.qlRateHelperRate(R9,Trigger)</f>
        <v>1.7719999999999999E-3</v>
      </c>
      <c r="T9" s="15">
        <f>_xll.qlRateHelperEarliestDate(R9,Trigger)</f>
        <v>42201</v>
      </c>
      <c r="U9" s="15">
        <f>_xll.qlRateHelperLatestDate(R9,Trigger)</f>
        <v>42233</v>
      </c>
      <c r="V9" s="117">
        <v>1.6251903030027658E-3</v>
      </c>
    </row>
    <row r="10" spans="1:22" ht="11.25" customHeight="1" x14ac:dyDescent="0.2">
      <c r="A10" s="100" t="s">
        <v>46</v>
      </c>
      <c r="B10" s="100" t="str">
        <v>2M</v>
      </c>
      <c r="C10" s="101" t="str">
        <f>IF(LEFT(B10,1)="#",(_xll.qlCalendarBusinessDaysBetween(Calendar,Settlementdate,DATE(RIGHT(LEFT(B10,5),4),LEFT(RIGHT(B10,4),2),RIGHT(B10,2)),,TRUE,Trigger)-1)&amp;"D",B10)</f>
        <v>2M</v>
      </c>
      <c r="D10" s="102">
        <f t="shared" si="0"/>
        <v>2</v>
      </c>
      <c r="E10" s="103" t="str">
        <f t="shared" si="1"/>
        <v>Modified Following</v>
      </c>
      <c r="F10" s="104" t="str">
        <f t="shared" si="2"/>
        <v>TRUE</v>
      </c>
      <c r="G10" s="105" t="s">
        <v>50</v>
      </c>
      <c r="H10" s="106">
        <v>1.7410000000000001E-3</v>
      </c>
      <c r="I10" s="107" t="str">
        <f>_xll.qlDepositRateHelper2(,H10,IF(RIGHT(C10,1)="N","1D",C10),D10,Calendar,E10,F10,G10,,Trigger)</f>
        <v>obj_000b1#0005</v>
      </c>
      <c r="J10" s="102" t="b">
        <f t="shared" si="3"/>
        <v>1</v>
      </c>
      <c r="K10" s="75"/>
      <c r="L10" s="24" t="str">
        <f t="shared" si="4"/>
        <v>Dp</v>
      </c>
      <c r="M10" s="24" t="str">
        <f t="shared" si="5"/>
        <v>2M</v>
      </c>
      <c r="N10" s="14" t="str">
        <f t="shared" si="6"/>
        <v>obj_000b1#0005</v>
      </c>
      <c r="O10" s="14" t="b">
        <f t="shared" si="6"/>
        <v>1</v>
      </c>
      <c r="P10" s="14" t="str">
        <v>Dp</v>
      </c>
      <c r="Q10" s="14" t="str">
        <v>2M</v>
      </c>
      <c r="R10" s="14" t="str">
        <v>obj_000b1#0005</v>
      </c>
      <c r="S10" s="117">
        <f>_xll.qlRateHelperRate(R10,Trigger)</f>
        <v>1.7410000000000001E-3</v>
      </c>
      <c r="T10" s="15">
        <f>_xll.qlRateHelperEarliestDate(R10,Trigger)</f>
        <v>42201</v>
      </c>
      <c r="U10" s="15">
        <f>_xll.qlRateHelperLatestDate(R10,Trigger)</f>
        <v>42263</v>
      </c>
      <c r="V10" s="117">
        <v>1.6749098814200147E-3</v>
      </c>
    </row>
    <row r="11" spans="1:22" ht="11.25" customHeight="1" x14ac:dyDescent="0.2">
      <c r="A11" s="100" t="s">
        <v>46</v>
      </c>
      <c r="B11" s="100" t="str">
        <v>3M</v>
      </c>
      <c r="C11" s="101" t="str">
        <f>IF(LEFT(B11,1)="#",(_xll.qlCalendarBusinessDaysBetween(Calendar,Settlementdate,DATE(RIGHT(LEFT(B11,5),4),LEFT(RIGHT(B11,4),2),RIGHT(B11,2)),,TRUE,Trigger)-1)&amp;"D",B11)</f>
        <v>3M</v>
      </c>
      <c r="D11" s="102">
        <f t="shared" si="0"/>
        <v>2</v>
      </c>
      <c r="E11" s="103" t="str">
        <f t="shared" si="1"/>
        <v>Modified Following</v>
      </c>
      <c r="F11" s="104" t="str">
        <f t="shared" si="2"/>
        <v>TRUE</v>
      </c>
      <c r="G11" s="105" t="s">
        <v>50</v>
      </c>
      <c r="H11" s="106">
        <v>1.7110000000000001E-3</v>
      </c>
      <c r="I11" s="107" t="str">
        <f>_xll.qlDepositRateHelper2(,H11,IF(RIGHT(C11,1)="N","1D",C11),D11,Calendar,E11,F11,G11,,Trigger)</f>
        <v>obj_000c1#0005</v>
      </c>
      <c r="J11" s="102" t="b">
        <f t="shared" si="3"/>
        <v>1</v>
      </c>
      <c r="K11" s="75"/>
      <c r="L11" s="24" t="str">
        <f t="shared" si="4"/>
        <v>Dp</v>
      </c>
      <c r="M11" s="24" t="str">
        <f t="shared" si="5"/>
        <v>3M</v>
      </c>
      <c r="N11" s="14" t="str">
        <f t="shared" si="6"/>
        <v>obj_000c1#0005</v>
      </c>
      <c r="O11" s="14" t="b">
        <f t="shared" si="6"/>
        <v>1</v>
      </c>
      <c r="P11" s="14" t="str">
        <v>Dp</v>
      </c>
      <c r="Q11" s="14" t="str">
        <v>3M</v>
      </c>
      <c r="R11" s="14" t="str">
        <v>obj_000c1#0005</v>
      </c>
      <c r="S11" s="117">
        <f>_xll.qlRateHelperRate(R11,Trigger)</f>
        <v>1.7110000000000001E-3</v>
      </c>
      <c r="T11" s="15">
        <f>_xll.qlRateHelperEarliestDate(R11,Trigger)</f>
        <v>42201</v>
      </c>
      <c r="U11" s="15">
        <f>_xll.qlRateHelperLatestDate(R11,Trigger)</f>
        <v>42293</v>
      </c>
      <c r="V11" s="117">
        <v>1.6737535891433633E-3</v>
      </c>
    </row>
    <row r="12" spans="1:22" ht="11.25" customHeight="1" x14ac:dyDescent="0.2">
      <c r="A12" s="100" t="s">
        <v>46</v>
      </c>
      <c r="B12" s="100" t="str">
        <v>4M</v>
      </c>
      <c r="C12" s="101" t="str">
        <f>IF(LEFT(B12,1)="#",(_xll.qlCalendarBusinessDaysBetween(Calendar,Settlementdate,DATE(RIGHT(LEFT(B12,5),4),LEFT(RIGHT(B12,4),2),RIGHT(B12,2)),,TRUE,Trigger)-1)&amp;"D",B12)</f>
        <v>4M</v>
      </c>
      <c r="D12" s="102">
        <f t="shared" si="0"/>
        <v>2</v>
      </c>
      <c r="E12" s="103" t="str">
        <f t="shared" si="1"/>
        <v>Modified Following</v>
      </c>
      <c r="F12" s="104" t="str">
        <f t="shared" si="2"/>
        <v>TRUE</v>
      </c>
      <c r="G12" s="105" t="s">
        <v>50</v>
      </c>
      <c r="H12" s="106">
        <v>1.691E-3</v>
      </c>
      <c r="I12" s="107" t="str">
        <f>_xll.qlDepositRateHelper2(,H12,IF(RIGHT(C12,1)="N","1D",C12),D12,Calendar,E12,F12,G12,,Trigger)</f>
        <v>obj_000b2#0005</v>
      </c>
      <c r="J12" s="102" t="b">
        <f t="shared" si="3"/>
        <v>1</v>
      </c>
      <c r="K12" s="75"/>
      <c r="L12" s="24" t="str">
        <f t="shared" si="4"/>
        <v>Dp</v>
      </c>
      <c r="M12" s="24" t="str">
        <f t="shared" si="5"/>
        <v>4M</v>
      </c>
      <c r="N12" s="14" t="str">
        <f t="shared" si="6"/>
        <v>obj_000b2#0005</v>
      </c>
      <c r="O12" s="14" t="b">
        <f t="shared" si="6"/>
        <v>1</v>
      </c>
      <c r="P12" s="14" t="str">
        <v>Dp</v>
      </c>
      <c r="Q12" s="14" t="str">
        <v>4M</v>
      </c>
      <c r="R12" s="14" t="str">
        <v>obj_000b2#0005</v>
      </c>
      <c r="S12" s="117">
        <f>_xll.qlRateHelperRate(R12,Trigger)</f>
        <v>1.691E-3</v>
      </c>
      <c r="T12" s="15">
        <f>_xll.qlRateHelperEarliestDate(R12,Trigger)</f>
        <v>42201</v>
      </c>
      <c r="U12" s="15">
        <f>_xll.qlRateHelperLatestDate(R12,Trigger)</f>
        <v>42324</v>
      </c>
      <c r="V12" s="117">
        <v>1.6687227025649841E-3</v>
      </c>
    </row>
    <row r="13" spans="1:22" ht="11.25" customHeight="1" x14ac:dyDescent="0.2">
      <c r="A13" s="100" t="s">
        <v>46</v>
      </c>
      <c r="B13" s="100" t="str">
        <v>5M</v>
      </c>
      <c r="C13" s="101" t="str">
        <f>IF(LEFT(B13,1)="#",(_xll.qlCalendarBusinessDaysBetween(Calendar,Settlementdate,DATE(RIGHT(LEFT(B13,5),4),LEFT(RIGHT(B13,4),2),RIGHT(B13,2)),,TRUE,Trigger)-1)&amp;"D",B13)</f>
        <v>5M</v>
      </c>
      <c r="D13" s="102">
        <f t="shared" si="0"/>
        <v>2</v>
      </c>
      <c r="E13" s="103" t="str">
        <f t="shared" si="1"/>
        <v>Modified Following</v>
      </c>
      <c r="F13" s="104" t="str">
        <f t="shared" si="2"/>
        <v>TRUE</v>
      </c>
      <c r="G13" s="105" t="s">
        <v>50</v>
      </c>
      <c r="H13" s="106">
        <v>1.671E-3</v>
      </c>
      <c r="I13" s="107" t="str">
        <f>_xll.qlDepositRateHelper2(,H13,IF(RIGHT(C13,1)="N","1D",C13),D13,Calendar,E13,F13,G13,,Trigger)</f>
        <v>obj_000ae#0005</v>
      </c>
      <c r="J13" s="102" t="b">
        <f t="shared" si="3"/>
        <v>1</v>
      </c>
      <c r="K13" s="75"/>
      <c r="L13" s="24" t="str">
        <f t="shared" si="4"/>
        <v>Dp</v>
      </c>
      <c r="M13" s="24" t="str">
        <f t="shared" si="5"/>
        <v>5M</v>
      </c>
      <c r="N13" s="14" t="str">
        <f t="shared" si="6"/>
        <v>obj_000ae#0005</v>
      </c>
      <c r="O13" s="14" t="b">
        <f t="shared" si="6"/>
        <v>1</v>
      </c>
      <c r="P13" s="14" t="str">
        <v>Dp</v>
      </c>
      <c r="Q13" s="14" t="str">
        <v>5M</v>
      </c>
      <c r="R13" s="14" t="str">
        <v>obj_000ae#0005</v>
      </c>
      <c r="S13" s="117">
        <f>_xll.qlRateHelperRate(R13,Trigger)</f>
        <v>1.671E-3</v>
      </c>
      <c r="T13" s="15">
        <f>_xll.qlRateHelperEarliestDate(R13,Trigger)</f>
        <v>42201</v>
      </c>
      <c r="U13" s="15">
        <f>_xll.qlRateHelperLatestDate(R13,Trigger)</f>
        <v>42354</v>
      </c>
      <c r="V13" s="117">
        <v>1.657363335474297E-3</v>
      </c>
    </row>
    <row r="14" spans="1:22" ht="11.25" customHeight="1" x14ac:dyDescent="0.2">
      <c r="A14" s="100" t="s">
        <v>46</v>
      </c>
      <c r="B14" s="100" t="str">
        <v>6M</v>
      </c>
      <c r="C14" s="101" t="str">
        <f>IF(LEFT(B14,1)="#",(_xll.qlCalendarBusinessDaysBetween(Calendar,Settlementdate,DATE(RIGHT(LEFT(B14,5),4),LEFT(RIGHT(B14,4),2),RIGHT(B14,2)),,TRUE,Trigger)-1)&amp;"D",B14)</f>
        <v>6M</v>
      </c>
      <c r="D14" s="102">
        <f t="shared" si="0"/>
        <v>2</v>
      </c>
      <c r="E14" s="103" t="str">
        <f t="shared" si="1"/>
        <v>Modified Following</v>
      </c>
      <c r="F14" s="104" t="str">
        <f t="shared" si="2"/>
        <v>TRUE</v>
      </c>
      <c r="G14" s="105" t="s">
        <v>50</v>
      </c>
      <c r="H14" s="106">
        <v>1.6609999999999999E-3</v>
      </c>
      <c r="I14" s="107" t="str">
        <f>_xll.qlDepositRateHelper2(,H14,IF(RIGHT(C14,1)="N","1D",C14),D14,Calendar,E14,F14,G14,,Trigger)</f>
        <v>obj_000bd#0005</v>
      </c>
      <c r="J14" s="102" t="b">
        <f t="shared" si="3"/>
        <v>1</v>
      </c>
      <c r="K14" s="75"/>
      <c r="L14" s="24" t="str">
        <f t="shared" si="4"/>
        <v>Dp</v>
      </c>
      <c r="M14" s="24" t="str">
        <f t="shared" si="5"/>
        <v>6M</v>
      </c>
      <c r="N14" s="14" t="str">
        <f t="shared" si="6"/>
        <v>obj_000bd#0005</v>
      </c>
      <c r="O14" s="14" t="b">
        <f t="shared" si="6"/>
        <v>1</v>
      </c>
      <c r="P14" s="14" t="str">
        <v>Dp</v>
      </c>
      <c r="Q14" s="14" t="str">
        <v>6M</v>
      </c>
      <c r="R14" s="14" t="str">
        <v>obj_000bd#0005</v>
      </c>
      <c r="S14" s="117">
        <f>_xll.qlRateHelperRate(R14,Trigger)</f>
        <v>1.6609999999999999E-3</v>
      </c>
      <c r="T14" s="15">
        <f>_xll.qlRateHelperEarliestDate(R14,Trigger)</f>
        <v>42201</v>
      </c>
      <c r="U14" s="15">
        <f>_xll.qlRateHelperLatestDate(R14,Trigger)</f>
        <v>42387</v>
      </c>
      <c r="V14" s="117">
        <v>1.6535746181621188E-3</v>
      </c>
    </row>
    <row r="15" spans="1:22" ht="11.25" customHeight="1" x14ac:dyDescent="0.2">
      <c r="A15" s="100" t="s">
        <v>46</v>
      </c>
      <c r="B15" s="100" t="str">
        <v>7M</v>
      </c>
      <c r="C15" s="101" t="str">
        <f>IF(LEFT(B15,1)="#",(_xll.qlCalendarBusinessDaysBetween(Calendar,Settlementdate,DATE(RIGHT(LEFT(B15,5),4),LEFT(RIGHT(B15,4),2),RIGHT(B15,2)),,TRUE,Trigger)-1)&amp;"D",B15)</f>
        <v>7M</v>
      </c>
      <c r="D15" s="102">
        <f t="shared" si="0"/>
        <v>2</v>
      </c>
      <c r="E15" s="103" t="str">
        <f t="shared" si="1"/>
        <v>Modified Following</v>
      </c>
      <c r="F15" s="104" t="str">
        <f t="shared" si="2"/>
        <v>TRUE</v>
      </c>
      <c r="G15" s="105" t="s">
        <v>50</v>
      </c>
      <c r="H15" s="106">
        <v>1.6409999999999999E-3</v>
      </c>
      <c r="I15" s="107" t="str">
        <f>_xll.qlDepositRateHelper2(,H15,IF(RIGHT(C15,1)="N","1D",C15),D15,Calendar,E15,F15,G15,,Trigger)</f>
        <v>obj_000b9#0005</v>
      </c>
      <c r="J15" s="102" t="b">
        <f t="shared" si="3"/>
        <v>1</v>
      </c>
      <c r="K15" s="75"/>
      <c r="L15" s="24" t="str">
        <f t="shared" si="4"/>
        <v>Dp</v>
      </c>
      <c r="M15" s="24" t="str">
        <f t="shared" si="5"/>
        <v>7M</v>
      </c>
      <c r="N15" s="14" t="str">
        <f t="shared" si="6"/>
        <v>obj_000b9#0005</v>
      </c>
      <c r="O15" s="14" t="b">
        <f t="shared" si="6"/>
        <v>1</v>
      </c>
      <c r="P15" s="14" t="str">
        <v>Dp</v>
      </c>
      <c r="Q15" s="14" t="str">
        <v>7M</v>
      </c>
      <c r="R15" s="14" t="str">
        <v>obj_000b9#0005</v>
      </c>
      <c r="S15" s="117">
        <f>_xll.qlRateHelperRate(R15,Trigger)</f>
        <v>1.6409999999999999E-3</v>
      </c>
      <c r="T15" s="15">
        <f>_xll.qlRateHelperEarliestDate(R15,Trigger)</f>
        <v>42201</v>
      </c>
      <c r="U15" s="15">
        <f>_xll.qlRateHelperLatestDate(R15,Trigger)</f>
        <v>42416</v>
      </c>
      <c r="V15" s="117">
        <v>1.6373708613896221E-3</v>
      </c>
    </row>
    <row r="16" spans="1:22" ht="11.25" customHeight="1" x14ac:dyDescent="0.2">
      <c r="A16" s="100" t="s">
        <v>46</v>
      </c>
      <c r="B16" s="100" t="str">
        <v>#20160316</v>
      </c>
      <c r="C16" s="101" t="str">
        <f>IF(LEFT(B16,1)="#",(_xll.qlCalendarBusinessDaysBetween(Calendar,Settlementdate,DATE(RIGHT(LEFT(B16,5),4),LEFT(RIGHT(B16,4),2),RIGHT(B16,2)),,TRUE,Trigger)-1)&amp;"D",B16)</f>
        <v>172D</v>
      </c>
      <c r="D16" s="102">
        <f t="shared" si="0"/>
        <v>2</v>
      </c>
      <c r="E16" s="103" t="str">
        <f t="shared" si="1"/>
        <v>Modified Following</v>
      </c>
      <c r="F16" s="104" t="str">
        <f t="shared" si="2"/>
        <v>TRUE</v>
      </c>
      <c r="G16" s="105" t="s">
        <v>50</v>
      </c>
      <c r="H16" s="106">
        <v>1.5179999999999998E-3</v>
      </c>
      <c r="I16" s="107" t="str">
        <f>_xll.qlDepositRateHelper2(,H16,IF(RIGHT(C16,1)="N","1D",C16),D16,Calendar,E16,F16,G16,,Trigger)</f>
        <v>obj_00189#0004</v>
      </c>
      <c r="J16" s="102" t="b">
        <f t="shared" si="3"/>
        <v>1</v>
      </c>
      <c r="K16" s="75"/>
      <c r="L16" s="24" t="str">
        <f t="shared" si="4"/>
        <v>Dp</v>
      </c>
      <c r="M16" s="24" t="str">
        <f t="shared" si="5"/>
        <v>172D</v>
      </c>
      <c r="N16" s="14" t="str">
        <f t="shared" si="6"/>
        <v>obj_00189#0004</v>
      </c>
      <c r="O16" s="14" t="b">
        <f t="shared" si="6"/>
        <v>1</v>
      </c>
      <c r="P16" s="14" t="str">
        <v>Dp</v>
      </c>
      <c r="Q16" s="14" t="str">
        <v>172D</v>
      </c>
      <c r="R16" s="14" t="str">
        <v>obj_00189#0004</v>
      </c>
      <c r="S16" s="117">
        <f>_xll.qlRateHelperRate(R16,Trigger)</f>
        <v>1.5179999999999998E-3</v>
      </c>
      <c r="T16" s="15">
        <f>_xll.qlRateHelperEarliestDate(R16,Trigger)</f>
        <v>42201</v>
      </c>
      <c r="U16" s="15">
        <f>_xll.qlRateHelperLatestDate(R16,Trigger)</f>
        <v>42445</v>
      </c>
      <c r="V16" s="117">
        <v>1.5167183714796259E-3</v>
      </c>
    </row>
    <row r="17" spans="1:22" ht="11.25" customHeight="1" x14ac:dyDescent="0.2">
      <c r="A17" s="100" t="s">
        <v>46</v>
      </c>
      <c r="B17" s="100" t="e">
        <v>#N/A</v>
      </c>
      <c r="C17" s="101" t="e">
        <f>IF(LEFT(B17,1)="#",(_xll.qlCalendarBusinessDaysBetween(Calendar,Settlementdate,DATE(RIGHT(LEFT(B17,5),4),LEFT(RIGHT(B17,4),2),RIGHT(B17,2)),,TRUE,Trigger)-1)&amp;"D",B17)</f>
        <v>#N/A</v>
      </c>
      <c r="D17" s="102" t="e">
        <f t="shared" si="0"/>
        <v>#N/A</v>
      </c>
      <c r="E17" s="103" t="e">
        <f t="shared" si="1"/>
        <v>#N/A</v>
      </c>
      <c r="F17" s="104" t="e">
        <f t="shared" si="2"/>
        <v>#N/A</v>
      </c>
      <c r="G17" s="105" t="s">
        <v>50</v>
      </c>
      <c r="H17" s="106" t="e">
        <v>#N/A</v>
      </c>
      <c r="I17" s="107" t="e">
        <f>_xll.qlDepositRateHelper2(,H17,IF(RIGHT(C17,1)="N","1D",C17),D17,Calendar,E17,F17,G17,,Trigger)</f>
        <v>#VALUE!</v>
      </c>
      <c r="J17" s="102" t="b">
        <f t="shared" si="3"/>
        <v>0</v>
      </c>
      <c r="K17" s="75"/>
      <c r="L17" s="24" t="str">
        <f t="shared" si="4"/>
        <v>Dp</v>
      </c>
      <c r="M17" s="24" t="e">
        <f t="shared" si="5"/>
        <v>#N/A</v>
      </c>
      <c r="N17" s="14" t="e">
        <f t="shared" si="6"/>
        <v>#VALUE!</v>
      </c>
      <c r="O17" s="14" t="b">
        <f t="shared" si="6"/>
        <v>0</v>
      </c>
      <c r="P17" s="14" t="str">
        <v>Sf</v>
      </c>
      <c r="Q17" s="14" t="str">
        <v>H6</v>
      </c>
      <c r="R17" s="14" t="str">
        <v>obj_0006e#0009</v>
      </c>
      <c r="S17" s="117">
        <f>_xll.qlRateHelperRate(R17,Trigger)</f>
        <v>1.9860000000000433E-3</v>
      </c>
      <c r="T17" s="15">
        <f>_xll.qlRateHelperEarliestDate(R17,Trigger)</f>
        <v>42445</v>
      </c>
      <c r="U17" s="15">
        <f>_xll.qlRateHelperLatestDate(R17,Trigger)</f>
        <v>42537</v>
      </c>
      <c r="V17" s="117">
        <v>1.6518206856814661E-3</v>
      </c>
    </row>
    <row r="18" spans="1:22" ht="11.25" customHeight="1" x14ac:dyDescent="0.2">
      <c r="A18" s="4" t="s">
        <v>46</v>
      </c>
      <c r="B18" s="4" t="e">
        <v>#N/A</v>
      </c>
      <c r="C18" s="21" t="e">
        <f>IF(LEFT(B18,1)="#",(_xll.qlCalendarBusinessDaysBetween(Calendar,Settlementdate,DATE(RIGHT(LEFT(B18,5),4),LEFT(RIGHT(B18,4),2),RIGHT(B18,2)),,TRUE,Trigger)-1)&amp;"D",B18)</f>
        <v>#N/A</v>
      </c>
      <c r="D18" s="19" t="e">
        <f t="shared" si="0"/>
        <v>#N/A</v>
      </c>
      <c r="E18" s="20" t="e">
        <f t="shared" si="1"/>
        <v>#N/A</v>
      </c>
      <c r="F18" s="22" t="e">
        <f t="shared" si="2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 t="shared" si="3"/>
        <v>0</v>
      </c>
      <c r="K18" s="75"/>
      <c r="L18" s="25" t="str">
        <f t="shared" si="4"/>
        <v>Dp</v>
      </c>
      <c r="M18" s="25" t="e">
        <f t="shared" si="5"/>
        <v>#N/A</v>
      </c>
      <c r="N18" s="16" t="e">
        <f t="shared" si="6"/>
        <v>#VALUE!</v>
      </c>
      <c r="O18" s="16" t="b">
        <f t="shared" si="6"/>
        <v>0</v>
      </c>
      <c r="P18" s="14" t="str">
        <v>Sf</v>
      </c>
      <c r="Q18" s="14" t="str">
        <v>M6</v>
      </c>
      <c r="R18" s="14" t="str">
        <v>obj_0008b#0007</v>
      </c>
      <c r="S18" s="117">
        <f>_xll.qlRateHelperRate(R18,Trigger)</f>
        <v>2.134999999999998E-3</v>
      </c>
      <c r="T18" s="15">
        <f>_xll.qlRateHelperEarliestDate(R18,Trigger)</f>
        <v>42536</v>
      </c>
      <c r="U18" s="15">
        <f>_xll.qlRateHelperLatestDate(R18,Trigger)</f>
        <v>42628</v>
      </c>
      <c r="V18" s="117">
        <v>1.7605184895963476E-3</v>
      </c>
    </row>
    <row r="19" spans="1:22" ht="11.25" customHeight="1" x14ac:dyDescent="0.2">
      <c r="C19" s="72"/>
      <c r="D19" s="72"/>
      <c r="E19" s="72"/>
      <c r="F19" s="72" t="str">
        <f>_xll.qlEuribor(,"3M",,,Trigger)</f>
        <v>obj_0018d#0010</v>
      </c>
      <c r="K19" s="75"/>
      <c r="L19" s="24" t="str">
        <f>A21</f>
        <v>Sf</v>
      </c>
      <c r="M19" s="24" t="str">
        <f>D21</f>
        <v>H6</v>
      </c>
      <c r="N19" s="24" t="str">
        <f>I21</f>
        <v>obj_0006e#0009</v>
      </c>
      <c r="O19" s="14" t="b">
        <f>J21</f>
        <v>1</v>
      </c>
      <c r="P19" s="14" t="str">
        <v>Sf</v>
      </c>
      <c r="Q19" s="14" t="str">
        <v>U6</v>
      </c>
      <c r="R19" s="14" t="str">
        <v>obj_0001f#0007</v>
      </c>
      <c r="S19" s="117">
        <f>_xll.qlRateHelperRate(R19,Trigger)</f>
        <v>2.4850000000000705E-3</v>
      </c>
      <c r="T19" s="15">
        <f>_xll.qlRateHelperEarliestDate(R19,Trigger)</f>
        <v>42634</v>
      </c>
      <c r="U19" s="15">
        <f>_xll.qlRateHelperLatestDate(R19,Trigger)</f>
        <v>42725</v>
      </c>
      <c r="V19" s="117">
        <v>1.898762526883405E-3</v>
      </c>
    </row>
    <row r="20" spans="1:22" ht="11.25" customHeight="1" x14ac:dyDescent="0.2">
      <c r="A20" s="108" t="s">
        <v>18</v>
      </c>
      <c r="B20" s="108" t="s">
        <v>35</v>
      </c>
      <c r="C20" s="108" t="s">
        <v>35</v>
      </c>
      <c r="D20" s="108" t="s">
        <v>8</v>
      </c>
      <c r="E20" s="108" t="s">
        <v>13</v>
      </c>
      <c r="F20" s="108" t="s">
        <v>9</v>
      </c>
      <c r="G20" s="108" t="s">
        <v>5</v>
      </c>
      <c r="H20" s="108" t="s">
        <v>10</v>
      </c>
      <c r="I20" s="108" t="s">
        <v>43</v>
      </c>
      <c r="J20" s="108" t="s">
        <v>47</v>
      </c>
      <c r="K20" s="75"/>
      <c r="L20" s="24" t="str">
        <f t="shared" ref="L20:L26" si="7">A22</f>
        <v>Sf</v>
      </c>
      <c r="M20" s="24" t="str">
        <f t="shared" ref="M20:M26" si="8">D22</f>
        <v>M6</v>
      </c>
      <c r="N20" s="24" t="str">
        <f t="shared" ref="N20:O26" si="9">I22</f>
        <v>obj_0008b#0007</v>
      </c>
      <c r="O20" s="14" t="b">
        <f t="shared" si="9"/>
        <v>1</v>
      </c>
      <c r="P20" s="14" t="str">
        <v>Sf</v>
      </c>
      <c r="Q20" s="14" t="str">
        <v>Z6</v>
      </c>
      <c r="R20" s="14" t="str">
        <v>obj_0004e#0007</v>
      </c>
      <c r="S20" s="117">
        <f>_xll.qlRateHelperRate(R20,Trigger)</f>
        <v>2.8825000000000101E-3</v>
      </c>
      <c r="T20" s="15">
        <f>_xll.qlRateHelperEarliestDate(R20,Trigger)</f>
        <v>42725</v>
      </c>
      <c r="U20" s="15">
        <f>_xll.qlRateHelperLatestDate(R20,Trigger)</f>
        <v>42815</v>
      </c>
      <c r="V20" s="117">
        <v>2.0481858560452235E-3</v>
      </c>
    </row>
    <row r="21" spans="1:22" ht="11.25" customHeight="1" x14ac:dyDescent="0.2">
      <c r="A21" s="120" t="s">
        <v>44</v>
      </c>
      <c r="B21" s="121">
        <f t="shared" ref="B21:B28" si="10">DATE(2000+RIGHT(C21,2),RIGHT(LEFT(C21,5),2),LEFT(C21,2))</f>
        <v>54343</v>
      </c>
      <c r="C21" s="148">
        <f t="array" ref="C21:C28">_xll.ohFilter(PastedValue!AP2:AP82,PastedValue!AO2:AO82="Sf")</f>
        <v>42445</v>
      </c>
      <c r="D21" s="122" t="str">
        <f>_xll.qlIMMcode(C21)</f>
        <v>H6</v>
      </c>
      <c r="E21" s="95" t="s">
        <v>15</v>
      </c>
      <c r="F21" s="151" t="str">
        <f>$F$19</f>
        <v>obj_0018d#0010</v>
      </c>
      <c r="G21" s="124">
        <f t="array" ref="G21:G28">_xll.ohFilter(PastedValue!AV2:AV82,PastedValue!AO2:AO82="Sf")</f>
        <v>99.801400000000001</v>
      </c>
      <c r="H21" s="125">
        <v>0</v>
      </c>
      <c r="I21" s="126" t="str">
        <f>_xll.qlFuturesRateHelper(,$G21,"IMM",$D21,$F21,$H21,Permanent,Trigger,ObjectOverwrite)</f>
        <v>obj_0006e#0009</v>
      </c>
      <c r="J21" s="94" t="b">
        <f>IF(ISNUMBER(G21),TRUE,FALSE)</f>
        <v>1</v>
      </c>
      <c r="K21" s="75"/>
      <c r="L21" s="24" t="str">
        <f t="shared" si="7"/>
        <v>Sf</v>
      </c>
      <c r="M21" s="24" t="str">
        <f t="shared" si="8"/>
        <v>U6</v>
      </c>
      <c r="N21" s="24" t="str">
        <f t="shared" si="9"/>
        <v>obj_0001f#0007</v>
      </c>
      <c r="O21" s="14" t="b">
        <f t="shared" si="9"/>
        <v>1</v>
      </c>
      <c r="P21" s="14" t="str">
        <v>Sf</v>
      </c>
      <c r="Q21" s="14" t="str">
        <v>H7</v>
      </c>
      <c r="R21" s="14" t="str">
        <v>obj_00067#0007</v>
      </c>
      <c r="S21" s="117">
        <f>_xll.qlRateHelperRate(R21,Trigger)</f>
        <v>3.3699999999999841E-3</v>
      </c>
      <c r="T21" s="15">
        <f>_xll.qlRateHelperEarliestDate(R21,Trigger)</f>
        <v>42809</v>
      </c>
      <c r="U21" s="15">
        <f>_xll.qlRateHelperLatestDate(R21,Trigger)</f>
        <v>42901</v>
      </c>
      <c r="V21" s="117">
        <v>2.2187003579965596E-3</v>
      </c>
    </row>
    <row r="22" spans="1:22" ht="11.25" customHeight="1" x14ac:dyDescent="0.2">
      <c r="A22" s="127" t="s">
        <v>44</v>
      </c>
      <c r="B22" s="128">
        <f t="shared" si="10"/>
        <v>50781</v>
      </c>
      <c r="C22" s="149">
        <v>42536</v>
      </c>
      <c r="D22" s="129" t="str">
        <f>_xll.qlIMMcode(C22)</f>
        <v>M6</v>
      </c>
      <c r="E22" s="103" t="s">
        <v>15</v>
      </c>
      <c r="F22" s="152" t="str">
        <f t="shared" ref="F22:F28" si="11">$F$19</f>
        <v>obj_0018d#0010</v>
      </c>
      <c r="G22" s="131">
        <v>99.786500000000004</v>
      </c>
      <c r="H22" s="132">
        <v>0</v>
      </c>
      <c r="I22" s="133" t="str">
        <f>_xll.qlFuturesRateHelper(,$G22,"IMM",$D22,$F22,$H22,Permanent,Trigger,ObjectOverwrite)</f>
        <v>obj_0008b#0007</v>
      </c>
      <c r="J22" s="102" t="b">
        <f t="shared" ref="J22:J28" si="12">IF(ISNUMBER(G22),TRUE,FALSE)</f>
        <v>1</v>
      </c>
      <c r="K22" s="75"/>
      <c r="L22" s="24" t="str">
        <f t="shared" si="7"/>
        <v>Sf</v>
      </c>
      <c r="M22" s="24" t="str">
        <f t="shared" si="8"/>
        <v>Z6</v>
      </c>
      <c r="N22" s="24" t="str">
        <f t="shared" si="9"/>
        <v>obj_0004e#0007</v>
      </c>
      <c r="O22" s="14" t="b">
        <f t="shared" si="9"/>
        <v>1</v>
      </c>
      <c r="P22" s="14" t="str">
        <v>Sf</v>
      </c>
      <c r="Q22" s="14" t="str">
        <v>M7</v>
      </c>
      <c r="R22" s="14" t="str">
        <v>obj_00076#0007</v>
      </c>
      <c r="S22" s="117">
        <f>_xll.qlRateHelperRate(R22,Trigger)</f>
        <v>3.9040000000000186E-3</v>
      </c>
      <c r="T22" s="15">
        <f>_xll.qlRateHelperEarliestDate(R22,Trigger)</f>
        <v>42907</v>
      </c>
      <c r="U22" s="15">
        <f>_xll.qlRateHelperLatestDate(R22,Trigger)</f>
        <v>42999</v>
      </c>
      <c r="V22" s="117">
        <v>2.4299655771763996E-3</v>
      </c>
    </row>
    <row r="23" spans="1:22" ht="11.25" customHeight="1" x14ac:dyDescent="0.2">
      <c r="A23" s="127" t="s">
        <v>44</v>
      </c>
      <c r="B23" s="128">
        <f t="shared" si="10"/>
        <v>49990</v>
      </c>
      <c r="C23" s="149">
        <v>42634</v>
      </c>
      <c r="D23" s="129" t="str">
        <f>_xll.qlIMMcode(C23)</f>
        <v>U6</v>
      </c>
      <c r="E23" s="103" t="s">
        <v>15</v>
      </c>
      <c r="F23" s="152" t="str">
        <f t="shared" si="11"/>
        <v>obj_0018d#0010</v>
      </c>
      <c r="G23" s="131">
        <v>99.751499999999993</v>
      </c>
      <c r="H23" s="132">
        <v>0</v>
      </c>
      <c r="I23" s="133" t="str">
        <f>_xll.qlFuturesRateHelper(,$G23,"IMM",$D23,$F23,$H23,Permanent,Trigger,ObjectOverwrite)</f>
        <v>obj_0001f#0007</v>
      </c>
      <c r="J23" s="102" t="b">
        <f t="shared" si="12"/>
        <v>1</v>
      </c>
      <c r="K23" s="75"/>
      <c r="L23" s="24" t="str">
        <f t="shared" si="7"/>
        <v>Sf</v>
      </c>
      <c r="M23" s="24" t="str">
        <f t="shared" si="8"/>
        <v>H7</v>
      </c>
      <c r="N23" s="24" t="str">
        <f t="shared" si="9"/>
        <v>obj_00067#0007</v>
      </c>
      <c r="O23" s="14" t="b">
        <f t="shared" si="9"/>
        <v>1</v>
      </c>
      <c r="P23" s="14" t="str">
        <v>Sw</v>
      </c>
      <c r="Q23" s="14" t="str">
        <v>3Y</v>
      </c>
      <c r="R23" s="14" t="str">
        <v>obj_00079#0005</v>
      </c>
      <c r="S23" s="117">
        <f>_xll.qlRateHelperRate(R23,Trigger)</f>
        <v>3.2700000000000003E-3</v>
      </c>
      <c r="T23" s="15">
        <f>_xll.qlRateHelperEarliestDate(R23,Trigger)</f>
        <v>42201</v>
      </c>
      <c r="U23" s="15">
        <f>_xll.qlRateHelperLatestDate(R23,Trigger)</f>
        <v>43297</v>
      </c>
      <c r="V23" s="117">
        <v>3.2543132649270686E-3</v>
      </c>
    </row>
    <row r="24" spans="1:22" ht="11.25" customHeight="1" x14ac:dyDescent="0.2">
      <c r="A24" s="127" t="s">
        <v>44</v>
      </c>
      <c r="B24" s="128">
        <f t="shared" si="10"/>
        <v>46429</v>
      </c>
      <c r="C24" s="149">
        <v>42725</v>
      </c>
      <c r="D24" s="129" t="str">
        <f>_xll.qlIMMcode(C24)</f>
        <v>Z6</v>
      </c>
      <c r="E24" s="103" t="s">
        <v>15</v>
      </c>
      <c r="F24" s="152" t="str">
        <f t="shared" si="11"/>
        <v>obj_0018d#0010</v>
      </c>
      <c r="G24" s="131">
        <v>99.711749999999995</v>
      </c>
      <c r="H24" s="132">
        <v>0</v>
      </c>
      <c r="I24" s="133" t="str">
        <f>_xll.qlFuturesRateHelper(,$G24,"IMM",$D24,$F24,$H24,Permanent,Trigger,ObjectOverwrite)</f>
        <v>obj_0004e#0007</v>
      </c>
      <c r="J24" s="102" t="b">
        <f t="shared" si="12"/>
        <v>1</v>
      </c>
      <c r="K24" s="75"/>
      <c r="L24" s="24" t="str">
        <f t="shared" si="7"/>
        <v>Sf</v>
      </c>
      <c r="M24" s="24" t="str">
        <f t="shared" si="8"/>
        <v>M7</v>
      </c>
      <c r="N24" s="24" t="str">
        <f t="shared" si="9"/>
        <v>obj_00076#0007</v>
      </c>
      <c r="O24" s="14" t="b">
        <f t="shared" si="9"/>
        <v>1</v>
      </c>
      <c r="P24" s="14" t="str">
        <v>Sw</v>
      </c>
      <c r="Q24" s="14" t="str">
        <v>4Y</v>
      </c>
      <c r="R24" s="14" t="str">
        <v>obj_00015#0005</v>
      </c>
      <c r="S24" s="117">
        <f>_xll.qlRateHelperRate(R24,Trigger)</f>
        <v>4.64E-3</v>
      </c>
      <c r="T24" s="15">
        <f>_xll.qlRateHelperEarliestDate(R24,Trigger)</f>
        <v>42201</v>
      </c>
      <c r="U24" s="15">
        <f>_xll.qlRateHelperLatestDate(R24,Trigger)</f>
        <v>43662</v>
      </c>
      <c r="V24" s="117">
        <v>4.6215147206398084E-3</v>
      </c>
    </row>
    <row r="25" spans="1:22" ht="11.25" customHeight="1" x14ac:dyDescent="0.2">
      <c r="A25" s="127" t="s">
        <v>44</v>
      </c>
      <c r="B25" s="128">
        <f t="shared" si="10"/>
        <v>40098</v>
      </c>
      <c r="C25" s="149">
        <v>42809</v>
      </c>
      <c r="D25" s="129" t="str">
        <f>_xll.qlIMMcode(C25)</f>
        <v>H7</v>
      </c>
      <c r="E25" s="103" t="s">
        <v>15</v>
      </c>
      <c r="F25" s="152" t="str">
        <f t="shared" si="11"/>
        <v>obj_0018d#0010</v>
      </c>
      <c r="G25" s="131">
        <v>99.662999999999997</v>
      </c>
      <c r="H25" s="132">
        <v>0</v>
      </c>
      <c r="I25" s="133" t="str">
        <f>_xll.qlFuturesRateHelper(,$G25,"IMM",$D25,$F25,$H25,Permanent,Trigger,ObjectOverwrite)</f>
        <v>obj_00067#0007</v>
      </c>
      <c r="J25" s="102" t="b">
        <f t="shared" si="12"/>
        <v>1</v>
      </c>
      <c r="K25" s="75"/>
      <c r="L25" s="24" t="str">
        <f t="shared" si="7"/>
        <v>Sf</v>
      </c>
      <c r="M25" s="24" t="e">
        <f t="shared" si="8"/>
        <v>#NUM!</v>
      </c>
      <c r="N25" s="24" t="e">
        <f t="shared" si="9"/>
        <v>#NUM!</v>
      </c>
      <c r="O25" s="14" t="b">
        <f t="shared" si="9"/>
        <v>0</v>
      </c>
      <c r="P25" s="14" t="str">
        <v>Sw</v>
      </c>
      <c r="Q25" s="14" t="str">
        <v>5Y</v>
      </c>
      <c r="R25" s="14" t="str">
        <v>obj_00037#0005</v>
      </c>
      <c r="S25" s="117">
        <f>_xll.qlRateHelperRate(R25,Trigger)</f>
        <v>6.2300000000000003E-3</v>
      </c>
      <c r="T25" s="15">
        <f>_xll.qlRateHelperEarliestDate(R25,Trigger)</f>
        <v>42201</v>
      </c>
      <c r="U25" s="15">
        <f>_xll.qlRateHelperLatestDate(R25,Trigger)</f>
        <v>44028</v>
      </c>
      <c r="V25" s="117">
        <v>6.2098276417642739E-3</v>
      </c>
    </row>
    <row r="26" spans="1:22" ht="11.25" customHeight="1" x14ac:dyDescent="0.2">
      <c r="A26" s="127" t="s">
        <v>44</v>
      </c>
      <c r="B26" s="128">
        <f t="shared" si="10"/>
        <v>39305</v>
      </c>
      <c r="C26" s="149">
        <v>42907</v>
      </c>
      <c r="D26" s="129" t="str">
        <f>_xll.qlIMMcode(C26)</f>
        <v>M7</v>
      </c>
      <c r="E26" s="103" t="s">
        <v>15</v>
      </c>
      <c r="F26" s="152" t="str">
        <f t="shared" si="11"/>
        <v>obj_0018d#0010</v>
      </c>
      <c r="G26" s="131">
        <v>99.6096</v>
      </c>
      <c r="H26" s="132">
        <v>0</v>
      </c>
      <c r="I26" s="133" t="str">
        <f>_xll.qlFuturesRateHelper(,$G26,"IMM",$D26,$F26,$H26,Permanent,Trigger,ObjectOverwrite)</f>
        <v>obj_00076#0007</v>
      </c>
      <c r="J26" s="102" t="b">
        <f t="shared" si="12"/>
        <v>1</v>
      </c>
      <c r="K26" s="75"/>
      <c r="L26" s="25" t="str">
        <f t="shared" si="7"/>
        <v>Sf</v>
      </c>
      <c r="M26" s="25" t="e">
        <f t="shared" si="8"/>
        <v>#NUM!</v>
      </c>
      <c r="N26" s="25" t="e">
        <f t="shared" si="9"/>
        <v>#NUM!</v>
      </c>
      <c r="O26" s="16" t="b">
        <f t="shared" si="9"/>
        <v>0</v>
      </c>
      <c r="P26" s="14" t="str">
        <v>Sw</v>
      </c>
      <c r="Q26" s="14" t="str">
        <v>6Y</v>
      </c>
      <c r="R26" s="14" t="str">
        <v>obj_0005a#0005</v>
      </c>
      <c r="S26" s="117">
        <f>_xll.qlRateHelperRate(R26,Trigger)</f>
        <v>7.8300000000000002E-3</v>
      </c>
      <c r="T26" s="15">
        <f>_xll.qlRateHelperEarliestDate(R26,Trigger)</f>
        <v>42201</v>
      </c>
      <c r="U26" s="15">
        <f>_xll.qlRateHelperLatestDate(R26,Trigger)</f>
        <v>44393</v>
      </c>
      <c r="V26" s="117">
        <v>7.8197219334444536E-3</v>
      </c>
    </row>
    <row r="27" spans="1:22" ht="11.25" customHeight="1" x14ac:dyDescent="0.2">
      <c r="A27" s="127" t="s">
        <v>44</v>
      </c>
      <c r="B27" s="128" t="e">
        <f t="shared" si="10"/>
        <v>#N/A</v>
      </c>
      <c r="C27" s="149" t="e">
        <v>#N/A</v>
      </c>
      <c r="D27" s="129" t="e">
        <f>_xll.qlIMMcode(C27)</f>
        <v>#NUM!</v>
      </c>
      <c r="E27" s="103" t="s">
        <v>15</v>
      </c>
      <c r="F27" s="152" t="str">
        <f t="shared" si="11"/>
        <v>obj_0018d#0010</v>
      </c>
      <c r="G27" s="131" t="e">
        <v>#N/A</v>
      </c>
      <c r="H27" s="132">
        <v>0</v>
      </c>
      <c r="I27" s="133" t="e">
        <f>_xll.qlFuturesRateHelper(,$G27,"IMM",$D27,$F27,$H27,Permanent,Trigger,ObjectOverwrite)</f>
        <v>#NUM!</v>
      </c>
      <c r="J27" s="102" t="b">
        <f t="shared" si="12"/>
        <v>0</v>
      </c>
      <c r="K27" s="75"/>
      <c r="L27" s="24" t="str">
        <f>A32</f>
        <v>Sw</v>
      </c>
      <c r="M27" s="24" t="str">
        <f>D32</f>
        <v>3Y</v>
      </c>
      <c r="N27" s="24" t="str">
        <f>I32</f>
        <v>obj_00079#0005</v>
      </c>
      <c r="O27" s="24" t="b">
        <f>J32</f>
        <v>1</v>
      </c>
      <c r="P27" s="14" t="str">
        <v>Sw</v>
      </c>
      <c r="Q27" s="14" t="str">
        <v>7Y</v>
      </c>
      <c r="R27" s="14" t="str">
        <v>obj_00013#0005</v>
      </c>
      <c r="S27" s="117">
        <f>_xll.qlRateHelperRate(R27,Trigger)</f>
        <v>9.389999999999999E-3</v>
      </c>
      <c r="T27" s="15">
        <f>_xll.qlRateHelperEarliestDate(R27,Trigger)</f>
        <v>42201</v>
      </c>
      <c r="U27" s="15">
        <f>_xll.qlRateHelperLatestDate(R27,Trigger)</f>
        <v>44760</v>
      </c>
      <c r="V27" s="117">
        <v>9.3997623842485903E-3</v>
      </c>
    </row>
    <row r="28" spans="1:22" ht="11.25" customHeight="1" x14ac:dyDescent="0.2">
      <c r="A28" s="23" t="s">
        <v>44</v>
      </c>
      <c r="B28" s="10" t="e">
        <f t="shared" si="10"/>
        <v>#N/A</v>
      </c>
      <c r="C28" s="150" t="e">
        <v>#N/A</v>
      </c>
      <c r="D28" s="9" t="e">
        <f>_xll.qlIMMcode(C28)</f>
        <v>#NUM!</v>
      </c>
      <c r="E28" s="20" t="s">
        <v>15</v>
      </c>
      <c r="F28" s="28" t="str">
        <f t="shared" si="11"/>
        <v>obj_0018d#0010</v>
      </c>
      <c r="G28" s="18" t="e">
        <v>#N/A</v>
      </c>
      <c r="H28" s="11">
        <v>0</v>
      </c>
      <c r="I28" s="12" t="e">
        <f>_xll.qlFuturesRateHelper(,$G28,"IMM",$D28,$F28,$H28,Permanent,Trigger,ObjectOverwrite)</f>
        <v>#NUM!</v>
      </c>
      <c r="J28" s="19" t="b">
        <f t="shared" si="12"/>
        <v>0</v>
      </c>
      <c r="K28" s="75"/>
      <c r="L28" s="24" t="str">
        <f t="shared" ref="L28:L71" si="13">A33</f>
        <v>Sw</v>
      </c>
      <c r="M28" s="24" t="str">
        <f t="shared" ref="M28:M71" si="14">D33</f>
        <v>4Y</v>
      </c>
      <c r="N28" s="24" t="str">
        <f t="shared" ref="N28:O43" si="15">I33</f>
        <v>obj_00015#0005</v>
      </c>
      <c r="O28" s="24" t="b">
        <f t="shared" si="15"/>
        <v>1</v>
      </c>
      <c r="P28" s="14" t="str">
        <v>Sw</v>
      </c>
      <c r="Q28" s="14" t="str">
        <v>8Y</v>
      </c>
      <c r="R28" s="14" t="str">
        <v>obj_0006b#0005</v>
      </c>
      <c r="S28" s="117">
        <f>_xll.qlRateHelperRate(R28,Trigger)</f>
        <v>1.0820000000000001E-2</v>
      </c>
      <c r="T28" s="15">
        <f>_xll.qlRateHelperEarliestDate(R28,Trigger)</f>
        <v>42201</v>
      </c>
      <c r="U28" s="15">
        <f>_xll.qlRateHelperLatestDate(R28,Trigger)</f>
        <v>45124</v>
      </c>
      <c r="V28" s="117">
        <v>1.0859379816036236E-2</v>
      </c>
    </row>
    <row r="29" spans="1:22" ht="11.25" customHeight="1" x14ac:dyDescent="0.2">
      <c r="K29" s="75"/>
      <c r="L29" s="24" t="str">
        <f t="shared" si="13"/>
        <v>Sw</v>
      </c>
      <c r="M29" s="24" t="str">
        <f t="shared" si="14"/>
        <v>5Y</v>
      </c>
      <c r="N29" s="24" t="str">
        <f t="shared" si="15"/>
        <v>obj_00037#0005</v>
      </c>
      <c r="O29" s="24" t="b">
        <f t="shared" si="15"/>
        <v>1</v>
      </c>
      <c r="P29" s="14" t="str">
        <v>Sw</v>
      </c>
      <c r="Q29" s="14" t="str">
        <v>9Y</v>
      </c>
      <c r="R29" s="14" t="str">
        <v>obj_00036#0005</v>
      </c>
      <c r="S29" s="117">
        <f>_xll.qlRateHelperRate(R29,Trigger)</f>
        <v>1.21E-2</v>
      </c>
      <c r="T29" s="15">
        <f>_xll.qlRateHelperEarliestDate(R29,Trigger)</f>
        <v>42201</v>
      </c>
      <c r="U29" s="15">
        <f>_xll.qlRateHelperLatestDate(R29,Trigger)</f>
        <v>45489</v>
      </c>
      <c r="V29" s="117">
        <v>1.2172896147490092E-2</v>
      </c>
    </row>
    <row r="30" spans="1:22" ht="11.25" customHeight="1" x14ac:dyDescent="0.2">
      <c r="C30" s="72"/>
      <c r="D30" s="72"/>
      <c r="E30" s="72"/>
      <c r="G30" s="91" t="s">
        <v>51</v>
      </c>
      <c r="H30" s="108" t="s">
        <v>9</v>
      </c>
      <c r="I30" s="2" t="str">
        <f>_xll.qlEuribor(,G30,,,Trigger)</f>
        <v>obj_00010#0004</v>
      </c>
      <c r="J30" s="72"/>
      <c r="K30" s="75"/>
      <c r="L30" s="24" t="str">
        <f t="shared" si="13"/>
        <v>Sw</v>
      </c>
      <c r="M30" s="24" t="str">
        <f t="shared" si="14"/>
        <v>6Y</v>
      </c>
      <c r="N30" s="24" t="str">
        <f t="shared" si="15"/>
        <v>obj_0005a#0005</v>
      </c>
      <c r="O30" s="24" t="b">
        <f t="shared" si="15"/>
        <v>1</v>
      </c>
      <c r="P30" s="14" t="str">
        <v>Sw</v>
      </c>
      <c r="Q30" s="14" t="str">
        <v>10Y</v>
      </c>
      <c r="R30" s="14" t="str">
        <v>obj_0003c#0005</v>
      </c>
      <c r="S30" s="117">
        <f>_xll.qlRateHelperRate(R30,Trigger)</f>
        <v>1.321E-2</v>
      </c>
      <c r="T30" s="15">
        <f>_xll.qlRateHelperEarliestDate(R30,Trigger)</f>
        <v>42201</v>
      </c>
      <c r="U30" s="15">
        <f>_xll.qlRateHelperLatestDate(R30,Trigger)</f>
        <v>45854</v>
      </c>
      <c r="V30" s="117">
        <v>1.3324522769546264E-2</v>
      </c>
    </row>
    <row r="31" spans="1:22" ht="11.25" customHeight="1" x14ac:dyDescent="0.2">
      <c r="A31" s="108" t="s">
        <v>18</v>
      </c>
      <c r="B31" s="108"/>
      <c r="C31" s="108" t="s">
        <v>11</v>
      </c>
      <c r="D31" s="108" t="s">
        <v>1</v>
      </c>
      <c r="E31" s="108" t="s">
        <v>13</v>
      </c>
      <c r="F31" s="108" t="s">
        <v>12</v>
      </c>
      <c r="G31" s="108" t="s">
        <v>4</v>
      </c>
      <c r="H31" s="108" t="s">
        <v>5</v>
      </c>
      <c r="I31" s="108" t="s">
        <v>43</v>
      </c>
      <c r="J31" s="108" t="s">
        <v>47</v>
      </c>
      <c r="K31" s="75"/>
      <c r="L31" s="24" t="str">
        <f t="shared" si="13"/>
        <v>Sw</v>
      </c>
      <c r="M31" s="24" t="str">
        <f t="shared" si="14"/>
        <v>7Y</v>
      </c>
      <c r="N31" s="24" t="str">
        <f t="shared" si="15"/>
        <v>obj_00013#0005</v>
      </c>
      <c r="O31" s="24" t="b">
        <f t="shared" si="15"/>
        <v>1</v>
      </c>
      <c r="P31" s="14" t="str">
        <v>Sw</v>
      </c>
      <c r="Q31" s="14" t="str">
        <v>11Y</v>
      </c>
      <c r="R31" s="14" t="str">
        <v>obj_00012#0005</v>
      </c>
      <c r="S31" s="117">
        <f>_xll.qlRateHelperRate(R31,Trigger)</f>
        <v>1.4178402960000001E-2</v>
      </c>
      <c r="T31" s="15">
        <f>_xll.qlRateHelperEarliestDate(R31,Trigger)</f>
        <v>42201</v>
      </c>
      <c r="U31" s="15">
        <f>_xll.qlRateHelperLatestDate(R31,Trigger)</f>
        <v>46219</v>
      </c>
      <c r="V31" s="117">
        <v>1.4337384687253901E-2</v>
      </c>
    </row>
    <row r="32" spans="1:22" ht="11.25" customHeight="1" x14ac:dyDescent="0.2">
      <c r="A32" s="99" t="s">
        <v>45</v>
      </c>
      <c r="B32" s="134"/>
      <c r="C32" s="134" t="s">
        <v>14</v>
      </c>
      <c r="D32" s="135" t="str">
        <f t="array" ref="D32:D76">_xll.ohFilter(PastedValue!AS2:AS82,PastedValue!AO2:AO82="Sw")</f>
        <v>3Y</v>
      </c>
      <c r="E32" s="123" t="s">
        <v>15</v>
      </c>
      <c r="F32" s="134" t="s">
        <v>16</v>
      </c>
      <c r="G32" s="123" t="s">
        <v>17</v>
      </c>
      <c r="H32" s="136">
        <f t="array" ref="H32:H76">_xll.ohFilter(PastedValue!AV2:AV82,PastedValue!AO2:AO82="Sw")/100</f>
        <v>3.2700000000000003E-3</v>
      </c>
      <c r="I32" s="97" t="str">
        <f>_xll.qlSwapRateHelper2(,$H32,,$D32,Calendar,$F32,$E32,$G32,$I$30,0,C32,Discounting,Permanent,,ObjectOverwrite)</f>
        <v>obj_00079#0005</v>
      </c>
      <c r="J32" s="94" t="b">
        <f>IF(ISNUMBER(H32),TRUE,FALSE)</f>
        <v>1</v>
      </c>
      <c r="K32" s="75"/>
      <c r="L32" s="24" t="str">
        <f t="shared" si="13"/>
        <v>Sw</v>
      </c>
      <c r="M32" s="24" t="str">
        <f t="shared" si="14"/>
        <v>8Y</v>
      </c>
      <c r="N32" s="24" t="str">
        <f t="shared" si="15"/>
        <v>obj_0006b#0005</v>
      </c>
      <c r="O32" s="24" t="b">
        <f t="shared" si="15"/>
        <v>1</v>
      </c>
      <c r="P32" s="14" t="str">
        <v>Sw</v>
      </c>
      <c r="Q32" s="14" t="str">
        <v>12Y</v>
      </c>
      <c r="R32" s="14" t="str">
        <v>obj_0003d#0005</v>
      </c>
      <c r="S32" s="117">
        <f>_xll.qlRateHelperRate(R32,Trigger)</f>
        <v>1.5009999999999999E-2</v>
      </c>
      <c r="T32" s="15">
        <f>_xll.qlRateHelperEarliestDate(R32,Trigger)</f>
        <v>42201</v>
      </c>
      <c r="U32" s="15">
        <f>_xll.qlRateHelperLatestDate(R32,Trigger)</f>
        <v>46584</v>
      </c>
      <c r="V32" s="117">
        <v>1.5213951301970686E-2</v>
      </c>
    </row>
    <row r="33" spans="1:22" ht="11.25" customHeight="1" x14ac:dyDescent="0.2">
      <c r="A33" s="107" t="s">
        <v>45</v>
      </c>
      <c r="B33" s="137"/>
      <c r="C33" s="137" t="s">
        <v>14</v>
      </c>
      <c r="D33" s="138" t="str">
        <v>4Y</v>
      </c>
      <c r="E33" s="130" t="s">
        <v>15</v>
      </c>
      <c r="F33" s="137" t="s">
        <v>16</v>
      </c>
      <c r="G33" s="130" t="s">
        <v>17</v>
      </c>
      <c r="H33" s="139">
        <v>4.64E-3</v>
      </c>
      <c r="I33" s="105" t="str">
        <f>_xll.qlSwapRateHelper2(,$H33,,$D33,Calendar,$F33,$E33,$G33,$I$30,0,C33,Discounting,Permanent,,ObjectOverwrite)</f>
        <v>obj_00015#0005</v>
      </c>
      <c r="J33" s="102" t="b">
        <f t="shared" ref="J33:J76" si="16">IF(ISNUMBER(H33),TRUE,FALSE)</f>
        <v>1</v>
      </c>
      <c r="L33" s="24" t="str">
        <f t="shared" si="13"/>
        <v>Sw</v>
      </c>
      <c r="M33" s="24" t="str">
        <f t="shared" si="14"/>
        <v>9Y</v>
      </c>
      <c r="N33" s="24" t="str">
        <f t="shared" si="15"/>
        <v>obj_00036#0005</v>
      </c>
      <c r="O33" s="24" t="b">
        <f t="shared" si="15"/>
        <v>1</v>
      </c>
      <c r="P33" s="14" t="str">
        <v>Sw</v>
      </c>
      <c r="Q33" s="14" t="str">
        <v>13Y</v>
      </c>
      <c r="R33" s="14" t="str">
        <v>obj_00055#0005</v>
      </c>
      <c r="S33" s="117">
        <f>_xll.qlRateHelperRate(R33,Trigger)</f>
        <v>1.5716142230000001E-2</v>
      </c>
      <c r="T33" s="15">
        <f>_xll.qlRateHelperEarliestDate(R33,Trigger)</f>
        <v>42201</v>
      </c>
      <c r="U33" s="15">
        <f>_xll.qlRateHelperLatestDate(R33,Trigger)</f>
        <v>46951</v>
      </c>
      <c r="V33" s="117">
        <v>1.5959866171359059E-2</v>
      </c>
    </row>
    <row r="34" spans="1:22" ht="11.25" customHeight="1" x14ac:dyDescent="0.2">
      <c r="A34" s="107" t="s">
        <v>45</v>
      </c>
      <c r="B34" s="137"/>
      <c r="C34" s="137" t="s">
        <v>14</v>
      </c>
      <c r="D34" s="138" t="str">
        <v>5Y</v>
      </c>
      <c r="E34" s="130" t="s">
        <v>15</v>
      </c>
      <c r="F34" s="137" t="s">
        <v>16</v>
      </c>
      <c r="G34" s="130" t="s">
        <v>17</v>
      </c>
      <c r="H34" s="139">
        <v>6.2300000000000003E-3</v>
      </c>
      <c r="I34" s="105" t="str">
        <f>_xll.qlSwapRateHelper2(,$H34,,$D34,Calendar,$F34,$E34,$G34,$I$30,0,C34,Discounting,Permanent,,ObjectOverwrite)</f>
        <v>obj_00037#0005</v>
      </c>
      <c r="J34" s="102" t="b">
        <f t="shared" si="16"/>
        <v>1</v>
      </c>
      <c r="L34" s="24" t="str">
        <f t="shared" si="13"/>
        <v>Sw</v>
      </c>
      <c r="M34" s="24" t="str">
        <f t="shared" si="14"/>
        <v>10Y</v>
      </c>
      <c r="N34" s="24" t="str">
        <f t="shared" si="15"/>
        <v>obj_0003c#0005</v>
      </c>
      <c r="O34" s="24" t="b">
        <f t="shared" si="15"/>
        <v>1</v>
      </c>
      <c r="P34" s="14" t="str">
        <v>Sw</v>
      </c>
      <c r="Q34" s="14" t="str">
        <v>14Y</v>
      </c>
      <c r="R34" s="14" t="str">
        <v>obj_00029#0005</v>
      </c>
      <c r="S34" s="117">
        <f>_xll.qlRateHelperRate(R34,Trigger)</f>
        <v>1.6302860039999999E-2</v>
      </c>
      <c r="T34" s="15">
        <f>_xll.qlRateHelperEarliestDate(R34,Trigger)</f>
        <v>42201</v>
      </c>
      <c r="U34" s="15">
        <f>_xll.qlRateHelperLatestDate(R34,Trigger)</f>
        <v>47315</v>
      </c>
      <c r="V34" s="117">
        <v>1.6585446673891942E-2</v>
      </c>
    </row>
    <row r="35" spans="1:22" ht="11.25" customHeight="1" x14ac:dyDescent="0.2">
      <c r="A35" s="107" t="s">
        <v>45</v>
      </c>
      <c r="B35" s="137"/>
      <c r="C35" s="137" t="s">
        <v>14</v>
      </c>
      <c r="D35" s="138" t="str">
        <v>6Y</v>
      </c>
      <c r="E35" s="130" t="s">
        <v>15</v>
      </c>
      <c r="F35" s="137" t="s">
        <v>16</v>
      </c>
      <c r="G35" s="130" t="s">
        <v>17</v>
      </c>
      <c r="H35" s="139">
        <v>7.8300000000000002E-3</v>
      </c>
      <c r="I35" s="105" t="str">
        <f>_xll.qlSwapRateHelper2(,$H35,,$D35,Calendar,$F35,$E35,$G35,$I$30,0,C35,Discounting,Permanent,,ObjectOverwrite)</f>
        <v>obj_0005a#0005</v>
      </c>
      <c r="J35" s="102" t="b">
        <f t="shared" si="16"/>
        <v>1</v>
      </c>
      <c r="L35" s="24" t="str">
        <f t="shared" si="13"/>
        <v>Sw</v>
      </c>
      <c r="M35" s="24" t="str">
        <f t="shared" si="14"/>
        <v>11Y</v>
      </c>
      <c r="N35" s="24" t="str">
        <f t="shared" si="15"/>
        <v>obj_00012#0005</v>
      </c>
      <c r="O35" s="24" t="b">
        <f t="shared" si="15"/>
        <v>1</v>
      </c>
      <c r="P35" s="14" t="str">
        <v>Sw</v>
      </c>
      <c r="Q35" s="14" t="str">
        <v>15Y</v>
      </c>
      <c r="R35" s="14" t="str">
        <v>obj_00047#0005</v>
      </c>
      <c r="S35" s="117">
        <f>_xll.qlRateHelperRate(R35,Trigger)</f>
        <v>1.6799999999999999E-2</v>
      </c>
      <c r="T35" s="15">
        <f>_xll.qlRateHelperEarliestDate(R35,Trigger)</f>
        <v>42201</v>
      </c>
      <c r="U35" s="15">
        <f>_xll.qlRateHelperLatestDate(R35,Trigger)</f>
        <v>47680</v>
      </c>
      <c r="V35" s="117">
        <v>1.7117622308400544E-2</v>
      </c>
    </row>
    <row r="36" spans="1:22" ht="11.25" customHeight="1" x14ac:dyDescent="0.2">
      <c r="A36" s="107" t="s">
        <v>45</v>
      </c>
      <c r="B36" s="137"/>
      <c r="C36" s="137" t="s">
        <v>14</v>
      </c>
      <c r="D36" s="138" t="str">
        <v>7Y</v>
      </c>
      <c r="E36" s="130" t="s">
        <v>15</v>
      </c>
      <c r="F36" s="137" t="s">
        <v>16</v>
      </c>
      <c r="G36" s="130" t="s">
        <v>17</v>
      </c>
      <c r="H36" s="139">
        <v>9.389999999999999E-3</v>
      </c>
      <c r="I36" s="105" t="str">
        <f>_xll.qlSwapRateHelper2(,$H36,,$D36,Calendar,$F36,$E36,$G36,$I$30,0,C36,Discounting,Permanent,,ObjectOverwrite)</f>
        <v>obj_00013#0005</v>
      </c>
      <c r="J36" s="102" t="b">
        <f t="shared" si="16"/>
        <v>1</v>
      </c>
      <c r="L36" s="24" t="str">
        <f t="shared" si="13"/>
        <v>Sw</v>
      </c>
      <c r="M36" s="24" t="str">
        <f t="shared" si="14"/>
        <v>12Y</v>
      </c>
      <c r="N36" s="24" t="str">
        <f t="shared" si="15"/>
        <v>obj_0003d#0005</v>
      </c>
      <c r="O36" s="24" t="b">
        <f t="shared" si="15"/>
        <v>1</v>
      </c>
      <c r="P36" s="14" t="str">
        <v>Sw</v>
      </c>
      <c r="Q36" s="14" t="str">
        <v>16Y</v>
      </c>
      <c r="R36" s="14" t="str">
        <v>obj_00024#0005</v>
      </c>
      <c r="S36" s="117">
        <f>_xll.qlRateHelperRate(R36,Trigger)</f>
        <v>1.7219563699999999E-2</v>
      </c>
      <c r="T36" s="15">
        <f>_xll.qlRateHelperEarliestDate(R36,Trigger)</f>
        <v>42201</v>
      </c>
      <c r="U36" s="15">
        <f>_xll.qlRateHelperLatestDate(R36,Trigger)</f>
        <v>48045</v>
      </c>
      <c r="V36" s="117">
        <v>1.7567921755223318E-2</v>
      </c>
    </row>
    <row r="37" spans="1:22" ht="11.25" customHeight="1" x14ac:dyDescent="0.2">
      <c r="A37" s="107" t="s">
        <v>45</v>
      </c>
      <c r="B37" s="137"/>
      <c r="C37" s="137" t="s">
        <v>14</v>
      </c>
      <c r="D37" s="138" t="str">
        <v>8Y</v>
      </c>
      <c r="E37" s="130" t="s">
        <v>15</v>
      </c>
      <c r="F37" s="137" t="s">
        <v>16</v>
      </c>
      <c r="G37" s="130" t="s">
        <v>17</v>
      </c>
      <c r="H37" s="139">
        <v>1.0820000000000001E-2</v>
      </c>
      <c r="I37" s="105" t="str">
        <f>_xll.qlSwapRateHelper2(,$H37,,$D37,Calendar,$F37,$E37,$G37,$I$30,0,C37,Discounting,Permanent,,ObjectOverwrite)</f>
        <v>obj_0006b#0005</v>
      </c>
      <c r="J37" s="102" t="b">
        <f t="shared" si="16"/>
        <v>1</v>
      </c>
      <c r="L37" s="24" t="str">
        <f t="shared" si="13"/>
        <v>Sw</v>
      </c>
      <c r="M37" s="24" t="str">
        <f t="shared" si="14"/>
        <v>13Y</v>
      </c>
      <c r="N37" s="24" t="str">
        <f t="shared" si="15"/>
        <v>obj_00055#0005</v>
      </c>
      <c r="O37" s="24" t="b">
        <f t="shared" si="15"/>
        <v>1</v>
      </c>
      <c r="P37" s="14" t="str">
        <v>Sw</v>
      </c>
      <c r="Q37" s="14" t="str">
        <v>17Y</v>
      </c>
      <c r="R37" s="14" t="str">
        <v>obj_0003f#0005</v>
      </c>
      <c r="S37" s="117">
        <f>_xll.qlRateHelperRate(R37,Trigger)</f>
        <v>1.757246937E-2</v>
      </c>
      <c r="T37" s="15">
        <f>_xll.qlRateHelperEarliestDate(R37,Trigger)</f>
        <v>42201</v>
      </c>
      <c r="U37" s="15">
        <f>_xll.qlRateHelperLatestDate(R37,Trigger)</f>
        <v>48411</v>
      </c>
      <c r="V37" s="117">
        <v>1.7944046237136468E-2</v>
      </c>
    </row>
    <row r="38" spans="1:22" ht="11.25" customHeight="1" x14ac:dyDescent="0.2">
      <c r="A38" s="107" t="s">
        <v>45</v>
      </c>
      <c r="B38" s="137"/>
      <c r="C38" s="137" t="s">
        <v>14</v>
      </c>
      <c r="D38" s="138" t="str">
        <v>9Y</v>
      </c>
      <c r="E38" s="130" t="s">
        <v>15</v>
      </c>
      <c r="F38" s="137" t="s">
        <v>16</v>
      </c>
      <c r="G38" s="130" t="s">
        <v>17</v>
      </c>
      <c r="H38" s="139">
        <v>1.21E-2</v>
      </c>
      <c r="I38" s="105" t="str">
        <f>_xll.qlSwapRateHelper2(,$H38,,$D38,Calendar,$F38,$E38,$G38,$I$30,0,C38,Discounting,Permanent,,ObjectOverwrite)</f>
        <v>obj_00036#0005</v>
      </c>
      <c r="J38" s="102" t="b">
        <f t="shared" si="16"/>
        <v>1</v>
      </c>
      <c r="L38" s="24" t="str">
        <f t="shared" si="13"/>
        <v>Sw</v>
      </c>
      <c r="M38" s="24" t="str">
        <f t="shared" si="14"/>
        <v>14Y</v>
      </c>
      <c r="N38" s="24" t="str">
        <f t="shared" si="15"/>
        <v>obj_00029#0005</v>
      </c>
      <c r="O38" s="24" t="b">
        <f t="shared" si="15"/>
        <v>1</v>
      </c>
      <c r="P38" s="14" t="str">
        <v>Sw</v>
      </c>
      <c r="Q38" s="14" t="str">
        <v>18Y</v>
      </c>
      <c r="R38" s="14" t="str">
        <v>obj_0002b#0005</v>
      </c>
      <c r="S38" s="117">
        <f>_xll.qlRateHelperRate(R38,Trigger)</f>
        <v>1.7858655089999998E-2</v>
      </c>
      <c r="T38" s="15">
        <f>_xll.qlRateHelperEarliestDate(R38,Trigger)</f>
        <v>42201</v>
      </c>
      <c r="U38" s="15">
        <f>_xll.qlRateHelperLatestDate(R38,Trigger)</f>
        <v>48778</v>
      </c>
      <c r="V38" s="117">
        <v>1.825001196314336E-2</v>
      </c>
    </row>
    <row r="39" spans="1:22" ht="11.25" customHeight="1" x14ac:dyDescent="0.2">
      <c r="A39" s="107" t="s">
        <v>45</v>
      </c>
      <c r="B39" s="137"/>
      <c r="C39" s="137" t="s">
        <v>14</v>
      </c>
      <c r="D39" s="138" t="str">
        <v>10Y</v>
      </c>
      <c r="E39" s="130" t="s">
        <v>15</v>
      </c>
      <c r="F39" s="137" t="s">
        <v>16</v>
      </c>
      <c r="G39" s="130" t="s">
        <v>17</v>
      </c>
      <c r="H39" s="139">
        <v>1.321E-2</v>
      </c>
      <c r="I39" s="105" t="str">
        <f>_xll.qlSwapRateHelper2(,$H39,,$D39,Calendar,$F39,$E39,$G39,$I$30,0,C39,Discounting,Permanent,,ObjectOverwrite)</f>
        <v>obj_0003c#0005</v>
      </c>
      <c r="J39" s="102" t="b">
        <f t="shared" si="16"/>
        <v>1</v>
      </c>
      <c r="L39" s="24" t="str">
        <f t="shared" si="13"/>
        <v>Sw</v>
      </c>
      <c r="M39" s="24" t="str">
        <f t="shared" si="14"/>
        <v>15Y</v>
      </c>
      <c r="N39" s="24" t="str">
        <f t="shared" si="15"/>
        <v>obj_00047#0005</v>
      </c>
      <c r="O39" s="24" t="b">
        <f t="shared" si="15"/>
        <v>1</v>
      </c>
      <c r="P39" s="14" t="str">
        <v>Sw</v>
      </c>
      <c r="Q39" s="14" t="str">
        <v>19Y</v>
      </c>
      <c r="R39" s="14" t="str">
        <v>obj_00023#0005</v>
      </c>
      <c r="S39" s="117">
        <f>_xll.qlRateHelperRate(R39,Trigger)</f>
        <v>1.8082444709999999E-2</v>
      </c>
      <c r="T39" s="15">
        <f>_xll.qlRateHelperEarliestDate(R39,Trigger)</f>
        <v>42201</v>
      </c>
      <c r="U39" s="15">
        <f>_xll.qlRateHelperLatestDate(R39,Trigger)</f>
        <v>49142</v>
      </c>
      <c r="V39" s="117">
        <v>1.8486603284179982E-2</v>
      </c>
    </row>
    <row r="40" spans="1:22" ht="11.25" customHeight="1" x14ac:dyDescent="0.2">
      <c r="A40" s="107" t="s">
        <v>45</v>
      </c>
      <c r="B40" s="137"/>
      <c r="C40" s="137" t="s">
        <v>14</v>
      </c>
      <c r="D40" s="138" t="str">
        <v>11Y</v>
      </c>
      <c r="E40" s="130" t="s">
        <v>15</v>
      </c>
      <c r="F40" s="137" t="s">
        <v>16</v>
      </c>
      <c r="G40" s="130" t="s">
        <v>17</v>
      </c>
      <c r="H40" s="139">
        <v>1.4178402960000001E-2</v>
      </c>
      <c r="I40" s="105" t="str">
        <f>_xll.qlSwapRateHelper2(,$H40,,$D40,Calendar,$F40,$E40,$G40,$I$30,0,C40,Discounting,Permanent,,ObjectOverwrite)</f>
        <v>obj_00012#0005</v>
      </c>
      <c r="J40" s="102" t="b">
        <f t="shared" si="16"/>
        <v>1</v>
      </c>
      <c r="L40" s="24" t="str">
        <f t="shared" si="13"/>
        <v>Sw</v>
      </c>
      <c r="M40" s="24" t="str">
        <f t="shared" si="14"/>
        <v>16Y</v>
      </c>
      <c r="N40" s="24" t="str">
        <f t="shared" si="15"/>
        <v>obj_00024#0005</v>
      </c>
      <c r="O40" s="24" t="b">
        <f t="shared" si="15"/>
        <v>1</v>
      </c>
      <c r="P40" s="14" t="str">
        <v>Sw</v>
      </c>
      <c r="Q40" s="14" t="str">
        <v>20Y</v>
      </c>
      <c r="R40" s="14" t="str">
        <v>obj_0004f#0005</v>
      </c>
      <c r="S40" s="117">
        <f>_xll.qlRateHelperRate(R40,Trigger)</f>
        <v>1.8249999999999999E-2</v>
      </c>
      <c r="T40" s="15">
        <f>_xll.qlRateHelperEarliestDate(R40,Trigger)</f>
        <v>42201</v>
      </c>
      <c r="U40" s="15">
        <f>_xll.qlRateHelperLatestDate(R40,Trigger)</f>
        <v>49506</v>
      </c>
      <c r="V40" s="117">
        <v>1.8659482722697133E-2</v>
      </c>
    </row>
    <row r="41" spans="1:22" ht="11.25" customHeight="1" x14ac:dyDescent="0.2">
      <c r="A41" s="107" t="s">
        <v>45</v>
      </c>
      <c r="B41" s="137"/>
      <c r="C41" s="137" t="s">
        <v>14</v>
      </c>
      <c r="D41" s="138" t="str">
        <v>12Y</v>
      </c>
      <c r="E41" s="130" t="s">
        <v>15</v>
      </c>
      <c r="F41" s="137" t="s">
        <v>16</v>
      </c>
      <c r="G41" s="130" t="s">
        <v>17</v>
      </c>
      <c r="H41" s="139">
        <v>1.5009999999999999E-2</v>
      </c>
      <c r="I41" s="105" t="str">
        <f>_xll.qlSwapRateHelper2(,$H41,,$D41,Calendar,$F41,$E41,$G41,$I$30,0,C41,Discounting,Permanent,,ObjectOverwrite)</f>
        <v>obj_0003d#0005</v>
      </c>
      <c r="J41" s="102" t="b">
        <f t="shared" si="16"/>
        <v>1</v>
      </c>
      <c r="L41" s="24" t="str">
        <f t="shared" si="13"/>
        <v>Sw</v>
      </c>
      <c r="M41" s="24" t="str">
        <f t="shared" si="14"/>
        <v>17Y</v>
      </c>
      <c r="N41" s="24" t="str">
        <f t="shared" si="15"/>
        <v>obj_0003f#0005</v>
      </c>
      <c r="O41" s="24" t="b">
        <f t="shared" si="15"/>
        <v>1</v>
      </c>
      <c r="P41" s="14" t="str">
        <v>Sw</v>
      </c>
      <c r="Q41" s="14" t="str">
        <v>21Y</v>
      </c>
      <c r="R41" s="14" t="str">
        <v>obj_00091#0005</v>
      </c>
      <c r="S41" s="117">
        <f>_xll.qlRateHelperRate(R41,Trigger)</f>
        <v>1.8368742720000001E-2</v>
      </c>
      <c r="T41" s="15">
        <f>_xll.qlRateHelperEarliestDate(R41,Trigger)</f>
        <v>42201</v>
      </c>
      <c r="U41" s="15">
        <f>_xll.qlRateHelperLatestDate(R41,Trigger)</f>
        <v>49872</v>
      </c>
      <c r="V41" s="117">
        <v>1.8773800764084754E-2</v>
      </c>
    </row>
    <row r="42" spans="1:22" ht="11.25" customHeight="1" x14ac:dyDescent="0.2">
      <c r="A42" s="107" t="s">
        <v>45</v>
      </c>
      <c r="B42" s="137"/>
      <c r="C42" s="137" t="s">
        <v>14</v>
      </c>
      <c r="D42" s="138" t="str">
        <v>13Y</v>
      </c>
      <c r="E42" s="130" t="s">
        <v>15</v>
      </c>
      <c r="F42" s="137" t="s">
        <v>16</v>
      </c>
      <c r="G42" s="130" t="s">
        <v>17</v>
      </c>
      <c r="H42" s="139">
        <v>1.5716142230000001E-2</v>
      </c>
      <c r="I42" s="105" t="str">
        <f>_xll.qlSwapRateHelper2(,$H42,,$D42,Calendar,$F42,$E42,$G42,$I$30,0,C42,Discounting,Permanent,,ObjectOverwrite)</f>
        <v>obj_00055#0005</v>
      </c>
      <c r="J42" s="102" t="b">
        <f t="shared" si="16"/>
        <v>1</v>
      </c>
      <c r="L42" s="24" t="str">
        <f t="shared" si="13"/>
        <v>Sw</v>
      </c>
      <c r="M42" s="24" t="str">
        <f t="shared" si="14"/>
        <v>18Y</v>
      </c>
      <c r="N42" s="24" t="str">
        <f t="shared" si="15"/>
        <v>obj_0002b#0005</v>
      </c>
      <c r="O42" s="24" t="b">
        <f t="shared" si="15"/>
        <v>1</v>
      </c>
      <c r="P42" s="14" t="str">
        <v>Sw</v>
      </c>
      <c r="Q42" s="14" t="str">
        <v>22Y</v>
      </c>
      <c r="R42" s="14" t="str">
        <v>obj_0007a#0005</v>
      </c>
      <c r="S42" s="117">
        <f>_xll.qlRateHelperRate(R42,Trigger)</f>
        <v>1.8445217909999999E-2</v>
      </c>
      <c r="T42" s="15">
        <f>_xll.qlRateHelperEarliestDate(R42,Trigger)</f>
        <v>42201</v>
      </c>
      <c r="U42" s="15">
        <f>_xll.qlRateHelperLatestDate(R42,Trigger)</f>
        <v>50237</v>
      </c>
      <c r="V42" s="117">
        <v>1.8841594831751313E-2</v>
      </c>
    </row>
    <row r="43" spans="1:22" ht="11.25" customHeight="1" x14ac:dyDescent="0.2">
      <c r="A43" s="107" t="s">
        <v>45</v>
      </c>
      <c r="B43" s="137"/>
      <c r="C43" s="137" t="s">
        <v>14</v>
      </c>
      <c r="D43" s="138" t="str">
        <v>14Y</v>
      </c>
      <c r="E43" s="130" t="s">
        <v>15</v>
      </c>
      <c r="F43" s="137" t="s">
        <v>16</v>
      </c>
      <c r="G43" s="130" t="s">
        <v>17</v>
      </c>
      <c r="H43" s="139">
        <v>1.6302860039999999E-2</v>
      </c>
      <c r="I43" s="105" t="str">
        <f>_xll.qlSwapRateHelper2(,$H43,,$D43,Calendar,$F43,$E43,$G43,$I$30,0,C43,Discounting,Permanent,,ObjectOverwrite)</f>
        <v>obj_00029#0005</v>
      </c>
      <c r="J43" s="102" t="b">
        <f t="shared" si="16"/>
        <v>1</v>
      </c>
      <c r="L43" s="24" t="str">
        <f t="shared" si="13"/>
        <v>Sw</v>
      </c>
      <c r="M43" s="24" t="str">
        <f t="shared" si="14"/>
        <v>19Y</v>
      </c>
      <c r="N43" s="24" t="str">
        <f t="shared" si="15"/>
        <v>obj_00023#0005</v>
      </c>
      <c r="O43" s="24" t="b">
        <f t="shared" si="15"/>
        <v>1</v>
      </c>
      <c r="P43" s="14" t="str">
        <v>Sw</v>
      </c>
      <c r="Q43" s="14" t="str">
        <v>23Y</v>
      </c>
      <c r="R43" s="14" t="str">
        <v>obj_0005f#0005</v>
      </c>
      <c r="S43" s="117">
        <f>_xll.qlRateHelperRate(R43,Trigger)</f>
        <v>1.849309251E-2</v>
      </c>
      <c r="T43" s="15">
        <f>_xll.qlRateHelperEarliestDate(R43,Trigger)</f>
        <v>42201</v>
      </c>
      <c r="U43" s="15">
        <f>_xll.qlRateHelperLatestDate(R43,Trigger)</f>
        <v>50602</v>
      </c>
      <c r="V43" s="117">
        <v>1.8876358019830612E-2</v>
      </c>
    </row>
    <row r="44" spans="1:22" ht="11.25" customHeight="1" x14ac:dyDescent="0.2">
      <c r="A44" s="107" t="s">
        <v>45</v>
      </c>
      <c r="B44" s="137"/>
      <c r="C44" s="137" t="s">
        <v>14</v>
      </c>
      <c r="D44" s="138" t="str">
        <v>15Y</v>
      </c>
      <c r="E44" s="130" t="s">
        <v>15</v>
      </c>
      <c r="F44" s="137" t="s">
        <v>16</v>
      </c>
      <c r="G44" s="130" t="s">
        <v>17</v>
      </c>
      <c r="H44" s="139">
        <v>1.6799999999999999E-2</v>
      </c>
      <c r="I44" s="105" t="str">
        <f>_xll.qlSwapRateHelper2(,$H44,,$D44,Calendar,$F44,$E44,$G44,$I$30,0,C44,Discounting,Permanent,,ObjectOverwrite)</f>
        <v>obj_00047#0005</v>
      </c>
      <c r="J44" s="102" t="b">
        <f t="shared" si="16"/>
        <v>1</v>
      </c>
      <c r="L44" s="24" t="str">
        <f t="shared" si="13"/>
        <v>Sw</v>
      </c>
      <c r="M44" s="24" t="str">
        <f t="shared" si="14"/>
        <v>20Y</v>
      </c>
      <c r="N44" s="24" t="str">
        <f t="shared" ref="N44:O59" si="17">I49</f>
        <v>obj_0004f#0005</v>
      </c>
      <c r="O44" s="24" t="b">
        <f t="shared" si="17"/>
        <v>1</v>
      </c>
      <c r="P44" s="14" t="str">
        <v>Sw</v>
      </c>
      <c r="Q44" s="14" t="str">
        <v>24Y</v>
      </c>
      <c r="R44" s="14" t="str">
        <v>obj_00056#0005</v>
      </c>
      <c r="S44" s="117">
        <f>_xll.qlRateHelperRate(R44,Trigger)</f>
        <v>1.8521701250000001E-2</v>
      </c>
      <c r="T44" s="15">
        <f>_xll.qlRateHelperEarliestDate(R44,Trigger)</f>
        <v>42201</v>
      </c>
      <c r="U44" s="15">
        <f>_xll.qlRateHelperLatestDate(R44,Trigger)</f>
        <v>50969</v>
      </c>
      <c r="V44" s="117">
        <v>1.888904609030544E-2</v>
      </c>
    </row>
    <row r="45" spans="1:22" ht="11.25" customHeight="1" x14ac:dyDescent="0.2">
      <c r="A45" s="107" t="s">
        <v>45</v>
      </c>
      <c r="B45" s="137"/>
      <c r="C45" s="137" t="s">
        <v>14</v>
      </c>
      <c r="D45" s="138" t="str">
        <v>16Y</v>
      </c>
      <c r="E45" s="130" t="s">
        <v>15</v>
      </c>
      <c r="F45" s="137" t="s">
        <v>16</v>
      </c>
      <c r="G45" s="130" t="s">
        <v>17</v>
      </c>
      <c r="H45" s="139">
        <v>1.7219563699999999E-2</v>
      </c>
      <c r="I45" s="105" t="str">
        <f>_xll.qlSwapRateHelper2(,$H45,,$D45,Calendar,$F45,$E45,$G45,$I$30,0,C45,Discounting,Permanent,,ObjectOverwrite)</f>
        <v>obj_00024#0005</v>
      </c>
      <c r="J45" s="102" t="b">
        <f t="shared" si="16"/>
        <v>1</v>
      </c>
      <c r="L45" s="24" t="str">
        <f t="shared" si="13"/>
        <v>Sw</v>
      </c>
      <c r="M45" s="24" t="str">
        <f t="shared" si="14"/>
        <v>21Y</v>
      </c>
      <c r="N45" s="24" t="str">
        <f t="shared" si="17"/>
        <v>obj_00091#0005</v>
      </c>
      <c r="O45" s="24" t="b">
        <f t="shared" si="17"/>
        <v>1</v>
      </c>
      <c r="P45" s="14" t="str">
        <v>Sw</v>
      </c>
      <c r="Q45" s="14" t="str">
        <v>25Y</v>
      </c>
      <c r="R45" s="14" t="str">
        <v>obj_00060#0005</v>
      </c>
      <c r="S45" s="117">
        <f>_xll.qlRateHelperRate(R45,Trigger)</f>
        <v>1.8540000000000001E-2</v>
      </c>
      <c r="T45" s="15">
        <f>_xll.qlRateHelperEarliestDate(R45,Trigger)</f>
        <v>42201</v>
      </c>
      <c r="U45" s="15">
        <f>_xll.qlRateHelperLatestDate(R45,Trigger)</f>
        <v>51333</v>
      </c>
      <c r="V45" s="117">
        <v>1.8888702853336718E-2</v>
      </c>
    </row>
    <row r="46" spans="1:22" ht="11.25" customHeight="1" x14ac:dyDescent="0.2">
      <c r="A46" s="107" t="s">
        <v>45</v>
      </c>
      <c r="B46" s="137"/>
      <c r="C46" s="137" t="s">
        <v>14</v>
      </c>
      <c r="D46" s="138" t="str">
        <v>17Y</v>
      </c>
      <c r="E46" s="130" t="s">
        <v>15</v>
      </c>
      <c r="F46" s="137" t="s">
        <v>16</v>
      </c>
      <c r="G46" s="130" t="s">
        <v>17</v>
      </c>
      <c r="H46" s="139">
        <v>1.757246937E-2</v>
      </c>
      <c r="I46" s="105" t="str">
        <f>_xll.qlSwapRateHelper2(,$H46,,$D46,Calendar,$F46,$E46,$G46,$I$30,0,C46,Discounting,Permanent,,ObjectOverwrite)</f>
        <v>obj_0003f#0005</v>
      </c>
      <c r="J46" s="102" t="b">
        <f t="shared" si="16"/>
        <v>1</v>
      </c>
      <c r="L46" s="24" t="str">
        <f t="shared" si="13"/>
        <v>Sw</v>
      </c>
      <c r="M46" s="24" t="str">
        <f t="shared" si="14"/>
        <v>22Y</v>
      </c>
      <c r="N46" s="24" t="str">
        <f t="shared" si="17"/>
        <v>obj_0007a#0005</v>
      </c>
      <c r="O46" s="24" t="b">
        <f t="shared" si="17"/>
        <v>1</v>
      </c>
      <c r="P46" s="14" t="str">
        <v>Sw</v>
      </c>
      <c r="Q46" s="14" t="str">
        <v>26Y</v>
      </c>
      <c r="R46" s="14" t="str">
        <v>obj_00025#0005</v>
      </c>
      <c r="S46" s="117">
        <f>_xll.qlRateHelperRate(R46,Trigger)</f>
        <v>1.8550880190000001E-2</v>
      </c>
      <c r="T46" s="15">
        <f>_xll.qlRateHelperEarliestDate(R46,Trigger)</f>
        <v>42201</v>
      </c>
      <c r="U46" s="15">
        <f>_xll.qlRateHelperLatestDate(R46,Trigger)</f>
        <v>51698</v>
      </c>
      <c r="V46" s="117">
        <v>1.8882621435240991E-2</v>
      </c>
    </row>
    <row r="47" spans="1:22" ht="11.25" customHeight="1" x14ac:dyDescent="0.2">
      <c r="A47" s="107" t="s">
        <v>45</v>
      </c>
      <c r="B47" s="137"/>
      <c r="C47" s="137" t="s">
        <v>14</v>
      </c>
      <c r="D47" s="138" t="str">
        <v>18Y</v>
      </c>
      <c r="E47" s="130" t="s">
        <v>15</v>
      </c>
      <c r="F47" s="137" t="s">
        <v>16</v>
      </c>
      <c r="G47" s="130" t="s">
        <v>17</v>
      </c>
      <c r="H47" s="139">
        <v>1.7858655089999998E-2</v>
      </c>
      <c r="I47" s="105" t="str">
        <f>_xll.qlSwapRateHelper2(,$H47,,$D47,Calendar,$F47,$E47,$G47,$I$30,0,C47,Discounting,Permanent,,ObjectOverwrite)</f>
        <v>obj_0002b#0005</v>
      </c>
      <c r="J47" s="102" t="b">
        <f t="shared" si="16"/>
        <v>1</v>
      </c>
      <c r="L47" s="24" t="str">
        <f t="shared" si="13"/>
        <v>Sw</v>
      </c>
      <c r="M47" s="24" t="str">
        <f t="shared" si="14"/>
        <v>23Y</v>
      </c>
      <c r="N47" s="24" t="str">
        <f t="shared" si="17"/>
        <v>obj_0005f#0005</v>
      </c>
      <c r="O47" s="24" t="b">
        <f t="shared" si="17"/>
        <v>1</v>
      </c>
      <c r="P47" s="14" t="str">
        <v>Sw</v>
      </c>
      <c r="Q47" s="14" t="str">
        <v>27Y</v>
      </c>
      <c r="R47" s="14" t="str">
        <v>obj_00046#0005</v>
      </c>
      <c r="S47" s="117">
        <f>_xll.qlRateHelperRate(R47,Trigger)</f>
        <v>1.8559104999999999E-2</v>
      </c>
      <c r="T47" s="15">
        <f>_xll.qlRateHelperEarliestDate(R47,Trigger)</f>
        <v>42201</v>
      </c>
      <c r="U47" s="15">
        <f>_xll.qlRateHelperLatestDate(R47,Trigger)</f>
        <v>52063</v>
      </c>
      <c r="V47" s="117">
        <v>1.8874613838889845E-2</v>
      </c>
    </row>
    <row r="48" spans="1:22" ht="11.25" customHeight="1" x14ac:dyDescent="0.2">
      <c r="A48" s="107" t="s">
        <v>45</v>
      </c>
      <c r="B48" s="137"/>
      <c r="C48" s="137" t="s">
        <v>14</v>
      </c>
      <c r="D48" s="138" t="str">
        <v>19Y</v>
      </c>
      <c r="E48" s="130" t="s">
        <v>15</v>
      </c>
      <c r="F48" s="137" t="s">
        <v>16</v>
      </c>
      <c r="G48" s="130" t="s">
        <v>17</v>
      </c>
      <c r="H48" s="139">
        <v>1.8082444709999999E-2</v>
      </c>
      <c r="I48" s="105" t="str">
        <f>_xll.qlSwapRateHelper2(,$H48,,$D48,Calendar,$F48,$E48,$G48,$I$30,0,C48,Discounting,Permanent,,ObjectOverwrite)</f>
        <v>obj_00023#0005</v>
      </c>
      <c r="J48" s="102" t="b">
        <f t="shared" si="16"/>
        <v>1</v>
      </c>
      <c r="L48" s="24" t="str">
        <f t="shared" si="13"/>
        <v>Sw</v>
      </c>
      <c r="M48" s="24" t="str">
        <f t="shared" si="14"/>
        <v>24Y</v>
      </c>
      <c r="N48" s="24" t="str">
        <f t="shared" si="17"/>
        <v>obj_00056#0005</v>
      </c>
      <c r="O48" s="24" t="b">
        <f t="shared" si="17"/>
        <v>1</v>
      </c>
      <c r="P48" s="14" t="str">
        <v>Sw</v>
      </c>
      <c r="Q48" s="14" t="str">
        <v>28Y</v>
      </c>
      <c r="R48" s="14" t="str">
        <v>obj_0003e#0005</v>
      </c>
      <c r="S48" s="117">
        <f>_xll.qlRateHelperRate(R48,Trigger)</f>
        <v>1.8566918410000001E-2</v>
      </c>
      <c r="T48" s="15">
        <f>_xll.qlRateHelperEarliestDate(R48,Trigger)</f>
        <v>42201</v>
      </c>
      <c r="U48" s="15">
        <f>_xll.qlRateHelperLatestDate(R48,Trigger)</f>
        <v>52428</v>
      </c>
      <c r="V48" s="117">
        <v>1.8867403011214728E-2</v>
      </c>
    </row>
    <row r="49" spans="1:22" ht="11.25" customHeight="1" x14ac:dyDescent="0.2">
      <c r="A49" s="107" t="s">
        <v>45</v>
      </c>
      <c r="B49" s="137"/>
      <c r="C49" s="137" t="s">
        <v>14</v>
      </c>
      <c r="D49" s="138" t="str">
        <v>20Y</v>
      </c>
      <c r="E49" s="130" t="s">
        <v>15</v>
      </c>
      <c r="F49" s="137" t="s">
        <v>16</v>
      </c>
      <c r="G49" s="130" t="s">
        <v>17</v>
      </c>
      <c r="H49" s="139">
        <v>1.8249999999999999E-2</v>
      </c>
      <c r="I49" s="105" t="str">
        <f>_xll.qlSwapRateHelper2(,$H49,,$D49,Calendar,$F49,$E49,$G49,$I$30,0,C49,Discounting,Permanent,,ObjectOverwrite)</f>
        <v>obj_0004f#0005</v>
      </c>
      <c r="J49" s="102" t="b">
        <f t="shared" si="16"/>
        <v>1</v>
      </c>
      <c r="L49" s="24" t="str">
        <f t="shared" si="13"/>
        <v>Sw</v>
      </c>
      <c r="M49" s="24" t="str">
        <f t="shared" si="14"/>
        <v>25Y</v>
      </c>
      <c r="N49" s="24" t="str">
        <f t="shared" si="17"/>
        <v>obj_00060#0005</v>
      </c>
      <c r="O49" s="24" t="b">
        <f t="shared" si="17"/>
        <v>1</v>
      </c>
      <c r="P49" s="14" t="str">
        <v>Sw</v>
      </c>
      <c r="Q49" s="14" t="str">
        <v>29Y</v>
      </c>
      <c r="R49" s="14" t="str">
        <v>obj_00092#0005</v>
      </c>
      <c r="S49" s="117">
        <f>_xll.qlRateHelperRate(R49,Trigger)</f>
        <v>1.8577627100000001E-2</v>
      </c>
      <c r="T49" s="15">
        <f>_xll.qlRateHelperEarliestDate(R49,Trigger)</f>
        <v>42201</v>
      </c>
      <c r="U49" s="15">
        <f>_xll.qlRateHelperLatestDate(R49,Trigger)</f>
        <v>52796</v>
      </c>
      <c r="V49" s="117">
        <v>1.886330905238072E-2</v>
      </c>
    </row>
    <row r="50" spans="1:22" ht="11.25" customHeight="1" x14ac:dyDescent="0.2">
      <c r="A50" s="107" t="s">
        <v>45</v>
      </c>
      <c r="B50" s="137"/>
      <c r="C50" s="137" t="s">
        <v>14</v>
      </c>
      <c r="D50" s="138" t="str">
        <v>21Y</v>
      </c>
      <c r="E50" s="130" t="s">
        <v>15</v>
      </c>
      <c r="F50" s="137" t="s">
        <v>16</v>
      </c>
      <c r="G50" s="130" t="s">
        <v>17</v>
      </c>
      <c r="H50" s="139">
        <v>1.8368742720000001E-2</v>
      </c>
      <c r="I50" s="105" t="str">
        <f>_xll.qlSwapRateHelper2(,$H50,,$D50,Calendar,$F50,$E50,$G50,$I$30,0,C50,Discounting,Permanent,,ObjectOverwrite)</f>
        <v>obj_00091#0005</v>
      </c>
      <c r="J50" s="102" t="b">
        <f t="shared" si="16"/>
        <v>1</v>
      </c>
      <c r="L50" s="24" t="str">
        <f t="shared" si="13"/>
        <v>Sw</v>
      </c>
      <c r="M50" s="24" t="str">
        <f t="shared" si="14"/>
        <v>26Y</v>
      </c>
      <c r="N50" s="24" t="str">
        <f t="shared" si="17"/>
        <v>obj_00025#0005</v>
      </c>
      <c r="O50" s="24" t="b">
        <f t="shared" si="17"/>
        <v>1</v>
      </c>
      <c r="P50" s="14" t="str">
        <v>Sw</v>
      </c>
      <c r="Q50" s="14" t="str">
        <v>30Y</v>
      </c>
      <c r="R50" s="14" t="str">
        <v>obj_0005b#0005</v>
      </c>
      <c r="S50" s="117">
        <f>_xll.qlRateHelperRate(R50,Trigger)</f>
        <v>1.8589999999999999E-2</v>
      </c>
      <c r="T50" s="15">
        <f>_xll.qlRateHelperEarliestDate(R50,Trigger)</f>
        <v>42201</v>
      </c>
      <c r="U50" s="15">
        <f>_xll.qlRateHelperLatestDate(R50,Trigger)</f>
        <v>53160</v>
      </c>
      <c r="V50" s="117">
        <v>1.8864467795485129E-2</v>
      </c>
    </row>
    <row r="51" spans="1:22" ht="11.25" customHeight="1" x14ac:dyDescent="0.2">
      <c r="A51" s="107" t="s">
        <v>45</v>
      </c>
      <c r="B51" s="137"/>
      <c r="C51" s="137" t="s">
        <v>14</v>
      </c>
      <c r="D51" s="138" t="str">
        <v>22Y</v>
      </c>
      <c r="E51" s="130" t="s">
        <v>15</v>
      </c>
      <c r="F51" s="137" t="s">
        <v>16</v>
      </c>
      <c r="G51" s="130" t="s">
        <v>17</v>
      </c>
      <c r="H51" s="139">
        <v>1.8445217909999999E-2</v>
      </c>
      <c r="I51" s="105" t="str">
        <f>_xll.qlSwapRateHelper2(,$H51,,$D51,Calendar,$F51,$E51,$G51,$I$30,0,C51,Discounting,Permanent,,ObjectOverwrite)</f>
        <v>obj_0007a#0005</v>
      </c>
      <c r="J51" s="102" t="b">
        <f t="shared" si="16"/>
        <v>1</v>
      </c>
      <c r="L51" s="24" t="str">
        <f t="shared" si="13"/>
        <v>Sw</v>
      </c>
      <c r="M51" s="24" t="str">
        <f t="shared" si="14"/>
        <v>27Y</v>
      </c>
      <c r="N51" s="24" t="str">
        <f t="shared" si="17"/>
        <v>obj_00046#0005</v>
      </c>
      <c r="O51" s="24" t="b">
        <f t="shared" si="17"/>
        <v>1</v>
      </c>
      <c r="P51" s="14" t="str">
        <v>Sw</v>
      </c>
      <c r="Q51" s="14" t="str">
        <v>31Y</v>
      </c>
      <c r="R51" s="14" t="str">
        <v>obj_00072#0005</v>
      </c>
      <c r="S51" s="117">
        <f>_xll.qlRateHelperRate(R51,Trigger)</f>
        <v>1.8606188950000001E-2</v>
      </c>
      <c r="T51" s="15">
        <f>_xll.qlRateHelperEarliestDate(R51,Trigger)</f>
        <v>42201</v>
      </c>
      <c r="U51" s="15">
        <f>_xll.qlRateHelperLatestDate(R51,Trigger)</f>
        <v>53524</v>
      </c>
      <c r="V51" s="117">
        <v>1.8871713583399726E-2</v>
      </c>
    </row>
    <row r="52" spans="1:22" ht="11.25" customHeight="1" x14ac:dyDescent="0.2">
      <c r="A52" s="107" t="s">
        <v>45</v>
      </c>
      <c r="B52" s="137"/>
      <c r="C52" s="137" t="s">
        <v>14</v>
      </c>
      <c r="D52" s="138" t="str">
        <v>23Y</v>
      </c>
      <c r="E52" s="130" t="s">
        <v>15</v>
      </c>
      <c r="F52" s="137" t="s">
        <v>16</v>
      </c>
      <c r="G52" s="130" t="s">
        <v>17</v>
      </c>
      <c r="H52" s="139">
        <v>1.849309251E-2</v>
      </c>
      <c r="I52" s="105" t="str">
        <f>_xll.qlSwapRateHelper2(,$H52,,$D52,Calendar,$F52,$E52,$G52,$I$30,0,C52,Discounting,Permanent,,ObjectOverwrite)</f>
        <v>obj_0005f#0005</v>
      </c>
      <c r="J52" s="102" t="b">
        <f t="shared" si="16"/>
        <v>1</v>
      </c>
      <c r="L52" s="24" t="str">
        <f t="shared" si="13"/>
        <v>Sw</v>
      </c>
      <c r="M52" s="24" t="str">
        <f t="shared" si="14"/>
        <v>28Y</v>
      </c>
      <c r="N52" s="24" t="str">
        <f t="shared" si="17"/>
        <v>obj_0003e#0005</v>
      </c>
      <c r="O52" s="24" t="b">
        <f t="shared" si="17"/>
        <v>1</v>
      </c>
      <c r="P52" s="14" t="str">
        <v>Sw</v>
      </c>
      <c r="Q52" s="14" t="str">
        <v>32Y</v>
      </c>
      <c r="R52" s="14" t="str">
        <v>obj_0001e#0005</v>
      </c>
      <c r="S52" s="117">
        <f>_xll.qlRateHelperRate(R52,Trigger)</f>
        <v>1.8624376629999998E-2</v>
      </c>
      <c r="T52" s="15">
        <f>_xll.qlRateHelperEarliestDate(R52,Trigger)</f>
        <v>42201</v>
      </c>
      <c r="U52" s="15">
        <f>_xll.qlRateHelperLatestDate(R52,Trigger)</f>
        <v>53889</v>
      </c>
      <c r="V52" s="117">
        <v>1.8882552072983404E-2</v>
      </c>
    </row>
    <row r="53" spans="1:22" ht="11.25" customHeight="1" x14ac:dyDescent="0.2">
      <c r="A53" s="107" t="s">
        <v>45</v>
      </c>
      <c r="B53" s="137"/>
      <c r="C53" s="137" t="s">
        <v>14</v>
      </c>
      <c r="D53" s="138" t="str">
        <v>24Y</v>
      </c>
      <c r="E53" s="130" t="s">
        <v>15</v>
      </c>
      <c r="F53" s="137" t="s">
        <v>16</v>
      </c>
      <c r="G53" s="130" t="s">
        <v>17</v>
      </c>
      <c r="H53" s="139">
        <v>1.8521701250000001E-2</v>
      </c>
      <c r="I53" s="105" t="str">
        <f>_xll.qlSwapRateHelper2(,$H53,,$D53,Calendar,$F53,$E53,$G53,$I$30,0,C53,Discounting,Permanent,,ObjectOverwrite)</f>
        <v>obj_00056#0005</v>
      </c>
      <c r="J53" s="102" t="b">
        <f t="shared" si="16"/>
        <v>1</v>
      </c>
      <c r="L53" s="24" t="str">
        <f t="shared" si="13"/>
        <v>Sw</v>
      </c>
      <c r="M53" s="24" t="str">
        <f t="shared" si="14"/>
        <v>29Y</v>
      </c>
      <c r="N53" s="24" t="str">
        <f t="shared" si="17"/>
        <v>obj_00092#0005</v>
      </c>
      <c r="O53" s="24" t="b">
        <f t="shared" si="17"/>
        <v>1</v>
      </c>
      <c r="P53" s="14" t="str">
        <v>Sw</v>
      </c>
      <c r="Q53" s="14" t="str">
        <v>33Y</v>
      </c>
      <c r="R53" s="14" t="str">
        <v>obj_00077#0005</v>
      </c>
      <c r="S53" s="117">
        <f>_xll.qlRateHelperRate(R53,Trigger)</f>
        <v>1.8643485599999999E-2</v>
      </c>
      <c r="T53" s="15">
        <f>_xll.qlRateHelperEarliestDate(R53,Trigger)</f>
        <v>42201</v>
      </c>
      <c r="U53" s="15">
        <f>_xll.qlRateHelperLatestDate(R53,Trigger)</f>
        <v>54255</v>
      </c>
      <c r="V53" s="117">
        <v>1.889394817705491E-2</v>
      </c>
    </row>
    <row r="54" spans="1:22" ht="11.25" customHeight="1" x14ac:dyDescent="0.2">
      <c r="A54" s="107" t="s">
        <v>45</v>
      </c>
      <c r="B54" s="137"/>
      <c r="C54" s="137" t="s">
        <v>14</v>
      </c>
      <c r="D54" s="138" t="str">
        <v>25Y</v>
      </c>
      <c r="E54" s="130" t="s">
        <v>15</v>
      </c>
      <c r="F54" s="137" t="s">
        <v>16</v>
      </c>
      <c r="G54" s="130" t="s">
        <v>17</v>
      </c>
      <c r="H54" s="139">
        <v>1.8540000000000001E-2</v>
      </c>
      <c r="I54" s="105" t="str">
        <f>_xll.qlSwapRateHelper2(,$H54,,$D54,Calendar,$F54,$E54,$G54,$I$30,0,C54,Discounting,Permanent,,ObjectOverwrite)</f>
        <v>obj_00060#0005</v>
      </c>
      <c r="J54" s="102" t="b">
        <f t="shared" si="16"/>
        <v>1</v>
      </c>
      <c r="L54" s="24" t="str">
        <f t="shared" si="13"/>
        <v>Sw</v>
      </c>
      <c r="M54" s="24" t="str">
        <f t="shared" si="14"/>
        <v>30Y</v>
      </c>
      <c r="N54" s="24" t="str">
        <f t="shared" si="17"/>
        <v>obj_0005b#0005</v>
      </c>
      <c r="O54" s="24" t="b">
        <f t="shared" si="17"/>
        <v>1</v>
      </c>
      <c r="P54" s="14" t="str">
        <v>Sw</v>
      </c>
      <c r="Q54" s="14" t="str">
        <v>34Y</v>
      </c>
      <c r="R54" s="14" t="str">
        <v>obj_00031#0005</v>
      </c>
      <c r="S54" s="117">
        <f>_xll.qlRateHelperRate(R54,Trigger)</f>
        <v>1.8659217800000003E-2</v>
      </c>
      <c r="T54" s="15">
        <f>_xll.qlRateHelperEarliestDate(R54,Trigger)</f>
        <v>42201</v>
      </c>
      <c r="U54" s="15">
        <f>_xll.qlRateHelperLatestDate(R54,Trigger)</f>
        <v>54620</v>
      </c>
      <c r="V54" s="117">
        <v>1.8903134405523186E-2</v>
      </c>
    </row>
    <row r="55" spans="1:22" ht="11.25" customHeight="1" x14ac:dyDescent="0.2">
      <c r="A55" s="107" t="s">
        <v>45</v>
      </c>
      <c r="B55" s="137"/>
      <c r="C55" s="137" t="s">
        <v>14</v>
      </c>
      <c r="D55" s="138" t="str">
        <v>26Y</v>
      </c>
      <c r="E55" s="130" t="s">
        <v>15</v>
      </c>
      <c r="F55" s="137" t="s">
        <v>16</v>
      </c>
      <c r="G55" s="130" t="s">
        <v>17</v>
      </c>
      <c r="H55" s="139">
        <v>1.8550880190000001E-2</v>
      </c>
      <c r="I55" s="105" t="str">
        <f>_xll.qlSwapRateHelper2(,$H55,,$D55,Calendar,$F55,$E55,$G55,$I$30,0,C55,Discounting,Permanent,,ObjectOverwrite)</f>
        <v>obj_00025#0005</v>
      </c>
      <c r="J55" s="102" t="b">
        <f t="shared" si="16"/>
        <v>1</v>
      </c>
      <c r="L55" s="24" t="str">
        <f t="shared" si="13"/>
        <v>Sw</v>
      </c>
      <c r="M55" s="24" t="str">
        <f t="shared" si="14"/>
        <v>31Y</v>
      </c>
      <c r="N55" s="24" t="str">
        <f t="shared" si="17"/>
        <v>obj_00072#0005</v>
      </c>
      <c r="O55" s="24" t="b">
        <f t="shared" si="17"/>
        <v>1</v>
      </c>
      <c r="P55" s="14" t="str">
        <v>Sw</v>
      </c>
      <c r="Q55" s="14" t="str">
        <v>35Y</v>
      </c>
      <c r="R55" s="14" t="str">
        <v>obj_0008c#0005</v>
      </c>
      <c r="S55" s="117">
        <f>_xll.qlRateHelperRate(R55,Trigger)</f>
        <v>1.8671164929999998E-2</v>
      </c>
      <c r="T55" s="15">
        <f>_xll.qlRateHelperEarliestDate(R55,Trigger)</f>
        <v>42201</v>
      </c>
      <c r="U55" s="15">
        <f>_xll.qlRateHelperLatestDate(R55,Trigger)</f>
        <v>54987</v>
      </c>
      <c r="V55" s="117">
        <v>1.8907767672796366E-2</v>
      </c>
    </row>
    <row r="56" spans="1:22" ht="11.25" customHeight="1" x14ac:dyDescent="0.2">
      <c r="A56" s="107" t="s">
        <v>45</v>
      </c>
      <c r="B56" s="137"/>
      <c r="C56" s="137" t="s">
        <v>14</v>
      </c>
      <c r="D56" s="138" t="str">
        <v>27Y</v>
      </c>
      <c r="E56" s="130" t="s">
        <v>15</v>
      </c>
      <c r="F56" s="137" t="s">
        <v>16</v>
      </c>
      <c r="G56" s="130" t="s">
        <v>17</v>
      </c>
      <c r="H56" s="139">
        <v>1.8559104999999999E-2</v>
      </c>
      <c r="I56" s="105" t="str">
        <f>_xll.qlSwapRateHelper2(,$H56,,$D56,Calendar,$F56,$E56,$G56,$I$30,0,C56,Discounting,Permanent,,ObjectOverwrite)</f>
        <v>obj_00046#0005</v>
      </c>
      <c r="J56" s="102" t="b">
        <f t="shared" si="16"/>
        <v>1</v>
      </c>
      <c r="L56" s="24" t="str">
        <f t="shared" si="13"/>
        <v>Sw</v>
      </c>
      <c r="M56" s="24" t="str">
        <f t="shared" si="14"/>
        <v>32Y</v>
      </c>
      <c r="N56" s="24" t="str">
        <f t="shared" si="17"/>
        <v>obj_0001e#0005</v>
      </c>
      <c r="O56" s="24" t="b">
        <f t="shared" si="17"/>
        <v>1</v>
      </c>
      <c r="P56" s="14" t="str">
        <v>Sw</v>
      </c>
      <c r="Q56" s="14" t="str">
        <v>36Y</v>
      </c>
      <c r="R56" s="14" t="str">
        <v>obj_00054#0005</v>
      </c>
      <c r="S56" s="117">
        <f>_xll.qlRateHelperRate(R56,Trigger)</f>
        <v>1.867777156E-2</v>
      </c>
      <c r="T56" s="15">
        <f>_xll.qlRateHelperEarliestDate(R56,Trigger)</f>
        <v>42201</v>
      </c>
      <c r="U56" s="15">
        <f>_xll.qlRateHelperLatestDate(R56,Trigger)</f>
        <v>55351</v>
      </c>
      <c r="V56" s="117">
        <v>1.8905692425398725E-2</v>
      </c>
    </row>
    <row r="57" spans="1:22" ht="11.25" customHeight="1" x14ac:dyDescent="0.2">
      <c r="A57" s="107" t="s">
        <v>45</v>
      </c>
      <c r="B57" s="137"/>
      <c r="C57" s="137" t="s">
        <v>14</v>
      </c>
      <c r="D57" s="138" t="str">
        <v>28Y</v>
      </c>
      <c r="E57" s="130" t="s">
        <v>15</v>
      </c>
      <c r="F57" s="137" t="s">
        <v>16</v>
      </c>
      <c r="G57" s="130" t="s">
        <v>17</v>
      </c>
      <c r="H57" s="139">
        <v>1.8566918410000001E-2</v>
      </c>
      <c r="I57" s="105" t="str">
        <f>_xll.qlSwapRateHelper2(,$H57,,$D57,Calendar,$F57,$E57,$G57,$I$30,0,C57,Discounting,Permanent,,ObjectOverwrite)</f>
        <v>obj_0003e#0005</v>
      </c>
      <c r="J57" s="102" t="b">
        <f t="shared" si="16"/>
        <v>1</v>
      </c>
      <c r="L57" s="24" t="str">
        <f t="shared" si="13"/>
        <v>Sw</v>
      </c>
      <c r="M57" s="24" t="str">
        <f t="shared" si="14"/>
        <v>33Y</v>
      </c>
      <c r="N57" s="24" t="str">
        <f t="shared" si="17"/>
        <v>obj_00077#0005</v>
      </c>
      <c r="O57" s="24" t="b">
        <f t="shared" si="17"/>
        <v>1</v>
      </c>
      <c r="P57" s="14" t="str">
        <v>Sw</v>
      </c>
      <c r="Q57" s="14" t="str">
        <v>37Y</v>
      </c>
      <c r="R57" s="14" t="str">
        <v>obj_00078#0005</v>
      </c>
      <c r="S57" s="117">
        <f>_xll.qlRateHelperRate(R57,Trigger)</f>
        <v>1.867886828E-2</v>
      </c>
      <c r="T57" s="15">
        <f>_xll.qlRateHelperEarliestDate(R57,Trigger)</f>
        <v>42201</v>
      </c>
      <c r="U57" s="15">
        <f>_xll.qlRateHelperLatestDate(R57,Trigger)</f>
        <v>55716</v>
      </c>
      <c r="V57" s="117">
        <v>1.8895059589952089E-2</v>
      </c>
    </row>
    <row r="58" spans="1:22" ht="11.25" customHeight="1" x14ac:dyDescent="0.2">
      <c r="A58" s="107" t="s">
        <v>45</v>
      </c>
      <c r="B58" s="137"/>
      <c r="C58" s="137" t="s">
        <v>14</v>
      </c>
      <c r="D58" s="138" t="str">
        <v>29Y</v>
      </c>
      <c r="E58" s="130" t="s">
        <v>15</v>
      </c>
      <c r="F58" s="137" t="s">
        <v>16</v>
      </c>
      <c r="G58" s="130" t="s">
        <v>17</v>
      </c>
      <c r="H58" s="139">
        <v>1.8577627100000001E-2</v>
      </c>
      <c r="I58" s="105" t="str">
        <f>_xll.qlSwapRateHelper2(,$H58,,$D58,Calendar,$F58,$E58,$G58,$I$30,0,C58,Discounting,Permanent,,ObjectOverwrite)</f>
        <v>obj_00092#0005</v>
      </c>
      <c r="J58" s="102" t="b">
        <f t="shared" si="16"/>
        <v>1</v>
      </c>
      <c r="L58" s="24" t="str">
        <f t="shared" si="13"/>
        <v>Sw</v>
      </c>
      <c r="M58" s="24" t="str">
        <f t="shared" si="14"/>
        <v>34Y</v>
      </c>
      <c r="N58" s="24" t="str">
        <f t="shared" si="17"/>
        <v>obj_00031#0005</v>
      </c>
      <c r="O58" s="24" t="b">
        <f t="shared" si="17"/>
        <v>1</v>
      </c>
      <c r="P58" s="14" t="str">
        <v>Sw</v>
      </c>
      <c r="Q58" s="14" t="str">
        <v>38Y</v>
      </c>
      <c r="R58" s="14" t="str">
        <v>obj_00040#0005</v>
      </c>
      <c r="S58" s="117">
        <f>_xll.qlRateHelperRate(R58,Trigger)</f>
        <v>1.867138757E-2</v>
      </c>
      <c r="T58" s="15">
        <f>_xll.qlRateHelperEarliestDate(R58,Trigger)</f>
        <v>42201</v>
      </c>
      <c r="U58" s="15">
        <f>_xll.qlRateHelperLatestDate(R58,Trigger)</f>
        <v>56081</v>
      </c>
      <c r="V58" s="117">
        <v>1.8874176922534847E-2</v>
      </c>
    </row>
    <row r="59" spans="1:22" ht="11.25" customHeight="1" x14ac:dyDescent="0.2">
      <c r="A59" s="107" t="s">
        <v>45</v>
      </c>
      <c r="B59" s="137"/>
      <c r="C59" s="137" t="s">
        <v>14</v>
      </c>
      <c r="D59" s="138" t="str">
        <v>30Y</v>
      </c>
      <c r="E59" s="130" t="s">
        <v>15</v>
      </c>
      <c r="F59" s="137" t="s">
        <v>16</v>
      </c>
      <c r="G59" s="130" t="s">
        <v>17</v>
      </c>
      <c r="H59" s="139">
        <v>1.8589999999999999E-2</v>
      </c>
      <c r="I59" s="105" t="str">
        <f>_xll.qlSwapRateHelper2(,$H59,,$D59,Calendar,$F59,$E59,$G59,$I$30,0,C59,Discounting,Permanent,,ObjectOverwrite)</f>
        <v>obj_0005b#0005</v>
      </c>
      <c r="J59" s="102" t="b">
        <f t="shared" si="16"/>
        <v>1</v>
      </c>
      <c r="L59" s="24" t="str">
        <f t="shared" si="13"/>
        <v>Sw</v>
      </c>
      <c r="M59" s="24" t="str">
        <f t="shared" si="14"/>
        <v>35Y</v>
      </c>
      <c r="N59" s="24" t="str">
        <f t="shared" si="17"/>
        <v>obj_0008c#0005</v>
      </c>
      <c r="O59" s="24" t="b">
        <f t="shared" si="17"/>
        <v>1</v>
      </c>
      <c r="P59" s="14" t="str">
        <v>Sw</v>
      </c>
      <c r="Q59" s="14" t="str">
        <v>39Y</v>
      </c>
      <c r="R59" s="14" t="str">
        <v>obj_00014#0005</v>
      </c>
      <c r="S59" s="117">
        <f>_xll.qlRateHelperRate(R59,Trigger)</f>
        <v>1.865537603E-2</v>
      </c>
      <c r="T59" s="15">
        <f>_xll.qlRateHelperEarliestDate(R59,Trigger)</f>
        <v>42201</v>
      </c>
      <c r="U59" s="15">
        <f>_xll.qlRateHelperLatestDate(R59,Trigger)</f>
        <v>56446</v>
      </c>
      <c r="V59" s="117">
        <v>1.8841530972345272E-2</v>
      </c>
    </row>
    <row r="60" spans="1:22" ht="11.25" customHeight="1" x14ac:dyDescent="0.2">
      <c r="A60" s="107" t="s">
        <v>45</v>
      </c>
      <c r="B60" s="137"/>
      <c r="C60" s="137" t="s">
        <v>14</v>
      </c>
      <c r="D60" s="138" t="str">
        <v>31Y</v>
      </c>
      <c r="E60" s="130" t="s">
        <v>15</v>
      </c>
      <c r="F60" s="137" t="s">
        <v>16</v>
      </c>
      <c r="G60" s="130" t="s">
        <v>17</v>
      </c>
      <c r="H60" s="139">
        <v>1.8606188950000001E-2</v>
      </c>
      <c r="I60" s="105" t="str">
        <f>_xll.qlSwapRateHelper2(,$H60,,$D60,Calendar,$F60,$E60,$G60,$I$30,0,C60,Discounting,Permanent,,ObjectOverwrite)</f>
        <v>obj_00072#0005</v>
      </c>
      <c r="J60" s="102" t="b">
        <f t="shared" si="16"/>
        <v>1</v>
      </c>
      <c r="L60" s="24" t="str">
        <f t="shared" si="13"/>
        <v>Sw</v>
      </c>
      <c r="M60" s="24" t="str">
        <f t="shared" si="14"/>
        <v>36Y</v>
      </c>
      <c r="N60" s="24" t="str">
        <f t="shared" ref="N60:O71" si="18">I65</f>
        <v>obj_00054#0005</v>
      </c>
      <c r="O60" s="24" t="b">
        <f t="shared" si="18"/>
        <v>1</v>
      </c>
      <c r="P60" s="14" t="str">
        <v>Sw</v>
      </c>
      <c r="Q60" s="14" t="str">
        <v>40Y</v>
      </c>
      <c r="R60" s="14" t="str">
        <v>obj_00075#0005</v>
      </c>
      <c r="S60" s="117">
        <f>_xll.qlRateHelperRate(R60,Trigger)</f>
        <v>1.8630000000000001E-2</v>
      </c>
      <c r="T60" s="15">
        <f>_xll.qlRateHelperEarliestDate(R60,Trigger)</f>
        <v>42201</v>
      </c>
      <c r="U60" s="15">
        <f>_xll.qlRateHelperLatestDate(R60,Trigger)</f>
        <v>56811</v>
      </c>
      <c r="V60" s="117">
        <v>1.8795765954445494E-2</v>
      </c>
    </row>
    <row r="61" spans="1:22" ht="11.25" customHeight="1" x14ac:dyDescent="0.2">
      <c r="A61" s="107" t="s">
        <v>45</v>
      </c>
      <c r="B61" s="137"/>
      <c r="C61" s="137" t="s">
        <v>14</v>
      </c>
      <c r="D61" s="138" t="str">
        <v>32Y</v>
      </c>
      <c r="E61" s="130" t="s">
        <v>15</v>
      </c>
      <c r="F61" s="137" t="s">
        <v>16</v>
      </c>
      <c r="G61" s="130" t="s">
        <v>17</v>
      </c>
      <c r="H61" s="139">
        <v>1.8624376629999998E-2</v>
      </c>
      <c r="I61" s="105" t="str">
        <f>_xll.qlSwapRateHelper2(,$H61,,$D61,Calendar,$F61,$E61,$G61,$I$30,0,C61,Discounting,Permanent,,ObjectOverwrite)</f>
        <v>obj_0001e#0005</v>
      </c>
      <c r="J61" s="102" t="b">
        <f t="shared" si="16"/>
        <v>1</v>
      </c>
      <c r="L61" s="24" t="str">
        <f t="shared" si="13"/>
        <v>Sw</v>
      </c>
      <c r="M61" s="24" t="str">
        <f t="shared" si="14"/>
        <v>37Y</v>
      </c>
      <c r="N61" s="24" t="str">
        <f t="shared" si="18"/>
        <v>obj_00078#0005</v>
      </c>
      <c r="O61" s="24" t="b">
        <f t="shared" si="18"/>
        <v>1</v>
      </c>
      <c r="P61" s="14" t="str">
        <v>Sw</v>
      </c>
      <c r="Q61" s="14" t="str">
        <v>50Y</v>
      </c>
      <c r="R61" s="14" t="str">
        <v>obj_0002a#0005</v>
      </c>
      <c r="S61" s="117">
        <f>_xll.qlRateHelperRate(R61,Trigger)</f>
        <v>1.8159999999999999E-2</v>
      </c>
      <c r="T61" s="15">
        <f>_xll.qlRateHelperEarliestDate(R61,Trigger)</f>
        <v>42201</v>
      </c>
      <c r="U61" s="15">
        <f>_xll.qlRateHelperLatestDate(R61,Trigger)</f>
        <v>60464</v>
      </c>
      <c r="V61" s="117">
        <v>1.8037688227893794E-2</v>
      </c>
    </row>
    <row r="62" spans="1:22" ht="11.25" customHeight="1" x14ac:dyDescent="0.2">
      <c r="A62" s="107" t="s">
        <v>45</v>
      </c>
      <c r="B62" s="137"/>
      <c r="C62" s="137" t="s">
        <v>14</v>
      </c>
      <c r="D62" s="138" t="str">
        <v>33Y</v>
      </c>
      <c r="E62" s="130" t="s">
        <v>15</v>
      </c>
      <c r="F62" s="137" t="s">
        <v>16</v>
      </c>
      <c r="G62" s="130" t="s">
        <v>17</v>
      </c>
      <c r="H62" s="139">
        <v>1.8643485599999999E-2</v>
      </c>
      <c r="I62" s="105" t="str">
        <f>_xll.qlSwapRateHelper2(,$H62,,$D62,Calendar,$F62,$E62,$G62,$I$30,0,C62,Discounting,Permanent,,ObjectOverwrite)</f>
        <v>obj_00077#0005</v>
      </c>
      <c r="J62" s="102" t="b">
        <f t="shared" si="16"/>
        <v>1</v>
      </c>
      <c r="L62" s="24" t="str">
        <f t="shared" si="13"/>
        <v>Sw</v>
      </c>
      <c r="M62" s="24" t="str">
        <f t="shared" si="14"/>
        <v>38Y</v>
      </c>
      <c r="N62" s="24" t="str">
        <f t="shared" si="18"/>
        <v>obj_00040#0005</v>
      </c>
      <c r="O62" s="24" t="b">
        <f t="shared" si="18"/>
        <v>1</v>
      </c>
      <c r="P62" s="14" t="str">
        <v>Sw</v>
      </c>
      <c r="Q62" s="14" t="str">
        <v>60Y</v>
      </c>
      <c r="R62" s="14" t="str">
        <v>obj_00011#0005</v>
      </c>
      <c r="S62" s="117">
        <f>_xll.qlRateHelperRate(R62,Trigger)</f>
        <v>1.797E-2</v>
      </c>
      <c r="T62" s="15">
        <f>_xll.qlRateHelperEarliestDate(R62,Trigger)</f>
        <v>42201</v>
      </c>
      <c r="U62" s="15">
        <f>_xll.qlRateHelperLatestDate(R62,Trigger)</f>
        <v>64116</v>
      </c>
      <c r="V62" s="117">
        <v>1.7728871036503183E-2</v>
      </c>
    </row>
    <row r="63" spans="1:22" ht="11.25" customHeight="1" x14ac:dyDescent="0.2">
      <c r="A63" s="107" t="s">
        <v>45</v>
      </c>
      <c r="B63" s="137"/>
      <c r="C63" s="137" t="s">
        <v>14</v>
      </c>
      <c r="D63" s="138" t="str">
        <v>34Y</v>
      </c>
      <c r="E63" s="130" t="s">
        <v>15</v>
      </c>
      <c r="F63" s="137" t="s">
        <v>16</v>
      </c>
      <c r="G63" s="130" t="s">
        <v>17</v>
      </c>
      <c r="H63" s="139">
        <v>1.8659217800000003E-2</v>
      </c>
      <c r="I63" s="105" t="str">
        <f>_xll.qlSwapRateHelper2(,$H63,,$D63,Calendar,$F63,$E63,$G63,$I$30,0,C63,Discounting,Permanent,,ObjectOverwrite)</f>
        <v>obj_00031#0005</v>
      </c>
      <c r="J63" s="102" t="b">
        <f t="shared" si="16"/>
        <v>1</v>
      </c>
      <c r="L63" s="24" t="str">
        <f t="shared" si="13"/>
        <v>Sw</v>
      </c>
      <c r="M63" s="24" t="str">
        <f t="shared" si="14"/>
        <v>39Y</v>
      </c>
      <c r="N63" s="24" t="str">
        <f t="shared" si="18"/>
        <v>obj_00014#0005</v>
      </c>
      <c r="O63" s="24" t="b">
        <f t="shared" si="18"/>
        <v>1</v>
      </c>
      <c r="P63" s="14" t="e">
        <v>#N/A</v>
      </c>
      <c r="Q63" s="14" t="e">
        <v>#N/A</v>
      </c>
      <c r="R63" s="14" t="e">
        <v>#N/A</v>
      </c>
      <c r="S63" s="117" t="e">
        <f>_xll.qlRateHelperRate(R63,Trigger)</f>
        <v>#VALUE!</v>
      </c>
      <c r="T63" s="15" t="e">
        <f>_xll.qlRateHelperEarliestDate(R63,Trigger)</f>
        <v>#VALUE!</v>
      </c>
      <c r="U63" s="15" t="e">
        <f>_xll.qlRateHelperLatestDate(R63,Trigger)</f>
        <v>#VALUE!</v>
      </c>
      <c r="V63" s="117" t="e">
        <v>#N/A</v>
      </c>
    </row>
    <row r="64" spans="1:22" ht="11.25" customHeight="1" x14ac:dyDescent="0.2">
      <c r="A64" s="107" t="s">
        <v>45</v>
      </c>
      <c r="B64" s="137"/>
      <c r="C64" s="137" t="s">
        <v>14</v>
      </c>
      <c r="D64" s="138" t="str">
        <v>35Y</v>
      </c>
      <c r="E64" s="130" t="s">
        <v>15</v>
      </c>
      <c r="F64" s="137" t="s">
        <v>16</v>
      </c>
      <c r="G64" s="130" t="s">
        <v>17</v>
      </c>
      <c r="H64" s="139">
        <v>1.8671164929999998E-2</v>
      </c>
      <c r="I64" s="105" t="str">
        <f>_xll.qlSwapRateHelper2(,$H64,,$D64,Calendar,$F64,$E64,$G64,$I$30,0,C64,Discounting,Permanent,,ObjectOverwrite)</f>
        <v>obj_0008c#0005</v>
      </c>
      <c r="J64" s="102" t="b">
        <f t="shared" si="16"/>
        <v>1</v>
      </c>
      <c r="L64" s="24" t="str">
        <f t="shared" si="13"/>
        <v>Sw</v>
      </c>
      <c r="M64" s="24" t="str">
        <f t="shared" si="14"/>
        <v>40Y</v>
      </c>
      <c r="N64" s="24" t="str">
        <f t="shared" si="18"/>
        <v>obj_00075#0005</v>
      </c>
      <c r="O64" s="24" t="b">
        <f t="shared" si="18"/>
        <v>1</v>
      </c>
      <c r="P64" s="14" t="e">
        <v>#N/A</v>
      </c>
      <c r="Q64" s="14" t="e">
        <v>#N/A</v>
      </c>
      <c r="R64" s="14" t="e">
        <v>#N/A</v>
      </c>
      <c r="S64" s="117" t="e">
        <f>_xll.qlRateHelperRate(R64,Trigger)</f>
        <v>#VALUE!</v>
      </c>
      <c r="T64" s="15" t="e">
        <f>_xll.qlRateHelperEarliestDate(R64,Trigger)</f>
        <v>#VALUE!</v>
      </c>
      <c r="U64" s="15" t="e">
        <f>_xll.qlRateHelperLatestDate(R64,Trigger)</f>
        <v>#VALUE!</v>
      </c>
      <c r="V64" s="14" t="e">
        <v>#N/A</v>
      </c>
    </row>
    <row r="65" spans="1:22" ht="11.25" customHeight="1" x14ac:dyDescent="0.2">
      <c r="A65" s="107" t="s">
        <v>45</v>
      </c>
      <c r="B65" s="137"/>
      <c r="C65" s="137" t="s">
        <v>14</v>
      </c>
      <c r="D65" s="138" t="str">
        <v>36Y</v>
      </c>
      <c r="E65" s="130" t="s">
        <v>15</v>
      </c>
      <c r="F65" s="137" t="s">
        <v>16</v>
      </c>
      <c r="G65" s="130" t="s">
        <v>17</v>
      </c>
      <c r="H65" s="139">
        <v>1.867777156E-2</v>
      </c>
      <c r="I65" s="105" t="str">
        <f>_xll.qlSwapRateHelper2(,$H65,,$D65,Calendar,$F65,$E65,$G65,$I$30,0,C65,Discounting,Permanent,,ObjectOverwrite)</f>
        <v>obj_00054#0005</v>
      </c>
      <c r="J65" s="102" t="b">
        <f t="shared" si="16"/>
        <v>1</v>
      </c>
      <c r="L65" s="24" t="str">
        <f t="shared" si="13"/>
        <v>Sw</v>
      </c>
      <c r="M65" s="24" t="str">
        <f t="shared" si="14"/>
        <v>50Y</v>
      </c>
      <c r="N65" s="24" t="str">
        <f t="shared" si="18"/>
        <v>obj_0002a#0005</v>
      </c>
      <c r="O65" s="24" t="b">
        <f t="shared" si="18"/>
        <v>1</v>
      </c>
      <c r="P65" s="14" t="e">
        <v>#N/A</v>
      </c>
      <c r="Q65" s="14" t="e">
        <v>#N/A</v>
      </c>
      <c r="R65" s="14" t="e">
        <v>#N/A</v>
      </c>
      <c r="S65" s="117" t="e">
        <f>_xll.qlRateHelperRate(R65,Trigger)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4" t="e">
        <v>#N/A</v>
      </c>
    </row>
    <row r="66" spans="1:22" ht="11.25" customHeight="1" x14ac:dyDescent="0.2">
      <c r="A66" s="107" t="s">
        <v>45</v>
      </c>
      <c r="B66" s="137"/>
      <c r="C66" s="137" t="s">
        <v>14</v>
      </c>
      <c r="D66" s="138" t="str">
        <v>37Y</v>
      </c>
      <c r="E66" s="130" t="s">
        <v>15</v>
      </c>
      <c r="F66" s="137" t="s">
        <v>16</v>
      </c>
      <c r="G66" s="130" t="s">
        <v>17</v>
      </c>
      <c r="H66" s="139">
        <v>1.867886828E-2</v>
      </c>
      <c r="I66" s="105" t="str">
        <f>_xll.qlSwapRateHelper2(,$H66,,$D66,Calendar,$F66,$E66,$G66,$I$30,0,C66,Discounting,Permanent,,ObjectOverwrite)</f>
        <v>obj_00078#0005</v>
      </c>
      <c r="J66" s="102" t="b">
        <f t="shared" si="16"/>
        <v>1</v>
      </c>
      <c r="L66" s="24" t="str">
        <f t="shared" si="13"/>
        <v>Sw</v>
      </c>
      <c r="M66" s="24" t="str">
        <f t="shared" si="14"/>
        <v>60Y</v>
      </c>
      <c r="N66" s="24" t="str">
        <f t="shared" si="18"/>
        <v>obj_00011#0005</v>
      </c>
      <c r="O66" s="24" t="b">
        <f t="shared" si="18"/>
        <v>1</v>
      </c>
      <c r="P66" s="14" t="e">
        <v>#N/A</v>
      </c>
      <c r="Q66" s="14" t="e">
        <v>#N/A</v>
      </c>
      <c r="R66" s="14" t="e">
        <v>#N/A</v>
      </c>
      <c r="S66" s="117" t="e">
        <f>_xll.qlRateHelperRate(R66,Trigger)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4" t="e">
        <v>#N/A</v>
      </c>
    </row>
    <row r="67" spans="1:22" ht="11.25" customHeight="1" x14ac:dyDescent="0.2">
      <c r="A67" s="107" t="s">
        <v>45</v>
      </c>
      <c r="B67" s="137"/>
      <c r="C67" s="137" t="s">
        <v>14</v>
      </c>
      <c r="D67" s="138" t="str">
        <v>38Y</v>
      </c>
      <c r="E67" s="130" t="s">
        <v>15</v>
      </c>
      <c r="F67" s="137" t="s">
        <v>16</v>
      </c>
      <c r="G67" s="130" t="s">
        <v>17</v>
      </c>
      <c r="H67" s="139">
        <v>1.867138757E-2</v>
      </c>
      <c r="I67" s="105" t="str">
        <f>_xll.qlSwapRateHelper2(,$H67,,$D67,Calendar,$F67,$E67,$G67,$I$30,0,C67,Discounting,Permanent,,ObjectOverwrite)</f>
        <v>obj_00040#0005</v>
      </c>
      <c r="J67" s="102" t="b">
        <f t="shared" si="16"/>
        <v>1</v>
      </c>
      <c r="L67" s="24" t="str">
        <f t="shared" si="13"/>
        <v>Sw</v>
      </c>
      <c r="M67" s="24" t="e">
        <f t="shared" si="14"/>
        <v>#N/A</v>
      </c>
      <c r="N67" s="24" t="e">
        <f t="shared" si="18"/>
        <v>#VALUE!</v>
      </c>
      <c r="O67" s="24" t="b">
        <f t="shared" si="18"/>
        <v>0</v>
      </c>
      <c r="P67" s="14" t="e">
        <v>#N/A</v>
      </c>
      <c r="Q67" s="14" t="e">
        <v>#N/A</v>
      </c>
      <c r="R67" s="14" t="e">
        <v>#N/A</v>
      </c>
      <c r="S67" s="117" t="e">
        <f>_xll.qlRateHelperRate(R67,Trigger)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4" t="e">
        <v>#N/A</v>
      </c>
    </row>
    <row r="68" spans="1:22" ht="11.25" customHeight="1" x14ac:dyDescent="0.2">
      <c r="A68" s="107" t="s">
        <v>45</v>
      </c>
      <c r="B68" s="137"/>
      <c r="C68" s="137" t="s">
        <v>14</v>
      </c>
      <c r="D68" s="138" t="str">
        <v>39Y</v>
      </c>
      <c r="E68" s="130" t="s">
        <v>15</v>
      </c>
      <c r="F68" s="137" t="s">
        <v>16</v>
      </c>
      <c r="G68" s="130" t="s">
        <v>17</v>
      </c>
      <c r="H68" s="139">
        <v>1.865537603E-2</v>
      </c>
      <c r="I68" s="105" t="str">
        <f>_xll.qlSwapRateHelper2(,$H68,,$D68,Calendar,$F68,$E68,$G68,$I$30,0,C68,Discounting,Permanent,,ObjectOverwrite)</f>
        <v>obj_00014#0005</v>
      </c>
      <c r="J68" s="102" t="b">
        <f t="shared" si="16"/>
        <v>1</v>
      </c>
      <c r="L68" s="24" t="str">
        <f t="shared" si="13"/>
        <v>Sw</v>
      </c>
      <c r="M68" s="24" t="e">
        <f t="shared" si="14"/>
        <v>#N/A</v>
      </c>
      <c r="N68" s="24" t="e">
        <f t="shared" si="18"/>
        <v>#VALUE!</v>
      </c>
      <c r="O68" s="24" t="b">
        <f t="shared" si="18"/>
        <v>0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4" t="e">
        <v>#N/A</v>
      </c>
    </row>
    <row r="69" spans="1:22" ht="11.25" customHeight="1" x14ac:dyDescent="0.2">
      <c r="A69" s="107" t="s">
        <v>45</v>
      </c>
      <c r="B69" s="137"/>
      <c r="C69" s="137" t="s">
        <v>14</v>
      </c>
      <c r="D69" s="138" t="str">
        <v>40Y</v>
      </c>
      <c r="E69" s="130" t="s">
        <v>15</v>
      </c>
      <c r="F69" s="137" t="s">
        <v>16</v>
      </c>
      <c r="G69" s="130" t="s">
        <v>17</v>
      </c>
      <c r="H69" s="139">
        <v>1.8630000000000001E-2</v>
      </c>
      <c r="I69" s="105" t="str">
        <f>_xll.qlSwapRateHelper2(,$H69,,$D69,Calendar,$F69,$E69,$G69,$I$30,0,C69,Discounting,Permanent,,ObjectOverwrite)</f>
        <v>obj_00075#0005</v>
      </c>
      <c r="J69" s="102" t="b">
        <f t="shared" si="16"/>
        <v>1</v>
      </c>
      <c r="L69" s="24" t="str">
        <f t="shared" si="13"/>
        <v>Sw</v>
      </c>
      <c r="M69" s="24" t="e">
        <f t="shared" si="14"/>
        <v>#N/A</v>
      </c>
      <c r="N69" s="24" t="e">
        <f t="shared" si="18"/>
        <v>#VALUE!</v>
      </c>
      <c r="O69" s="24" t="b">
        <f t="shared" si="18"/>
        <v>0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4" t="e">
        <v>#N/A</v>
      </c>
    </row>
    <row r="70" spans="1:22" ht="11.25" customHeight="1" x14ac:dyDescent="0.2">
      <c r="A70" s="107" t="s">
        <v>45</v>
      </c>
      <c r="B70" s="137"/>
      <c r="C70" s="137" t="s">
        <v>14</v>
      </c>
      <c r="D70" s="138" t="str">
        <v>50Y</v>
      </c>
      <c r="E70" s="130" t="s">
        <v>15</v>
      </c>
      <c r="F70" s="137" t="s">
        <v>16</v>
      </c>
      <c r="G70" s="130" t="s">
        <v>17</v>
      </c>
      <c r="H70" s="139">
        <v>1.8159999999999999E-2</v>
      </c>
      <c r="I70" s="105" t="str">
        <f>_xll.qlSwapRateHelper2(,$H70,,$D70,Calendar,$F70,$E70,$G70,$I$30,0,C70,Discounting,Permanent,,ObjectOverwrite)</f>
        <v>obj_0002a#0005</v>
      </c>
      <c r="J70" s="102" t="b">
        <f t="shared" si="16"/>
        <v>1</v>
      </c>
      <c r="L70" s="24" t="str">
        <f t="shared" si="13"/>
        <v>Sw</v>
      </c>
      <c r="M70" s="24" t="e">
        <f t="shared" si="14"/>
        <v>#N/A</v>
      </c>
      <c r="N70" s="24" t="e">
        <f t="shared" si="18"/>
        <v>#VALUE!</v>
      </c>
      <c r="O70" s="24" t="b">
        <f t="shared" si="18"/>
        <v>0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4" t="e">
        <v>#N/A</v>
      </c>
    </row>
    <row r="71" spans="1:22" ht="11.25" customHeight="1" x14ac:dyDescent="0.2">
      <c r="A71" s="107" t="s">
        <v>45</v>
      </c>
      <c r="B71" s="137"/>
      <c r="C71" s="137" t="s">
        <v>14</v>
      </c>
      <c r="D71" s="138" t="str">
        <v>60Y</v>
      </c>
      <c r="E71" s="130" t="s">
        <v>15</v>
      </c>
      <c r="F71" s="137" t="s">
        <v>16</v>
      </c>
      <c r="G71" s="130" t="s">
        <v>17</v>
      </c>
      <c r="H71" s="139">
        <v>1.797E-2</v>
      </c>
      <c r="I71" s="105" t="str">
        <f>_xll.qlSwapRateHelper2(,$H71,,$D71,Calendar,$F71,$E71,$G71,$I$30,0,C71,Discounting,Permanent,,ObjectOverwrite)</f>
        <v>obj_00011#0005</v>
      </c>
      <c r="J71" s="102" t="b">
        <f t="shared" si="16"/>
        <v>1</v>
      </c>
      <c r="L71" s="25" t="str">
        <f t="shared" si="13"/>
        <v>Sw</v>
      </c>
      <c r="M71" s="25" t="e">
        <f t="shared" si="14"/>
        <v>#N/A</v>
      </c>
      <c r="N71" s="25" t="e">
        <f t="shared" si="18"/>
        <v>#VALUE!</v>
      </c>
      <c r="O71" s="25" t="b">
        <f t="shared" si="18"/>
        <v>0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6" t="e">
        <v>#N/A</v>
      </c>
    </row>
    <row r="72" spans="1:22" ht="11.25" customHeight="1" x14ac:dyDescent="0.2">
      <c r="A72" s="107" t="s">
        <v>45</v>
      </c>
      <c r="B72" s="137"/>
      <c r="C72" s="137" t="s">
        <v>14</v>
      </c>
      <c r="D72" s="138" t="e">
        <v>#N/A</v>
      </c>
      <c r="E72" s="130" t="s">
        <v>15</v>
      </c>
      <c r="F72" s="137" t="s">
        <v>16</v>
      </c>
      <c r="G72" s="130" t="s">
        <v>17</v>
      </c>
      <c r="H72" s="139" t="e">
        <v>#N/A</v>
      </c>
      <c r="I72" s="105" t="e">
        <f>_xll.qlSwapRateHelper2(,$H72,,$D72,Calendar,$F72,$E72,$G72,$I$30,0,C72,Discounting,Permanent,,ObjectOverwrite)</f>
        <v>#VALUE!</v>
      </c>
      <c r="J72" s="102" t="b">
        <f t="shared" si="16"/>
        <v>0</v>
      </c>
      <c r="L72" s="13"/>
      <c r="M72" s="13"/>
      <c r="N72" s="13"/>
      <c r="O72" s="13"/>
    </row>
    <row r="73" spans="1:22" ht="11.25" customHeight="1" x14ac:dyDescent="0.2">
      <c r="A73" s="107" t="s">
        <v>45</v>
      </c>
      <c r="B73" s="137"/>
      <c r="C73" s="137" t="s">
        <v>14</v>
      </c>
      <c r="D73" s="138" t="e">
        <v>#N/A</v>
      </c>
      <c r="E73" s="130" t="s">
        <v>15</v>
      </c>
      <c r="F73" s="137" t="s">
        <v>16</v>
      </c>
      <c r="G73" s="130" t="s">
        <v>17</v>
      </c>
      <c r="H73" s="139" t="e">
        <v>#N/A</v>
      </c>
      <c r="I73" s="105" t="e">
        <f>_xll.qlSwapRateHelper2(,$H73,,$D73,Calendar,$F73,$E73,$G73,$I$30,0,C73,Discounting,Permanent,,ObjectOverwrite)</f>
        <v>#VALUE!</v>
      </c>
      <c r="J73" s="102" t="b">
        <f t="shared" si="16"/>
        <v>0</v>
      </c>
      <c r="L73" s="13"/>
      <c r="M73" s="13"/>
      <c r="N73" s="13"/>
      <c r="O73" s="13"/>
    </row>
    <row r="74" spans="1:22" ht="11.25" customHeight="1" x14ac:dyDescent="0.2">
      <c r="A74" s="107" t="s">
        <v>45</v>
      </c>
      <c r="B74" s="137"/>
      <c r="C74" s="137" t="s">
        <v>14</v>
      </c>
      <c r="D74" s="138" t="e">
        <v>#N/A</v>
      </c>
      <c r="E74" s="130" t="s">
        <v>15</v>
      </c>
      <c r="F74" s="137" t="s">
        <v>16</v>
      </c>
      <c r="G74" s="130" t="s">
        <v>17</v>
      </c>
      <c r="H74" s="139" t="e">
        <v>#N/A</v>
      </c>
      <c r="I74" s="105" t="e">
        <f>_xll.qlSwapRateHelper2(,$H74,,$D74,Calendar,$F74,$E74,$G74,$I$30,0,C74,Discounting,Permanent,,ObjectOverwrite)</f>
        <v>#VALUE!</v>
      </c>
      <c r="J74" s="102" t="b">
        <f t="shared" si="16"/>
        <v>0</v>
      </c>
      <c r="L74" s="13"/>
      <c r="M74" s="13"/>
      <c r="N74" s="13"/>
      <c r="O74" s="13"/>
    </row>
    <row r="75" spans="1:22" ht="11.25" customHeight="1" x14ac:dyDescent="0.2">
      <c r="A75" s="107" t="s">
        <v>45</v>
      </c>
      <c r="B75" s="137"/>
      <c r="C75" s="137" t="s">
        <v>14</v>
      </c>
      <c r="D75" s="138" t="e">
        <v>#N/A</v>
      </c>
      <c r="E75" s="130" t="s">
        <v>15</v>
      </c>
      <c r="F75" s="137" t="s">
        <v>16</v>
      </c>
      <c r="G75" s="130" t="s">
        <v>17</v>
      </c>
      <c r="H75" s="139" t="e">
        <v>#N/A</v>
      </c>
      <c r="I75" s="105" t="e">
        <f>_xll.qlSwapRateHelper2(,$H75,,$D75,Calendar,$F75,$E75,$G75,$I$30,0,C75,Discounting,Permanent,,ObjectOverwrite)</f>
        <v>#VALUE!</v>
      </c>
      <c r="J75" s="102" t="b">
        <f t="shared" si="16"/>
        <v>0</v>
      </c>
      <c r="L75" s="13"/>
      <c r="M75" s="13"/>
      <c r="N75" s="13"/>
      <c r="O75" s="13"/>
    </row>
    <row r="76" spans="1:22" ht="11.25" customHeight="1" x14ac:dyDescent="0.2">
      <c r="A76" s="7" t="s">
        <v>45</v>
      </c>
      <c r="B76" s="140"/>
      <c r="C76" s="140" t="s">
        <v>14</v>
      </c>
      <c r="D76" s="141" t="e">
        <v>#N/A</v>
      </c>
      <c r="E76" s="3" t="s">
        <v>15</v>
      </c>
      <c r="F76" s="140" t="s">
        <v>16</v>
      </c>
      <c r="G76" s="3" t="s">
        <v>17</v>
      </c>
      <c r="H76" s="142" t="e">
        <v>#N/A</v>
      </c>
      <c r="I76" s="5" t="e">
        <f>_xll.qlSwapRateHelper2(,$H76,,$D76,Calendar,$F76,$E76,$G76,$I$30,0,C76,Discounting,Permanent,,ObjectOverwrite)</f>
        <v>#VALUE!</v>
      </c>
      <c r="J76" s="19" t="b">
        <f t="shared" si="16"/>
        <v>0</v>
      </c>
      <c r="L76" s="13"/>
      <c r="M76" s="13"/>
      <c r="N76" s="13"/>
      <c r="O76" s="13"/>
    </row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4">
    <dataValidation type="list" allowBlank="1" showInputMessage="1" showErrorMessage="1" sqref="E32:E76">
      <formula1>"Following,Modified Following,Preceding,Modified Preceding,Month End Reference,Unadjusted Month End,Unadjusted"</formula1>
    </dataValidation>
    <dataValidation type="list" allowBlank="1" showInputMessage="1" showErrorMessage="1" sqref="F32:F76">
      <formula1>"Annual,Semiannual,EveryFourthMonth,Quarterly,Bimonthly,Monthly,Biweekly,Weekly,Daily,Once,NoFrequency"</formula1>
    </dataValidation>
    <dataValidation type="list" allowBlank="1" showInputMessage="1" showErrorMessage="1" sqref="G32:G76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1:E28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9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5" style="72" hidden="1" customWidth="1" outlineLevel="1"/>
    <col min="2" max="2" width="5" style="72" hidden="1" customWidth="1" outlineLevel="2"/>
    <col min="3" max="3" width="7" style="89" hidden="1" customWidth="1" outlineLevel="1" collapsed="1"/>
    <col min="4" max="4" width="8.28515625" style="88" hidden="1" customWidth="1" outlineLevel="1"/>
    <col min="5" max="5" width="19.42578125" style="90" hidden="1" customWidth="1" outlineLevel="1"/>
    <col min="6" max="6" width="7" style="72" hidden="1" customWidth="1" outlineLevel="1"/>
    <col min="7" max="7" width="20.28515625" style="72" hidden="1" customWidth="1" outlineLevel="1"/>
    <col min="8" max="8" width="11.28515625" style="72" hidden="1" customWidth="1" outlineLevel="1"/>
    <col min="9" max="9" width="15.140625" style="72" hidden="1" customWidth="1" outlineLevel="1"/>
    <col min="10" max="10" width="9" style="88" hidden="1" customWidth="1" outlineLevel="1"/>
    <col min="11" max="11" width="2.7109375" style="72" customWidth="1" collapsed="1"/>
    <col min="12" max="12" width="5" style="72" hidden="1" customWidth="1" outlineLevel="1"/>
    <col min="13" max="13" width="6" style="72" hidden="1" customWidth="1" outlineLevel="1"/>
    <col min="14" max="14" width="15.140625" style="72" hidden="1" customWidth="1" outlineLevel="1"/>
    <col min="15" max="15" width="6" style="72" hidden="1" customWidth="1" outlineLevel="1"/>
    <col min="16" max="16" width="5" style="72" bestFit="1" customWidth="1" collapsed="1"/>
    <col min="17" max="17" width="6" style="72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2" width="12" style="72" bestFit="1" customWidth="1"/>
    <col min="23" max="23" width="15.140625" style="72" bestFit="1" customWidth="1"/>
    <col min="24" max="24" width="9" style="72" bestFit="1" customWidth="1"/>
    <col min="25" max="16384" width="9.140625" style="72"/>
  </cols>
  <sheetData>
    <row r="1" spans="1:22" ht="21" customHeight="1" x14ac:dyDescent="0.2">
      <c r="B1" s="78"/>
      <c r="C1" s="79"/>
      <c r="D1" s="80"/>
      <c r="E1" s="81"/>
      <c r="F1" s="82"/>
      <c r="J1" s="80"/>
      <c r="L1" s="109"/>
      <c r="M1" s="110"/>
      <c r="N1" s="110"/>
      <c r="O1" s="111"/>
      <c r="P1" s="147" t="s">
        <v>176</v>
      </c>
      <c r="Q1" s="110"/>
      <c r="R1" s="110"/>
      <c r="S1" s="115"/>
      <c r="T1" s="110"/>
      <c r="U1" s="110"/>
      <c r="V1" s="146" t="s">
        <v>189</v>
      </c>
    </row>
    <row r="2" spans="1:22" ht="21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13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3" t="s">
        <v>18</v>
      </c>
      <c r="M2" s="143"/>
      <c r="N2" s="143" t="s">
        <v>43</v>
      </c>
      <c r="O2" s="143"/>
      <c r="P2" s="143" t="s">
        <v>18</v>
      </c>
      <c r="Q2" s="143" t="s">
        <v>56</v>
      </c>
      <c r="R2" s="143" t="s">
        <v>43</v>
      </c>
      <c r="S2" s="144" t="s">
        <v>39</v>
      </c>
      <c r="T2" s="143" t="s">
        <v>37</v>
      </c>
      <c r="U2" s="143" t="s">
        <v>38</v>
      </c>
      <c r="V2" s="154">
        <f t="array" ref="V2:V71">_xll.qlPiecewiseYieldCurveData(YieldCurve_1M,Trigger)</f>
        <v>1</v>
      </c>
    </row>
    <row r="3" spans="1:22" ht="11.25" customHeight="1" x14ac:dyDescent="0.2">
      <c r="A3" s="92" t="s">
        <v>46</v>
      </c>
      <c r="B3" s="92" t="str">
        <f t="array" ref="B3:B18">_xll.ohFilter(PastedValue!AI2:AI82,PastedValue!AE2:AE82="Dp")</f>
        <v>O/N</v>
      </c>
      <c r="C3" s="93" t="str">
        <f>IF(LEFT(B3,1)="#","9M",B3)</f>
        <v>O/N</v>
      </c>
      <c r="D3" s="94">
        <f>IF(C3="O/N",0,IF(C3="T/N",1,2))</f>
        <v>0</v>
      </c>
      <c r="E3" s="93" t="str">
        <f t="shared" ref="E3:E18" si="0">IF(RIGHT(C3,1)="M","Modified Following","Following")</f>
        <v>Following</v>
      </c>
      <c r="F3" s="96" t="str">
        <f t="shared" ref="F3:F18" si="1">IF(RIGHT(C3,1)="M","TRUE","FALSE")</f>
        <v>FALSE</v>
      </c>
      <c r="G3" s="97" t="s">
        <v>50</v>
      </c>
      <c r="H3" s="98">
        <f t="array" ref="H3:H18">_xll.ohFilter(PastedValue!AL2:AL82,PastedValue!AE2:AE82="Dp")/100</f>
        <v>-6.9980163999999994E-4</v>
      </c>
      <c r="I3" s="99" t="str">
        <f>_xll.qlDepositRateHelper2(,H3,IF(RIGHT(C3,1)="N","1D",C3),D3,Calendar,E3,F3,G3,,Trigger)</f>
        <v>obj_000be#0005</v>
      </c>
      <c r="J3" s="94" t="b">
        <f t="shared" ref="J3:J17" si="2">IF(ISERROR(I3),FALSE,TRUE)</f>
        <v>1</v>
      </c>
      <c r="L3" s="24" t="str">
        <f>A3</f>
        <v>Dp</v>
      </c>
      <c r="M3" s="24" t="str">
        <f>C3</f>
        <v>O/N</v>
      </c>
      <c r="N3" s="14" t="str">
        <f>I3</f>
        <v>obj_000be#0005</v>
      </c>
      <c r="O3" s="14" t="b">
        <f>J3</f>
        <v>1</v>
      </c>
      <c r="P3" s="14" t="str">
        <f t="array" ref="P3:P71">_xll.ohPack(_xll.ohFilter(L3:L82,O3:O82),Trigger)</f>
        <v>Dp</v>
      </c>
      <c r="Q3" s="14" t="str">
        <f t="array" ref="Q3:Q71">_xll.ohPack(_xll.ohFilter(M3:M82,O3:O82),Trigger)</f>
        <v>O/N</v>
      </c>
      <c r="R3" s="14" t="str">
        <f t="array" ref="R3:R71">_xll.ohPack(_xll.ohFilter(N3:N82,O3:O82))</f>
        <v>obj_000be#0005</v>
      </c>
      <c r="S3" s="117">
        <f>_xll.qlRateHelperRate(R3,Trigger)</f>
        <v>-6.9980163999999994E-4</v>
      </c>
      <c r="T3" s="15">
        <f>_xll.qlRateHelperEarliestDate(R3,Trigger)</f>
        <v>42199</v>
      </c>
      <c r="U3" s="15">
        <f>_xll.qlRateHelperLatestDate(R3,Trigger)</f>
        <v>42200</v>
      </c>
      <c r="V3" s="155">
        <v>1.0000019438972232</v>
      </c>
    </row>
    <row r="4" spans="1:22" ht="11.25" customHeight="1" x14ac:dyDescent="0.2">
      <c r="A4" s="100" t="s">
        <v>46</v>
      </c>
      <c r="B4" s="100" t="str">
        <v>T/N</v>
      </c>
      <c r="C4" s="101" t="str">
        <f t="shared" ref="C4:C18" si="3">IF(LEFT(B4,1)="#","9M",B4)</f>
        <v>T/N</v>
      </c>
      <c r="D4" s="102">
        <f t="shared" ref="D4:D18" si="4">IF(C4="O/N",0,IF(C4="T/N",1,2))</f>
        <v>1</v>
      </c>
      <c r="E4" s="101" t="str">
        <f t="shared" si="0"/>
        <v>Following</v>
      </c>
      <c r="F4" s="104" t="str">
        <f t="shared" si="1"/>
        <v>FALSE</v>
      </c>
      <c r="G4" s="105" t="s">
        <v>50</v>
      </c>
      <c r="H4" s="106">
        <v>-7.0332380999999996E-4</v>
      </c>
      <c r="I4" s="107" t="str">
        <f>_xll.qlDepositRateHelper2(,H4,IF(RIGHT(C4,1)="N","1D",C4),D4,Calendar,E4,F4,G4,,Trigger)</f>
        <v>obj_000ac#0005</v>
      </c>
      <c r="J4" s="102" t="b">
        <f t="shared" si="2"/>
        <v>1</v>
      </c>
      <c r="L4" s="24" t="str">
        <f t="shared" ref="L4:L18" si="5">A4</f>
        <v>Dp</v>
      </c>
      <c r="M4" s="24" t="str">
        <f t="shared" ref="M4:M18" si="6">C4</f>
        <v>T/N</v>
      </c>
      <c r="N4" s="14" t="str">
        <f t="shared" ref="N4:O18" si="7">I4</f>
        <v>obj_000ac#0005</v>
      </c>
      <c r="O4" s="14" t="b">
        <f t="shared" si="7"/>
        <v>1</v>
      </c>
      <c r="P4" s="14" t="str">
        <v>Dp</v>
      </c>
      <c r="Q4" s="14" t="str">
        <v>T/N</v>
      </c>
      <c r="R4" s="14" t="str">
        <v>obj_000ac#0005</v>
      </c>
      <c r="S4" s="117">
        <f>_xll.qlRateHelperRate(R4,Trigger)</f>
        <v>-7.0332380999999996E-4</v>
      </c>
      <c r="T4" s="15">
        <f>_xll.qlRateHelperEarliestDate(R4,Trigger)</f>
        <v>42200</v>
      </c>
      <c r="U4" s="15">
        <f>_xll.qlRateHelperLatestDate(R4,Trigger)</f>
        <v>42201</v>
      </c>
      <c r="V4" s="155">
        <v>1.0000038975820877</v>
      </c>
    </row>
    <row r="5" spans="1:22" ht="11.25" customHeight="1" x14ac:dyDescent="0.2">
      <c r="A5" s="100" t="s">
        <v>46</v>
      </c>
      <c r="B5" s="100" t="str">
        <v>S/N</v>
      </c>
      <c r="C5" s="101" t="str">
        <f t="shared" si="3"/>
        <v>S/N</v>
      </c>
      <c r="D5" s="102">
        <f t="shared" si="4"/>
        <v>2</v>
      </c>
      <c r="E5" s="101" t="str">
        <f t="shared" si="0"/>
        <v>Following</v>
      </c>
      <c r="F5" s="104" t="str">
        <f t="shared" si="1"/>
        <v>FALSE</v>
      </c>
      <c r="G5" s="105" t="s">
        <v>50</v>
      </c>
      <c r="H5" s="106">
        <v>-7.0677380000000001E-4</v>
      </c>
      <c r="I5" s="107" t="str">
        <f>_xll.qlDepositRateHelper2(,H5,IF(RIGHT(C5,1)="N","1D",C5),D5,Calendar,E5,F5,G5,,Trigger)</f>
        <v>obj_000ad#0005</v>
      </c>
      <c r="J5" s="102" t="b">
        <f t="shared" si="2"/>
        <v>1</v>
      </c>
      <c r="L5" s="24" t="str">
        <f t="shared" si="5"/>
        <v>Dp</v>
      </c>
      <c r="M5" s="24" t="str">
        <f t="shared" si="6"/>
        <v>S/N</v>
      </c>
      <c r="N5" s="14" t="str">
        <f t="shared" si="7"/>
        <v>obj_000ad#0005</v>
      </c>
      <c r="O5" s="14" t="b">
        <f t="shared" si="7"/>
        <v>1</v>
      </c>
      <c r="P5" s="14" t="str">
        <v>Dp</v>
      </c>
      <c r="Q5" s="14" t="str">
        <v>S/N</v>
      </c>
      <c r="R5" s="14" t="str">
        <v>obj_000ad#0005</v>
      </c>
      <c r="S5" s="117">
        <f>_xll.qlRateHelperRate(R5,Trigger)</f>
        <v>-7.0677380000000001E-4</v>
      </c>
      <c r="T5" s="15">
        <f>_xll.qlRateHelperEarliestDate(R5,Trigger)</f>
        <v>42201</v>
      </c>
      <c r="U5" s="15">
        <f>_xll.qlRateHelperLatestDate(R5,Trigger)</f>
        <v>42202</v>
      </c>
      <c r="V5" s="155">
        <v>1.0000058608541498</v>
      </c>
    </row>
    <row r="6" spans="1:22" ht="11.25" customHeight="1" x14ac:dyDescent="0.2">
      <c r="A6" s="100" t="s">
        <v>46</v>
      </c>
      <c r="B6" s="100" t="str">
        <v>1W</v>
      </c>
      <c r="C6" s="101" t="str">
        <f t="shared" si="3"/>
        <v>1W</v>
      </c>
      <c r="D6" s="102">
        <f t="shared" si="4"/>
        <v>2</v>
      </c>
      <c r="E6" s="101" t="str">
        <f t="shared" si="0"/>
        <v>Following</v>
      </c>
      <c r="F6" s="104" t="str">
        <f t="shared" si="1"/>
        <v>FALSE</v>
      </c>
      <c r="G6" s="105" t="s">
        <v>50</v>
      </c>
      <c r="H6" s="106">
        <v>-7.2999999999999996E-4</v>
      </c>
      <c r="I6" s="107" t="str">
        <f>_xll.qlDepositRateHelper2(,H6,IF(RIGHT(C6,1)="N","1D",C6),D6,Calendar,E6,F6,G6,,Trigger)</f>
        <v>obj_000b3#0005</v>
      </c>
      <c r="J6" s="102" t="b">
        <f t="shared" si="2"/>
        <v>1</v>
      </c>
      <c r="L6" s="24" t="str">
        <f t="shared" si="5"/>
        <v>Dp</v>
      </c>
      <c r="M6" s="24" t="str">
        <f t="shared" si="6"/>
        <v>1W</v>
      </c>
      <c r="N6" s="14" t="str">
        <f t="shared" si="7"/>
        <v>obj_000b3#0005</v>
      </c>
      <c r="O6" s="14" t="b">
        <f t="shared" si="7"/>
        <v>1</v>
      </c>
      <c r="P6" s="14" t="str">
        <v>Dp</v>
      </c>
      <c r="Q6" s="14" t="str">
        <v>1W</v>
      </c>
      <c r="R6" s="14" t="str">
        <v>obj_000b3#0005</v>
      </c>
      <c r="S6" s="117">
        <f>_xll.qlRateHelperRate(R6,Trigger)</f>
        <v>-7.2999999999999996E-4</v>
      </c>
      <c r="T6" s="15">
        <f>_xll.qlRateHelperEarliestDate(R6,Trigger)</f>
        <v>42201</v>
      </c>
      <c r="U6" s="15">
        <f>_xll.qlRateHelperLatestDate(R6,Trigger)</f>
        <v>42208</v>
      </c>
      <c r="V6" s="155">
        <v>1.0000180922833464</v>
      </c>
    </row>
    <row r="7" spans="1:22" ht="11.25" customHeight="1" x14ac:dyDescent="0.2">
      <c r="A7" s="100" t="s">
        <v>46</v>
      </c>
      <c r="B7" s="100" t="str">
        <v>2W</v>
      </c>
      <c r="C7" s="101" t="str">
        <f t="shared" si="3"/>
        <v>2W</v>
      </c>
      <c r="D7" s="102">
        <f t="shared" si="4"/>
        <v>2</v>
      </c>
      <c r="E7" s="101" t="str">
        <f t="shared" si="0"/>
        <v>Following</v>
      </c>
      <c r="F7" s="104" t="str">
        <f t="shared" si="1"/>
        <v>FALSE</v>
      </c>
      <c r="G7" s="105" t="s">
        <v>50</v>
      </c>
      <c r="H7" s="106">
        <v>-7.4700000000000005E-4</v>
      </c>
      <c r="I7" s="107" t="str">
        <f>_xll.qlDepositRateHelper2(,H7,IF(RIGHT(C7,1)="N","1D",C7),D7,Calendar,E7,F7,G7,,Trigger)</f>
        <v>obj_000c2#0005</v>
      </c>
      <c r="J7" s="102" t="b">
        <f t="shared" si="2"/>
        <v>1</v>
      </c>
      <c r="L7" s="24" t="str">
        <f t="shared" si="5"/>
        <v>Dp</v>
      </c>
      <c r="M7" s="24" t="str">
        <f t="shared" si="6"/>
        <v>2W</v>
      </c>
      <c r="N7" s="14" t="str">
        <f t="shared" si="7"/>
        <v>obj_000c2#0005</v>
      </c>
      <c r="O7" s="14" t="b">
        <f t="shared" si="7"/>
        <v>1</v>
      </c>
      <c r="P7" s="14" t="str">
        <v>Dp</v>
      </c>
      <c r="Q7" s="14" t="str">
        <v>2W</v>
      </c>
      <c r="R7" s="14" t="str">
        <v>obj_000c2#0005</v>
      </c>
      <c r="S7" s="117">
        <f>_xll.qlRateHelperRate(R7,Trigger)</f>
        <v>-7.4700000000000005E-4</v>
      </c>
      <c r="T7" s="15">
        <f>_xll.qlRateHelperEarliestDate(R7,Trigger)</f>
        <v>42201</v>
      </c>
      <c r="U7" s="15">
        <f>_xll.qlRateHelperLatestDate(R7,Trigger)</f>
        <v>42215</v>
      </c>
      <c r="V7" s="155">
        <v>1.0000329485392547</v>
      </c>
    </row>
    <row r="8" spans="1:22" ht="11.25" customHeight="1" x14ac:dyDescent="0.2">
      <c r="A8" s="100" t="s">
        <v>46</v>
      </c>
      <c r="B8" s="100" t="str">
        <v>3W</v>
      </c>
      <c r="C8" s="101" t="str">
        <f t="shared" si="3"/>
        <v>3W</v>
      </c>
      <c r="D8" s="102">
        <f t="shared" si="4"/>
        <v>2</v>
      </c>
      <c r="E8" s="101" t="str">
        <f t="shared" si="0"/>
        <v>Following</v>
      </c>
      <c r="F8" s="104" t="str">
        <f t="shared" si="1"/>
        <v>FALSE</v>
      </c>
      <c r="G8" s="105" t="s">
        <v>50</v>
      </c>
      <c r="H8" s="106">
        <v>-6.9400000000000006E-4</v>
      </c>
      <c r="I8" s="107" t="str">
        <f>_xll.qlDepositRateHelper2(,H8,IF(RIGHT(C8,1)="N","1D",C8),D8,Calendar,E8,F8,G8,,Trigger)</f>
        <v>obj_000b7#0005</v>
      </c>
      <c r="J8" s="102" t="b">
        <f t="shared" si="2"/>
        <v>1</v>
      </c>
      <c r="L8" s="24" t="str">
        <f t="shared" si="5"/>
        <v>Dp</v>
      </c>
      <c r="M8" s="24" t="str">
        <f t="shared" si="6"/>
        <v>3W</v>
      </c>
      <c r="N8" s="14" t="str">
        <f t="shared" si="7"/>
        <v>obj_000b7#0005</v>
      </c>
      <c r="O8" s="14" t="b">
        <f t="shared" si="7"/>
        <v>1</v>
      </c>
      <c r="P8" s="14" t="str">
        <v>Dp</v>
      </c>
      <c r="Q8" s="14" t="str">
        <v>3W</v>
      </c>
      <c r="R8" s="14" t="str">
        <v>obj_000b7#0005</v>
      </c>
      <c r="S8" s="117">
        <f>_xll.qlRateHelperRate(R8,Trigger)</f>
        <v>-6.9400000000000006E-4</v>
      </c>
      <c r="T8" s="15">
        <f>_xll.qlRateHelperEarliestDate(R8,Trigger)</f>
        <v>42201</v>
      </c>
      <c r="U8" s="15">
        <f>_xll.qlRateHelperLatestDate(R8,Trigger)</f>
        <v>42222</v>
      </c>
      <c r="V8" s="155">
        <v>1.0000443827121781</v>
      </c>
    </row>
    <row r="9" spans="1:22" ht="11.25" customHeight="1" x14ac:dyDescent="0.2">
      <c r="A9" s="100" t="s">
        <v>46</v>
      </c>
      <c r="B9" s="100" t="str">
        <v>1M</v>
      </c>
      <c r="C9" s="101" t="str">
        <f t="shared" si="3"/>
        <v>1M</v>
      </c>
      <c r="D9" s="102">
        <f t="shared" si="4"/>
        <v>2</v>
      </c>
      <c r="E9" s="101" t="str">
        <f t="shared" si="0"/>
        <v>Modified Following</v>
      </c>
      <c r="F9" s="104" t="str">
        <f t="shared" si="1"/>
        <v>TRUE</v>
      </c>
      <c r="G9" s="105" t="s">
        <v>50</v>
      </c>
      <c r="H9" s="106">
        <v>-7.0999999999999991E-4</v>
      </c>
      <c r="I9" s="107" t="str">
        <f>_xll.qlDepositRateHelper2(,H9,IF(RIGHT(C9,1)="N","1D",C9),D9,Calendar,E9,F9,G9,,Trigger)</f>
        <v>obj_000a9#0005</v>
      </c>
      <c r="J9" s="102" t="b">
        <f t="shared" si="2"/>
        <v>1</v>
      </c>
      <c r="L9" s="24" t="str">
        <f t="shared" si="5"/>
        <v>Dp</v>
      </c>
      <c r="M9" s="24" t="str">
        <f t="shared" si="6"/>
        <v>1M</v>
      </c>
      <c r="N9" s="14" t="str">
        <f t="shared" si="7"/>
        <v>obj_000a9#0005</v>
      </c>
      <c r="O9" s="14" t="b">
        <f t="shared" si="7"/>
        <v>1</v>
      </c>
      <c r="P9" s="14" t="str">
        <v>Dp</v>
      </c>
      <c r="Q9" s="14" t="str">
        <v>1M</v>
      </c>
      <c r="R9" s="14" t="str">
        <v>obj_000a9#0005</v>
      </c>
      <c r="S9" s="117">
        <f>_xll.qlRateHelperRate(R9,Trigger)</f>
        <v>-7.0999999999999991E-4</v>
      </c>
      <c r="T9" s="15">
        <f>_xll.qlRateHelperEarliestDate(R9,Trigger)</f>
        <v>42201</v>
      </c>
      <c r="U9" s="15">
        <f>_xll.qlRateHelperLatestDate(R9,Trigger)</f>
        <v>42233</v>
      </c>
      <c r="V9" s="155">
        <v>1.0000670129225191</v>
      </c>
    </row>
    <row r="10" spans="1:22" ht="11.25" customHeight="1" x14ac:dyDescent="0.2">
      <c r="A10" s="100" t="s">
        <v>46</v>
      </c>
      <c r="B10" s="100" t="e">
        <v>#N/A</v>
      </c>
      <c r="C10" s="101" t="e">
        <f t="shared" si="3"/>
        <v>#N/A</v>
      </c>
      <c r="D10" s="102" t="e">
        <f t="shared" si="4"/>
        <v>#N/A</v>
      </c>
      <c r="E10" s="101" t="e">
        <f t="shared" si="0"/>
        <v>#N/A</v>
      </c>
      <c r="F10" s="104" t="e">
        <f t="shared" si="1"/>
        <v>#N/A</v>
      </c>
      <c r="G10" s="105" t="s">
        <v>50</v>
      </c>
      <c r="H10" s="106" t="e">
        <v>#N/A</v>
      </c>
      <c r="I10" s="107" t="e">
        <f>_xll.qlDepositRateHelper2(,H10,IF(RIGHT(C10,1)="N","1D",C10),D10,Calendar,E10,F10,G10,,Trigger)</f>
        <v>#VALUE!</v>
      </c>
      <c r="J10" s="102" t="b">
        <f t="shared" si="2"/>
        <v>0</v>
      </c>
      <c r="L10" s="24" t="str">
        <f t="shared" si="5"/>
        <v>Dp</v>
      </c>
      <c r="M10" s="24" t="e">
        <f t="shared" si="6"/>
        <v>#N/A</v>
      </c>
      <c r="N10" s="14" t="e">
        <f t="shared" si="7"/>
        <v>#VALUE!</v>
      </c>
      <c r="O10" s="14" t="b">
        <f t="shared" si="7"/>
        <v>0</v>
      </c>
      <c r="P10" s="14" t="str">
        <v>Sw</v>
      </c>
      <c r="Q10" s="14" t="str">
        <v>2M</v>
      </c>
      <c r="R10" s="14" t="str">
        <v>obj_00081#0005</v>
      </c>
      <c r="S10" s="117">
        <f>_xll.qlRateHelperRate(R10,Trigger)</f>
        <v>-7.3001559999999997E-4</v>
      </c>
      <c r="T10" s="15">
        <f>_xll.qlRateHelperEarliestDate(R10,Trigger)</f>
        <v>42201</v>
      </c>
      <c r="U10" s="15">
        <f>_xll.qlRateHelperLatestDate(R10,Trigger)</f>
        <v>42263</v>
      </c>
      <c r="V10" s="155">
        <v>1.0001255850708295</v>
      </c>
    </row>
    <row r="11" spans="1:22" ht="11.25" customHeight="1" x14ac:dyDescent="0.2">
      <c r="A11" s="100" t="s">
        <v>46</v>
      </c>
      <c r="B11" s="100" t="e">
        <v>#N/A</v>
      </c>
      <c r="C11" s="101" t="e">
        <f t="shared" si="3"/>
        <v>#N/A</v>
      </c>
      <c r="D11" s="102" t="e">
        <f t="shared" si="4"/>
        <v>#N/A</v>
      </c>
      <c r="E11" s="101" t="e">
        <f t="shared" si="0"/>
        <v>#N/A</v>
      </c>
      <c r="F11" s="104" t="e">
        <f t="shared" si="1"/>
        <v>#N/A</v>
      </c>
      <c r="G11" s="105" t="s">
        <v>50</v>
      </c>
      <c r="H11" s="106" t="e">
        <v>#N/A</v>
      </c>
      <c r="I11" s="107" t="e">
        <f>_xll.qlDepositRateHelper2(,H11,IF(RIGHT(C11,1)="N","1D",C11),D11,Calendar,E11,F11,G11,,Trigger)</f>
        <v>#VALUE!</v>
      </c>
      <c r="J11" s="102" t="b">
        <f t="shared" si="2"/>
        <v>0</v>
      </c>
      <c r="L11" s="24" t="str">
        <f t="shared" si="5"/>
        <v>Dp</v>
      </c>
      <c r="M11" s="24" t="e">
        <f t="shared" si="6"/>
        <v>#N/A</v>
      </c>
      <c r="N11" s="14" t="e">
        <f t="shared" si="7"/>
        <v>#VALUE!</v>
      </c>
      <c r="O11" s="14" t="b">
        <f t="shared" si="7"/>
        <v>0</v>
      </c>
      <c r="P11" s="14" t="str">
        <v>Sw</v>
      </c>
      <c r="Q11" s="14" t="str">
        <v>3M</v>
      </c>
      <c r="R11" s="14" t="str">
        <v>obj_00052#0005</v>
      </c>
      <c r="S11" s="117">
        <f>_xll.qlRateHelperRate(R11,Trigger)</f>
        <v>-7.6003116E-4</v>
      </c>
      <c r="T11" s="15">
        <f>_xll.qlRateHelperEarliestDate(R11,Trigger)</f>
        <v>42201</v>
      </c>
      <c r="U11" s="15">
        <f>_xll.qlRateHelperLatestDate(R11,Trigger)</f>
        <v>42293</v>
      </c>
      <c r="V11" s="155">
        <v>1.000193950257777</v>
      </c>
    </row>
    <row r="12" spans="1:22" ht="11.25" customHeight="1" x14ac:dyDescent="0.2">
      <c r="A12" s="100" t="s">
        <v>46</v>
      </c>
      <c r="B12" s="100" t="e">
        <v>#N/A</v>
      </c>
      <c r="C12" s="101" t="e">
        <f t="shared" si="3"/>
        <v>#N/A</v>
      </c>
      <c r="D12" s="102" t="e">
        <f t="shared" si="4"/>
        <v>#N/A</v>
      </c>
      <c r="E12" s="101" t="e">
        <f t="shared" si="0"/>
        <v>#N/A</v>
      </c>
      <c r="F12" s="104" t="e">
        <f t="shared" si="1"/>
        <v>#N/A</v>
      </c>
      <c r="G12" s="105" t="s">
        <v>50</v>
      </c>
      <c r="H12" s="106" t="e">
        <v>#N/A</v>
      </c>
      <c r="I12" s="107" t="e">
        <f>_xll.qlDepositRateHelper2(,H12,IF(RIGHT(C12,1)="N","1D",C12),D12,Calendar,E12,F12,G12,,Trigger)</f>
        <v>#VALUE!</v>
      </c>
      <c r="J12" s="102" t="b">
        <f t="shared" si="2"/>
        <v>0</v>
      </c>
      <c r="L12" s="24" t="str">
        <f t="shared" si="5"/>
        <v>Dp</v>
      </c>
      <c r="M12" s="24" t="e">
        <f t="shared" si="6"/>
        <v>#N/A</v>
      </c>
      <c r="N12" s="14" t="e">
        <f t="shared" si="7"/>
        <v>#VALUE!</v>
      </c>
      <c r="O12" s="14" t="b">
        <f t="shared" si="7"/>
        <v>0</v>
      </c>
      <c r="P12" s="14" t="str">
        <v>Sw</v>
      </c>
      <c r="Q12" s="14" t="str">
        <v>4M</v>
      </c>
      <c r="R12" s="14" t="str">
        <v>obj_00044#0005</v>
      </c>
      <c r="S12" s="117">
        <f>_xll.qlRateHelperRate(R12,Trigger)</f>
        <v>-7.8004742999999998E-4</v>
      </c>
      <c r="T12" s="15">
        <f>_xll.qlRateHelperEarliestDate(R12,Trigger)</f>
        <v>42201</v>
      </c>
      <c r="U12" s="15">
        <f>_xll.qlRateHelperLatestDate(R12,Trigger)</f>
        <v>42324</v>
      </c>
      <c r="V12" s="155">
        <v>1.00026399868688</v>
      </c>
    </row>
    <row r="13" spans="1:22" ht="11.25" customHeight="1" x14ac:dyDescent="0.2">
      <c r="A13" s="100" t="s">
        <v>46</v>
      </c>
      <c r="B13" s="100" t="e">
        <v>#N/A</v>
      </c>
      <c r="C13" s="101" t="e">
        <f t="shared" si="3"/>
        <v>#N/A</v>
      </c>
      <c r="D13" s="102" t="e">
        <f t="shared" si="4"/>
        <v>#N/A</v>
      </c>
      <c r="E13" s="101" t="e">
        <f t="shared" si="0"/>
        <v>#N/A</v>
      </c>
      <c r="F13" s="104" t="e">
        <f t="shared" si="1"/>
        <v>#N/A</v>
      </c>
      <c r="G13" s="105" t="s">
        <v>50</v>
      </c>
      <c r="H13" s="106" t="e">
        <v>#N/A</v>
      </c>
      <c r="I13" s="107" t="e">
        <f>_xll.qlDepositRateHelper2(,H13,IF(RIGHT(C13,1)="N","1D",C13),D13,Calendar,E13,F13,G13,,Trigger)</f>
        <v>#VALUE!</v>
      </c>
      <c r="J13" s="102" t="b">
        <f t="shared" si="2"/>
        <v>0</v>
      </c>
      <c r="L13" s="24" t="str">
        <f t="shared" si="5"/>
        <v>Dp</v>
      </c>
      <c r="M13" s="24" t="e">
        <f t="shared" si="6"/>
        <v>#N/A</v>
      </c>
      <c r="N13" s="14" t="e">
        <f t="shared" si="7"/>
        <v>#VALUE!</v>
      </c>
      <c r="O13" s="14" t="b">
        <f t="shared" si="7"/>
        <v>0</v>
      </c>
      <c r="P13" s="14" t="str">
        <v>Sw</v>
      </c>
      <c r="Q13" s="14" t="str">
        <v>5M</v>
      </c>
      <c r="R13" s="14" t="str">
        <v>obj_00063#0005</v>
      </c>
      <c r="S13" s="117">
        <f>_xll.qlRateHelperRate(R13,Trigger)</f>
        <v>-7.9006707999999999E-4</v>
      </c>
      <c r="T13" s="15">
        <f>_xll.qlRateHelperEarliestDate(R13,Trigger)</f>
        <v>42201</v>
      </c>
      <c r="U13" s="15">
        <f>_xll.qlRateHelperLatestDate(R13,Trigger)</f>
        <v>42354</v>
      </c>
      <c r="V13" s="155">
        <v>1.0003332305142747</v>
      </c>
    </row>
    <row r="14" spans="1:22" ht="11.25" customHeight="1" x14ac:dyDescent="0.2">
      <c r="A14" s="100" t="s">
        <v>46</v>
      </c>
      <c r="B14" s="100" t="e">
        <v>#N/A</v>
      </c>
      <c r="C14" s="101" t="e">
        <f t="shared" si="3"/>
        <v>#N/A</v>
      </c>
      <c r="D14" s="102" t="e">
        <f t="shared" si="4"/>
        <v>#N/A</v>
      </c>
      <c r="E14" s="101" t="e">
        <f t="shared" si="0"/>
        <v>#N/A</v>
      </c>
      <c r="F14" s="104" t="e">
        <f t="shared" si="1"/>
        <v>#N/A</v>
      </c>
      <c r="G14" s="105" t="s">
        <v>50</v>
      </c>
      <c r="H14" s="106" t="e">
        <v>#N/A</v>
      </c>
      <c r="I14" s="107" t="e">
        <f>_xll.qlDepositRateHelper2(,H14,IF(RIGHT(C14,1)="N","1D",C14),D14,Calendar,E14,F14,G14,,Trigger)</f>
        <v>#VALUE!</v>
      </c>
      <c r="J14" s="102" t="b">
        <f t="shared" si="2"/>
        <v>0</v>
      </c>
      <c r="L14" s="24" t="str">
        <f t="shared" si="5"/>
        <v>Dp</v>
      </c>
      <c r="M14" s="24" t="e">
        <f t="shared" si="6"/>
        <v>#N/A</v>
      </c>
      <c r="N14" s="14" t="e">
        <f t="shared" si="7"/>
        <v>#VALUE!</v>
      </c>
      <c r="O14" s="14" t="b">
        <f t="shared" si="7"/>
        <v>0</v>
      </c>
      <c r="P14" s="14" t="str">
        <v>Sw</v>
      </c>
      <c r="Q14" s="14" t="str">
        <v>6M</v>
      </c>
      <c r="R14" s="14" t="str">
        <v>obj_0008f#0005</v>
      </c>
      <c r="S14" s="117">
        <f>_xll.qlRateHelperRate(R14,Trigger)</f>
        <v>-8.0008735000000001E-4</v>
      </c>
      <c r="T14" s="15">
        <f>_xll.qlRateHelperEarliestDate(R14,Trigger)</f>
        <v>42201</v>
      </c>
      <c r="U14" s="15">
        <f>_xll.qlRateHelperLatestDate(R14,Trigger)</f>
        <v>42387</v>
      </c>
      <c r="V14" s="155">
        <v>1.0004085962363938</v>
      </c>
    </row>
    <row r="15" spans="1:22" ht="11.25" customHeight="1" x14ac:dyDescent="0.2">
      <c r="A15" s="100" t="s">
        <v>46</v>
      </c>
      <c r="B15" s="100" t="e">
        <v>#N/A</v>
      </c>
      <c r="C15" s="101" t="e">
        <f t="shared" si="3"/>
        <v>#N/A</v>
      </c>
      <c r="D15" s="102" t="e">
        <f t="shared" si="4"/>
        <v>#N/A</v>
      </c>
      <c r="E15" s="101" t="e">
        <f t="shared" si="0"/>
        <v>#N/A</v>
      </c>
      <c r="F15" s="104" t="e">
        <f t="shared" si="1"/>
        <v>#N/A</v>
      </c>
      <c r="G15" s="105" t="s">
        <v>50</v>
      </c>
      <c r="H15" s="106" t="e">
        <v>#N/A</v>
      </c>
      <c r="I15" s="107" t="e">
        <f>_xll.qlDepositRateHelper2(,H15,IF(RIGHT(C15,1)="N","1D",C15),D15,Calendar,E15,F15,G15,,Trigger)</f>
        <v>#VALUE!</v>
      </c>
      <c r="J15" s="102" t="b">
        <f t="shared" si="2"/>
        <v>0</v>
      </c>
      <c r="L15" s="24" t="str">
        <f t="shared" si="5"/>
        <v>Dp</v>
      </c>
      <c r="M15" s="24" t="e">
        <f t="shared" si="6"/>
        <v>#N/A</v>
      </c>
      <c r="N15" s="14" t="e">
        <f t="shared" si="7"/>
        <v>#VALUE!</v>
      </c>
      <c r="O15" s="14" t="b">
        <f t="shared" si="7"/>
        <v>0</v>
      </c>
      <c r="P15" s="14" t="str">
        <v>Sw</v>
      </c>
      <c r="Q15" s="14" t="str">
        <v>7M</v>
      </c>
      <c r="R15" s="14" t="str">
        <v>obj_00059#0005</v>
      </c>
      <c r="S15" s="117">
        <f>_xll.qlRateHelperRate(R15,Trigger)</f>
        <v>-8.2010215999999997E-4</v>
      </c>
      <c r="T15" s="15">
        <f>_xll.qlRateHelperEarliestDate(R15,Trigger)</f>
        <v>42201</v>
      </c>
      <c r="U15" s="15">
        <f>_xll.qlRateHelperLatestDate(R15,Trigger)</f>
        <v>42416</v>
      </c>
      <c r="V15" s="155">
        <v>1.00048258379467</v>
      </c>
    </row>
    <row r="16" spans="1:22" ht="11.25" customHeight="1" x14ac:dyDescent="0.2">
      <c r="A16" s="100" t="s">
        <v>46</v>
      </c>
      <c r="B16" s="100" t="e">
        <v>#N/A</v>
      </c>
      <c r="C16" s="101" t="e">
        <f t="shared" si="3"/>
        <v>#N/A</v>
      </c>
      <c r="D16" s="102" t="e">
        <f t="shared" si="4"/>
        <v>#N/A</v>
      </c>
      <c r="E16" s="101" t="e">
        <f t="shared" si="0"/>
        <v>#N/A</v>
      </c>
      <c r="F16" s="104" t="e">
        <f t="shared" si="1"/>
        <v>#N/A</v>
      </c>
      <c r="G16" s="105" t="s">
        <v>50</v>
      </c>
      <c r="H16" s="106" t="e">
        <v>#N/A</v>
      </c>
      <c r="I16" s="107" t="e">
        <f>_xll.qlDepositRateHelper2(,H16,IF(RIGHT(C16,1)="N","1D",C16),D16,Calendar,E16,F16,G16,,Trigger)</f>
        <v>#VALUE!</v>
      </c>
      <c r="J16" s="102" t="b">
        <f t="shared" si="2"/>
        <v>0</v>
      </c>
      <c r="L16" s="24" t="str">
        <f t="shared" si="5"/>
        <v>Dp</v>
      </c>
      <c r="M16" s="24" t="e">
        <f t="shared" si="6"/>
        <v>#N/A</v>
      </c>
      <c r="N16" s="14" t="e">
        <f t="shared" si="7"/>
        <v>#VALUE!</v>
      </c>
      <c r="O16" s="14" t="b">
        <f t="shared" si="7"/>
        <v>0</v>
      </c>
      <c r="P16" s="14" t="str">
        <v>Sw</v>
      </c>
      <c r="Q16" s="14" t="str">
        <v>8M</v>
      </c>
      <c r="R16" s="14" t="str">
        <v>obj_00097#0005</v>
      </c>
      <c r="S16" s="117">
        <f>_xll.qlRateHelperRate(R16,Trigger)</f>
        <v>-8.2012737000000007E-4</v>
      </c>
      <c r="T16" s="15">
        <f>_xll.qlRateHelperEarliestDate(R16,Trigger)</f>
        <v>42201</v>
      </c>
      <c r="U16" s="15">
        <f>_xll.qlRateHelperLatestDate(R16,Trigger)</f>
        <v>42445</v>
      </c>
      <c r="V16" s="155">
        <v>1.000551037933324</v>
      </c>
    </row>
    <row r="17" spans="1:22" ht="11.25" customHeight="1" x14ac:dyDescent="0.2">
      <c r="A17" s="100" t="s">
        <v>46</v>
      </c>
      <c r="B17" s="100" t="e">
        <v>#N/A</v>
      </c>
      <c r="C17" s="101" t="e">
        <f t="shared" si="3"/>
        <v>#N/A</v>
      </c>
      <c r="D17" s="102" t="e">
        <f t="shared" si="4"/>
        <v>#N/A</v>
      </c>
      <c r="E17" s="101" t="e">
        <f t="shared" si="0"/>
        <v>#N/A</v>
      </c>
      <c r="F17" s="104" t="e">
        <f t="shared" si="1"/>
        <v>#N/A</v>
      </c>
      <c r="G17" s="105" t="s">
        <v>50</v>
      </c>
      <c r="H17" s="106" t="e">
        <v>#N/A</v>
      </c>
      <c r="I17" s="107" t="e">
        <f>_xll.qlDepositRateHelper2(,H17,IF(RIGHT(C17,1)="N","1D",C17),D17,Calendar,E17,F17,G17,,Trigger)</f>
        <v>#VALUE!</v>
      </c>
      <c r="J17" s="102" t="b">
        <f t="shared" si="2"/>
        <v>0</v>
      </c>
      <c r="L17" s="24" t="str">
        <f t="shared" si="5"/>
        <v>Dp</v>
      </c>
      <c r="M17" s="24" t="e">
        <f t="shared" si="6"/>
        <v>#N/A</v>
      </c>
      <c r="N17" s="14" t="e">
        <f t="shared" si="7"/>
        <v>#VALUE!</v>
      </c>
      <c r="O17" s="14" t="b">
        <f t="shared" si="7"/>
        <v>0</v>
      </c>
      <c r="P17" s="14" t="str">
        <v>Sw</v>
      </c>
      <c r="Q17" s="14" t="str">
        <v>9M</v>
      </c>
      <c r="R17" s="14" t="str">
        <v>obj_00099#0005</v>
      </c>
      <c r="S17" s="117">
        <f>_xll.qlRateHelperRate(R17,Trigger)</f>
        <v>-8.3015013999999997E-4</v>
      </c>
      <c r="T17" s="15">
        <f>_xll.qlRateHelperEarliestDate(R17,Trigger)</f>
        <v>42201</v>
      </c>
      <c r="U17" s="15">
        <f>_xll.qlRateHelperLatestDate(R17,Trigger)</f>
        <v>42478</v>
      </c>
      <c r="V17" s="155">
        <v>1.0006316337116992</v>
      </c>
    </row>
    <row r="18" spans="1:22" ht="11.25" customHeight="1" x14ac:dyDescent="0.2">
      <c r="A18" s="4" t="s">
        <v>46</v>
      </c>
      <c r="B18" s="4" t="e">
        <v>#N/A</v>
      </c>
      <c r="C18" s="21" t="e">
        <f t="shared" si="3"/>
        <v>#N/A</v>
      </c>
      <c r="D18" s="19" t="e">
        <f t="shared" si="4"/>
        <v>#N/A</v>
      </c>
      <c r="E18" s="21" t="e">
        <f t="shared" si="0"/>
        <v>#N/A</v>
      </c>
      <c r="F18" s="22" t="e">
        <f t="shared" si="1"/>
        <v>#N/A</v>
      </c>
      <c r="G18" s="5" t="s">
        <v>50</v>
      </c>
      <c r="H18" s="6" t="e">
        <v>#N/A</v>
      </c>
      <c r="I18" s="7" t="e">
        <f>_xll.qlDepositRateHelper2(,H18,IF(RIGHT(C18,1)="N","1D",C18),D18,Calendar,E18,F18,G18,,Trigger)</f>
        <v>#VALUE!</v>
      </c>
      <c r="J18" s="19" t="b">
        <f>IF(ISERROR(I18),FALSE,TRUE)</f>
        <v>0</v>
      </c>
      <c r="L18" s="25" t="str">
        <f t="shared" si="5"/>
        <v>Dp</v>
      </c>
      <c r="M18" s="25" t="e">
        <f t="shared" si="6"/>
        <v>#N/A</v>
      </c>
      <c r="N18" s="16" t="e">
        <f t="shared" si="7"/>
        <v>#VALUE!</v>
      </c>
      <c r="O18" s="16" t="b">
        <f t="shared" si="7"/>
        <v>0</v>
      </c>
      <c r="P18" s="14" t="str">
        <v>Sw</v>
      </c>
      <c r="Q18" s="14" t="str">
        <v>10M</v>
      </c>
      <c r="R18" s="14" t="str">
        <v>obj_000a0#0005</v>
      </c>
      <c r="S18" s="117">
        <f>_xll.qlRateHelperRate(R18,Trigger)</f>
        <v>-8.3017497999999992E-4</v>
      </c>
      <c r="T18" s="15">
        <f>_xll.qlRateHelperEarliestDate(R18,Trigger)</f>
        <v>42201</v>
      </c>
      <c r="U18" s="15">
        <f>_xll.qlRateHelperLatestDate(R18,Trigger)</f>
        <v>42506</v>
      </c>
      <c r="V18" s="155">
        <v>1.0006963384054259</v>
      </c>
    </row>
    <row r="19" spans="1:22" ht="11.25" customHeight="1" x14ac:dyDescent="0.2">
      <c r="C19" s="72"/>
      <c r="D19" s="72"/>
      <c r="E19" s="72"/>
      <c r="L19" s="24" t="str">
        <f>A22</f>
        <v>Sw</v>
      </c>
      <c r="M19" s="24" t="str">
        <f>D22</f>
        <v>2M</v>
      </c>
      <c r="N19" s="24" t="str">
        <f>I22</f>
        <v>obj_00081#0005</v>
      </c>
      <c r="O19" s="24" t="b">
        <f>J22</f>
        <v>1</v>
      </c>
      <c r="P19" s="14" t="str">
        <v>Sw</v>
      </c>
      <c r="Q19" s="14" t="str">
        <v>11M</v>
      </c>
      <c r="R19" s="14" t="str">
        <v>obj_0005d#0005</v>
      </c>
      <c r="S19" s="117">
        <f>_xll.qlRateHelperRate(R19,Trigger)</f>
        <v>-8.4019276000000002E-4</v>
      </c>
      <c r="T19" s="15">
        <f>_xll.qlRateHelperEarliestDate(R19,Trigger)</f>
        <v>42201</v>
      </c>
      <c r="U19" s="15">
        <f>_xll.qlRateHelperLatestDate(R19,Trigger)</f>
        <v>42537</v>
      </c>
      <c r="V19" s="155">
        <v>1.000774851581498</v>
      </c>
    </row>
    <row r="20" spans="1:22" ht="11.25" customHeight="1" x14ac:dyDescent="0.2">
      <c r="C20" s="72"/>
      <c r="D20" s="72"/>
      <c r="E20" s="72"/>
      <c r="G20" s="91" t="s">
        <v>6</v>
      </c>
      <c r="H20" s="108" t="s">
        <v>9</v>
      </c>
      <c r="I20" s="29" t="str">
        <f>_xll.qlEuribor(,G20,,,Trigger)</f>
        <v>obj_0002d#0004</v>
      </c>
      <c r="J20" s="72"/>
      <c r="L20" s="24" t="str">
        <f t="shared" ref="L20:L82" si="8">A23</f>
        <v>Sw</v>
      </c>
      <c r="M20" s="24" t="str">
        <f t="shared" ref="M20:M82" si="9">D23</f>
        <v>3M</v>
      </c>
      <c r="N20" s="24" t="str">
        <f t="shared" ref="N20:N82" si="10">I23</f>
        <v>obj_00052#0005</v>
      </c>
      <c r="O20" s="24" t="b">
        <f t="shared" ref="O20:O82" si="11">J23</f>
        <v>1</v>
      </c>
      <c r="P20" s="14" t="str">
        <v>Sw</v>
      </c>
      <c r="Q20" s="14" t="str">
        <v>12M</v>
      </c>
      <c r="R20" s="14" t="str">
        <v>obj_00082#0005</v>
      </c>
      <c r="S20" s="117">
        <f>_xll.qlRateHelperRate(R20,Trigger)</f>
        <v>-8.3022129000000005E-4</v>
      </c>
      <c r="T20" s="15">
        <f>_xll.qlRateHelperEarliestDate(R20,Trigger)</f>
        <v>42201</v>
      </c>
      <c r="U20" s="15">
        <f>_xll.qlRateHelperLatestDate(R20,Trigger)</f>
        <v>42569</v>
      </c>
      <c r="V20" s="155">
        <v>1.0008396574812874</v>
      </c>
    </row>
    <row r="21" spans="1:22" ht="11.25" customHeight="1" x14ac:dyDescent="0.2">
      <c r="A21" s="108" t="s">
        <v>18</v>
      </c>
      <c r="B21" s="108"/>
      <c r="C21" s="108" t="s">
        <v>11</v>
      </c>
      <c r="D21" s="108" t="s">
        <v>1</v>
      </c>
      <c r="E21" s="108" t="s">
        <v>13</v>
      </c>
      <c r="F21" s="108" t="s">
        <v>12</v>
      </c>
      <c r="G21" s="108" t="s">
        <v>4</v>
      </c>
      <c r="H21" s="108" t="s">
        <v>5</v>
      </c>
      <c r="I21" s="108" t="s">
        <v>43</v>
      </c>
      <c r="J21" s="108" t="s">
        <v>47</v>
      </c>
      <c r="L21" s="24" t="str">
        <f t="shared" si="8"/>
        <v>Sw</v>
      </c>
      <c r="M21" s="24" t="str">
        <f t="shared" si="9"/>
        <v>4M</v>
      </c>
      <c r="N21" s="24" t="str">
        <f t="shared" si="10"/>
        <v>obj_00044#0005</v>
      </c>
      <c r="O21" s="24" t="b">
        <f t="shared" si="11"/>
        <v>1</v>
      </c>
      <c r="P21" s="14" t="str">
        <v>Sw</v>
      </c>
      <c r="Q21" s="14" t="str">
        <v>1Y3M</v>
      </c>
      <c r="R21" s="14" t="str">
        <v>obj_00084#0005</v>
      </c>
      <c r="S21" s="117">
        <f>_xll.qlRateHelperRate(R21,Trigger)</f>
        <v>-8.0213453000000008E-4</v>
      </c>
      <c r="T21" s="15">
        <f>_xll.qlRateHelperEarliestDate(R21,Trigger)</f>
        <v>42201</v>
      </c>
      <c r="U21" s="15">
        <f>_xll.qlRateHelperLatestDate(R21,Trigger)</f>
        <v>42660</v>
      </c>
      <c r="V21" s="155">
        <v>1.0010098881561371</v>
      </c>
    </row>
    <row r="22" spans="1:22" ht="11.25" customHeight="1" x14ac:dyDescent="0.2">
      <c r="A22" s="99" t="s">
        <v>45</v>
      </c>
      <c r="B22" s="134"/>
      <c r="C22" s="134" t="s">
        <v>14</v>
      </c>
      <c r="D22" s="135" t="str">
        <f t="array" ref="D22:D85">_xll.ohFilter(PastedValue!AI2:AI82,PastedValue!AE2:AE82="Sw")</f>
        <v>2M</v>
      </c>
      <c r="E22" s="123" t="s">
        <v>15</v>
      </c>
      <c r="F22" s="134" t="s">
        <v>16</v>
      </c>
      <c r="G22" s="123" t="s">
        <v>17</v>
      </c>
      <c r="H22" s="136">
        <f t="array" ref="H22:H85">_xll.ohFilter(PastedValue!AL2:AL82,PastedValue!AE2:AE82="Sw")/100</f>
        <v>-7.3001559999999997E-4</v>
      </c>
      <c r="I22" s="97" t="str">
        <f>_xll.qlSwapRateHelper2(,$H22,,$D22,Calendar,$F22,$E22,$G22,$I$20,0,C22,Discounting,Permanent,Trigger,ObjectOverwrite)</f>
        <v>obj_00081#0005</v>
      </c>
      <c r="J22" s="126" t="b">
        <f t="shared" ref="J22:J66" si="12">IF(ISERROR(I22),FALSE,TRUE)</f>
        <v>1</v>
      </c>
      <c r="L22" s="24" t="str">
        <f t="shared" si="8"/>
        <v>Sw</v>
      </c>
      <c r="M22" s="24" t="str">
        <f t="shared" si="9"/>
        <v>5M</v>
      </c>
      <c r="N22" s="24" t="str">
        <f t="shared" si="10"/>
        <v>obj_00063#0005</v>
      </c>
      <c r="O22" s="24" t="b">
        <f t="shared" si="11"/>
        <v>1</v>
      </c>
      <c r="P22" s="14" t="str">
        <v>Sw</v>
      </c>
      <c r="Q22" s="14" t="str">
        <v>1Y6M</v>
      </c>
      <c r="R22" s="14" t="str">
        <v>obj_00096#0005</v>
      </c>
      <c r="S22" s="117">
        <f>_xll.qlRateHelperRate(R22,Trigger)</f>
        <v>-7.4747452000000002E-4</v>
      </c>
      <c r="T22" s="15">
        <f>_xll.qlRateHelperEarliestDate(R22,Trigger)</f>
        <v>42201</v>
      </c>
      <c r="U22" s="15">
        <f>_xll.qlRateHelperLatestDate(R22,Trigger)</f>
        <v>42751</v>
      </c>
      <c r="V22" s="155">
        <v>1.0011263926084728</v>
      </c>
    </row>
    <row r="23" spans="1:22" ht="11.25" customHeight="1" x14ac:dyDescent="0.2">
      <c r="A23" s="107" t="s">
        <v>45</v>
      </c>
      <c r="B23" s="137"/>
      <c r="C23" s="137" t="s">
        <v>14</v>
      </c>
      <c r="D23" s="138" t="str">
        <v>3M</v>
      </c>
      <c r="E23" s="130" t="s">
        <v>15</v>
      </c>
      <c r="F23" s="137" t="s">
        <v>16</v>
      </c>
      <c r="G23" s="130" t="s">
        <v>17</v>
      </c>
      <c r="H23" s="139">
        <v>-7.6003116E-4</v>
      </c>
      <c r="I23" s="105" t="str">
        <f>_xll.qlSwapRateHelper2(,$H23,,$D23,Calendar,$F23,$E23,$G23,$I$20,0,C23,Discounting,Permanent,Trigger,ObjectOverwrite)</f>
        <v>obj_00052#0005</v>
      </c>
      <c r="J23" s="133" t="b">
        <f t="shared" si="12"/>
        <v>1</v>
      </c>
      <c r="L23" s="24" t="str">
        <f t="shared" si="8"/>
        <v>Sw</v>
      </c>
      <c r="M23" s="24" t="str">
        <f t="shared" si="9"/>
        <v>6M</v>
      </c>
      <c r="N23" s="24" t="str">
        <f t="shared" si="10"/>
        <v>obj_0008f#0005</v>
      </c>
      <c r="O23" s="24" t="b">
        <f t="shared" si="11"/>
        <v>1</v>
      </c>
      <c r="P23" s="14" t="str">
        <v>Sw</v>
      </c>
      <c r="Q23" s="14" t="str">
        <v>1Y9M</v>
      </c>
      <c r="R23" s="14" t="str">
        <v>obj_00035#0005</v>
      </c>
      <c r="S23" s="117">
        <f>_xll.qlRateHelperRate(R23,Trigger)</f>
        <v>-6.6324715000000011E-4</v>
      </c>
      <c r="T23" s="15">
        <f>_xll.qlRateHelperEarliestDate(R23,Trigger)</f>
        <v>42201</v>
      </c>
      <c r="U23" s="15">
        <f>_xll.qlRateHelperLatestDate(R23,Trigger)</f>
        <v>42843</v>
      </c>
      <c r="V23" s="155">
        <v>1.0011697082499877</v>
      </c>
    </row>
    <row r="24" spans="1:22" ht="11.25" customHeight="1" x14ac:dyDescent="0.2">
      <c r="A24" s="107" t="s">
        <v>45</v>
      </c>
      <c r="B24" s="137"/>
      <c r="C24" s="137" t="s">
        <v>14</v>
      </c>
      <c r="D24" s="138" t="str">
        <v>4M</v>
      </c>
      <c r="E24" s="130" t="s">
        <v>15</v>
      </c>
      <c r="F24" s="137" t="s">
        <v>16</v>
      </c>
      <c r="G24" s="130" t="s">
        <v>17</v>
      </c>
      <c r="H24" s="139">
        <v>-7.8004742999999998E-4</v>
      </c>
      <c r="I24" s="105" t="str">
        <f>_xll.qlSwapRateHelper2(,$H24,,$D24,Calendar,$F24,$E24,$G24,$I$20,0,C24,Discounting,Permanent,Trigger,ObjectOverwrite)</f>
        <v>obj_00044#0005</v>
      </c>
      <c r="J24" s="133" t="b">
        <f t="shared" si="12"/>
        <v>1</v>
      </c>
      <c r="L24" s="24" t="str">
        <f t="shared" si="8"/>
        <v>Sw</v>
      </c>
      <c r="M24" s="24" t="str">
        <f t="shared" si="9"/>
        <v>7M</v>
      </c>
      <c r="N24" s="24" t="str">
        <f t="shared" si="10"/>
        <v>obj_00059#0005</v>
      </c>
      <c r="O24" s="24" t="b">
        <f t="shared" si="11"/>
        <v>1</v>
      </c>
      <c r="P24" s="14" t="str">
        <v>Sw</v>
      </c>
      <c r="Q24" s="14" t="str">
        <v>2Y</v>
      </c>
      <c r="R24" s="14" t="str">
        <v>obj_0008a#0005</v>
      </c>
      <c r="S24" s="117">
        <f>_xll.qlRateHelperRate(R24,Trigger)</f>
        <v>-5.5000000000000003E-4</v>
      </c>
      <c r="T24" s="15">
        <f>_xll.qlRateHelperEarliestDate(R24,Trigger)</f>
        <v>42201</v>
      </c>
      <c r="U24" s="15">
        <f>_xll.qlRateHelperLatestDate(R24,Trigger)</f>
        <v>42933</v>
      </c>
      <c r="V24" s="155">
        <v>1.0011069648927493</v>
      </c>
    </row>
    <row r="25" spans="1:22" ht="11.25" customHeight="1" x14ac:dyDescent="0.2">
      <c r="A25" s="107" t="s">
        <v>45</v>
      </c>
      <c r="B25" s="137"/>
      <c r="C25" s="137" t="s">
        <v>14</v>
      </c>
      <c r="D25" s="138" t="str">
        <v>5M</v>
      </c>
      <c r="E25" s="130" t="s">
        <v>15</v>
      </c>
      <c r="F25" s="137" t="s">
        <v>16</v>
      </c>
      <c r="G25" s="130" t="s">
        <v>17</v>
      </c>
      <c r="H25" s="139">
        <v>-7.9006707999999999E-4</v>
      </c>
      <c r="I25" s="105" t="str">
        <f>_xll.qlSwapRateHelper2(,$H25,,$D25,Calendar,$F25,$E25,$G25,$I$20,0,C25,Discounting,Permanent,Trigger,ObjectOverwrite)</f>
        <v>obj_00063#0005</v>
      </c>
      <c r="J25" s="133" t="b">
        <f t="shared" si="12"/>
        <v>1</v>
      </c>
      <c r="L25" s="24" t="str">
        <f t="shared" si="8"/>
        <v>Sw</v>
      </c>
      <c r="M25" s="24" t="str">
        <f t="shared" si="9"/>
        <v>8M</v>
      </c>
      <c r="N25" s="24" t="str">
        <f t="shared" si="10"/>
        <v>obj_00097#0005</v>
      </c>
      <c r="O25" s="24" t="b">
        <f t="shared" si="11"/>
        <v>1</v>
      </c>
      <c r="P25" s="14" t="str">
        <v>Sw</v>
      </c>
      <c r="Q25" s="14" t="str">
        <v>2Y3M</v>
      </c>
      <c r="R25" s="14" t="str">
        <v>obj_00071#0005</v>
      </c>
      <c r="S25" s="117">
        <f>_xll.qlRateHelperRate(R25,Trigger)</f>
        <v>-4.0072223999999997E-4</v>
      </c>
      <c r="T25" s="15">
        <f>_xll.qlRateHelperEarliestDate(R25,Trigger)</f>
        <v>42201</v>
      </c>
      <c r="U25" s="15">
        <f>_xll.qlRateHelperLatestDate(R25,Trigger)</f>
        <v>43024</v>
      </c>
      <c r="V25" s="155">
        <v>1.0009068585265177</v>
      </c>
    </row>
    <row r="26" spans="1:22" ht="11.25" customHeight="1" x14ac:dyDescent="0.2">
      <c r="A26" s="107" t="s">
        <v>45</v>
      </c>
      <c r="B26" s="137"/>
      <c r="C26" s="137" t="s">
        <v>14</v>
      </c>
      <c r="D26" s="138" t="str">
        <v>6M</v>
      </c>
      <c r="E26" s="130" t="s">
        <v>15</v>
      </c>
      <c r="F26" s="137" t="s">
        <v>16</v>
      </c>
      <c r="G26" s="130" t="s">
        <v>17</v>
      </c>
      <c r="H26" s="139">
        <v>-8.0008735000000001E-4</v>
      </c>
      <c r="I26" s="105" t="str">
        <f>_xll.qlSwapRateHelper2(,$H26,,$D26,Calendar,$F26,$E26,$G26,$I$20,0,C26,Discounting,Permanent,Trigger,ObjectOverwrite)</f>
        <v>obj_0008f#0005</v>
      </c>
      <c r="J26" s="133" t="b">
        <f t="shared" si="12"/>
        <v>1</v>
      </c>
      <c r="L26" s="24" t="str">
        <f t="shared" si="8"/>
        <v>Sw</v>
      </c>
      <c r="M26" s="24" t="str">
        <f t="shared" si="9"/>
        <v>9M</v>
      </c>
      <c r="N26" s="24" t="str">
        <f t="shared" si="10"/>
        <v>obj_00099#0005</v>
      </c>
      <c r="O26" s="24" t="b">
        <f t="shared" si="11"/>
        <v>1</v>
      </c>
      <c r="P26" s="14" t="str">
        <v>Sw</v>
      </c>
      <c r="Q26" s="14" t="str">
        <v>2Y6M</v>
      </c>
      <c r="R26" s="14" t="str">
        <v>obj_000a8#0005</v>
      </c>
      <c r="S26" s="117">
        <f>_xll.qlRateHelperRate(R26,Trigger)</f>
        <v>-2.1436763000000001E-4</v>
      </c>
      <c r="T26" s="15">
        <f>_xll.qlRateHelperEarliestDate(R26,Trigger)</f>
        <v>42201</v>
      </c>
      <c r="U26" s="15">
        <f>_xll.qlRateHelperLatestDate(R26,Trigger)</f>
        <v>43116</v>
      </c>
      <c r="V26" s="155">
        <v>1.000540907914008</v>
      </c>
    </row>
    <row r="27" spans="1:22" ht="11.25" customHeight="1" x14ac:dyDescent="0.2">
      <c r="A27" s="107" t="s">
        <v>45</v>
      </c>
      <c r="B27" s="137"/>
      <c r="C27" s="137" t="s">
        <v>14</v>
      </c>
      <c r="D27" s="138" t="str">
        <v>7M</v>
      </c>
      <c r="E27" s="130" t="s">
        <v>15</v>
      </c>
      <c r="F27" s="137" t="s">
        <v>16</v>
      </c>
      <c r="G27" s="130" t="s">
        <v>17</v>
      </c>
      <c r="H27" s="139">
        <v>-8.2010215999999997E-4</v>
      </c>
      <c r="I27" s="105" t="str">
        <f>_xll.qlSwapRateHelper2(,$H27,,$D27,Calendar,$F27,$E27,$G27,$I$20,0,C27,Discounting,Permanent,Trigger,ObjectOverwrite)</f>
        <v>obj_00059#0005</v>
      </c>
      <c r="J27" s="133" t="b">
        <f t="shared" si="12"/>
        <v>1</v>
      </c>
      <c r="L27" s="24" t="str">
        <f t="shared" si="8"/>
        <v>Sw</v>
      </c>
      <c r="M27" s="24" t="str">
        <f t="shared" si="9"/>
        <v>10M</v>
      </c>
      <c r="N27" s="24" t="str">
        <f t="shared" si="10"/>
        <v>obj_000a0#0005</v>
      </c>
      <c r="O27" s="24" t="b">
        <f t="shared" si="11"/>
        <v>1</v>
      </c>
      <c r="P27" s="14" t="str">
        <v>Sw</v>
      </c>
      <c r="Q27" s="14" t="str">
        <v>2Y9M</v>
      </c>
      <c r="R27" s="14" t="str">
        <v>obj_00058#0005</v>
      </c>
      <c r="S27" s="117">
        <f>_xll.qlRateHelperRate(R27,Trigger)</f>
        <v>8.9942000000000004E-7</v>
      </c>
      <c r="T27" s="15">
        <f>_xll.qlRateHelperEarliestDate(R27,Trigger)</f>
        <v>42201</v>
      </c>
      <c r="U27" s="15">
        <f>_xll.qlRateHelperLatestDate(R27,Trigger)</f>
        <v>43206</v>
      </c>
      <c r="V27" s="155">
        <v>1.0000023202317729</v>
      </c>
    </row>
    <row r="28" spans="1:22" ht="11.25" customHeight="1" x14ac:dyDescent="0.2">
      <c r="A28" s="107" t="s">
        <v>45</v>
      </c>
      <c r="B28" s="137"/>
      <c r="C28" s="137" t="s">
        <v>14</v>
      </c>
      <c r="D28" s="138" t="str">
        <v>8M</v>
      </c>
      <c r="E28" s="130" t="s">
        <v>15</v>
      </c>
      <c r="F28" s="137" t="s">
        <v>16</v>
      </c>
      <c r="G28" s="130" t="s">
        <v>17</v>
      </c>
      <c r="H28" s="139">
        <v>-8.2012737000000007E-4</v>
      </c>
      <c r="I28" s="105" t="str">
        <f>_xll.qlSwapRateHelper2(,$H28,,$D28,Calendar,$F28,$E28,$G28,$I$20,0,C28,Discounting,Permanent,Trigger,ObjectOverwrite)</f>
        <v>obj_00097#0005</v>
      </c>
      <c r="J28" s="133" t="b">
        <f t="shared" si="12"/>
        <v>1</v>
      </c>
      <c r="L28" s="24" t="str">
        <f t="shared" si="8"/>
        <v>Sw</v>
      </c>
      <c r="M28" s="24" t="str">
        <f t="shared" si="9"/>
        <v>11M</v>
      </c>
      <c r="N28" s="24" t="str">
        <f t="shared" si="10"/>
        <v>obj_0005d#0005</v>
      </c>
      <c r="O28" s="24" t="b">
        <f t="shared" si="11"/>
        <v>1</v>
      </c>
      <c r="P28" s="14" t="str">
        <v>Sw</v>
      </c>
      <c r="Q28" s="14" t="str">
        <v>3Y</v>
      </c>
      <c r="R28" s="14" t="str">
        <v>obj_0009b#0005</v>
      </c>
      <c r="S28" s="117">
        <f>_xll.qlRateHelperRate(R28,Trigger)</f>
        <v>2.3000000000000001E-4</v>
      </c>
      <c r="T28" s="15">
        <f>_xll.qlRateHelperEarliestDate(R28,Trigger)</f>
        <v>42201</v>
      </c>
      <c r="U28" s="15">
        <f>_xll.qlRateHelperLatestDate(R28,Trigger)</f>
        <v>43297</v>
      </c>
      <c r="V28" s="155">
        <v>0.9993147576954734</v>
      </c>
    </row>
    <row r="29" spans="1:22" ht="11.25" customHeight="1" x14ac:dyDescent="0.2">
      <c r="A29" s="107" t="s">
        <v>45</v>
      </c>
      <c r="B29" s="137"/>
      <c r="C29" s="137" t="s">
        <v>14</v>
      </c>
      <c r="D29" s="138" t="str">
        <v>9M</v>
      </c>
      <c r="E29" s="130" t="s">
        <v>15</v>
      </c>
      <c r="F29" s="137" t="s">
        <v>16</v>
      </c>
      <c r="G29" s="130" t="s">
        <v>17</v>
      </c>
      <c r="H29" s="139">
        <v>-8.3015013999999997E-4</v>
      </c>
      <c r="I29" s="105" t="str">
        <f>_xll.qlSwapRateHelper2(,$H29,,$D29,Calendar,$F29,$E29,$G29,$I$20,0,C29,Discounting,Permanent,Trigger,ObjectOverwrite)</f>
        <v>obj_00099#0005</v>
      </c>
      <c r="J29" s="133" t="b">
        <f t="shared" si="12"/>
        <v>1</v>
      </c>
      <c r="L29" s="24" t="str">
        <f t="shared" si="8"/>
        <v>Sw</v>
      </c>
      <c r="M29" s="24" t="str">
        <f t="shared" si="9"/>
        <v>12M</v>
      </c>
      <c r="N29" s="24" t="str">
        <f t="shared" si="10"/>
        <v>obj_00082#0005</v>
      </c>
      <c r="O29" s="24" t="b">
        <f t="shared" si="11"/>
        <v>1</v>
      </c>
      <c r="P29" s="14" t="str">
        <v>Sw</v>
      </c>
      <c r="Q29" s="14" t="str">
        <v>4Y</v>
      </c>
      <c r="R29" s="14" t="str">
        <v>obj_000a5#0005</v>
      </c>
      <c r="S29" s="117">
        <f>_xll.qlRateHelperRate(R29,Trigger)</f>
        <v>1.5199999999999999E-3</v>
      </c>
      <c r="T29" s="15">
        <f>_xll.qlRateHelperEarliestDate(R29,Trigger)</f>
        <v>42201</v>
      </c>
      <c r="U29" s="15">
        <f>_xll.qlRateHelperLatestDate(R29,Trigger)</f>
        <v>43662</v>
      </c>
      <c r="V29" s="155">
        <v>0.99393537293749279</v>
      </c>
    </row>
    <row r="30" spans="1:22" ht="11.25" customHeight="1" x14ac:dyDescent="0.2">
      <c r="A30" s="107" t="s">
        <v>45</v>
      </c>
      <c r="B30" s="137"/>
      <c r="C30" s="137" t="s">
        <v>14</v>
      </c>
      <c r="D30" s="138" t="str">
        <v>10M</v>
      </c>
      <c r="E30" s="130" t="s">
        <v>15</v>
      </c>
      <c r="F30" s="137" t="s">
        <v>16</v>
      </c>
      <c r="G30" s="130" t="s">
        <v>17</v>
      </c>
      <c r="H30" s="139">
        <v>-8.3017497999999992E-4</v>
      </c>
      <c r="I30" s="105" t="str">
        <f>_xll.qlSwapRateHelper2(,$H30,,$D30,Calendar,$F30,$E30,$G30,$I$20,0,C30,Discounting,Permanent,Trigger,ObjectOverwrite)</f>
        <v>obj_000a0#0005</v>
      </c>
      <c r="J30" s="133" t="b">
        <f t="shared" si="12"/>
        <v>1</v>
      </c>
      <c r="L30" s="24" t="str">
        <f t="shared" si="8"/>
        <v>Sw</v>
      </c>
      <c r="M30" s="24" t="str">
        <f t="shared" si="9"/>
        <v>1Y3M</v>
      </c>
      <c r="N30" s="24" t="str">
        <f t="shared" si="10"/>
        <v>obj_00084#0005</v>
      </c>
      <c r="O30" s="24" t="b">
        <f t="shared" si="11"/>
        <v>1</v>
      </c>
      <c r="P30" s="14" t="str">
        <v>Sw</v>
      </c>
      <c r="Q30" s="14" t="str">
        <v>5Y</v>
      </c>
      <c r="R30" s="14" t="str">
        <v>obj_00085#0005</v>
      </c>
      <c r="S30" s="117">
        <f>_xll.qlRateHelperRate(R30,Trigger)</f>
        <v>3.0699999999999998E-3</v>
      </c>
      <c r="T30" s="15">
        <f>_xll.qlRateHelperEarliestDate(R30,Trigger)</f>
        <v>42201</v>
      </c>
      <c r="U30" s="15">
        <f>_xll.qlRateHelperLatestDate(R30,Trigger)</f>
        <v>44028</v>
      </c>
      <c r="V30" s="155">
        <v>0.98472567136779887</v>
      </c>
    </row>
    <row r="31" spans="1:22" ht="11.25" customHeight="1" x14ac:dyDescent="0.2">
      <c r="A31" s="107" t="s">
        <v>45</v>
      </c>
      <c r="B31" s="137"/>
      <c r="C31" s="137" t="s">
        <v>14</v>
      </c>
      <c r="D31" s="138" t="str">
        <v>11M</v>
      </c>
      <c r="E31" s="130" t="s">
        <v>15</v>
      </c>
      <c r="F31" s="137" t="s">
        <v>16</v>
      </c>
      <c r="G31" s="130" t="s">
        <v>17</v>
      </c>
      <c r="H31" s="139">
        <v>-8.4019276000000002E-4</v>
      </c>
      <c r="I31" s="105" t="str">
        <f>_xll.qlSwapRateHelper2(,$H31,,$D31,Calendar,$F31,$E31,$G31,$I$20,0,C31,Discounting,Permanent,Trigger,ObjectOverwrite)</f>
        <v>obj_0005d#0005</v>
      </c>
      <c r="J31" s="133" t="b">
        <f t="shared" si="12"/>
        <v>1</v>
      </c>
      <c r="L31" s="24" t="str">
        <f t="shared" si="8"/>
        <v>Sw</v>
      </c>
      <c r="M31" s="24" t="str">
        <f t="shared" si="9"/>
        <v>1Y6M</v>
      </c>
      <c r="N31" s="24" t="str">
        <f t="shared" si="10"/>
        <v>obj_00096#0005</v>
      </c>
      <c r="O31" s="24" t="b">
        <f t="shared" si="11"/>
        <v>1</v>
      </c>
      <c r="P31" s="14" t="str">
        <v>Sw</v>
      </c>
      <c r="Q31" s="14" t="str">
        <v>6Y</v>
      </c>
      <c r="R31" s="14" t="str">
        <v>obj_00070#0005</v>
      </c>
      <c r="S31" s="117">
        <f>_xll.qlRateHelperRate(R31,Trigger)</f>
        <v>4.6600000000000001E-3</v>
      </c>
      <c r="T31" s="15">
        <f>_xll.qlRateHelperEarliestDate(R31,Trigger)</f>
        <v>42201</v>
      </c>
      <c r="U31" s="15">
        <f>_xll.qlRateHelperLatestDate(R31,Trigger)</f>
        <v>44393</v>
      </c>
      <c r="V31" s="155">
        <v>0.97228561163668514</v>
      </c>
    </row>
    <row r="32" spans="1:22" ht="11.25" customHeight="1" x14ac:dyDescent="0.2">
      <c r="A32" s="107" t="s">
        <v>45</v>
      </c>
      <c r="B32" s="137"/>
      <c r="C32" s="137" t="s">
        <v>14</v>
      </c>
      <c r="D32" s="138" t="str">
        <v>12M</v>
      </c>
      <c r="E32" s="130" t="s">
        <v>15</v>
      </c>
      <c r="F32" s="137" t="s">
        <v>16</v>
      </c>
      <c r="G32" s="130" t="s">
        <v>17</v>
      </c>
      <c r="H32" s="139">
        <v>-8.3022129000000005E-4</v>
      </c>
      <c r="I32" s="105" t="str">
        <f>_xll.qlSwapRateHelper2(,$H32,,$D32,Calendar,$F32,$E32,$G32,$I$20,0,C32,Discounting,Permanent,Trigger,ObjectOverwrite)</f>
        <v>obj_00082#0005</v>
      </c>
      <c r="J32" s="133" t="b">
        <f t="shared" si="12"/>
        <v>1</v>
      </c>
      <c r="L32" s="24" t="str">
        <f t="shared" si="8"/>
        <v>Sw</v>
      </c>
      <c r="M32" s="24" t="str">
        <f t="shared" si="9"/>
        <v>1Y9M</v>
      </c>
      <c r="N32" s="24" t="str">
        <f t="shared" si="10"/>
        <v>obj_00035#0005</v>
      </c>
      <c r="O32" s="24" t="b">
        <f t="shared" si="11"/>
        <v>1</v>
      </c>
      <c r="P32" s="14" t="str">
        <v>Sw</v>
      </c>
      <c r="Q32" s="14" t="str">
        <v>7Y</v>
      </c>
      <c r="R32" s="14" t="str">
        <v>obj_0005e#0005</v>
      </c>
      <c r="S32" s="117">
        <f>_xll.qlRateHelperRate(R32,Trigger)</f>
        <v>6.2599999999999999E-3</v>
      </c>
      <c r="T32" s="15">
        <f>_xll.qlRateHelperEarliestDate(R32,Trigger)</f>
        <v>42201</v>
      </c>
      <c r="U32" s="15">
        <f>_xll.qlRateHelperLatestDate(R32,Trigger)</f>
        <v>44760</v>
      </c>
      <c r="V32" s="155">
        <v>0.95675216912574756</v>
      </c>
    </row>
    <row r="33" spans="1:22" ht="11.25" customHeight="1" x14ac:dyDescent="0.2">
      <c r="A33" s="107" t="s">
        <v>45</v>
      </c>
      <c r="B33" s="137"/>
      <c r="C33" s="137" t="s">
        <v>14</v>
      </c>
      <c r="D33" s="138" t="str">
        <v>1Y3M</v>
      </c>
      <c r="E33" s="130" t="s">
        <v>15</v>
      </c>
      <c r="F33" s="137" t="s">
        <v>16</v>
      </c>
      <c r="G33" s="130" t="s">
        <v>17</v>
      </c>
      <c r="H33" s="139">
        <v>-8.0213453000000008E-4</v>
      </c>
      <c r="I33" s="105" t="str">
        <f>_xll.qlSwapRateHelper2(,$H33,,$D33,Calendar,$F33,$E33,$G33,$I$20,0,C33,Discounting,Permanent,Trigger,ObjectOverwrite)</f>
        <v>obj_00084#0005</v>
      </c>
      <c r="J33" s="133" t="b">
        <f t="shared" si="12"/>
        <v>1</v>
      </c>
      <c r="L33" s="24" t="str">
        <f t="shared" si="8"/>
        <v>Sw</v>
      </c>
      <c r="M33" s="24" t="str">
        <f t="shared" si="9"/>
        <v>2Y</v>
      </c>
      <c r="N33" s="24" t="str">
        <f t="shared" si="10"/>
        <v>obj_0008a#0005</v>
      </c>
      <c r="O33" s="24" t="b">
        <f t="shared" si="11"/>
        <v>1</v>
      </c>
      <c r="P33" s="14" t="str">
        <v>Sw</v>
      </c>
      <c r="Q33" s="14" t="str">
        <v>8Y</v>
      </c>
      <c r="R33" s="14" t="str">
        <v>obj_00030#0005</v>
      </c>
      <c r="S33" s="117">
        <f>_xll.qlRateHelperRate(R33,Trigger)</f>
        <v>7.7400000000000004E-3</v>
      </c>
      <c r="T33" s="15">
        <f>_xll.qlRateHelperEarliestDate(R33,Trigger)</f>
        <v>42201</v>
      </c>
      <c r="U33" s="15">
        <f>_xll.qlRateHelperLatestDate(R33,Trigger)</f>
        <v>45124</v>
      </c>
      <c r="V33" s="155">
        <v>0.93928675361558167</v>
      </c>
    </row>
    <row r="34" spans="1:22" ht="11.25" customHeight="1" x14ac:dyDescent="0.2">
      <c r="A34" s="107" t="s">
        <v>45</v>
      </c>
      <c r="B34" s="137"/>
      <c r="C34" s="137" t="s">
        <v>14</v>
      </c>
      <c r="D34" s="138" t="str">
        <v>1Y6M</v>
      </c>
      <c r="E34" s="130" t="s">
        <v>15</v>
      </c>
      <c r="F34" s="137" t="s">
        <v>16</v>
      </c>
      <c r="G34" s="130" t="s">
        <v>17</v>
      </c>
      <c r="H34" s="139">
        <v>-7.4747452000000002E-4</v>
      </c>
      <c r="I34" s="105" t="str">
        <f>_xll.qlSwapRateHelper2(,$H34,,$D34,Calendar,$F34,$E34,$G34,$I$20,0,C34,Discounting,Permanent,Trigger,ObjectOverwrite)</f>
        <v>obj_00096#0005</v>
      </c>
      <c r="J34" s="133" t="b">
        <f t="shared" si="12"/>
        <v>1</v>
      </c>
      <c r="L34" s="24" t="str">
        <f t="shared" si="8"/>
        <v>Sw</v>
      </c>
      <c r="M34" s="24" t="str">
        <f t="shared" si="9"/>
        <v>2Y3M</v>
      </c>
      <c r="N34" s="24" t="str">
        <f t="shared" si="10"/>
        <v>obj_00071#0005</v>
      </c>
      <c r="O34" s="24" t="b">
        <f t="shared" si="11"/>
        <v>1</v>
      </c>
      <c r="P34" s="14" t="str">
        <v>Sw</v>
      </c>
      <c r="Q34" s="14" t="str">
        <v>9Y</v>
      </c>
      <c r="R34" s="14" t="str">
        <v>obj_0004b#0005</v>
      </c>
      <c r="S34" s="117">
        <f>_xll.qlRateHelperRate(R34,Trigger)</f>
        <v>9.0699999999999999E-3</v>
      </c>
      <c r="T34" s="15">
        <f>_xll.qlRateHelperEarliestDate(R34,Trigger)</f>
        <v>42201</v>
      </c>
      <c r="U34" s="15">
        <f>_xll.qlRateHelperLatestDate(R34,Trigger)</f>
        <v>45489</v>
      </c>
      <c r="V34" s="155">
        <v>0.92053898801212442</v>
      </c>
    </row>
    <row r="35" spans="1:22" ht="11.25" customHeight="1" x14ac:dyDescent="0.2">
      <c r="A35" s="107" t="s">
        <v>45</v>
      </c>
      <c r="B35" s="137"/>
      <c r="C35" s="137" t="s">
        <v>14</v>
      </c>
      <c r="D35" s="138" t="str">
        <v>1Y9M</v>
      </c>
      <c r="E35" s="130" t="s">
        <v>15</v>
      </c>
      <c r="F35" s="137" t="s">
        <v>16</v>
      </c>
      <c r="G35" s="130" t="s">
        <v>17</v>
      </c>
      <c r="H35" s="139">
        <v>-6.6324715000000011E-4</v>
      </c>
      <c r="I35" s="105" t="str">
        <f>_xll.qlSwapRateHelper2(,$H35,,$D35,Calendar,$F35,$E35,$G35,$I$20,0,C35,Discounting,Permanent,Trigger,ObjectOverwrite)</f>
        <v>obj_00035#0005</v>
      </c>
      <c r="J35" s="133" t="b">
        <f t="shared" si="12"/>
        <v>1</v>
      </c>
      <c r="L35" s="24" t="str">
        <f t="shared" si="8"/>
        <v>Sw</v>
      </c>
      <c r="M35" s="24" t="str">
        <f t="shared" si="9"/>
        <v>2Y6M</v>
      </c>
      <c r="N35" s="24" t="str">
        <f t="shared" si="10"/>
        <v>obj_000a8#0005</v>
      </c>
      <c r="O35" s="24" t="b">
        <f t="shared" si="11"/>
        <v>1</v>
      </c>
      <c r="P35" s="14" t="str">
        <v>Sw</v>
      </c>
      <c r="Q35" s="14" t="str">
        <v>10Y</v>
      </c>
      <c r="R35" s="14" t="str">
        <v>obj_0003a#0005</v>
      </c>
      <c r="S35" s="117">
        <f>_xll.qlRateHelperRate(R35,Trigger)</f>
        <v>1.0249999999999999E-2</v>
      </c>
      <c r="T35" s="15">
        <f>_xll.qlRateHelperEarliestDate(R35,Trigger)</f>
        <v>42201</v>
      </c>
      <c r="U35" s="15">
        <f>_xll.qlRateHelperLatestDate(R35,Trigger)</f>
        <v>45854</v>
      </c>
      <c r="V35" s="155">
        <v>0.90097786548713354</v>
      </c>
    </row>
    <row r="36" spans="1:22" ht="11.25" customHeight="1" x14ac:dyDescent="0.2">
      <c r="A36" s="107" t="s">
        <v>45</v>
      </c>
      <c r="B36" s="137"/>
      <c r="C36" s="137" t="s">
        <v>14</v>
      </c>
      <c r="D36" s="138" t="str">
        <v>2Y</v>
      </c>
      <c r="E36" s="130" t="s">
        <v>15</v>
      </c>
      <c r="F36" s="137" t="s">
        <v>16</v>
      </c>
      <c r="G36" s="130" t="s">
        <v>17</v>
      </c>
      <c r="H36" s="139">
        <v>-5.5000000000000003E-4</v>
      </c>
      <c r="I36" s="105" t="str">
        <f>_xll.qlSwapRateHelper2(,$H36,,$D36,Calendar,$F36,$E36,$G36,$I$20,0,C36,Discounting,Permanent,Trigger,ObjectOverwrite)</f>
        <v>obj_0008a#0005</v>
      </c>
      <c r="J36" s="133" t="b">
        <f t="shared" si="12"/>
        <v>1</v>
      </c>
      <c r="L36" s="24" t="str">
        <f t="shared" si="8"/>
        <v>Sw</v>
      </c>
      <c r="M36" s="24" t="str">
        <f t="shared" si="9"/>
        <v>2Y9M</v>
      </c>
      <c r="N36" s="24" t="str">
        <f t="shared" si="10"/>
        <v>obj_00058#0005</v>
      </c>
      <c r="O36" s="24" t="b">
        <f t="shared" si="11"/>
        <v>1</v>
      </c>
      <c r="P36" s="14" t="str">
        <v>Sw</v>
      </c>
      <c r="Q36" s="14" t="str">
        <v>11Y</v>
      </c>
      <c r="R36" s="14" t="str">
        <v>obj_00098#0005</v>
      </c>
      <c r="S36" s="117">
        <f>_xll.qlRateHelperRate(R36,Trigger)</f>
        <v>1.1295080799999999E-2</v>
      </c>
      <c r="T36" s="15">
        <f>_xll.qlRateHelperEarliestDate(R36,Trigger)</f>
        <v>42201</v>
      </c>
      <c r="U36" s="15">
        <f>_xll.qlRateHelperLatestDate(R36,Trigger)</f>
        <v>46219</v>
      </c>
      <c r="V36" s="155">
        <v>0.88094364843281681</v>
      </c>
    </row>
    <row r="37" spans="1:22" ht="11.25" customHeight="1" x14ac:dyDescent="0.2">
      <c r="A37" s="107" t="s">
        <v>45</v>
      </c>
      <c r="B37" s="137"/>
      <c r="C37" s="137" t="s">
        <v>14</v>
      </c>
      <c r="D37" s="138" t="str">
        <v>2Y3M</v>
      </c>
      <c r="E37" s="130" t="s">
        <v>15</v>
      </c>
      <c r="F37" s="137" t="s">
        <v>16</v>
      </c>
      <c r="G37" s="130" t="s">
        <v>17</v>
      </c>
      <c r="H37" s="139">
        <v>-4.0072223999999997E-4</v>
      </c>
      <c r="I37" s="105" t="str">
        <f>_xll.qlSwapRateHelper2(,$H37,,$D37,Calendar,$F37,$E37,$G37,$I$20,0,C37,Discounting,Permanent,Trigger,ObjectOverwrite)</f>
        <v>obj_00071#0005</v>
      </c>
      <c r="J37" s="133" t="b">
        <f t="shared" si="12"/>
        <v>1</v>
      </c>
      <c r="L37" s="24" t="str">
        <f t="shared" si="8"/>
        <v>Sw</v>
      </c>
      <c r="M37" s="24" t="str">
        <f t="shared" si="9"/>
        <v>3Y</v>
      </c>
      <c r="N37" s="24" t="str">
        <f t="shared" si="10"/>
        <v>obj_0009b#0005</v>
      </c>
      <c r="O37" s="24" t="b">
        <f t="shared" si="11"/>
        <v>1</v>
      </c>
      <c r="P37" s="14" t="str">
        <v>Sw</v>
      </c>
      <c r="Q37" s="14" t="str">
        <v>12Y</v>
      </c>
      <c r="R37" s="14" t="str">
        <v>obj_0009f#0005</v>
      </c>
      <c r="S37" s="117">
        <f>_xll.qlRateHelperRate(R37,Trigger)</f>
        <v>1.221E-2</v>
      </c>
      <c r="T37" s="15">
        <f>_xll.qlRateHelperEarliestDate(R37,Trigger)</f>
        <v>42201</v>
      </c>
      <c r="U37" s="15">
        <f>_xll.qlRateHelperLatestDate(R37,Trigger)</f>
        <v>46584</v>
      </c>
      <c r="V37" s="155">
        <v>0.86080227939262777</v>
      </c>
    </row>
    <row r="38" spans="1:22" ht="11.25" customHeight="1" x14ac:dyDescent="0.2">
      <c r="A38" s="107" t="s">
        <v>45</v>
      </c>
      <c r="B38" s="137"/>
      <c r="C38" s="137" t="s">
        <v>14</v>
      </c>
      <c r="D38" s="138" t="str">
        <v>2Y6M</v>
      </c>
      <c r="E38" s="130" t="s">
        <v>15</v>
      </c>
      <c r="F38" s="137" t="s">
        <v>16</v>
      </c>
      <c r="G38" s="130" t="s">
        <v>17</v>
      </c>
      <c r="H38" s="139">
        <v>-2.1436763000000001E-4</v>
      </c>
      <c r="I38" s="105" t="str">
        <f>_xll.qlSwapRateHelper2(,$H38,,$D38,Calendar,$F38,$E38,$G38,$I$20,0,C38,Discounting,Permanent,Trigger,ObjectOverwrite)</f>
        <v>obj_000a8#0005</v>
      </c>
      <c r="J38" s="133" t="b">
        <f t="shared" si="12"/>
        <v>1</v>
      </c>
      <c r="L38" s="24" t="str">
        <f t="shared" si="8"/>
        <v>Sw</v>
      </c>
      <c r="M38" s="24" t="str">
        <f t="shared" si="9"/>
        <v>4Y</v>
      </c>
      <c r="N38" s="24" t="str">
        <f t="shared" si="10"/>
        <v>obj_000a5#0005</v>
      </c>
      <c r="O38" s="24" t="b">
        <f t="shared" si="11"/>
        <v>1</v>
      </c>
      <c r="P38" s="14" t="str">
        <v>Sw</v>
      </c>
      <c r="Q38" s="14" t="str">
        <v>13Y</v>
      </c>
      <c r="R38" s="14" t="str">
        <v>obj_000a4#0005</v>
      </c>
      <c r="S38" s="117">
        <f>_xll.qlRateHelperRate(R38,Trigger)</f>
        <v>1.300714155E-2</v>
      </c>
      <c r="T38" s="15">
        <f>_xll.qlRateHelperEarliestDate(R38,Trigger)</f>
        <v>42201</v>
      </c>
      <c r="U38" s="15">
        <f>_xll.qlRateHelperLatestDate(R38,Trigger)</f>
        <v>46951</v>
      </c>
      <c r="V38" s="155">
        <v>0.84075787061519647</v>
      </c>
    </row>
    <row r="39" spans="1:22" ht="11.25" customHeight="1" x14ac:dyDescent="0.2">
      <c r="A39" s="107" t="s">
        <v>45</v>
      </c>
      <c r="B39" s="137"/>
      <c r="C39" s="137" t="s">
        <v>14</v>
      </c>
      <c r="D39" s="138" t="str">
        <v>2Y9M</v>
      </c>
      <c r="E39" s="130" t="s">
        <v>15</v>
      </c>
      <c r="F39" s="137" t="s">
        <v>16</v>
      </c>
      <c r="G39" s="130" t="s">
        <v>17</v>
      </c>
      <c r="H39" s="139">
        <v>8.9942000000000004E-7</v>
      </c>
      <c r="I39" s="105" t="str">
        <f>_xll.qlSwapRateHelper2(,$H39,,$D39,Calendar,$F39,$E39,$G39,$I$20,0,C39,Discounting,Permanent,Trigger,ObjectOverwrite)</f>
        <v>obj_00058#0005</v>
      </c>
      <c r="J39" s="133" t="b">
        <f t="shared" si="12"/>
        <v>1</v>
      </c>
      <c r="L39" s="24" t="str">
        <f t="shared" si="8"/>
        <v>Sw</v>
      </c>
      <c r="M39" s="24" t="str">
        <f t="shared" si="9"/>
        <v>5Y</v>
      </c>
      <c r="N39" s="24" t="str">
        <f t="shared" si="10"/>
        <v>obj_00085#0005</v>
      </c>
      <c r="O39" s="24" t="b">
        <f t="shared" si="11"/>
        <v>1</v>
      </c>
      <c r="P39" s="14" t="str">
        <v>Sw</v>
      </c>
      <c r="Q39" s="14" t="str">
        <v>14Y</v>
      </c>
      <c r="R39" s="14" t="str">
        <v>obj_00086#0005</v>
      </c>
      <c r="S39" s="117">
        <f>_xll.qlRateHelperRate(R39,Trigger)</f>
        <v>1.3685828860000001E-2</v>
      </c>
      <c r="T39" s="15">
        <f>_xll.qlRateHelperEarliestDate(R39,Trigger)</f>
        <v>42201</v>
      </c>
      <c r="U39" s="15">
        <f>_xll.qlRateHelperLatestDate(R39,Trigger)</f>
        <v>47315</v>
      </c>
      <c r="V39" s="155">
        <v>0.82124851135635291</v>
      </c>
    </row>
    <row r="40" spans="1:22" ht="11.25" customHeight="1" x14ac:dyDescent="0.2">
      <c r="A40" s="107" t="s">
        <v>45</v>
      </c>
      <c r="B40" s="137"/>
      <c r="C40" s="137" t="s">
        <v>14</v>
      </c>
      <c r="D40" s="138" t="str">
        <v>3Y</v>
      </c>
      <c r="E40" s="130" t="s">
        <v>15</v>
      </c>
      <c r="F40" s="137" t="s">
        <v>16</v>
      </c>
      <c r="G40" s="130" t="s">
        <v>17</v>
      </c>
      <c r="H40" s="139">
        <v>2.3000000000000001E-4</v>
      </c>
      <c r="I40" s="105" t="str">
        <f>_xll.qlSwapRateHelper2(,$H40,,$D40,Calendar,$F40,$E40,$G40,$I$20,0,C40,Discounting,Permanent,Trigger,ObjectOverwrite)</f>
        <v>obj_0009b#0005</v>
      </c>
      <c r="J40" s="133" t="b">
        <f t="shared" si="12"/>
        <v>1</v>
      </c>
      <c r="L40" s="24" t="str">
        <f t="shared" si="8"/>
        <v>Sw</v>
      </c>
      <c r="M40" s="24" t="str">
        <f t="shared" si="9"/>
        <v>6Y</v>
      </c>
      <c r="N40" s="24" t="str">
        <f t="shared" si="10"/>
        <v>obj_00070#0005</v>
      </c>
      <c r="O40" s="24" t="b">
        <f t="shared" si="11"/>
        <v>1</v>
      </c>
      <c r="P40" s="14" t="str">
        <v>Sw</v>
      </c>
      <c r="Q40" s="14" t="str">
        <v>15Y</v>
      </c>
      <c r="R40" s="14" t="str">
        <v>obj_00074#0005</v>
      </c>
      <c r="S40" s="117">
        <f>_xll.qlRateHelperRate(R40,Trigger)</f>
        <v>1.427E-2</v>
      </c>
      <c r="T40" s="15">
        <f>_xll.qlRateHelperEarliestDate(R40,Trigger)</f>
        <v>42201</v>
      </c>
      <c r="U40" s="15">
        <f>_xll.qlRateHelperLatestDate(R40,Trigger)</f>
        <v>47680</v>
      </c>
      <c r="V40" s="155">
        <v>0.80218091503387434</v>
      </c>
    </row>
    <row r="41" spans="1:22" ht="11.25" customHeight="1" x14ac:dyDescent="0.2">
      <c r="A41" s="107" t="s">
        <v>45</v>
      </c>
      <c r="B41" s="137"/>
      <c r="C41" s="137" t="s">
        <v>14</v>
      </c>
      <c r="D41" s="138" t="str">
        <v>4Y</v>
      </c>
      <c r="E41" s="130" t="s">
        <v>15</v>
      </c>
      <c r="F41" s="137" t="s">
        <v>16</v>
      </c>
      <c r="G41" s="130" t="s">
        <v>17</v>
      </c>
      <c r="H41" s="139">
        <v>1.5199999999999999E-3</v>
      </c>
      <c r="I41" s="105" t="str">
        <f>_xll.qlSwapRateHelper2(,$H41,,$D41,Calendar,$F41,$E41,$G41,$I$20,0,C41,Discounting,Permanent,Trigger,ObjectOverwrite)</f>
        <v>obj_000a5#0005</v>
      </c>
      <c r="J41" s="133" t="b">
        <f t="shared" si="12"/>
        <v>1</v>
      </c>
      <c r="L41" s="24" t="str">
        <f t="shared" si="8"/>
        <v>Sw</v>
      </c>
      <c r="M41" s="24" t="str">
        <f t="shared" si="9"/>
        <v>7Y</v>
      </c>
      <c r="N41" s="24" t="str">
        <f t="shared" si="10"/>
        <v>obj_0005e#0005</v>
      </c>
      <c r="O41" s="24" t="b">
        <f t="shared" si="11"/>
        <v>1</v>
      </c>
      <c r="P41" s="14" t="str">
        <v>Sw</v>
      </c>
      <c r="Q41" s="14" t="str">
        <v>16Y</v>
      </c>
      <c r="R41" s="14" t="str">
        <v>obj_00090#0005</v>
      </c>
      <c r="S41" s="117">
        <f>_xll.qlRateHelperRate(R41,Trigger)</f>
        <v>1.47678241E-2</v>
      </c>
      <c r="T41" s="15">
        <f>_xll.qlRateHelperEarliestDate(R41,Trigger)</f>
        <v>42201</v>
      </c>
      <c r="U41" s="15">
        <f>_xll.qlRateHelperLatestDate(R41,Trigger)</f>
        <v>48045</v>
      </c>
      <c r="V41" s="155">
        <v>0.78371581893507292</v>
      </c>
    </row>
    <row r="42" spans="1:22" ht="11.25" customHeight="1" x14ac:dyDescent="0.2">
      <c r="A42" s="107" t="s">
        <v>45</v>
      </c>
      <c r="B42" s="137"/>
      <c r="C42" s="137" t="s">
        <v>14</v>
      </c>
      <c r="D42" s="138" t="str">
        <v>5Y</v>
      </c>
      <c r="E42" s="130" t="s">
        <v>15</v>
      </c>
      <c r="F42" s="137" t="s">
        <v>16</v>
      </c>
      <c r="G42" s="130" t="s">
        <v>17</v>
      </c>
      <c r="H42" s="139">
        <v>3.0699999999999998E-3</v>
      </c>
      <c r="I42" s="105" t="str">
        <f>_xll.qlSwapRateHelper2(,$H42,,$D42,Calendar,$F42,$E42,$G42,$I$20,0,C42,Discounting,Permanent,Trigger,ObjectOverwrite)</f>
        <v>obj_00085#0005</v>
      </c>
      <c r="J42" s="133" t="b">
        <f t="shared" si="12"/>
        <v>1</v>
      </c>
      <c r="L42" s="24" t="str">
        <f t="shared" si="8"/>
        <v>Sw</v>
      </c>
      <c r="M42" s="24" t="str">
        <f t="shared" si="9"/>
        <v>8Y</v>
      </c>
      <c r="N42" s="24" t="str">
        <f t="shared" si="10"/>
        <v>obj_00030#0005</v>
      </c>
      <c r="O42" s="24" t="b">
        <f t="shared" si="11"/>
        <v>1</v>
      </c>
      <c r="P42" s="14" t="str">
        <v>Sw</v>
      </c>
      <c r="Q42" s="14" t="str">
        <v>17Y</v>
      </c>
      <c r="R42" s="14" t="str">
        <v>obj_00043#0005</v>
      </c>
      <c r="S42" s="117">
        <f>_xll.qlRateHelperRate(R42,Trigger)</f>
        <v>1.519116911E-2</v>
      </c>
      <c r="T42" s="15">
        <f>_xll.qlRateHelperEarliestDate(R42,Trigger)</f>
        <v>42201</v>
      </c>
      <c r="U42" s="15">
        <f>_xll.qlRateHelperLatestDate(R42,Trigger)</f>
        <v>48411</v>
      </c>
      <c r="V42" s="155">
        <v>0.7658901431625097</v>
      </c>
    </row>
    <row r="43" spans="1:22" ht="11.25" customHeight="1" x14ac:dyDescent="0.2">
      <c r="A43" s="107" t="s">
        <v>45</v>
      </c>
      <c r="B43" s="137"/>
      <c r="C43" s="137" t="s">
        <v>14</v>
      </c>
      <c r="D43" s="138" t="str">
        <v>6Y</v>
      </c>
      <c r="E43" s="130" t="s">
        <v>15</v>
      </c>
      <c r="F43" s="137" t="s">
        <v>16</v>
      </c>
      <c r="G43" s="130" t="s">
        <v>17</v>
      </c>
      <c r="H43" s="139">
        <v>4.6600000000000001E-3</v>
      </c>
      <c r="I43" s="105" t="str">
        <f>_xll.qlSwapRateHelper2(,$H43,,$D43,Calendar,$F43,$E43,$G43,$I$20,0,C43,Discounting,Permanent,Trigger,ObjectOverwrite)</f>
        <v>obj_00070#0005</v>
      </c>
      <c r="J43" s="133" t="b">
        <f t="shared" si="12"/>
        <v>1</v>
      </c>
      <c r="L43" s="24" t="str">
        <f t="shared" si="8"/>
        <v>Sw</v>
      </c>
      <c r="M43" s="24" t="str">
        <f t="shared" si="9"/>
        <v>9Y</v>
      </c>
      <c r="N43" s="24" t="str">
        <f t="shared" si="10"/>
        <v>obj_0004b#0005</v>
      </c>
      <c r="O43" s="24" t="b">
        <f t="shared" si="11"/>
        <v>1</v>
      </c>
      <c r="P43" s="14" t="str">
        <v>Sw</v>
      </c>
      <c r="Q43" s="14" t="str">
        <v>18Y</v>
      </c>
      <c r="R43" s="14" t="str">
        <v>obj_00034#0005</v>
      </c>
      <c r="S43" s="117">
        <f>_xll.qlRateHelperRate(R43,Trigger)</f>
        <v>1.554234857E-2</v>
      </c>
      <c r="T43" s="15">
        <f>_xll.qlRateHelperEarliestDate(R43,Trigger)</f>
        <v>42201</v>
      </c>
      <c r="U43" s="15">
        <f>_xll.qlRateHelperLatestDate(R43,Trigger)</f>
        <v>48778</v>
      </c>
      <c r="V43" s="155">
        <v>0.74878495545189561</v>
      </c>
    </row>
    <row r="44" spans="1:22" ht="11.25" customHeight="1" x14ac:dyDescent="0.2">
      <c r="A44" s="107" t="s">
        <v>45</v>
      </c>
      <c r="B44" s="137"/>
      <c r="C44" s="137" t="s">
        <v>14</v>
      </c>
      <c r="D44" s="138" t="str">
        <v>7Y</v>
      </c>
      <c r="E44" s="130" t="s">
        <v>15</v>
      </c>
      <c r="F44" s="137" t="s">
        <v>16</v>
      </c>
      <c r="G44" s="130" t="s">
        <v>17</v>
      </c>
      <c r="H44" s="139">
        <v>6.2599999999999999E-3</v>
      </c>
      <c r="I44" s="105" t="str">
        <f>_xll.qlSwapRateHelper2(,$H44,,$D44,Calendar,$F44,$E44,$G44,$I$20,0,C44,Discounting,Permanent,Trigger,ObjectOverwrite)</f>
        <v>obj_0005e#0005</v>
      </c>
      <c r="J44" s="133" t="b">
        <f t="shared" si="12"/>
        <v>1</v>
      </c>
      <c r="L44" s="24" t="str">
        <f t="shared" si="8"/>
        <v>Sw</v>
      </c>
      <c r="M44" s="24" t="str">
        <f t="shared" si="9"/>
        <v>10Y</v>
      </c>
      <c r="N44" s="24" t="str">
        <f t="shared" si="10"/>
        <v>obj_0003a#0005</v>
      </c>
      <c r="O44" s="24" t="b">
        <f t="shared" si="11"/>
        <v>1</v>
      </c>
      <c r="P44" s="14" t="str">
        <v>Sw</v>
      </c>
      <c r="Q44" s="14" t="str">
        <v>19Y</v>
      </c>
      <c r="R44" s="14" t="str">
        <v>obj_00089#0005</v>
      </c>
      <c r="S44" s="117">
        <f>_xll.qlRateHelperRate(R44,Trigger)</f>
        <v>1.5826031510000001E-2</v>
      </c>
      <c r="T44" s="15">
        <f>_xll.qlRateHelperEarliestDate(R44,Trigger)</f>
        <v>42201</v>
      </c>
      <c r="U44" s="15">
        <f>_xll.qlRateHelperLatestDate(R44,Trigger)</f>
        <v>49142</v>
      </c>
      <c r="V44" s="155">
        <v>0.73264474014478009</v>
      </c>
    </row>
    <row r="45" spans="1:22" ht="11.25" customHeight="1" x14ac:dyDescent="0.2">
      <c r="A45" s="107" t="s">
        <v>45</v>
      </c>
      <c r="B45" s="137"/>
      <c r="C45" s="137" t="s">
        <v>14</v>
      </c>
      <c r="D45" s="138" t="str">
        <v>8Y</v>
      </c>
      <c r="E45" s="130" t="s">
        <v>15</v>
      </c>
      <c r="F45" s="137" t="s">
        <v>16</v>
      </c>
      <c r="G45" s="130" t="s">
        <v>17</v>
      </c>
      <c r="H45" s="139">
        <v>7.7400000000000004E-3</v>
      </c>
      <c r="I45" s="105" t="str">
        <f>_xll.qlSwapRateHelper2(,$H45,,$D45,Calendar,$F45,$E45,$G45,$I$20,0,C45,Discounting,Permanent,Trigger,ObjectOverwrite)</f>
        <v>obj_00030#0005</v>
      </c>
      <c r="J45" s="133" t="b">
        <f t="shared" si="12"/>
        <v>1</v>
      </c>
      <c r="L45" s="24" t="str">
        <f t="shared" si="8"/>
        <v>Sw</v>
      </c>
      <c r="M45" s="24" t="str">
        <f t="shared" si="9"/>
        <v>11Y</v>
      </c>
      <c r="N45" s="24" t="str">
        <f t="shared" si="10"/>
        <v>obj_00098#0005</v>
      </c>
      <c r="O45" s="24" t="b">
        <f t="shared" si="11"/>
        <v>1</v>
      </c>
      <c r="P45" s="14" t="str">
        <v>Sw</v>
      </c>
      <c r="Q45" s="14" t="str">
        <v>20Y</v>
      </c>
      <c r="R45" s="14" t="str">
        <v>obj_0004c#0005</v>
      </c>
      <c r="S45" s="117">
        <f>_xll.qlRateHelperRate(R45,Trigger)</f>
        <v>1.6049999999999998E-2</v>
      </c>
      <c r="T45" s="15">
        <f>_xll.qlRateHelperEarliestDate(R45,Trigger)</f>
        <v>42201</v>
      </c>
      <c r="U45" s="15">
        <f>_xll.qlRateHelperLatestDate(R45,Trigger)</f>
        <v>49506</v>
      </c>
      <c r="V45" s="155">
        <v>0.71738617062044041</v>
      </c>
    </row>
    <row r="46" spans="1:22" ht="11.25" customHeight="1" x14ac:dyDescent="0.2">
      <c r="A46" s="107" t="s">
        <v>45</v>
      </c>
      <c r="B46" s="137"/>
      <c r="C46" s="137" t="s">
        <v>14</v>
      </c>
      <c r="D46" s="138" t="str">
        <v>9Y</v>
      </c>
      <c r="E46" s="130" t="s">
        <v>15</v>
      </c>
      <c r="F46" s="137" t="s">
        <v>16</v>
      </c>
      <c r="G46" s="130" t="s">
        <v>17</v>
      </c>
      <c r="H46" s="139">
        <v>9.0699999999999999E-3</v>
      </c>
      <c r="I46" s="105" t="str">
        <f>_xll.qlSwapRateHelper2(,$H46,,$D46,Calendar,$F46,$E46,$G46,$I$20,0,C46,Discounting,Permanent,Trigger,ObjectOverwrite)</f>
        <v>obj_0004b#0005</v>
      </c>
      <c r="J46" s="133" t="b">
        <f t="shared" si="12"/>
        <v>1</v>
      </c>
      <c r="L46" s="24" t="str">
        <f t="shared" si="8"/>
        <v>Sw</v>
      </c>
      <c r="M46" s="24" t="str">
        <f t="shared" si="9"/>
        <v>12Y</v>
      </c>
      <c r="N46" s="24" t="str">
        <f t="shared" si="10"/>
        <v>obj_0009f#0005</v>
      </c>
      <c r="O46" s="24" t="b">
        <f t="shared" si="11"/>
        <v>1</v>
      </c>
      <c r="P46" s="14" t="str">
        <v>Sw</v>
      </c>
      <c r="Q46" s="14" t="str">
        <v>21Y</v>
      </c>
      <c r="R46" s="14" t="str">
        <v>obj_00045#0005</v>
      </c>
      <c r="S46" s="117">
        <f>_xll.qlRateHelperRate(R46,Trigger)</f>
        <v>1.6222346620000001E-2</v>
      </c>
      <c r="T46" s="15">
        <f>_xll.qlRateHelperEarliestDate(R46,Trigger)</f>
        <v>42201</v>
      </c>
      <c r="U46" s="15">
        <f>_xll.qlRateHelperLatestDate(R46,Trigger)</f>
        <v>49872</v>
      </c>
      <c r="V46" s="155">
        <v>0.70295249973664486</v>
      </c>
    </row>
    <row r="47" spans="1:22" ht="11.25" customHeight="1" x14ac:dyDescent="0.2">
      <c r="A47" s="107" t="s">
        <v>45</v>
      </c>
      <c r="B47" s="137"/>
      <c r="C47" s="137" t="s">
        <v>14</v>
      </c>
      <c r="D47" s="138" t="str">
        <v>10Y</v>
      </c>
      <c r="E47" s="130" t="s">
        <v>15</v>
      </c>
      <c r="F47" s="137" t="s">
        <v>16</v>
      </c>
      <c r="G47" s="130" t="s">
        <v>17</v>
      </c>
      <c r="H47" s="139">
        <v>1.0249999999999999E-2</v>
      </c>
      <c r="I47" s="105" t="str">
        <f>_xll.qlSwapRateHelper2(,$H47,,$D47,Calendar,$F47,$E47,$G47,$I$20,0,C47,Discounting,Permanent,Trigger,ObjectOverwrite)</f>
        <v>obj_0003a#0005</v>
      </c>
      <c r="J47" s="133" t="b">
        <f t="shared" si="12"/>
        <v>1</v>
      </c>
      <c r="L47" s="24" t="str">
        <f t="shared" si="8"/>
        <v>Sw</v>
      </c>
      <c r="M47" s="24" t="str">
        <f t="shared" si="9"/>
        <v>13Y</v>
      </c>
      <c r="N47" s="24" t="str">
        <f t="shared" si="10"/>
        <v>obj_000a4#0005</v>
      </c>
      <c r="O47" s="24" t="b">
        <f t="shared" si="11"/>
        <v>1</v>
      </c>
      <c r="P47" s="14" t="str">
        <v>Sw</v>
      </c>
      <c r="Q47" s="14" t="str">
        <v>22Y</v>
      </c>
      <c r="R47" s="14" t="str">
        <v>obj_000a3#0005</v>
      </c>
      <c r="S47" s="117">
        <f>_xll.qlRateHelperRate(R47,Trigger)</f>
        <v>1.63492015E-2</v>
      </c>
      <c r="T47" s="15">
        <f>_xll.qlRateHelperEarliestDate(R47,Trigger)</f>
        <v>42201</v>
      </c>
      <c r="U47" s="15">
        <f>_xll.qlRateHelperLatestDate(R47,Trigger)</f>
        <v>50237</v>
      </c>
      <c r="V47" s="155">
        <v>0.68936312069788352</v>
      </c>
    </row>
    <row r="48" spans="1:22" ht="11.25" customHeight="1" x14ac:dyDescent="0.2">
      <c r="A48" s="107" t="s">
        <v>45</v>
      </c>
      <c r="B48" s="137"/>
      <c r="C48" s="137" t="s">
        <v>14</v>
      </c>
      <c r="D48" s="138" t="str">
        <v>11Y</v>
      </c>
      <c r="E48" s="130" t="s">
        <v>15</v>
      </c>
      <c r="F48" s="137" t="s">
        <v>16</v>
      </c>
      <c r="G48" s="130" t="s">
        <v>17</v>
      </c>
      <c r="H48" s="139">
        <v>1.1295080799999999E-2</v>
      </c>
      <c r="I48" s="105" t="str">
        <f>_xll.qlSwapRateHelper2(,$H48,,$D48,Calendar,$F48,$E48,$G48,$I$20,0,C48,Discounting,Permanent,Trigger,ObjectOverwrite)</f>
        <v>obj_00098#0005</v>
      </c>
      <c r="J48" s="133" t="b">
        <f t="shared" si="12"/>
        <v>1</v>
      </c>
      <c r="L48" s="24" t="str">
        <f t="shared" si="8"/>
        <v>Sw</v>
      </c>
      <c r="M48" s="24" t="str">
        <f t="shared" si="9"/>
        <v>14Y</v>
      </c>
      <c r="N48" s="24" t="str">
        <f t="shared" si="10"/>
        <v>obj_00086#0005</v>
      </c>
      <c r="O48" s="24" t="b">
        <f t="shared" si="11"/>
        <v>1</v>
      </c>
      <c r="P48" s="14" t="str">
        <v>Sw</v>
      </c>
      <c r="Q48" s="14" t="str">
        <v>23Y</v>
      </c>
      <c r="R48" s="14" t="str">
        <v>obj_00087#0005</v>
      </c>
      <c r="S48" s="117">
        <f>_xll.qlRateHelperRate(R48,Trigger)</f>
        <v>1.6443572529999999E-2</v>
      </c>
      <c r="T48" s="15">
        <f>_xll.qlRateHelperEarliestDate(R48,Trigger)</f>
        <v>42201</v>
      </c>
      <c r="U48" s="15">
        <f>_xll.qlRateHelperLatestDate(R48,Trigger)</f>
        <v>50602</v>
      </c>
      <c r="V48" s="155">
        <v>0.67645032223476775</v>
      </c>
    </row>
    <row r="49" spans="1:22" ht="11.25" customHeight="1" x14ac:dyDescent="0.2">
      <c r="A49" s="107" t="s">
        <v>45</v>
      </c>
      <c r="B49" s="137"/>
      <c r="C49" s="137" t="s">
        <v>14</v>
      </c>
      <c r="D49" s="138" t="str">
        <v>12Y</v>
      </c>
      <c r="E49" s="130" t="s">
        <v>15</v>
      </c>
      <c r="F49" s="137" t="s">
        <v>16</v>
      </c>
      <c r="G49" s="130" t="s">
        <v>17</v>
      </c>
      <c r="H49" s="139">
        <v>1.221E-2</v>
      </c>
      <c r="I49" s="105" t="str">
        <f>_xll.qlSwapRateHelper2(,$H49,,$D49,Calendar,$F49,$E49,$G49,$I$20,0,C49,Discounting,Permanent,Trigger,ObjectOverwrite)</f>
        <v>obj_0009f#0005</v>
      </c>
      <c r="J49" s="133" t="b">
        <f t="shared" si="12"/>
        <v>1</v>
      </c>
      <c r="L49" s="24" t="str">
        <f t="shared" si="8"/>
        <v>Sw</v>
      </c>
      <c r="M49" s="24" t="str">
        <f t="shared" si="9"/>
        <v>15Y</v>
      </c>
      <c r="N49" s="24" t="str">
        <f t="shared" si="10"/>
        <v>obj_00074#0005</v>
      </c>
      <c r="O49" s="24" t="b">
        <f t="shared" si="11"/>
        <v>1</v>
      </c>
      <c r="P49" s="14" t="str">
        <v>Sw</v>
      </c>
      <c r="Q49" s="14" t="str">
        <v>24Y</v>
      </c>
      <c r="R49" s="14" t="str">
        <v>obj_0003b#0005</v>
      </c>
      <c r="S49" s="117">
        <f>_xll.qlRateHelperRate(R49,Trigger)</f>
        <v>1.6514554809999998E-2</v>
      </c>
      <c r="T49" s="15">
        <f>_xll.qlRateHelperEarliestDate(R49,Trigger)</f>
        <v>42201</v>
      </c>
      <c r="U49" s="15">
        <f>_xll.qlRateHelperLatestDate(R49,Trigger)</f>
        <v>50969</v>
      </c>
      <c r="V49" s="155">
        <v>0.6640303773822045</v>
      </c>
    </row>
    <row r="50" spans="1:22" ht="11.25" customHeight="1" x14ac:dyDescent="0.2">
      <c r="A50" s="107" t="s">
        <v>45</v>
      </c>
      <c r="B50" s="137"/>
      <c r="C50" s="137" t="s">
        <v>14</v>
      </c>
      <c r="D50" s="138" t="str">
        <v>13Y</v>
      </c>
      <c r="E50" s="130" t="s">
        <v>15</v>
      </c>
      <c r="F50" s="137" t="s">
        <v>16</v>
      </c>
      <c r="G50" s="130" t="s">
        <v>17</v>
      </c>
      <c r="H50" s="139">
        <v>1.300714155E-2</v>
      </c>
      <c r="I50" s="105" t="str">
        <f>_xll.qlSwapRateHelper2(,$H50,,$D50,Calendar,$F50,$E50,$G50,$I$20,0,C50,Discounting,Permanent,Trigger,ObjectOverwrite)</f>
        <v>obj_000a4#0005</v>
      </c>
      <c r="J50" s="133" t="b">
        <f t="shared" si="12"/>
        <v>1</v>
      </c>
      <c r="L50" s="24" t="str">
        <f t="shared" si="8"/>
        <v>Sw</v>
      </c>
      <c r="M50" s="24" t="str">
        <f t="shared" si="9"/>
        <v>16Y</v>
      </c>
      <c r="N50" s="24" t="str">
        <f t="shared" si="10"/>
        <v>obj_00090#0005</v>
      </c>
      <c r="O50" s="24" t="b">
        <f t="shared" si="11"/>
        <v>1</v>
      </c>
      <c r="P50" s="14" t="str">
        <v>Sw</v>
      </c>
      <c r="Q50" s="14" t="str">
        <v>25Y</v>
      </c>
      <c r="R50" s="14" t="str">
        <v>obj_00065#0005</v>
      </c>
      <c r="S50" s="117">
        <f>_xll.qlRateHelperRate(R50,Trigger)</f>
        <v>1.6570000000000001E-2</v>
      </c>
      <c r="T50" s="15">
        <f>_xll.qlRateHelperEarliestDate(R50,Trigger)</f>
        <v>42201</v>
      </c>
      <c r="U50" s="15">
        <f>_xll.qlRateHelperLatestDate(R50,Trigger)</f>
        <v>51333</v>
      </c>
      <c r="V50" s="155">
        <v>0.65215351320975201</v>
      </c>
    </row>
    <row r="51" spans="1:22" ht="11.25" customHeight="1" x14ac:dyDescent="0.2">
      <c r="A51" s="107" t="s">
        <v>45</v>
      </c>
      <c r="B51" s="137"/>
      <c r="C51" s="137" t="s">
        <v>14</v>
      </c>
      <c r="D51" s="138" t="str">
        <v>14Y</v>
      </c>
      <c r="E51" s="130" t="s">
        <v>15</v>
      </c>
      <c r="F51" s="137" t="s">
        <v>16</v>
      </c>
      <c r="G51" s="130" t="s">
        <v>17</v>
      </c>
      <c r="H51" s="139">
        <v>1.3685828860000001E-2</v>
      </c>
      <c r="I51" s="105" t="str">
        <f>_xll.qlSwapRateHelper2(,$H51,,$D51,Calendar,$F51,$E51,$G51,$I$20,0,C51,Discounting,Permanent,Trigger,ObjectOverwrite)</f>
        <v>obj_00086#0005</v>
      </c>
      <c r="J51" s="133" t="b">
        <f t="shared" si="12"/>
        <v>1</v>
      </c>
      <c r="L51" s="24" t="str">
        <f t="shared" si="8"/>
        <v>Sw</v>
      </c>
      <c r="M51" s="24" t="str">
        <f t="shared" si="9"/>
        <v>17Y</v>
      </c>
      <c r="N51" s="24" t="str">
        <f t="shared" si="10"/>
        <v>obj_00043#0005</v>
      </c>
      <c r="O51" s="24" t="b">
        <f t="shared" si="11"/>
        <v>1</v>
      </c>
      <c r="P51" s="14" t="str">
        <v>Sw</v>
      </c>
      <c r="Q51" s="14" t="str">
        <v>26Y</v>
      </c>
      <c r="R51" s="14" t="str">
        <v>obj_00083#0005</v>
      </c>
      <c r="S51" s="117">
        <f>_xll.qlRateHelperRate(R51,Trigger)</f>
        <v>1.6613597980000002E-2</v>
      </c>
      <c r="T51" s="15">
        <f>_xll.qlRateHelperEarliestDate(R51,Trigger)</f>
        <v>42201</v>
      </c>
      <c r="U51" s="15">
        <f>_xll.qlRateHelperLatestDate(R51,Trigger)</f>
        <v>51698</v>
      </c>
      <c r="V51" s="155">
        <v>0.64059696273842226</v>
      </c>
    </row>
    <row r="52" spans="1:22" ht="11.25" customHeight="1" x14ac:dyDescent="0.2">
      <c r="A52" s="107" t="s">
        <v>45</v>
      </c>
      <c r="B52" s="137"/>
      <c r="C52" s="137" t="s">
        <v>14</v>
      </c>
      <c r="D52" s="138" t="str">
        <v>15Y</v>
      </c>
      <c r="E52" s="130" t="s">
        <v>15</v>
      </c>
      <c r="F52" s="137" t="s">
        <v>16</v>
      </c>
      <c r="G52" s="130" t="s">
        <v>17</v>
      </c>
      <c r="H52" s="139">
        <v>1.427E-2</v>
      </c>
      <c r="I52" s="105" t="str">
        <f>_xll.qlSwapRateHelper2(,$H52,,$D52,Calendar,$F52,$E52,$G52,$I$20,0,C52,Discounting,Permanent,Trigger,ObjectOverwrite)</f>
        <v>obj_00074#0005</v>
      </c>
      <c r="J52" s="133" t="b">
        <f t="shared" si="12"/>
        <v>1</v>
      </c>
      <c r="L52" s="24" t="str">
        <f t="shared" si="8"/>
        <v>Sw</v>
      </c>
      <c r="M52" s="24" t="str">
        <f t="shared" si="9"/>
        <v>18Y</v>
      </c>
      <c r="N52" s="24" t="str">
        <f t="shared" si="10"/>
        <v>obj_00034#0005</v>
      </c>
      <c r="O52" s="24" t="b">
        <f t="shared" si="11"/>
        <v>1</v>
      </c>
      <c r="P52" s="14" t="str">
        <v>Sw</v>
      </c>
      <c r="Q52" s="14" t="str">
        <v>27Y</v>
      </c>
      <c r="R52" s="14" t="str">
        <v>obj_0006d#0005</v>
      </c>
      <c r="S52" s="117">
        <f>_xll.qlRateHelperRate(R52,Trigger)</f>
        <v>1.6650999499999999E-2</v>
      </c>
      <c r="T52" s="15">
        <f>_xll.qlRateHelperEarliestDate(R52,Trigger)</f>
        <v>42201</v>
      </c>
      <c r="U52" s="15">
        <f>_xll.qlRateHelperLatestDate(R52,Trigger)</f>
        <v>52063</v>
      </c>
      <c r="V52" s="155">
        <v>0.62931098120434581</v>
      </c>
    </row>
    <row r="53" spans="1:22" ht="11.25" customHeight="1" x14ac:dyDescent="0.2">
      <c r="A53" s="107" t="s">
        <v>45</v>
      </c>
      <c r="B53" s="137"/>
      <c r="C53" s="137" t="s">
        <v>14</v>
      </c>
      <c r="D53" s="138" t="str">
        <v>16Y</v>
      </c>
      <c r="E53" s="130" t="s">
        <v>15</v>
      </c>
      <c r="F53" s="137" t="s">
        <v>16</v>
      </c>
      <c r="G53" s="130" t="s">
        <v>17</v>
      </c>
      <c r="H53" s="139">
        <v>1.47678241E-2</v>
      </c>
      <c r="I53" s="105" t="str">
        <f>_xll.qlSwapRateHelper2(,$H53,,$D53,Calendar,$F53,$E53,$G53,$I$20,0,C53,Discounting,Permanent,Trigger,ObjectOverwrite)</f>
        <v>obj_00090#0005</v>
      </c>
      <c r="J53" s="133" t="b">
        <f t="shared" si="12"/>
        <v>1</v>
      </c>
      <c r="L53" s="24" t="str">
        <f t="shared" si="8"/>
        <v>Sw</v>
      </c>
      <c r="M53" s="24" t="str">
        <f t="shared" si="9"/>
        <v>19Y</v>
      </c>
      <c r="N53" s="24" t="str">
        <f t="shared" si="10"/>
        <v>obj_00089#0005</v>
      </c>
      <c r="O53" s="24" t="b">
        <f t="shared" si="11"/>
        <v>1</v>
      </c>
      <c r="P53" s="14" t="str">
        <v>Sw</v>
      </c>
      <c r="Q53" s="14" t="str">
        <v>28Y</v>
      </c>
      <c r="R53" s="14" t="str">
        <v>obj_00053#0005</v>
      </c>
      <c r="S53" s="117">
        <f>_xll.qlRateHelperRate(R53,Trigger)</f>
        <v>1.6685722640000001E-2</v>
      </c>
      <c r="T53" s="15">
        <f>_xll.qlRateHelperEarliestDate(R53,Trigger)</f>
        <v>42201</v>
      </c>
      <c r="U53" s="15">
        <f>_xll.qlRateHelperLatestDate(R53,Trigger)</f>
        <v>52428</v>
      </c>
      <c r="V53" s="155">
        <v>0.61822235549070403</v>
      </c>
    </row>
    <row r="54" spans="1:22" ht="11.25" customHeight="1" x14ac:dyDescent="0.2">
      <c r="A54" s="107" t="s">
        <v>45</v>
      </c>
      <c r="B54" s="137"/>
      <c r="C54" s="137" t="s">
        <v>14</v>
      </c>
      <c r="D54" s="138" t="str">
        <v>17Y</v>
      </c>
      <c r="E54" s="130" t="s">
        <v>15</v>
      </c>
      <c r="F54" s="137" t="s">
        <v>16</v>
      </c>
      <c r="G54" s="130" t="s">
        <v>17</v>
      </c>
      <c r="H54" s="139">
        <v>1.519116911E-2</v>
      </c>
      <c r="I54" s="105" t="str">
        <f>_xll.qlSwapRateHelper2(,$H54,,$D54,Calendar,$F54,$E54,$G54,$I$20,0,C54,Discounting,Permanent,Trigger,ObjectOverwrite)</f>
        <v>obj_00043#0005</v>
      </c>
      <c r="J54" s="133" t="b">
        <f t="shared" si="12"/>
        <v>1</v>
      </c>
      <c r="L54" s="24" t="str">
        <f t="shared" si="8"/>
        <v>Sw</v>
      </c>
      <c r="M54" s="24" t="str">
        <f t="shared" si="9"/>
        <v>20Y</v>
      </c>
      <c r="N54" s="24" t="str">
        <f t="shared" si="10"/>
        <v>obj_0004c#0005</v>
      </c>
      <c r="O54" s="24" t="b">
        <f t="shared" si="11"/>
        <v>1</v>
      </c>
      <c r="P54" s="14" t="str">
        <v>Sw</v>
      </c>
      <c r="Q54" s="14" t="str">
        <v>29Y</v>
      </c>
      <c r="R54" s="14" t="str">
        <v>obj_0009a#0005</v>
      </c>
      <c r="S54" s="117">
        <f>_xll.qlRateHelperRate(R54,Trigger)</f>
        <v>1.6722231430000001E-2</v>
      </c>
      <c r="T54" s="15">
        <f>_xll.qlRateHelperEarliestDate(R54,Trigger)</f>
        <v>42201</v>
      </c>
      <c r="U54" s="15">
        <f>_xll.qlRateHelperLatestDate(R54,Trigger)</f>
        <v>52796</v>
      </c>
      <c r="V54" s="155">
        <v>0.60717342677255748</v>
      </c>
    </row>
    <row r="55" spans="1:22" ht="11.25" customHeight="1" x14ac:dyDescent="0.2">
      <c r="A55" s="107" t="s">
        <v>45</v>
      </c>
      <c r="B55" s="137"/>
      <c r="C55" s="137" t="s">
        <v>14</v>
      </c>
      <c r="D55" s="138" t="str">
        <v>18Y</v>
      </c>
      <c r="E55" s="130" t="s">
        <v>15</v>
      </c>
      <c r="F55" s="137" t="s">
        <v>16</v>
      </c>
      <c r="G55" s="130" t="s">
        <v>17</v>
      </c>
      <c r="H55" s="139">
        <v>1.554234857E-2</v>
      </c>
      <c r="I55" s="105" t="str">
        <f>_xll.qlSwapRateHelper2(,$H55,,$D55,Calendar,$F55,$E55,$G55,$I$20,0,C55,Discounting,Permanent,Trigger,ObjectOverwrite)</f>
        <v>obj_00034#0005</v>
      </c>
      <c r="J55" s="133" t="b">
        <f t="shared" si="12"/>
        <v>1</v>
      </c>
      <c r="L55" s="24" t="str">
        <f t="shared" si="8"/>
        <v>Sw</v>
      </c>
      <c r="M55" s="24" t="str">
        <f t="shared" si="9"/>
        <v>21Y</v>
      </c>
      <c r="N55" s="24" t="str">
        <f t="shared" si="10"/>
        <v>obj_00045#0005</v>
      </c>
      <c r="O55" s="24" t="b">
        <f t="shared" si="11"/>
        <v>1</v>
      </c>
      <c r="P55" s="14" t="str">
        <v>Sw</v>
      </c>
      <c r="Q55" s="14" t="str">
        <v>30Y</v>
      </c>
      <c r="R55" s="14" t="str">
        <v>obj_0009e#0005</v>
      </c>
      <c r="S55" s="117">
        <f>_xll.qlRateHelperRate(R55,Trigger)</f>
        <v>1.6760000000000001E-2</v>
      </c>
      <c r="T55" s="15">
        <f>_xll.qlRateHelperEarliestDate(R55,Trigger)</f>
        <v>42201</v>
      </c>
      <c r="U55" s="15">
        <f>_xll.qlRateHelperLatestDate(R55,Trigger)</f>
        <v>53160</v>
      </c>
      <c r="V55" s="155">
        <v>0.59632652471798908</v>
      </c>
    </row>
    <row r="56" spans="1:22" ht="11.25" customHeight="1" x14ac:dyDescent="0.2">
      <c r="A56" s="107" t="s">
        <v>45</v>
      </c>
      <c r="B56" s="137"/>
      <c r="C56" s="137" t="s">
        <v>14</v>
      </c>
      <c r="D56" s="138" t="str">
        <v>19Y</v>
      </c>
      <c r="E56" s="130" t="s">
        <v>15</v>
      </c>
      <c r="F56" s="137" t="s">
        <v>16</v>
      </c>
      <c r="G56" s="130" t="s">
        <v>17</v>
      </c>
      <c r="H56" s="139">
        <v>1.5826031510000001E-2</v>
      </c>
      <c r="I56" s="105" t="str">
        <f>_xll.qlSwapRateHelper2(,$H56,,$D56,Calendar,$F56,$E56,$G56,$I$20,0,C56,Discounting,Permanent,Trigger,ObjectOverwrite)</f>
        <v>obj_00089#0005</v>
      </c>
      <c r="J56" s="133" t="b">
        <f t="shared" si="12"/>
        <v>1</v>
      </c>
      <c r="L56" s="24" t="str">
        <f t="shared" si="8"/>
        <v>Sw</v>
      </c>
      <c r="M56" s="24" t="str">
        <f t="shared" si="9"/>
        <v>22Y</v>
      </c>
      <c r="N56" s="24" t="str">
        <f t="shared" si="10"/>
        <v>obj_000a3#0005</v>
      </c>
      <c r="O56" s="24" t="b">
        <f t="shared" si="11"/>
        <v>1</v>
      </c>
      <c r="P56" s="14" t="str">
        <v>Sw</v>
      </c>
      <c r="Q56" s="14" t="str">
        <v>31Y</v>
      </c>
      <c r="R56" s="14" t="str">
        <v>obj_000a2#0005</v>
      </c>
      <c r="S56" s="117">
        <f>_xll.qlRateHelperRate(R56,Trigger)</f>
        <v>1.6801919960000002E-2</v>
      </c>
      <c r="T56" s="15">
        <f>_xll.qlRateHelperEarliestDate(R56,Trigger)</f>
        <v>42201</v>
      </c>
      <c r="U56" s="15">
        <f>_xll.qlRateHelperLatestDate(R56,Trigger)</f>
        <v>53524</v>
      </c>
      <c r="V56" s="155">
        <v>0.58550961536312074</v>
      </c>
    </row>
    <row r="57" spans="1:22" ht="11.25" customHeight="1" x14ac:dyDescent="0.2">
      <c r="A57" s="107" t="s">
        <v>45</v>
      </c>
      <c r="B57" s="137"/>
      <c r="C57" s="137" t="s">
        <v>14</v>
      </c>
      <c r="D57" s="138" t="str">
        <v>20Y</v>
      </c>
      <c r="E57" s="130" t="s">
        <v>15</v>
      </c>
      <c r="F57" s="137" t="s">
        <v>16</v>
      </c>
      <c r="G57" s="130" t="s">
        <v>17</v>
      </c>
      <c r="H57" s="139">
        <v>1.6049999999999998E-2</v>
      </c>
      <c r="I57" s="105" t="str">
        <f>_xll.qlSwapRateHelper2(,$H57,,$D57,Calendar,$F57,$E57,$G57,$I$20,0,C57,Discounting,Permanent,Trigger,ObjectOverwrite)</f>
        <v>obj_0004c#0005</v>
      </c>
      <c r="J57" s="133" t="b">
        <f t="shared" si="12"/>
        <v>1</v>
      </c>
      <c r="L57" s="24" t="str">
        <f t="shared" si="8"/>
        <v>Sw</v>
      </c>
      <c r="M57" s="24" t="str">
        <f t="shared" si="9"/>
        <v>23Y</v>
      </c>
      <c r="N57" s="24" t="str">
        <f t="shared" si="10"/>
        <v>obj_00087#0005</v>
      </c>
      <c r="O57" s="24" t="b">
        <f t="shared" si="11"/>
        <v>1</v>
      </c>
      <c r="P57" s="14" t="str">
        <v>Sw</v>
      </c>
      <c r="Q57" s="14" t="str">
        <v>32Y</v>
      </c>
      <c r="R57" s="14" t="str">
        <v>obj_00088#0005</v>
      </c>
      <c r="S57" s="117">
        <f>_xll.qlRateHelperRate(R57,Trigger)</f>
        <v>1.6846035669999999E-2</v>
      </c>
      <c r="T57" s="15">
        <f>_xll.qlRateHelperEarliestDate(R57,Trigger)</f>
        <v>42201</v>
      </c>
      <c r="U57" s="15">
        <f>_xll.qlRateHelperLatestDate(R57,Trigger)</f>
        <v>53889</v>
      </c>
      <c r="V57" s="155">
        <v>0.57474086296007254</v>
      </c>
    </row>
    <row r="58" spans="1:22" ht="11.25" customHeight="1" x14ac:dyDescent="0.2">
      <c r="A58" s="107" t="s">
        <v>45</v>
      </c>
      <c r="B58" s="137"/>
      <c r="C58" s="137" t="s">
        <v>14</v>
      </c>
      <c r="D58" s="138" t="str">
        <v>21Y</v>
      </c>
      <c r="E58" s="130" t="s">
        <v>15</v>
      </c>
      <c r="F58" s="137" t="s">
        <v>16</v>
      </c>
      <c r="G58" s="130" t="s">
        <v>17</v>
      </c>
      <c r="H58" s="139">
        <v>1.6222346620000001E-2</v>
      </c>
      <c r="I58" s="105" t="str">
        <f>_xll.qlSwapRateHelper2(,$H58,,$D58,Calendar,$F58,$E58,$G58,$I$20,0,C58,Discounting,Permanent,Trigger,ObjectOverwrite)</f>
        <v>obj_00045#0005</v>
      </c>
      <c r="J58" s="133" t="b">
        <f t="shared" si="12"/>
        <v>1</v>
      </c>
      <c r="L58" s="24" t="str">
        <f t="shared" si="8"/>
        <v>Sw</v>
      </c>
      <c r="M58" s="24" t="str">
        <f t="shared" si="9"/>
        <v>24Y</v>
      </c>
      <c r="N58" s="24" t="str">
        <f t="shared" si="10"/>
        <v>obj_0003b#0005</v>
      </c>
      <c r="O58" s="24" t="b">
        <f t="shared" si="11"/>
        <v>1</v>
      </c>
      <c r="P58" s="14" t="str">
        <v>Sw</v>
      </c>
      <c r="Q58" s="14" t="str">
        <v>33Y</v>
      </c>
      <c r="R58" s="14" t="str">
        <v>obj_0009c#0005</v>
      </c>
      <c r="S58" s="117">
        <f>_xll.qlRateHelperRate(R58,Trigger)</f>
        <v>1.6890808269999998E-2</v>
      </c>
      <c r="T58" s="15">
        <f>_xll.qlRateHelperEarliestDate(R58,Trigger)</f>
        <v>42201</v>
      </c>
      <c r="U58" s="15">
        <f>_xll.qlRateHelperLatestDate(R58,Trigger)</f>
        <v>54255</v>
      </c>
      <c r="V58" s="155">
        <v>0.56408326655652463</v>
      </c>
    </row>
    <row r="59" spans="1:22" ht="11.25" customHeight="1" x14ac:dyDescent="0.2">
      <c r="A59" s="107" t="s">
        <v>45</v>
      </c>
      <c r="B59" s="137"/>
      <c r="C59" s="137" t="s">
        <v>14</v>
      </c>
      <c r="D59" s="138" t="str">
        <v>22Y</v>
      </c>
      <c r="E59" s="130" t="s">
        <v>15</v>
      </c>
      <c r="F59" s="137" t="s">
        <v>16</v>
      </c>
      <c r="G59" s="130" t="s">
        <v>17</v>
      </c>
      <c r="H59" s="139">
        <v>1.63492015E-2</v>
      </c>
      <c r="I59" s="105" t="str">
        <f>_xll.qlSwapRateHelper2(,$H59,,$D59,Calendar,$F59,$E59,$G59,$I$20,0,C59,Discounting,Permanent,Trigger,ObjectOverwrite)</f>
        <v>obj_000a3#0005</v>
      </c>
      <c r="J59" s="133" t="b">
        <f t="shared" si="12"/>
        <v>1</v>
      </c>
      <c r="L59" s="24" t="str">
        <f t="shared" si="8"/>
        <v>Sw</v>
      </c>
      <c r="M59" s="24" t="str">
        <f t="shared" si="9"/>
        <v>25Y</v>
      </c>
      <c r="N59" s="24" t="str">
        <f t="shared" si="10"/>
        <v>obj_00065#0005</v>
      </c>
      <c r="O59" s="24" t="b">
        <f t="shared" si="11"/>
        <v>1</v>
      </c>
      <c r="P59" s="14" t="str">
        <v>Sw</v>
      </c>
      <c r="Q59" s="14" t="str">
        <v>34Y</v>
      </c>
      <c r="R59" s="14" t="str">
        <v>obj_000a6#0005</v>
      </c>
      <c r="S59" s="117">
        <f>_xll.qlRateHelperRate(R59,Trigger)</f>
        <v>1.6931710529999998E-2</v>
      </c>
      <c r="T59" s="15">
        <f>_xll.qlRateHelperEarliestDate(R59,Trigger)</f>
        <v>42201</v>
      </c>
      <c r="U59" s="15">
        <f>_xll.qlRateHelperLatestDate(R59,Trigger)</f>
        <v>54620</v>
      </c>
      <c r="V59" s="155">
        <v>0.55365291050756527</v>
      </c>
    </row>
    <row r="60" spans="1:22" ht="11.25" customHeight="1" x14ac:dyDescent="0.2">
      <c r="A60" s="107" t="s">
        <v>45</v>
      </c>
      <c r="B60" s="137"/>
      <c r="C60" s="137" t="s">
        <v>14</v>
      </c>
      <c r="D60" s="138" t="str">
        <v>23Y</v>
      </c>
      <c r="E60" s="130" t="s">
        <v>15</v>
      </c>
      <c r="F60" s="137" t="s">
        <v>16</v>
      </c>
      <c r="G60" s="130" t="s">
        <v>17</v>
      </c>
      <c r="H60" s="139">
        <v>1.6443572529999999E-2</v>
      </c>
      <c r="I60" s="105" t="str">
        <f>_xll.qlSwapRateHelper2(,$H60,,$D60,Calendar,$F60,$E60,$G60,$I$20,0,C60,Discounting,Permanent,Trigger,ObjectOverwrite)</f>
        <v>obj_00087#0005</v>
      </c>
      <c r="J60" s="133" t="b">
        <f t="shared" si="12"/>
        <v>1</v>
      </c>
      <c r="L60" s="24" t="str">
        <f t="shared" si="8"/>
        <v>Sw</v>
      </c>
      <c r="M60" s="24" t="str">
        <f t="shared" si="9"/>
        <v>26Y</v>
      </c>
      <c r="N60" s="24" t="str">
        <f t="shared" si="10"/>
        <v>obj_00083#0005</v>
      </c>
      <c r="O60" s="24" t="b">
        <f t="shared" si="11"/>
        <v>1</v>
      </c>
      <c r="P60" s="14" t="str">
        <v>Sw</v>
      </c>
      <c r="Q60" s="14" t="str">
        <v>35Y</v>
      </c>
      <c r="R60" s="14" t="str">
        <v>obj_000a7#0005</v>
      </c>
      <c r="S60" s="117">
        <f>_xll.qlRateHelperRate(R60,Trigger)</f>
        <v>1.6968164859999999E-2</v>
      </c>
      <c r="T60" s="15">
        <f>_xll.qlRateHelperEarliestDate(R60,Trigger)</f>
        <v>42201</v>
      </c>
      <c r="U60" s="15">
        <f>_xll.qlRateHelperLatestDate(R60,Trigger)</f>
        <v>54987</v>
      </c>
      <c r="V60" s="155">
        <v>0.54341871540909858</v>
      </c>
    </row>
    <row r="61" spans="1:22" ht="11.25" customHeight="1" x14ac:dyDescent="0.2">
      <c r="A61" s="107" t="s">
        <v>45</v>
      </c>
      <c r="B61" s="137"/>
      <c r="C61" s="137" t="s">
        <v>14</v>
      </c>
      <c r="D61" s="138" t="str">
        <v>24Y</v>
      </c>
      <c r="E61" s="130" t="s">
        <v>15</v>
      </c>
      <c r="F61" s="137" t="s">
        <v>16</v>
      </c>
      <c r="G61" s="130" t="s">
        <v>17</v>
      </c>
      <c r="H61" s="139">
        <v>1.6514554809999998E-2</v>
      </c>
      <c r="I61" s="105" t="str">
        <f>_xll.qlSwapRateHelper2(,$H61,,$D61,Calendar,$F61,$E61,$G61,$I$20,0,C61,Discounting,Permanent,Trigger,ObjectOverwrite)</f>
        <v>obj_0003b#0005</v>
      </c>
      <c r="J61" s="133" t="b">
        <f t="shared" si="12"/>
        <v>1</v>
      </c>
      <c r="L61" s="24" t="str">
        <f t="shared" si="8"/>
        <v>Sw</v>
      </c>
      <c r="M61" s="24" t="str">
        <f t="shared" si="9"/>
        <v>27Y</v>
      </c>
      <c r="N61" s="24" t="str">
        <f t="shared" si="10"/>
        <v>obj_0006d#0005</v>
      </c>
      <c r="O61" s="24" t="b">
        <f t="shared" si="11"/>
        <v>1</v>
      </c>
      <c r="P61" s="14" t="str">
        <v>Sw</v>
      </c>
      <c r="Q61" s="14" t="str">
        <v>36Y</v>
      </c>
      <c r="R61" s="14" t="str">
        <v>obj_0006a#0005</v>
      </c>
      <c r="S61" s="117">
        <f>_xll.qlRateHelperRate(R61,Trigger)</f>
        <v>1.6998060969999999E-2</v>
      </c>
      <c r="T61" s="15">
        <f>_xll.qlRateHelperEarliestDate(R61,Trigger)</f>
        <v>42201</v>
      </c>
      <c r="U61" s="15">
        <f>_xll.qlRateHelperLatestDate(R61,Trigger)</f>
        <v>55351</v>
      </c>
      <c r="V61" s="155">
        <v>0.53356947946603672</v>
      </c>
    </row>
    <row r="62" spans="1:22" ht="11.25" customHeight="1" x14ac:dyDescent="0.2">
      <c r="A62" s="107" t="s">
        <v>45</v>
      </c>
      <c r="B62" s="137"/>
      <c r="C62" s="137" t="s">
        <v>14</v>
      </c>
      <c r="D62" s="138" t="str">
        <v>25Y</v>
      </c>
      <c r="E62" s="130" t="s">
        <v>15</v>
      </c>
      <c r="F62" s="137" t="s">
        <v>16</v>
      </c>
      <c r="G62" s="130" t="s">
        <v>17</v>
      </c>
      <c r="H62" s="139">
        <v>1.6570000000000001E-2</v>
      </c>
      <c r="I62" s="105" t="str">
        <f>_xll.qlSwapRateHelper2(,$H62,,$D62,Calendar,$F62,$E62,$G62,$I$20,0,C62,Discounting,Permanent,Trigger,ObjectOverwrite)</f>
        <v>obj_00065#0005</v>
      </c>
      <c r="J62" s="133" t="b">
        <f t="shared" si="12"/>
        <v>1</v>
      </c>
      <c r="L62" s="24" t="str">
        <f t="shared" si="8"/>
        <v>Sw</v>
      </c>
      <c r="M62" s="24" t="str">
        <f t="shared" si="9"/>
        <v>28Y</v>
      </c>
      <c r="N62" s="24" t="str">
        <f t="shared" si="10"/>
        <v>obj_00053#0005</v>
      </c>
      <c r="O62" s="24" t="b">
        <f t="shared" si="11"/>
        <v>1</v>
      </c>
      <c r="P62" s="14" t="str">
        <v>Sw</v>
      </c>
      <c r="Q62" s="14" t="str">
        <v>37Y</v>
      </c>
      <c r="R62" s="14" t="str">
        <v>obj_00066#0005</v>
      </c>
      <c r="S62" s="117">
        <f>_xll.qlRateHelperRate(R62,Trigger)</f>
        <v>1.7021216419999999E-2</v>
      </c>
      <c r="T62" s="15">
        <f>_xll.qlRateHelperEarliestDate(R62,Trigger)</f>
        <v>42201</v>
      </c>
      <c r="U62" s="15">
        <f>_xll.qlRateHelperLatestDate(R62,Trigger)</f>
        <v>55716</v>
      </c>
      <c r="V62" s="155">
        <v>0.52403952989678082</v>
      </c>
    </row>
    <row r="63" spans="1:22" ht="11.25" customHeight="1" x14ac:dyDescent="0.2">
      <c r="A63" s="107" t="s">
        <v>45</v>
      </c>
      <c r="B63" s="137"/>
      <c r="C63" s="137" t="s">
        <v>14</v>
      </c>
      <c r="D63" s="138" t="str">
        <v>26Y</v>
      </c>
      <c r="E63" s="130" t="s">
        <v>15</v>
      </c>
      <c r="F63" s="137" t="s">
        <v>16</v>
      </c>
      <c r="G63" s="130" t="s">
        <v>17</v>
      </c>
      <c r="H63" s="139">
        <v>1.6613597980000002E-2</v>
      </c>
      <c r="I63" s="105" t="str">
        <f>_xll.qlSwapRateHelper2(,$H63,,$D63,Calendar,$F63,$E63,$G63,$I$20,0,C63,Discounting,Permanent,Trigger,ObjectOverwrite)</f>
        <v>obj_00083#0005</v>
      </c>
      <c r="J63" s="133" t="b">
        <f t="shared" si="12"/>
        <v>1</v>
      </c>
      <c r="L63" s="24" t="str">
        <f t="shared" si="8"/>
        <v>Sw</v>
      </c>
      <c r="M63" s="24" t="str">
        <f t="shared" si="9"/>
        <v>29Y</v>
      </c>
      <c r="N63" s="24" t="str">
        <f t="shared" si="10"/>
        <v>obj_0009a#0005</v>
      </c>
      <c r="O63" s="24" t="b">
        <f t="shared" si="11"/>
        <v>1</v>
      </c>
      <c r="P63" s="14" t="str">
        <v>Sw</v>
      </c>
      <c r="Q63" s="14" t="str">
        <v>38Y</v>
      </c>
      <c r="R63" s="14" t="str">
        <v>obj_0004d#0005</v>
      </c>
      <c r="S63" s="117">
        <f>_xll.qlRateHelperRate(R63,Trigger)</f>
        <v>1.7034509180000001E-2</v>
      </c>
      <c r="T63" s="15">
        <f>_xll.qlRateHelperEarliestDate(R63,Trigger)</f>
        <v>42201</v>
      </c>
      <c r="U63" s="15">
        <f>_xll.qlRateHelperLatestDate(R63,Trigger)</f>
        <v>56081</v>
      </c>
      <c r="V63" s="155">
        <v>0.51489729538136364</v>
      </c>
    </row>
    <row r="64" spans="1:22" ht="11.25" customHeight="1" x14ac:dyDescent="0.2">
      <c r="A64" s="107" t="s">
        <v>45</v>
      </c>
      <c r="B64" s="137"/>
      <c r="C64" s="137" t="s">
        <v>14</v>
      </c>
      <c r="D64" s="138" t="str">
        <v>27Y</v>
      </c>
      <c r="E64" s="130" t="s">
        <v>15</v>
      </c>
      <c r="F64" s="137" t="s">
        <v>16</v>
      </c>
      <c r="G64" s="130" t="s">
        <v>17</v>
      </c>
      <c r="H64" s="139">
        <v>1.6650999499999999E-2</v>
      </c>
      <c r="I64" s="105" t="str">
        <f>_xll.qlSwapRateHelper2(,$H64,,$D64,Calendar,$F64,$E64,$G64,$I$20,0,C64,Discounting,Permanent,Trigger,ObjectOverwrite)</f>
        <v>obj_0006d#0005</v>
      </c>
      <c r="J64" s="133" t="b">
        <f t="shared" si="12"/>
        <v>1</v>
      </c>
      <c r="L64" s="24" t="str">
        <f t="shared" si="8"/>
        <v>Sw</v>
      </c>
      <c r="M64" s="24" t="str">
        <f t="shared" si="9"/>
        <v>30Y</v>
      </c>
      <c r="N64" s="24" t="str">
        <f t="shared" si="10"/>
        <v>obj_0009e#0005</v>
      </c>
      <c r="O64" s="24" t="b">
        <f t="shared" si="11"/>
        <v>1</v>
      </c>
      <c r="P64" s="14" t="str">
        <v>Sw</v>
      </c>
      <c r="Q64" s="14" t="str">
        <v>39Y</v>
      </c>
      <c r="R64" s="14" t="str">
        <v>obj_0009d#0005</v>
      </c>
      <c r="S64" s="117">
        <f>_xll.qlRateHelperRate(R64,Trigger)</f>
        <v>1.7037755469999999E-2</v>
      </c>
      <c r="T64" s="15">
        <f>_xll.qlRateHelperEarliestDate(R64,Trigger)</f>
        <v>42201</v>
      </c>
      <c r="U64" s="15">
        <f>_xll.qlRateHelperLatestDate(R64,Trigger)</f>
        <v>56446</v>
      </c>
      <c r="V64" s="155">
        <v>0.50618068377161163</v>
      </c>
    </row>
    <row r="65" spans="1:22" ht="11.25" customHeight="1" x14ac:dyDescent="0.2">
      <c r="A65" s="107" t="s">
        <v>45</v>
      </c>
      <c r="B65" s="137"/>
      <c r="C65" s="137" t="s">
        <v>14</v>
      </c>
      <c r="D65" s="138" t="str">
        <v>28Y</v>
      </c>
      <c r="E65" s="130" t="s">
        <v>15</v>
      </c>
      <c r="F65" s="137" t="s">
        <v>16</v>
      </c>
      <c r="G65" s="130" t="s">
        <v>17</v>
      </c>
      <c r="H65" s="139">
        <v>1.6685722640000001E-2</v>
      </c>
      <c r="I65" s="105" t="str">
        <f>_xll.qlSwapRateHelper2(,$H65,,$D65,Calendar,$F65,$E65,$G65,$I$20,0,C65,Discounting,Permanent,Trigger,ObjectOverwrite)</f>
        <v>obj_00053#0005</v>
      </c>
      <c r="J65" s="133" t="b">
        <f t="shared" si="12"/>
        <v>1</v>
      </c>
      <c r="L65" s="24" t="str">
        <f t="shared" si="8"/>
        <v>Sw</v>
      </c>
      <c r="M65" s="24" t="str">
        <f t="shared" si="9"/>
        <v>31Y</v>
      </c>
      <c r="N65" s="24" t="str">
        <f t="shared" si="10"/>
        <v>obj_000a2#0005</v>
      </c>
      <c r="O65" s="24" t="b">
        <f t="shared" si="11"/>
        <v>1</v>
      </c>
      <c r="P65" s="14" t="str">
        <v>Sw</v>
      </c>
      <c r="Q65" s="14" t="str">
        <v>40Y</v>
      </c>
      <c r="R65" s="14" t="str">
        <v>obj_000a1#0005</v>
      </c>
      <c r="S65" s="117">
        <f>_xll.qlRateHelperRate(R65,Trigger)</f>
        <v>1.703E-2</v>
      </c>
      <c r="T65" s="15">
        <f>_xll.qlRateHelperEarliestDate(R65,Trigger)</f>
        <v>42201</v>
      </c>
      <c r="U65" s="15">
        <f>_xll.qlRateHelperLatestDate(R65,Trigger)</f>
        <v>56811</v>
      </c>
      <c r="V65" s="155">
        <v>0.49792536040493984</v>
      </c>
    </row>
    <row r="66" spans="1:22" ht="11.25" customHeight="1" x14ac:dyDescent="0.2">
      <c r="A66" s="107" t="s">
        <v>45</v>
      </c>
      <c r="B66" s="137"/>
      <c r="C66" s="137" t="s">
        <v>14</v>
      </c>
      <c r="D66" s="138" t="str">
        <v>29Y</v>
      </c>
      <c r="E66" s="130" t="s">
        <v>15</v>
      </c>
      <c r="F66" s="137" t="s">
        <v>16</v>
      </c>
      <c r="G66" s="130" t="s">
        <v>17</v>
      </c>
      <c r="H66" s="139">
        <v>1.6722231430000001E-2</v>
      </c>
      <c r="I66" s="105" t="str">
        <f>_xll.qlSwapRateHelper2(,$H66,,$D66,Calendar,$F66,$E66,$G66,$I$20,0,C66,Discounting,Permanent,Trigger,ObjectOverwrite)</f>
        <v>obj_0009a#0005</v>
      </c>
      <c r="J66" s="133" t="b">
        <f t="shared" si="12"/>
        <v>1</v>
      </c>
      <c r="L66" s="24" t="str">
        <f t="shared" si="8"/>
        <v>Sw</v>
      </c>
      <c r="M66" s="24" t="str">
        <f t="shared" si="9"/>
        <v>32Y</v>
      </c>
      <c r="N66" s="24" t="str">
        <f t="shared" si="10"/>
        <v>obj_00088#0005</v>
      </c>
      <c r="O66" s="24" t="b">
        <f t="shared" si="11"/>
        <v>1</v>
      </c>
      <c r="P66" s="14" t="str">
        <v>Sw</v>
      </c>
      <c r="Q66" s="14" t="str">
        <v>50Y</v>
      </c>
      <c r="R66" s="14" t="str">
        <v>obj_0002f#0005</v>
      </c>
      <c r="S66" s="117">
        <f>_xll.qlRateHelperRate(R66,Trigger)</f>
        <v>1.668E-2</v>
      </c>
      <c r="T66" s="15">
        <f>_xll.qlRateHelperEarliestDate(R66,Trigger)</f>
        <v>42201</v>
      </c>
      <c r="U66" s="15">
        <f>_xll.qlRateHelperLatestDate(R66,Trigger)</f>
        <v>60464</v>
      </c>
      <c r="V66" s="155">
        <v>0.43145466399056648</v>
      </c>
    </row>
    <row r="67" spans="1:22" ht="11.25" customHeight="1" x14ac:dyDescent="0.2">
      <c r="A67" s="107" t="s">
        <v>45</v>
      </c>
      <c r="B67" s="137"/>
      <c r="C67" s="137" t="s">
        <v>14</v>
      </c>
      <c r="D67" s="138" t="str">
        <v>30Y</v>
      </c>
      <c r="E67" s="130" t="s">
        <v>15</v>
      </c>
      <c r="F67" s="137" t="s">
        <v>16</v>
      </c>
      <c r="G67" s="130" t="s">
        <v>17</v>
      </c>
      <c r="H67" s="139">
        <v>1.6760000000000001E-2</v>
      </c>
      <c r="I67" s="105" t="str">
        <f>_xll.qlSwapRateHelper2(,$H67,,$D67,Calendar,$F67,$E67,$G67,$I$20,0,C67,Discounting,Permanent,Trigger,ObjectOverwrite)</f>
        <v>obj_0009e#0005</v>
      </c>
      <c r="J67" s="133" t="b">
        <f t="shared" ref="J67:J85" si="13">IF(ISERROR(I67),FALSE,TRUE)</f>
        <v>1</v>
      </c>
      <c r="L67" s="24" t="str">
        <f t="shared" si="8"/>
        <v>Sw</v>
      </c>
      <c r="M67" s="24" t="str">
        <f t="shared" si="9"/>
        <v>33Y</v>
      </c>
      <c r="N67" s="24" t="str">
        <f t="shared" si="10"/>
        <v>obj_0009c#0005</v>
      </c>
      <c r="O67" s="24" t="b">
        <f t="shared" si="11"/>
        <v>1</v>
      </c>
      <c r="P67" s="14" t="str">
        <v>Sw</v>
      </c>
      <c r="Q67" s="14" t="str">
        <v>60Y</v>
      </c>
      <c r="R67" s="14" t="str">
        <v>obj_00095#0005</v>
      </c>
      <c r="S67" s="117">
        <f>_xll.qlRateHelperRate(R67,Trigger)</f>
        <v>1.6590000000000001E-2</v>
      </c>
      <c r="T67" s="15">
        <f>_xll.qlRateHelperEarliestDate(R67,Trigger)</f>
        <v>42201</v>
      </c>
      <c r="U67" s="15">
        <f>_xll.qlRateHelperLatestDate(R67,Trigger)</f>
        <v>64116</v>
      </c>
      <c r="V67" s="155">
        <v>0.36875034822240094</v>
      </c>
    </row>
    <row r="68" spans="1:22" ht="11.25" customHeight="1" x14ac:dyDescent="0.2">
      <c r="A68" s="107" t="s">
        <v>45</v>
      </c>
      <c r="B68" s="137"/>
      <c r="C68" s="137" t="s">
        <v>14</v>
      </c>
      <c r="D68" s="138" t="str">
        <v>31Y</v>
      </c>
      <c r="E68" s="130" t="s">
        <v>15</v>
      </c>
      <c r="F68" s="137" t="s">
        <v>16</v>
      </c>
      <c r="G68" s="130" t="s">
        <v>17</v>
      </c>
      <c r="H68" s="139">
        <v>1.6801919960000002E-2</v>
      </c>
      <c r="I68" s="105" t="str">
        <f>_xll.qlSwapRateHelper2(,$H68,,$D68,Calendar,$F68,$E68,$G68,$I$20,0,C68,Discounting,Permanent,Trigger,ObjectOverwrite)</f>
        <v>obj_000a2#0005</v>
      </c>
      <c r="J68" s="133" t="b">
        <f t="shared" si="13"/>
        <v>1</v>
      </c>
      <c r="L68" s="24" t="str">
        <f t="shared" si="8"/>
        <v>Sw</v>
      </c>
      <c r="M68" s="24" t="str">
        <f t="shared" si="9"/>
        <v>34Y</v>
      </c>
      <c r="N68" s="24" t="str">
        <f t="shared" si="10"/>
        <v>obj_000a6#0005</v>
      </c>
      <c r="O68" s="24" t="b">
        <f t="shared" si="11"/>
        <v>1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55" t="e">
        <v>#N/A</v>
      </c>
    </row>
    <row r="69" spans="1:22" ht="11.25" customHeight="1" x14ac:dyDescent="0.2">
      <c r="A69" s="107" t="s">
        <v>45</v>
      </c>
      <c r="B69" s="137"/>
      <c r="C69" s="137" t="s">
        <v>14</v>
      </c>
      <c r="D69" s="138" t="str">
        <v>32Y</v>
      </c>
      <c r="E69" s="130" t="s">
        <v>15</v>
      </c>
      <c r="F69" s="137" t="s">
        <v>16</v>
      </c>
      <c r="G69" s="130" t="s">
        <v>17</v>
      </c>
      <c r="H69" s="139">
        <v>1.6846035669999999E-2</v>
      </c>
      <c r="I69" s="105" t="str">
        <f>_xll.qlSwapRateHelper2(,$H69,,$D69,Calendar,$F69,$E69,$G69,$I$20,0,C69,Discounting,Permanent,Trigger,ObjectOverwrite)</f>
        <v>obj_00088#0005</v>
      </c>
      <c r="J69" s="133" t="b">
        <f t="shared" si="13"/>
        <v>1</v>
      </c>
      <c r="L69" s="24" t="str">
        <f t="shared" si="8"/>
        <v>Sw</v>
      </c>
      <c r="M69" s="24" t="str">
        <f t="shared" si="9"/>
        <v>35Y</v>
      </c>
      <c r="N69" s="24" t="str">
        <f t="shared" si="10"/>
        <v>obj_000a7#0005</v>
      </c>
      <c r="O69" s="24" t="b">
        <f t="shared" si="11"/>
        <v>1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55" t="e">
        <v>#N/A</v>
      </c>
    </row>
    <row r="70" spans="1:22" ht="11.25" customHeight="1" x14ac:dyDescent="0.2">
      <c r="A70" s="107" t="s">
        <v>45</v>
      </c>
      <c r="B70" s="137"/>
      <c r="C70" s="137" t="s">
        <v>14</v>
      </c>
      <c r="D70" s="138" t="str">
        <v>33Y</v>
      </c>
      <c r="E70" s="130" t="s">
        <v>15</v>
      </c>
      <c r="F70" s="137" t="s">
        <v>16</v>
      </c>
      <c r="G70" s="130" t="s">
        <v>17</v>
      </c>
      <c r="H70" s="139">
        <v>1.6890808269999998E-2</v>
      </c>
      <c r="I70" s="105" t="str">
        <f>_xll.qlSwapRateHelper2(,$H70,,$D70,Calendar,$F70,$E70,$G70,$I$20,0,C70,Discounting,Permanent,Trigger,ObjectOverwrite)</f>
        <v>obj_0009c#0005</v>
      </c>
      <c r="J70" s="133" t="b">
        <f t="shared" si="13"/>
        <v>1</v>
      </c>
      <c r="L70" s="24" t="str">
        <f t="shared" si="8"/>
        <v>Sw</v>
      </c>
      <c r="M70" s="24" t="str">
        <f t="shared" si="9"/>
        <v>36Y</v>
      </c>
      <c r="N70" s="24" t="str">
        <f t="shared" si="10"/>
        <v>obj_0006a#0005</v>
      </c>
      <c r="O70" s="24" t="b">
        <f t="shared" si="11"/>
        <v>1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55" t="e">
        <v>#N/A</v>
      </c>
    </row>
    <row r="71" spans="1:22" ht="11.25" customHeight="1" x14ac:dyDescent="0.2">
      <c r="A71" s="107" t="s">
        <v>45</v>
      </c>
      <c r="B71" s="137"/>
      <c r="C71" s="137" t="s">
        <v>14</v>
      </c>
      <c r="D71" s="138" t="str">
        <v>34Y</v>
      </c>
      <c r="E71" s="130" t="s">
        <v>15</v>
      </c>
      <c r="F71" s="137" t="s">
        <v>16</v>
      </c>
      <c r="G71" s="130" t="s">
        <v>17</v>
      </c>
      <c r="H71" s="139">
        <v>1.6931710529999998E-2</v>
      </c>
      <c r="I71" s="105" t="str">
        <f>_xll.qlSwapRateHelper2(,$H71,,$D71,Calendar,$F71,$E71,$G71,$I$20,0,C71,Discounting,Permanent,Trigger,ObjectOverwrite)</f>
        <v>obj_000a6#0005</v>
      </c>
      <c r="J71" s="133" t="b">
        <f t="shared" si="13"/>
        <v>1</v>
      </c>
      <c r="L71" s="24" t="str">
        <f t="shared" si="8"/>
        <v>Sw</v>
      </c>
      <c r="M71" s="24" t="str">
        <f t="shared" si="9"/>
        <v>37Y</v>
      </c>
      <c r="N71" s="24" t="str">
        <f t="shared" si="10"/>
        <v>obj_00066#0005</v>
      </c>
      <c r="O71" s="24" t="b">
        <f t="shared" si="11"/>
        <v>1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56" t="e">
        <v>#N/A</v>
      </c>
    </row>
    <row r="72" spans="1:22" ht="11.25" customHeight="1" x14ac:dyDescent="0.2">
      <c r="A72" s="107" t="s">
        <v>45</v>
      </c>
      <c r="B72" s="137"/>
      <c r="C72" s="137" t="s">
        <v>14</v>
      </c>
      <c r="D72" s="138" t="str">
        <v>35Y</v>
      </c>
      <c r="E72" s="130" t="s">
        <v>15</v>
      </c>
      <c r="F72" s="137" t="s">
        <v>16</v>
      </c>
      <c r="G72" s="130" t="s">
        <v>17</v>
      </c>
      <c r="H72" s="139">
        <v>1.6968164859999999E-2</v>
      </c>
      <c r="I72" s="105" t="str">
        <f>_xll.qlSwapRateHelper2(,$H72,,$D72,Calendar,$F72,$E72,$G72,$I$20,0,C72,Discounting,Permanent,Trigger,ObjectOverwrite)</f>
        <v>obj_000a7#0005</v>
      </c>
      <c r="J72" s="133" t="b">
        <f t="shared" si="13"/>
        <v>1</v>
      </c>
      <c r="L72" s="24" t="str">
        <f t="shared" si="8"/>
        <v>Sw</v>
      </c>
      <c r="M72" s="24" t="str">
        <f>D75</f>
        <v>38Y</v>
      </c>
      <c r="N72" s="24" t="str">
        <f t="shared" si="10"/>
        <v>obj_0004d#0005</v>
      </c>
      <c r="O72" s="24" t="b">
        <f t="shared" si="11"/>
        <v>1</v>
      </c>
    </row>
    <row r="73" spans="1:22" ht="11.25" customHeight="1" x14ac:dyDescent="0.2">
      <c r="A73" s="107" t="s">
        <v>45</v>
      </c>
      <c r="B73" s="137"/>
      <c r="C73" s="137" t="s">
        <v>14</v>
      </c>
      <c r="D73" s="138" t="str">
        <v>36Y</v>
      </c>
      <c r="E73" s="130" t="s">
        <v>15</v>
      </c>
      <c r="F73" s="137" t="s">
        <v>16</v>
      </c>
      <c r="G73" s="130" t="s">
        <v>17</v>
      </c>
      <c r="H73" s="139">
        <v>1.6998060969999999E-2</v>
      </c>
      <c r="I73" s="105" t="str">
        <f>_xll.qlSwapRateHelper2(,$H73,,$D73,Calendar,$F73,$E73,$G73,$I$20,0,C73,Discounting,Permanent,Trigger,ObjectOverwrite)</f>
        <v>obj_0006a#0005</v>
      </c>
      <c r="J73" s="133" t="b">
        <f t="shared" si="13"/>
        <v>1</v>
      </c>
      <c r="L73" s="24" t="str">
        <f t="shared" si="8"/>
        <v>Sw</v>
      </c>
      <c r="M73" s="24" t="str">
        <f t="shared" si="9"/>
        <v>39Y</v>
      </c>
      <c r="N73" s="24" t="str">
        <f t="shared" si="10"/>
        <v>obj_0009d#0005</v>
      </c>
      <c r="O73" s="24" t="b">
        <f t="shared" si="11"/>
        <v>1</v>
      </c>
    </row>
    <row r="74" spans="1:22" ht="11.25" customHeight="1" x14ac:dyDescent="0.2">
      <c r="A74" s="107" t="s">
        <v>45</v>
      </c>
      <c r="B74" s="137"/>
      <c r="C74" s="137" t="s">
        <v>14</v>
      </c>
      <c r="D74" s="138" t="str">
        <v>37Y</v>
      </c>
      <c r="E74" s="130" t="s">
        <v>15</v>
      </c>
      <c r="F74" s="137" t="s">
        <v>16</v>
      </c>
      <c r="G74" s="130" t="s">
        <v>17</v>
      </c>
      <c r="H74" s="139">
        <v>1.7021216419999999E-2</v>
      </c>
      <c r="I74" s="105" t="str">
        <f>_xll.qlSwapRateHelper2(,$H74,,$D74,Calendar,$F74,$E74,$G74,$I$20,0,C74,Discounting,Permanent,Trigger,ObjectOverwrite)</f>
        <v>obj_00066#0005</v>
      </c>
      <c r="J74" s="133" t="b">
        <f t="shared" si="13"/>
        <v>1</v>
      </c>
      <c r="L74" s="24" t="str">
        <f t="shared" si="8"/>
        <v>Sw</v>
      </c>
      <c r="M74" s="24" t="str">
        <f t="shared" si="9"/>
        <v>40Y</v>
      </c>
      <c r="N74" s="24" t="str">
        <f t="shared" si="10"/>
        <v>obj_000a1#0005</v>
      </c>
      <c r="O74" s="24" t="b">
        <f t="shared" si="11"/>
        <v>1</v>
      </c>
    </row>
    <row r="75" spans="1:22" ht="11.25" customHeight="1" x14ac:dyDescent="0.2">
      <c r="A75" s="107" t="s">
        <v>45</v>
      </c>
      <c r="B75" s="137"/>
      <c r="C75" s="137" t="s">
        <v>14</v>
      </c>
      <c r="D75" s="138" t="str">
        <v>38Y</v>
      </c>
      <c r="E75" s="130" t="s">
        <v>15</v>
      </c>
      <c r="F75" s="137" t="s">
        <v>16</v>
      </c>
      <c r="G75" s="130" t="s">
        <v>17</v>
      </c>
      <c r="H75" s="139">
        <v>1.7034509180000001E-2</v>
      </c>
      <c r="I75" s="105" t="str">
        <f>_xll.qlSwapRateHelper2(,$H75,,$D75,Calendar,$F75,$E75,$G75,$I$20,0,C75,Discounting,Permanent,Trigger,ObjectOverwrite)</f>
        <v>obj_0004d#0005</v>
      </c>
      <c r="J75" s="133" t="b">
        <f t="shared" si="13"/>
        <v>1</v>
      </c>
      <c r="L75" s="24" t="str">
        <f t="shared" si="8"/>
        <v>Sw</v>
      </c>
      <c r="M75" s="24" t="str">
        <f t="shared" si="9"/>
        <v>50Y</v>
      </c>
      <c r="N75" s="24" t="str">
        <f t="shared" si="10"/>
        <v>obj_0002f#0005</v>
      </c>
      <c r="O75" s="24" t="b">
        <f t="shared" si="11"/>
        <v>1</v>
      </c>
    </row>
    <row r="76" spans="1:22" ht="11.25" customHeight="1" x14ac:dyDescent="0.2">
      <c r="A76" s="107" t="s">
        <v>45</v>
      </c>
      <c r="B76" s="137"/>
      <c r="C76" s="137" t="s">
        <v>14</v>
      </c>
      <c r="D76" s="138" t="str">
        <v>39Y</v>
      </c>
      <c r="E76" s="130" t="s">
        <v>15</v>
      </c>
      <c r="F76" s="137" t="s">
        <v>16</v>
      </c>
      <c r="G76" s="130" t="s">
        <v>17</v>
      </c>
      <c r="H76" s="139">
        <v>1.7037755469999999E-2</v>
      </c>
      <c r="I76" s="105" t="str">
        <f>_xll.qlSwapRateHelper2(,$H76,,$D76,Calendar,$F76,$E76,$G76,$I$20,0,C76,Discounting,Permanent,Trigger,ObjectOverwrite)</f>
        <v>obj_0009d#0005</v>
      </c>
      <c r="J76" s="133" t="b">
        <f t="shared" si="13"/>
        <v>1</v>
      </c>
      <c r="L76" s="24" t="str">
        <f t="shared" si="8"/>
        <v>Sw</v>
      </c>
      <c r="M76" s="24" t="str">
        <f t="shared" si="9"/>
        <v>60Y</v>
      </c>
      <c r="N76" s="24" t="str">
        <f t="shared" si="10"/>
        <v>obj_00095#0005</v>
      </c>
      <c r="O76" s="24" t="b">
        <f t="shared" si="11"/>
        <v>1</v>
      </c>
    </row>
    <row r="77" spans="1:22" ht="11.25" customHeight="1" x14ac:dyDescent="0.2">
      <c r="A77" s="107" t="s">
        <v>45</v>
      </c>
      <c r="B77" s="137"/>
      <c r="C77" s="137" t="s">
        <v>14</v>
      </c>
      <c r="D77" s="138" t="str">
        <v>40Y</v>
      </c>
      <c r="E77" s="130" t="s">
        <v>15</v>
      </c>
      <c r="F77" s="137" t="s">
        <v>16</v>
      </c>
      <c r="G77" s="130" t="s">
        <v>17</v>
      </c>
      <c r="H77" s="139">
        <v>1.703E-2</v>
      </c>
      <c r="I77" s="105" t="str">
        <f>_xll.qlSwapRateHelper2(,$H77,,$D77,Calendar,$F77,$E77,$G77,$I$20,0,C77,Discounting,Permanent,Trigger,ObjectOverwrite)</f>
        <v>obj_000a1#0005</v>
      </c>
      <c r="J77" s="133" t="b">
        <f t="shared" si="13"/>
        <v>1</v>
      </c>
      <c r="L77" s="24" t="str">
        <f t="shared" si="8"/>
        <v>Sw</v>
      </c>
      <c r="M77" s="24" t="e">
        <f t="shared" si="9"/>
        <v>#N/A</v>
      </c>
      <c r="N77" s="24" t="e">
        <f t="shared" si="10"/>
        <v>#VALUE!</v>
      </c>
      <c r="O77" s="24" t="b">
        <f t="shared" si="11"/>
        <v>0</v>
      </c>
    </row>
    <row r="78" spans="1:22" ht="11.25" customHeight="1" x14ac:dyDescent="0.2">
      <c r="A78" s="107" t="s">
        <v>45</v>
      </c>
      <c r="B78" s="137"/>
      <c r="C78" s="137" t="s">
        <v>14</v>
      </c>
      <c r="D78" s="138" t="str">
        <v>50Y</v>
      </c>
      <c r="E78" s="130" t="s">
        <v>15</v>
      </c>
      <c r="F78" s="137" t="s">
        <v>16</v>
      </c>
      <c r="G78" s="130" t="s">
        <v>17</v>
      </c>
      <c r="H78" s="139">
        <v>1.668E-2</v>
      </c>
      <c r="I78" s="105" t="str">
        <f>_xll.qlSwapRateHelper2(,$H78,,$D78,Calendar,$F78,$E78,$G78,$I$20,0,C78,Discounting,Permanent,Trigger,ObjectOverwrite)</f>
        <v>obj_0002f#0005</v>
      </c>
      <c r="J78" s="133" t="b">
        <f t="shared" si="13"/>
        <v>1</v>
      </c>
      <c r="L78" s="24" t="str">
        <f t="shared" si="8"/>
        <v>Sw</v>
      </c>
      <c r="M78" s="24" t="e">
        <f t="shared" si="9"/>
        <v>#N/A</v>
      </c>
      <c r="N78" s="24" t="e">
        <f t="shared" si="10"/>
        <v>#VALUE!</v>
      </c>
      <c r="O78" s="24" t="b">
        <f t="shared" si="11"/>
        <v>0</v>
      </c>
    </row>
    <row r="79" spans="1:22" ht="11.25" customHeight="1" x14ac:dyDescent="0.2">
      <c r="A79" s="107" t="s">
        <v>45</v>
      </c>
      <c r="B79" s="137"/>
      <c r="C79" s="137" t="s">
        <v>14</v>
      </c>
      <c r="D79" s="138" t="str">
        <v>60Y</v>
      </c>
      <c r="E79" s="130" t="s">
        <v>15</v>
      </c>
      <c r="F79" s="137" t="s">
        <v>16</v>
      </c>
      <c r="G79" s="130" t="s">
        <v>17</v>
      </c>
      <c r="H79" s="139">
        <v>1.6590000000000001E-2</v>
      </c>
      <c r="I79" s="105" t="str">
        <f>_xll.qlSwapRateHelper2(,$H79,,$D79,Calendar,$F79,$E79,$G79,$I$20,0,C79,Discounting,Permanent,Trigger,ObjectOverwrite)</f>
        <v>obj_00095#0005</v>
      </c>
      <c r="J79" s="133" t="b">
        <f t="shared" si="13"/>
        <v>1</v>
      </c>
      <c r="L79" s="24" t="str">
        <f t="shared" si="8"/>
        <v>Sw</v>
      </c>
      <c r="M79" s="24" t="e">
        <f t="shared" si="9"/>
        <v>#N/A</v>
      </c>
      <c r="N79" s="24" t="e">
        <f t="shared" si="10"/>
        <v>#VALUE!</v>
      </c>
      <c r="O79" s="24" t="b">
        <f t="shared" si="11"/>
        <v>0</v>
      </c>
    </row>
    <row r="80" spans="1:22" ht="11.25" customHeight="1" x14ac:dyDescent="0.2">
      <c r="A80" s="107" t="s">
        <v>45</v>
      </c>
      <c r="B80" s="137"/>
      <c r="C80" s="137" t="s">
        <v>14</v>
      </c>
      <c r="D80" s="138" t="e">
        <v>#N/A</v>
      </c>
      <c r="E80" s="130" t="s">
        <v>15</v>
      </c>
      <c r="F80" s="137" t="s">
        <v>16</v>
      </c>
      <c r="G80" s="130" t="s">
        <v>17</v>
      </c>
      <c r="H80" s="139" t="e">
        <v>#N/A</v>
      </c>
      <c r="I80" s="105" t="e">
        <f>_xll.qlSwapRateHelper2(,$H80,,$D80,Calendar,$F80,$E80,$G80,$I$20,0,C80,Discounting,Permanent,Trigger,ObjectOverwrite)</f>
        <v>#VALUE!</v>
      </c>
      <c r="J80" s="133" t="b">
        <f t="shared" si="13"/>
        <v>0</v>
      </c>
      <c r="L80" s="24" t="str">
        <f t="shared" si="8"/>
        <v>Sw</v>
      </c>
      <c r="M80" s="24" t="e">
        <f t="shared" si="9"/>
        <v>#N/A</v>
      </c>
      <c r="N80" s="24" t="e">
        <f t="shared" si="10"/>
        <v>#VALUE!</v>
      </c>
      <c r="O80" s="24" t="b">
        <f t="shared" si="11"/>
        <v>0</v>
      </c>
    </row>
    <row r="81" spans="1:15" ht="11.25" customHeight="1" x14ac:dyDescent="0.2">
      <c r="A81" s="107" t="s">
        <v>45</v>
      </c>
      <c r="B81" s="137"/>
      <c r="C81" s="137" t="s">
        <v>14</v>
      </c>
      <c r="D81" s="138" t="e">
        <v>#N/A</v>
      </c>
      <c r="E81" s="130" t="s">
        <v>15</v>
      </c>
      <c r="F81" s="137" t="s">
        <v>16</v>
      </c>
      <c r="G81" s="130" t="s">
        <v>17</v>
      </c>
      <c r="H81" s="139" t="e">
        <v>#N/A</v>
      </c>
      <c r="I81" s="105" t="e">
        <f>_xll.qlSwapRateHelper2(,$H81,,$D81,Calendar,$F81,$E81,$G81,$I$20,0,C81,Discounting,Permanent,Trigger,ObjectOverwrite)</f>
        <v>#VALUE!</v>
      </c>
      <c r="J81" s="133" t="b">
        <f t="shared" si="13"/>
        <v>0</v>
      </c>
      <c r="L81" s="24" t="str">
        <f t="shared" si="8"/>
        <v>Sw</v>
      </c>
      <c r="M81" s="24" t="e">
        <f t="shared" si="9"/>
        <v>#N/A</v>
      </c>
      <c r="N81" s="24" t="e">
        <f t="shared" si="10"/>
        <v>#VALUE!</v>
      </c>
      <c r="O81" s="24" t="b">
        <f t="shared" si="11"/>
        <v>0</v>
      </c>
    </row>
    <row r="82" spans="1:15" ht="11.25" customHeight="1" x14ac:dyDescent="0.2">
      <c r="A82" s="107" t="s">
        <v>45</v>
      </c>
      <c r="B82" s="137"/>
      <c r="C82" s="137" t="s">
        <v>14</v>
      </c>
      <c r="D82" s="138" t="e">
        <v>#N/A</v>
      </c>
      <c r="E82" s="130" t="s">
        <v>15</v>
      </c>
      <c r="F82" s="137" t="s">
        <v>16</v>
      </c>
      <c r="G82" s="130" t="s">
        <v>17</v>
      </c>
      <c r="H82" s="139" t="e">
        <v>#N/A</v>
      </c>
      <c r="I82" s="105" t="e">
        <f>_xll.qlSwapRateHelper2(,$H82,,$D82,Calendar,$F82,$E82,$G82,$I$20,0,C82,Discounting,Permanent,Trigger,ObjectOverwrite)</f>
        <v>#VALUE!</v>
      </c>
      <c r="J82" s="133" t="b">
        <f t="shared" si="13"/>
        <v>0</v>
      </c>
      <c r="L82" s="25" t="str">
        <f t="shared" si="8"/>
        <v>Sw</v>
      </c>
      <c r="M82" s="25" t="e">
        <f t="shared" si="9"/>
        <v>#N/A</v>
      </c>
      <c r="N82" s="25" t="e">
        <f t="shared" si="10"/>
        <v>#VALUE!</v>
      </c>
      <c r="O82" s="25" t="b">
        <f t="shared" si="11"/>
        <v>0</v>
      </c>
    </row>
    <row r="83" spans="1:15" ht="11.25" customHeight="1" x14ac:dyDescent="0.2">
      <c r="A83" s="107" t="s">
        <v>45</v>
      </c>
      <c r="B83" s="137"/>
      <c r="C83" s="137" t="s">
        <v>14</v>
      </c>
      <c r="D83" s="138" t="e">
        <v>#N/A</v>
      </c>
      <c r="E83" s="130" t="s">
        <v>15</v>
      </c>
      <c r="F83" s="137" t="s">
        <v>16</v>
      </c>
      <c r="G83" s="130" t="s">
        <v>17</v>
      </c>
      <c r="H83" s="139" t="e">
        <v>#N/A</v>
      </c>
      <c r="I83" s="105" t="e">
        <f>_xll.qlSwapRateHelper2(,$H83,,$D83,Calendar,$F83,$E83,$G83,$I$20,0,C83,Discounting,Permanent,Trigger,ObjectOverwrite)</f>
        <v>#VALUE!</v>
      </c>
      <c r="J83" s="133" t="b">
        <f t="shared" si="13"/>
        <v>0</v>
      </c>
    </row>
    <row r="84" spans="1:15" ht="11.25" customHeight="1" x14ac:dyDescent="0.2">
      <c r="A84" s="107" t="s">
        <v>45</v>
      </c>
      <c r="B84" s="137"/>
      <c r="C84" s="137" t="s">
        <v>14</v>
      </c>
      <c r="D84" s="138" t="e">
        <v>#N/A</v>
      </c>
      <c r="E84" s="130" t="s">
        <v>15</v>
      </c>
      <c r="F84" s="137" t="s">
        <v>16</v>
      </c>
      <c r="G84" s="130" t="s">
        <v>17</v>
      </c>
      <c r="H84" s="139" t="e">
        <v>#N/A</v>
      </c>
      <c r="I84" s="105" t="e">
        <f>_xll.qlSwapRateHelper2(,$H84,,$D84,Calendar,$F84,$E84,$G84,$I$20,0,C84,Discounting,Permanent,Trigger,ObjectOverwrite)</f>
        <v>#VALUE!</v>
      </c>
      <c r="J84" s="133" t="b">
        <f t="shared" si="13"/>
        <v>0</v>
      </c>
    </row>
    <row r="85" spans="1:15" ht="11.25" customHeight="1" x14ac:dyDescent="0.2">
      <c r="A85" s="7" t="s">
        <v>45</v>
      </c>
      <c r="B85" s="140"/>
      <c r="C85" s="140" t="s">
        <v>14</v>
      </c>
      <c r="D85" s="141" t="e">
        <v>#N/A</v>
      </c>
      <c r="E85" s="3" t="s">
        <v>15</v>
      </c>
      <c r="F85" s="140" t="s">
        <v>16</v>
      </c>
      <c r="G85" s="3" t="s">
        <v>17</v>
      </c>
      <c r="H85" s="142" t="e">
        <v>#N/A</v>
      </c>
      <c r="I85" s="5" t="e">
        <f>_xll.qlSwapRateHelper2(,$H85,,$D85,Calendar,$F85,$E85,$G85,$I$20,0,C85,Discounting,Permanent,Trigger,ObjectOverwrite)</f>
        <v>#VALUE!</v>
      </c>
      <c r="J85" s="12" t="b">
        <f t="shared" si="13"/>
        <v>0</v>
      </c>
    </row>
    <row r="86" spans="1:15" ht="11.25" customHeight="1" x14ac:dyDescent="0.2"/>
    <row r="87" spans="1:15" ht="11.25" customHeight="1" x14ac:dyDescent="0.2"/>
    <row r="88" spans="1:15" ht="11.25" customHeight="1" x14ac:dyDescent="0.2"/>
    <row r="89" spans="1:15" ht="11.25" customHeight="1" x14ac:dyDescent="0.2"/>
  </sheetData>
  <dataValidations count="3">
    <dataValidation type="list" allowBlank="1" showInputMessage="1" showErrorMessage="1" sqref="G22:G85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85">
      <formula1>"Annual,Semiannual,EveryFourthMonth,Quarterly,Bimonthly,Monthly,Biweekly,Weekly,Daily,Once,NoFrequency"</formula1>
    </dataValidation>
    <dataValidation type="list" allowBlank="1" showInputMessage="1" showErrorMessage="1" sqref="E22:E85">
      <formula1>"Following,Modified Following,Preceding,Modified Preceding,Month End Reference,Unadjusted Month End,Unadjusted"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80"/>
  <sheetViews>
    <sheetView showGridLines="0" topLeftCell="K1" zoomScaleNormal="100" workbookViewId="0">
      <selection activeCell="V1" sqref="V1"/>
    </sheetView>
  </sheetViews>
  <sheetFormatPr defaultRowHeight="11.25" outlineLevelCol="2" x14ac:dyDescent="0.2"/>
  <cols>
    <col min="1" max="1" width="7.5703125" style="72" hidden="1" customWidth="1" outlineLevel="1"/>
    <col min="2" max="2" width="5" style="72" hidden="1" customWidth="1" outlineLevel="2"/>
    <col min="3" max="3" width="6" style="89" hidden="1" customWidth="1" outlineLevel="1" collapsed="1"/>
    <col min="4" max="4" width="9.42578125" style="88" hidden="1" customWidth="1" outlineLevel="1"/>
    <col min="5" max="5" width="18.28515625" style="90" hidden="1" customWidth="1" outlineLevel="1"/>
    <col min="6" max="6" width="6" style="72" hidden="1" customWidth="1" outlineLevel="1"/>
    <col min="7" max="7" width="11" style="72" hidden="1" customWidth="1" outlineLevel="1"/>
    <col min="8" max="8" width="10.85546875" style="72" hidden="1" customWidth="1" outlineLevel="1"/>
    <col min="9" max="9" width="15.140625" style="72" hidden="1" customWidth="1" outlineLevel="1"/>
    <col min="10" max="10" width="9" style="88" hidden="1" customWidth="1" outlineLevel="1"/>
    <col min="11" max="11" width="2.7109375" style="72" customWidth="1" collapsed="1"/>
    <col min="12" max="12" width="5" style="72" hidden="1" customWidth="1" outlineLevel="1"/>
    <col min="13" max="13" width="9" style="72" hidden="1" customWidth="1" outlineLevel="1"/>
    <col min="14" max="14" width="15.140625" style="72" hidden="1" customWidth="1" outlineLevel="1"/>
    <col min="15" max="15" width="6" style="72" hidden="1" customWidth="1" outlineLevel="1"/>
    <col min="16" max="16" width="5" style="72" bestFit="1" customWidth="1" collapsed="1"/>
    <col min="17" max="17" width="6" style="72" customWidth="1"/>
    <col min="18" max="18" width="15.140625" style="72" hidden="1" customWidth="1" outlineLevel="1"/>
    <col min="19" max="19" width="9" style="72" bestFit="1" customWidth="1" collapsed="1"/>
    <col min="20" max="21" width="17.28515625" style="72" bestFit="1" customWidth="1"/>
    <col min="22" max="24" width="12" style="72" bestFit="1" customWidth="1"/>
    <col min="25" max="16384" width="9.140625" style="72"/>
  </cols>
  <sheetData>
    <row r="1" spans="1:24" ht="18" customHeight="1" x14ac:dyDescent="0.2">
      <c r="B1" s="78"/>
      <c r="C1" s="79"/>
      <c r="D1" s="80"/>
      <c r="E1" s="81"/>
      <c r="F1" s="82"/>
      <c r="I1" s="72" t="str">
        <f>_xll.qlEonia(,,Permanent,Trigger,ObjectOverwrite)</f>
        <v>obj_0018a#0015</v>
      </c>
      <c r="J1" s="80"/>
      <c r="L1" s="109"/>
      <c r="M1" s="110"/>
      <c r="N1" s="110"/>
      <c r="O1" s="111"/>
      <c r="P1" s="147" t="s">
        <v>175</v>
      </c>
      <c r="Q1" s="110"/>
      <c r="R1" s="110"/>
      <c r="S1" s="115"/>
      <c r="T1" s="110"/>
      <c r="U1" s="110"/>
      <c r="V1" s="145" t="s">
        <v>189</v>
      </c>
    </row>
    <row r="2" spans="1:24" ht="21.75" customHeight="1" x14ac:dyDescent="0.2">
      <c r="A2" s="108" t="s">
        <v>18</v>
      </c>
      <c r="B2" s="108"/>
      <c r="C2" s="108" t="s">
        <v>1</v>
      </c>
      <c r="D2" s="108" t="s">
        <v>2</v>
      </c>
      <c r="E2" s="108" t="s">
        <v>13</v>
      </c>
      <c r="F2" s="108" t="s">
        <v>3</v>
      </c>
      <c r="G2" s="108" t="s">
        <v>4</v>
      </c>
      <c r="H2" s="108" t="s">
        <v>5</v>
      </c>
      <c r="I2" s="108" t="s">
        <v>43</v>
      </c>
      <c r="J2" s="108" t="s">
        <v>47</v>
      </c>
      <c r="L2" s="143" t="s">
        <v>18</v>
      </c>
      <c r="M2" s="143"/>
      <c r="N2" s="143" t="s">
        <v>43</v>
      </c>
      <c r="O2" s="143"/>
      <c r="P2" s="143" t="s">
        <v>18</v>
      </c>
      <c r="Q2" s="143" t="s">
        <v>56</v>
      </c>
      <c r="R2" s="143" t="s">
        <v>43</v>
      </c>
      <c r="S2" s="144" t="s">
        <v>39</v>
      </c>
      <c r="T2" s="143" t="s">
        <v>37</v>
      </c>
      <c r="U2" s="143" t="s">
        <v>38</v>
      </c>
      <c r="V2" s="154">
        <f t="array" ref="V2:V71">_xll.qlPiecewiseYieldCurveData(YieldCurve_ON,Trigger)</f>
        <v>1</v>
      </c>
    </row>
    <row r="3" spans="1:24" ht="11.25" customHeight="1" x14ac:dyDescent="0.2">
      <c r="A3" s="92" t="s">
        <v>46</v>
      </c>
      <c r="B3" s="92" t="str">
        <f t="array" ref="B3:B71">_xll.ohFilter(PastedValue!BC2:BC82,PastedValue!AY2:AY82="Dp")</f>
        <v>O/N</v>
      </c>
      <c r="C3" s="93" t="str">
        <f>IF(LEFT(B3,1)="#","9M",B3)</f>
        <v>O/N</v>
      </c>
      <c r="D3" s="94">
        <f>IF(C3="O/N",0,IF(C3="T/N",1,2))</f>
        <v>0</v>
      </c>
      <c r="E3" s="95" t="str">
        <f t="shared" ref="E3:E19" si="0">IF(RIGHT(C3,1)="M","Modified Following",IF(RIGHT(C3,1)="Y","Modified Following","Following"))</f>
        <v>Following</v>
      </c>
      <c r="F3" s="96" t="str">
        <f>IF(RIGHT(C3,1)="M","TRUE",IF(RIGHT(C3,1)="Y","TRUE","FALSE"))</f>
        <v>FALSE</v>
      </c>
      <c r="G3" s="97" t="s">
        <v>50</v>
      </c>
      <c r="H3" s="98">
        <f t="array" ref="H3:H71">_xll.ohFilter(PastedValue!BF2:BF82,PastedValue!AY2:AY82="Dp")/100</f>
        <v>-1.0999989999999999E-3</v>
      </c>
      <c r="I3" s="99" t="str">
        <f>IF(OR(C3="O/N",C3="T/N",C3="S/N"),_xll.qlDepositRateHelper2(,H3,IF(RIGHT(C3,1)="N","1D",C3),D3,Calendar,E3,F3,G3,,Trigger),_xll.qlOISRateHelper(,D3,C3,H3,$I$1,,Permanent,Trigger,ObjectOverwrite))</f>
        <v>obj_000c3#0009</v>
      </c>
      <c r="J3" s="94" t="b">
        <f t="shared" ref="J3:J17" si="1">IF(ISERROR(I3),FALSE,TRUE)</f>
        <v>1</v>
      </c>
      <c r="K3" s="78"/>
      <c r="L3" s="24" t="str">
        <f>A3</f>
        <v>Dp</v>
      </c>
      <c r="M3" s="24" t="str">
        <f>C3</f>
        <v>O/N</v>
      </c>
      <c r="N3" s="14" t="str">
        <f>I3</f>
        <v>obj_000c3#0009</v>
      </c>
      <c r="O3" s="14" t="b">
        <f>J3</f>
        <v>1</v>
      </c>
      <c r="P3" s="14" t="str">
        <f t="array" ref="P3:P71">_xll.ohPack(_xll.ohFilter(L3:L71,O3:O71),Trigger)</f>
        <v>Dp</v>
      </c>
      <c r="Q3" s="14" t="str">
        <f t="array" ref="Q3:Q71">_xll.ohPack(_xll.ohFilter(M3:M71,O3:O71),Trigger)</f>
        <v>O/N</v>
      </c>
      <c r="R3" s="14" t="str">
        <f t="array" ref="R3:R71">_xll.ohPack(_xll.ohFilter(N3:N71,O3:O71))</f>
        <v>obj_000c3#0009</v>
      </c>
      <c r="S3" s="117">
        <f>_xll.qlRateHelperRate(R3,Trigger)</f>
        <v>-1.0999989999999999E-3</v>
      </c>
      <c r="T3" s="15">
        <f>_xll.qlRateHelperEarliestDate(R3,Trigger)</f>
        <v>42199</v>
      </c>
      <c r="U3" s="15">
        <f>_xll.qlRateHelperLatestDate(R3,Trigger)</f>
        <v>42200</v>
      </c>
      <c r="V3" s="155">
        <v>1.0000030555621142</v>
      </c>
      <c r="X3" s="221"/>
    </row>
    <row r="4" spans="1:24" ht="11.25" customHeight="1" x14ac:dyDescent="0.2">
      <c r="A4" s="100" t="s">
        <v>46</v>
      </c>
      <c r="B4" s="100" t="str">
        <v>T/N</v>
      </c>
      <c r="C4" s="101" t="str">
        <f t="shared" ref="C4:C17" si="2">IF(LEFT(B4,1)="#","9M",B4)</f>
        <v>T/N</v>
      </c>
      <c r="D4" s="102">
        <f t="shared" ref="D4:D17" si="3">IF(C4="O/N",0,IF(C4="T/N",1,2))</f>
        <v>1</v>
      </c>
      <c r="E4" s="103" t="str">
        <f t="shared" si="0"/>
        <v>Following</v>
      </c>
      <c r="F4" s="104" t="str">
        <f t="shared" ref="F4:F67" si="4">IF(RIGHT(C4,1)="M","TRUE",IF(RIGHT(C4,1)="Y","TRUE","FALSE"))</f>
        <v>FALSE</v>
      </c>
      <c r="G4" s="105" t="s">
        <v>50</v>
      </c>
      <c r="H4" s="106">
        <v>-1.1000000000000001E-3</v>
      </c>
      <c r="I4" s="107" t="str">
        <f>IF(OR(C4="O/N",C4="T/N",C4="S/N"),_xll.qlDepositRateHelper2(,H4,IF(RIGHT(C4,1)="N","1D",C4),D4,Calendar,E4,F4,G4,,Trigger),_xll.qlOISRateHelper(,D4,C4,H4,$I$1,,Permanent,Trigger,ObjectOverwrite))</f>
        <v>obj_000af#0006</v>
      </c>
      <c r="J4" s="102" t="b">
        <f t="shared" si="1"/>
        <v>1</v>
      </c>
      <c r="K4" s="75"/>
      <c r="L4" s="24" t="str">
        <f t="shared" ref="L4:L67" si="5">A4</f>
        <v>Dp</v>
      </c>
      <c r="M4" s="24" t="str">
        <f t="shared" ref="M4:M67" si="6">C4</f>
        <v>T/N</v>
      </c>
      <c r="N4" s="14" t="str">
        <f t="shared" ref="N4:N67" si="7">I4</f>
        <v>obj_000af#0006</v>
      </c>
      <c r="O4" s="14" t="b">
        <f t="shared" ref="O4:O67" si="8">J4</f>
        <v>1</v>
      </c>
      <c r="P4" s="14" t="str">
        <v>Dp</v>
      </c>
      <c r="Q4" s="14" t="str">
        <v>T/N</v>
      </c>
      <c r="R4" s="14" t="str">
        <v>obj_000af#0006</v>
      </c>
      <c r="S4" s="117">
        <f>_xll.qlRateHelperRate(R4,Trigger)</f>
        <v>-1.1000000000000001E-3</v>
      </c>
      <c r="T4" s="15">
        <f>_xll.qlRateHelperEarliestDate(R4,Trigger)</f>
        <v>42200</v>
      </c>
      <c r="U4" s="15">
        <f>_xll.qlRateHelperLatestDate(R4,Trigger)</f>
        <v>42201</v>
      </c>
      <c r="V4" s="155">
        <v>1.0000061111363503</v>
      </c>
    </row>
    <row r="5" spans="1:24" ht="11.25" customHeight="1" x14ac:dyDescent="0.2">
      <c r="A5" s="100" t="s">
        <v>46</v>
      </c>
      <c r="B5" s="100" t="str">
        <v>S/N</v>
      </c>
      <c r="C5" s="101" t="str">
        <f t="shared" si="2"/>
        <v>S/N</v>
      </c>
      <c r="D5" s="102">
        <f t="shared" si="3"/>
        <v>2</v>
      </c>
      <c r="E5" s="103" t="str">
        <f t="shared" si="0"/>
        <v>Following</v>
      </c>
      <c r="F5" s="104" t="str">
        <f t="shared" si="4"/>
        <v>FALSE</v>
      </c>
      <c r="G5" s="105" t="s">
        <v>50</v>
      </c>
      <c r="H5" s="106">
        <v>-1.1000000000000001E-3</v>
      </c>
      <c r="I5" s="107" t="str">
        <f>IF(OR(C5="O/N",C5="T/N",C5="S/N"),_xll.qlDepositRateHelper2(,H5,IF(RIGHT(C5,1)="N","1D",C5),D5,Calendar,E5,F5,G5,,Trigger),_xll.qlOISRateHelper(,D5,C5,H5,$I$1,,Permanent,Trigger,ObjectOverwrite))</f>
        <v>obj_000cb#0006</v>
      </c>
      <c r="J5" s="102" t="b">
        <f t="shared" si="1"/>
        <v>1</v>
      </c>
      <c r="K5" s="75"/>
      <c r="L5" s="24" t="str">
        <f t="shared" si="5"/>
        <v>Dp</v>
      </c>
      <c r="M5" s="24" t="str">
        <f t="shared" si="6"/>
        <v>S/N</v>
      </c>
      <c r="N5" s="14" t="str">
        <f t="shared" si="7"/>
        <v>obj_000cb#0006</v>
      </c>
      <c r="O5" s="14" t="b">
        <f t="shared" si="8"/>
        <v>1</v>
      </c>
      <c r="P5" s="14" t="str">
        <v>Dp</v>
      </c>
      <c r="Q5" s="14" t="str">
        <v>S/N</v>
      </c>
      <c r="R5" s="14" t="str">
        <v>obj_000cb#0006</v>
      </c>
      <c r="S5" s="117">
        <f>_xll.qlRateHelperRate(R5,Trigger)</f>
        <v>-1.1000000000000001E-3</v>
      </c>
      <c r="T5" s="15">
        <f>_xll.qlRateHelperEarliestDate(R5,Trigger)</f>
        <v>42201</v>
      </c>
      <c r="U5" s="15">
        <f>_xll.qlRateHelperLatestDate(R5,Trigger)</f>
        <v>42202</v>
      </c>
      <c r="V5" s="155">
        <v>1.0000091667199191</v>
      </c>
      <c r="W5" s="221"/>
    </row>
    <row r="6" spans="1:24" ht="11.25" customHeight="1" x14ac:dyDescent="0.2">
      <c r="A6" s="100" t="s">
        <v>46</v>
      </c>
      <c r="B6" s="100" t="str">
        <v>1W</v>
      </c>
      <c r="C6" s="101" t="str">
        <f t="shared" si="2"/>
        <v>1W</v>
      </c>
      <c r="D6" s="102">
        <f t="shared" si="3"/>
        <v>2</v>
      </c>
      <c r="E6" s="103" t="str">
        <f t="shared" si="0"/>
        <v>Following</v>
      </c>
      <c r="F6" s="104" t="str">
        <f t="shared" si="4"/>
        <v>FALSE</v>
      </c>
      <c r="G6" s="105" t="s">
        <v>50</v>
      </c>
      <c r="H6" s="106">
        <v>-1.2099999999999999E-3</v>
      </c>
      <c r="I6" s="107" t="str">
        <f>IF(OR(C6="O/N",C6="T/N",C6="S/N"),_xll.qlDepositRateHelper2(,H6,IF(RIGHT(C6,1)="N","1D",C6),D6,Calendar,E6,F6,G6,,Trigger),_xll.qlOISRateHelper(,D6,C6,H6,$I$1,,Permanent,Trigger,ObjectOverwrite))</f>
        <v>obj_000bf#0006</v>
      </c>
      <c r="J6" s="102" t="b">
        <f t="shared" si="1"/>
        <v>1</v>
      </c>
      <c r="K6" s="75"/>
      <c r="L6" s="24" t="str">
        <f t="shared" si="5"/>
        <v>Dp</v>
      </c>
      <c r="M6" s="24" t="str">
        <f t="shared" si="6"/>
        <v>1W</v>
      </c>
      <c r="N6" s="14" t="str">
        <f t="shared" si="7"/>
        <v>obj_000bf#0006</v>
      </c>
      <c r="O6" s="14" t="b">
        <f t="shared" si="8"/>
        <v>1</v>
      </c>
      <c r="P6" s="14" t="str">
        <v>Dp</v>
      </c>
      <c r="Q6" s="14" t="str">
        <v>1W</v>
      </c>
      <c r="R6" s="14" t="str">
        <v>obj_000bf#0006</v>
      </c>
      <c r="S6" s="117">
        <f>_xll.qlRateHelperRate(R6,Trigger)</f>
        <v>-1.2099999999999999E-3</v>
      </c>
      <c r="T6" s="15">
        <f>_xll.qlRateHelperEarliestDate(R6,Trigger)</f>
        <v>42201</v>
      </c>
      <c r="U6" s="15">
        <f>_xll.qlRateHelperLatestDate(R6,Trigger)</f>
        <v>42208</v>
      </c>
      <c r="V6" s="155">
        <v>1.000029639611558</v>
      </c>
    </row>
    <row r="7" spans="1:24" ht="11.25" customHeight="1" x14ac:dyDescent="0.2">
      <c r="A7" s="100" t="s">
        <v>46</v>
      </c>
      <c r="B7" s="100" t="str">
        <v>2W</v>
      </c>
      <c r="C7" s="101" t="str">
        <f t="shared" si="2"/>
        <v>2W</v>
      </c>
      <c r="D7" s="102">
        <f t="shared" si="3"/>
        <v>2</v>
      </c>
      <c r="E7" s="103" t="str">
        <f t="shared" si="0"/>
        <v>Following</v>
      </c>
      <c r="F7" s="104" t="str">
        <f t="shared" si="4"/>
        <v>FALSE</v>
      </c>
      <c r="G7" s="105" t="s">
        <v>50</v>
      </c>
      <c r="H7" s="106">
        <v>-1.23E-3</v>
      </c>
      <c r="I7" s="107" t="str">
        <f>IF(OR(C7="O/N",C7="T/N",C7="S/N"),_xll.qlDepositRateHelper2(,H7,IF(RIGHT(C7,1)="N","1D",C7),D7,Calendar,E7,F7,G7,,Trigger),_xll.qlOISRateHelper(,D7,C7,H7,$I$1,,Permanent,Trigger,ObjectOverwrite))</f>
        <v>obj_000c7#0006</v>
      </c>
      <c r="J7" s="102" t="b">
        <f t="shared" si="1"/>
        <v>1</v>
      </c>
      <c r="K7" s="75"/>
      <c r="L7" s="24" t="str">
        <f t="shared" si="5"/>
        <v>Dp</v>
      </c>
      <c r="M7" s="24" t="str">
        <f t="shared" si="6"/>
        <v>2W</v>
      </c>
      <c r="N7" s="14" t="str">
        <f t="shared" si="7"/>
        <v>obj_000c7#0006</v>
      </c>
      <c r="O7" s="14" t="b">
        <f t="shared" si="8"/>
        <v>1</v>
      </c>
      <c r="P7" s="14" t="str">
        <v>Dp</v>
      </c>
      <c r="Q7" s="14" t="str">
        <v>2W</v>
      </c>
      <c r="R7" s="14" t="str">
        <v>obj_000c7#0006</v>
      </c>
      <c r="S7" s="117">
        <f>_xll.qlRateHelperRate(R7,Trigger)</f>
        <v>-1.23E-3</v>
      </c>
      <c r="T7" s="15">
        <f>_xll.qlRateHelperEarliestDate(R7,Trigger)</f>
        <v>42201</v>
      </c>
      <c r="U7" s="15">
        <f>_xll.qlRateHelperLatestDate(R7,Trigger)</f>
        <v>42215</v>
      </c>
      <c r="V7" s="155">
        <v>1.0000539470501812</v>
      </c>
    </row>
    <row r="8" spans="1:24" ht="11.25" customHeight="1" x14ac:dyDescent="0.2">
      <c r="A8" s="100" t="s">
        <v>46</v>
      </c>
      <c r="B8" s="100" t="str">
        <v>3W</v>
      </c>
      <c r="C8" s="101" t="str">
        <f t="shared" si="2"/>
        <v>3W</v>
      </c>
      <c r="D8" s="102">
        <f t="shared" si="3"/>
        <v>2</v>
      </c>
      <c r="E8" s="103" t="str">
        <f t="shared" si="0"/>
        <v>Following</v>
      </c>
      <c r="F8" s="104" t="str">
        <f t="shared" si="4"/>
        <v>FALSE</v>
      </c>
      <c r="G8" s="105" t="s">
        <v>50</v>
      </c>
      <c r="H8" s="106">
        <v>-1.1799999999999998E-3</v>
      </c>
      <c r="I8" s="107" t="str">
        <f>IF(OR(C8="O/N",C8="T/N",C8="S/N"),_xll.qlDepositRateHelper2(,H8,IF(RIGHT(C8,1)="N","1D",C8),D8,Calendar,E8,F8,G8,,Trigger),_xll.qlOISRateHelper(,D8,C8,H8,$I$1,,Permanent,Trigger,ObjectOverwrite))</f>
        <v>obj_000c6#0006</v>
      </c>
      <c r="J8" s="102" t="b">
        <f t="shared" si="1"/>
        <v>1</v>
      </c>
      <c r="K8" s="75"/>
      <c r="L8" s="24" t="str">
        <f t="shared" si="5"/>
        <v>Dp</v>
      </c>
      <c r="M8" s="24" t="str">
        <f t="shared" si="6"/>
        <v>3W</v>
      </c>
      <c r="N8" s="14" t="str">
        <f t="shared" si="7"/>
        <v>obj_000c6#0006</v>
      </c>
      <c r="O8" s="14" t="b">
        <f t="shared" si="8"/>
        <v>1</v>
      </c>
      <c r="P8" s="14" t="str">
        <v>Dp</v>
      </c>
      <c r="Q8" s="14" t="str">
        <v>3W</v>
      </c>
      <c r="R8" s="14" t="str">
        <v>obj_000c6#0006</v>
      </c>
      <c r="S8" s="117">
        <f>_xll.qlRateHelperRate(R8,Trigger)</f>
        <v>-1.1799999999999998E-3</v>
      </c>
      <c r="T8" s="15">
        <f>_xll.qlRateHelperEarliestDate(R8,Trigger)</f>
        <v>42201</v>
      </c>
      <c r="U8" s="15">
        <f>_xll.qlRateHelperLatestDate(R8,Trigger)</f>
        <v>42222</v>
      </c>
      <c r="V8" s="155">
        <v>1.000074949628714</v>
      </c>
    </row>
    <row r="9" spans="1:24" ht="11.25" customHeight="1" x14ac:dyDescent="0.2">
      <c r="A9" s="100" t="s">
        <v>46</v>
      </c>
      <c r="B9" s="100" t="str">
        <v>1M</v>
      </c>
      <c r="C9" s="101" t="str">
        <f t="shared" si="2"/>
        <v>1M</v>
      </c>
      <c r="D9" s="102">
        <f t="shared" si="3"/>
        <v>2</v>
      </c>
      <c r="E9" s="103" t="str">
        <f t="shared" si="0"/>
        <v>Modified Following</v>
      </c>
      <c r="F9" s="104" t="str">
        <f t="shared" si="4"/>
        <v>TRUE</v>
      </c>
      <c r="G9" s="105" t="s">
        <v>50</v>
      </c>
      <c r="H9" s="106">
        <v>-1.1999999999999999E-3</v>
      </c>
      <c r="I9" s="107" t="str">
        <f>IF(OR(C9="O/N",C9="T/N",C9="S/N"),_xll.qlDepositRateHelper2(,H9,IF(RIGHT(C9,1)="N","1D",C9),D9,Calendar,E9,F9,G9,,Trigger),_xll.qlOISRateHelper(,D9,C9,H9,$I$1,,Permanent,Trigger,ObjectOverwrite))</f>
        <v>obj_000ab#0006</v>
      </c>
      <c r="J9" s="102" t="b">
        <f t="shared" si="1"/>
        <v>1</v>
      </c>
      <c r="K9" s="75"/>
      <c r="L9" s="24" t="str">
        <f t="shared" si="5"/>
        <v>Dp</v>
      </c>
      <c r="M9" s="24" t="str">
        <f t="shared" si="6"/>
        <v>1M</v>
      </c>
      <c r="N9" s="14" t="str">
        <f t="shared" si="7"/>
        <v>obj_000ab#0006</v>
      </c>
      <c r="O9" s="14" t="b">
        <f t="shared" si="8"/>
        <v>1</v>
      </c>
      <c r="P9" s="14" t="str">
        <v>Dp</v>
      </c>
      <c r="Q9" s="14" t="str">
        <v>1M</v>
      </c>
      <c r="R9" s="14" t="str">
        <v>obj_000ab#0006</v>
      </c>
      <c r="S9" s="117">
        <f>_xll.qlRateHelperRate(R9,Trigger)</f>
        <v>-1.1999999999999999E-3</v>
      </c>
      <c r="T9" s="15">
        <f>_xll.qlRateHelperEarliestDate(R9,Trigger)</f>
        <v>42201</v>
      </c>
      <c r="U9" s="15">
        <f>_xll.qlRateHelperLatestDate(R9,Trigger)</f>
        <v>42233</v>
      </c>
      <c r="V9" s="155">
        <v>1.0001127898340538</v>
      </c>
    </row>
    <row r="10" spans="1:24" ht="11.25" customHeight="1" x14ac:dyDescent="0.2">
      <c r="A10" s="100" t="s">
        <v>46</v>
      </c>
      <c r="B10" s="100" t="str">
        <v>2M</v>
      </c>
      <c r="C10" s="101" t="str">
        <f t="shared" si="2"/>
        <v>2M</v>
      </c>
      <c r="D10" s="102">
        <f t="shared" si="3"/>
        <v>2</v>
      </c>
      <c r="E10" s="103" t="str">
        <f t="shared" si="0"/>
        <v>Modified Following</v>
      </c>
      <c r="F10" s="104" t="str">
        <f t="shared" si="4"/>
        <v>TRUE</v>
      </c>
      <c r="G10" s="105" t="s">
        <v>50</v>
      </c>
      <c r="H10" s="106">
        <v>-1.23E-3</v>
      </c>
      <c r="I10" s="107" t="str">
        <f>IF(OR(C10="O/N",C10="T/N",C10="S/N"),_xll.qlDepositRateHelper2(,H10,IF(RIGHT(C10,1)="N","1D",C10),D10,Calendar,E10,F10,G10,,Trigger),_xll.qlOISRateHelper(,D10,C10,H10,$I$1,,Permanent,Trigger,ObjectOverwrite))</f>
        <v>obj_000bb#0006</v>
      </c>
      <c r="J10" s="102" t="b">
        <f t="shared" si="1"/>
        <v>1</v>
      </c>
      <c r="K10" s="75"/>
      <c r="L10" s="24" t="str">
        <f t="shared" si="5"/>
        <v>Dp</v>
      </c>
      <c r="M10" s="24" t="str">
        <f t="shared" si="6"/>
        <v>2M</v>
      </c>
      <c r="N10" s="14" t="str">
        <f t="shared" si="7"/>
        <v>obj_000bb#0006</v>
      </c>
      <c r="O10" s="14" t="b">
        <f t="shared" si="8"/>
        <v>1</v>
      </c>
      <c r="P10" s="14" t="str">
        <v>Dp</v>
      </c>
      <c r="Q10" s="14" t="str">
        <v>2M</v>
      </c>
      <c r="R10" s="14" t="str">
        <v>obj_000bb#0006</v>
      </c>
      <c r="S10" s="117">
        <f>_xll.qlRateHelperRate(R10,Trigger)</f>
        <v>-1.23E-3</v>
      </c>
      <c r="T10" s="15">
        <f>_xll.qlRateHelperEarliestDate(R10,Trigger)</f>
        <v>42201</v>
      </c>
      <c r="U10" s="15">
        <f>_xll.qlRateHelperLatestDate(R10,Trigger)</f>
        <v>42263</v>
      </c>
      <c r="V10" s="155">
        <v>1.0002179906473692</v>
      </c>
    </row>
    <row r="11" spans="1:24" ht="11.25" customHeight="1" x14ac:dyDescent="0.2">
      <c r="A11" s="100" t="s">
        <v>46</v>
      </c>
      <c r="B11" s="100" t="str">
        <v>3M</v>
      </c>
      <c r="C11" s="101" t="str">
        <f t="shared" si="2"/>
        <v>3M</v>
      </c>
      <c r="D11" s="102">
        <f t="shared" si="3"/>
        <v>2</v>
      </c>
      <c r="E11" s="103" t="str">
        <f t="shared" si="0"/>
        <v>Modified Following</v>
      </c>
      <c r="F11" s="104" t="str">
        <f t="shared" si="4"/>
        <v>TRUE</v>
      </c>
      <c r="G11" s="105" t="s">
        <v>50</v>
      </c>
      <c r="H11" s="106">
        <v>-1.2600000000000001E-3</v>
      </c>
      <c r="I11" s="107" t="str">
        <f>IF(OR(C11="O/N",C11="T/N",C11="S/N"),_xll.qlDepositRateHelper2(,H11,IF(RIGHT(C11,1)="N","1D",C11),D11,Calendar,E11,F11,G11,,Trigger),_xll.qlOISRateHelper(,D11,C11,H11,$I$1,,Permanent,Trigger,ObjectOverwrite))</f>
        <v>obj_000cc#0006</v>
      </c>
      <c r="J11" s="102" t="b">
        <f t="shared" si="1"/>
        <v>1</v>
      </c>
      <c r="K11" s="75"/>
      <c r="L11" s="24" t="str">
        <f t="shared" si="5"/>
        <v>Dp</v>
      </c>
      <c r="M11" s="24" t="str">
        <f t="shared" si="6"/>
        <v>3M</v>
      </c>
      <c r="N11" s="14" t="str">
        <f t="shared" si="7"/>
        <v>obj_000cc#0006</v>
      </c>
      <c r="O11" s="14" t="b">
        <f t="shared" si="8"/>
        <v>1</v>
      </c>
      <c r="P11" s="14" t="str">
        <v>Dp</v>
      </c>
      <c r="Q11" s="14" t="str">
        <v>3M</v>
      </c>
      <c r="R11" s="14" t="str">
        <v>obj_000cc#0006</v>
      </c>
      <c r="S11" s="117">
        <f>_xll.qlRateHelperRate(R11,Trigger)</f>
        <v>-1.2600000000000001E-3</v>
      </c>
      <c r="T11" s="15">
        <f>_xll.qlRateHelperEarliestDate(R11,Trigger)</f>
        <v>42201</v>
      </c>
      <c r="U11" s="15">
        <f>_xll.qlRateHelperLatestDate(R11,Trigger)</f>
        <v>42293</v>
      </c>
      <c r="V11" s="155">
        <v>1.000328216822167</v>
      </c>
    </row>
    <row r="12" spans="1:24" ht="11.25" customHeight="1" x14ac:dyDescent="0.2">
      <c r="A12" s="100" t="s">
        <v>46</v>
      </c>
      <c r="B12" s="100" t="str">
        <v>4M</v>
      </c>
      <c r="C12" s="101" t="str">
        <f t="shared" si="2"/>
        <v>4M</v>
      </c>
      <c r="D12" s="102">
        <f t="shared" si="3"/>
        <v>2</v>
      </c>
      <c r="E12" s="103" t="str">
        <f t="shared" si="0"/>
        <v>Modified Following</v>
      </c>
      <c r="F12" s="104" t="str">
        <f t="shared" si="4"/>
        <v>TRUE</v>
      </c>
      <c r="G12" s="105" t="s">
        <v>50</v>
      </c>
      <c r="H12" s="106">
        <v>-1.2800000000000001E-3</v>
      </c>
      <c r="I12" s="107" t="str">
        <f>IF(OR(C12="O/N",C12="T/N",C12="S/N"),_xll.qlDepositRateHelper2(,H12,IF(RIGHT(C12,1)="N","1D",C12),D12,Calendar,E12,F12,G12,,Trigger),_xll.qlOISRateHelper(,D12,C12,H12,$I$1,,Permanent,Trigger,ObjectOverwrite))</f>
        <v>obj_000b8#0006</v>
      </c>
      <c r="J12" s="102" t="b">
        <f t="shared" si="1"/>
        <v>1</v>
      </c>
      <c r="K12" s="75"/>
      <c r="L12" s="24" t="str">
        <f t="shared" si="5"/>
        <v>Dp</v>
      </c>
      <c r="M12" s="24" t="str">
        <f t="shared" si="6"/>
        <v>4M</v>
      </c>
      <c r="N12" s="14" t="str">
        <f t="shared" si="7"/>
        <v>obj_000b8#0006</v>
      </c>
      <c r="O12" s="14" t="b">
        <f t="shared" si="8"/>
        <v>1</v>
      </c>
      <c r="P12" s="14" t="str">
        <v>Dp</v>
      </c>
      <c r="Q12" s="14" t="str">
        <v>4M</v>
      </c>
      <c r="R12" s="14" t="str">
        <v>obj_000b8#0006</v>
      </c>
      <c r="S12" s="117">
        <f>_xll.qlRateHelperRate(R12,Trigger)</f>
        <v>-1.2800000000000001E-3</v>
      </c>
      <c r="T12" s="15">
        <f>_xll.qlRateHelperEarliestDate(R12,Trigger)</f>
        <v>42201</v>
      </c>
      <c r="U12" s="15">
        <f>_xll.qlRateHelperLatestDate(R12,Trigger)</f>
        <v>42324</v>
      </c>
      <c r="V12" s="155">
        <v>1.0004436384875821</v>
      </c>
    </row>
    <row r="13" spans="1:24" ht="11.25" customHeight="1" x14ac:dyDescent="0.2">
      <c r="A13" s="100" t="s">
        <v>46</v>
      </c>
      <c r="B13" s="100" t="str">
        <v>5M</v>
      </c>
      <c r="C13" s="101" t="str">
        <f t="shared" si="2"/>
        <v>5M</v>
      </c>
      <c r="D13" s="102">
        <f t="shared" si="3"/>
        <v>2</v>
      </c>
      <c r="E13" s="103" t="str">
        <f t="shared" si="0"/>
        <v>Modified Following</v>
      </c>
      <c r="F13" s="104" t="str">
        <f t="shared" si="4"/>
        <v>TRUE</v>
      </c>
      <c r="G13" s="105" t="s">
        <v>50</v>
      </c>
      <c r="H13" s="106">
        <v>-1.2999999999999999E-3</v>
      </c>
      <c r="I13" s="107" t="str">
        <f>IF(OR(C13="O/N",C13="T/N",C13="S/N"),_xll.qlDepositRateHelper2(,H13,IF(RIGHT(C13,1)="N","1D",C13),D13,Calendar,E13,F13,G13,,Trigger),_xll.qlOISRateHelper(,D13,C13,H13,$I$1,,Permanent,Trigger,ObjectOverwrite))</f>
        <v>obj_000cd#0006</v>
      </c>
      <c r="J13" s="102" t="b">
        <f t="shared" si="1"/>
        <v>1</v>
      </c>
      <c r="K13" s="75"/>
      <c r="L13" s="24" t="str">
        <f t="shared" si="5"/>
        <v>Dp</v>
      </c>
      <c r="M13" s="24" t="str">
        <f t="shared" si="6"/>
        <v>5M</v>
      </c>
      <c r="N13" s="14" t="str">
        <f t="shared" si="7"/>
        <v>obj_000cd#0006</v>
      </c>
      <c r="O13" s="14" t="b">
        <f t="shared" si="8"/>
        <v>1</v>
      </c>
      <c r="P13" s="14" t="str">
        <v>Dp</v>
      </c>
      <c r="Q13" s="14" t="str">
        <v>5M</v>
      </c>
      <c r="R13" s="14" t="str">
        <v>obj_000cd#0006</v>
      </c>
      <c r="S13" s="117">
        <f>_xll.qlRateHelperRate(R13,Trigger)</f>
        <v>-1.2999999999999999E-3</v>
      </c>
      <c r="T13" s="15">
        <f>_xll.qlRateHelperEarliestDate(R13,Trigger)</f>
        <v>42201</v>
      </c>
      <c r="U13" s="15">
        <f>_xll.qlRateHelperLatestDate(R13,Trigger)</f>
        <v>42354</v>
      </c>
      <c r="V13" s="155">
        <v>1.000558919939617</v>
      </c>
    </row>
    <row r="14" spans="1:24" ht="11.25" customHeight="1" x14ac:dyDescent="0.2">
      <c r="A14" s="100" t="s">
        <v>46</v>
      </c>
      <c r="B14" s="100" t="str">
        <v>6M</v>
      </c>
      <c r="C14" s="101" t="str">
        <f t="shared" si="2"/>
        <v>6M</v>
      </c>
      <c r="D14" s="102">
        <f t="shared" si="3"/>
        <v>2</v>
      </c>
      <c r="E14" s="103" t="str">
        <f t="shared" si="0"/>
        <v>Modified Following</v>
      </c>
      <c r="F14" s="104" t="str">
        <f t="shared" si="4"/>
        <v>TRUE</v>
      </c>
      <c r="G14" s="105" t="s">
        <v>50</v>
      </c>
      <c r="H14" s="106">
        <v>-1.31E-3</v>
      </c>
      <c r="I14" s="107" t="str">
        <f>IF(OR(C14="O/N",C14="T/N",C14="S/N"),_xll.qlDepositRateHelper2(,H14,IF(RIGHT(C14,1)="N","1D",C14),D14,Calendar,E14,F14,G14,,Trigger),_xll.qlOISRateHelper(,D14,C14,H14,$I$1,,Permanent,Trigger,ObjectOverwrite))</f>
        <v>obj_000c0#0006</v>
      </c>
      <c r="J14" s="102" t="b">
        <f t="shared" si="1"/>
        <v>1</v>
      </c>
      <c r="K14" s="75"/>
      <c r="L14" s="24" t="str">
        <f t="shared" si="5"/>
        <v>Dp</v>
      </c>
      <c r="M14" s="24" t="str">
        <f t="shared" si="6"/>
        <v>6M</v>
      </c>
      <c r="N14" s="14" t="str">
        <f t="shared" si="7"/>
        <v>obj_000c0#0006</v>
      </c>
      <c r="O14" s="14" t="b">
        <f t="shared" si="8"/>
        <v>1</v>
      </c>
      <c r="P14" s="14" t="str">
        <v>Dp</v>
      </c>
      <c r="Q14" s="14" t="str">
        <v>6M</v>
      </c>
      <c r="R14" s="14" t="str">
        <v>obj_000c0#0006</v>
      </c>
      <c r="S14" s="117">
        <f>_xll.qlRateHelperRate(R14,Trigger)</f>
        <v>-1.31E-3</v>
      </c>
      <c r="T14" s="15">
        <f>_xll.qlRateHelperEarliestDate(R14,Trigger)</f>
        <v>42201</v>
      </c>
      <c r="U14" s="15">
        <f>_xll.qlRateHelperLatestDate(R14,Trigger)</f>
        <v>42387</v>
      </c>
      <c r="V14" s="155">
        <v>1.0006834070223365</v>
      </c>
    </row>
    <row r="15" spans="1:24" ht="11.25" customHeight="1" x14ac:dyDescent="0.2">
      <c r="A15" s="100" t="s">
        <v>46</v>
      </c>
      <c r="B15" s="100" t="str">
        <v>7M</v>
      </c>
      <c r="C15" s="101" t="str">
        <f t="shared" si="2"/>
        <v>7M</v>
      </c>
      <c r="D15" s="102">
        <f t="shared" si="3"/>
        <v>2</v>
      </c>
      <c r="E15" s="103" t="str">
        <f t="shared" si="0"/>
        <v>Modified Following</v>
      </c>
      <c r="F15" s="104" t="str">
        <f t="shared" si="4"/>
        <v>TRUE</v>
      </c>
      <c r="G15" s="105" t="s">
        <v>50</v>
      </c>
      <c r="H15" s="106">
        <v>-1.33E-3</v>
      </c>
      <c r="I15" s="107" t="str">
        <f>IF(OR(C15="O/N",C15="T/N",C15="S/N"),_xll.qlDepositRateHelper2(,H15,IF(RIGHT(C15,1)="N","1D",C15),D15,Calendar,E15,F15,G15,,Trigger),_xll.qlOISRateHelper(,D15,C15,H15,$I$1,,Permanent,Trigger,ObjectOverwrite))</f>
        <v>obj_000ba#0006</v>
      </c>
      <c r="J15" s="102" t="b">
        <f t="shared" si="1"/>
        <v>1</v>
      </c>
      <c r="K15" s="75"/>
      <c r="L15" s="24" t="str">
        <f t="shared" si="5"/>
        <v>Dp</v>
      </c>
      <c r="M15" s="24" t="str">
        <f t="shared" si="6"/>
        <v>7M</v>
      </c>
      <c r="N15" s="14" t="str">
        <f t="shared" si="7"/>
        <v>obj_000ba#0006</v>
      </c>
      <c r="O15" s="14" t="b">
        <f t="shared" si="8"/>
        <v>1</v>
      </c>
      <c r="P15" s="14" t="str">
        <v>Dp</v>
      </c>
      <c r="Q15" s="14" t="str">
        <v>7M</v>
      </c>
      <c r="R15" s="14" t="str">
        <v>obj_000ba#0006</v>
      </c>
      <c r="S15" s="117">
        <f>_xll.qlRateHelperRate(R15,Trigger)</f>
        <v>-1.33E-3</v>
      </c>
      <c r="T15" s="15">
        <f>_xll.qlRateHelperEarliestDate(R15,Trigger)</f>
        <v>42201</v>
      </c>
      <c r="U15" s="15">
        <f>_xll.qlRateHelperLatestDate(R15,Trigger)</f>
        <v>42416</v>
      </c>
      <c r="V15" s="155">
        <v>1.0008010529727323</v>
      </c>
    </row>
    <row r="16" spans="1:24" ht="11.25" customHeight="1" x14ac:dyDescent="0.2">
      <c r="A16" s="100" t="s">
        <v>46</v>
      </c>
      <c r="B16" s="100" t="str">
        <v>8M</v>
      </c>
      <c r="C16" s="101" t="str">
        <f t="shared" si="2"/>
        <v>8M</v>
      </c>
      <c r="D16" s="102">
        <f t="shared" si="3"/>
        <v>2</v>
      </c>
      <c r="E16" s="103" t="str">
        <f t="shared" si="0"/>
        <v>Modified Following</v>
      </c>
      <c r="F16" s="104" t="str">
        <f t="shared" si="4"/>
        <v>TRUE</v>
      </c>
      <c r="G16" s="105" t="s">
        <v>50</v>
      </c>
      <c r="H16" s="106">
        <v>-1.3500000000000001E-3</v>
      </c>
      <c r="I16" s="107" t="str">
        <f>IF(OR(C16="O/N",C16="T/N",C16="S/N"),_xll.qlDepositRateHelper2(,H16,IF(RIGHT(C16,1)="N","1D",C16),D16,Calendar,E16,F16,G16,,Trigger),_xll.qlOISRateHelper(,D16,C16,H16,$I$1,,Permanent,Trigger,ObjectOverwrite))</f>
        <v>obj_000b0#0006</v>
      </c>
      <c r="J16" s="102" t="b">
        <f t="shared" si="1"/>
        <v>1</v>
      </c>
      <c r="K16" s="75"/>
      <c r="L16" s="24" t="str">
        <f t="shared" si="5"/>
        <v>Dp</v>
      </c>
      <c r="M16" s="24" t="str">
        <f t="shared" si="6"/>
        <v>8M</v>
      </c>
      <c r="N16" s="14" t="str">
        <f t="shared" si="7"/>
        <v>obj_000b0#0006</v>
      </c>
      <c r="O16" s="14" t="b">
        <f t="shared" si="8"/>
        <v>1</v>
      </c>
      <c r="P16" s="14" t="str">
        <v>Dp</v>
      </c>
      <c r="Q16" s="14" t="str">
        <v>8M</v>
      </c>
      <c r="R16" s="14" t="str">
        <v>obj_000b0#0006</v>
      </c>
      <c r="S16" s="117">
        <f>_xll.qlRateHelperRate(R16,Trigger)</f>
        <v>-1.3500000000000001E-3</v>
      </c>
      <c r="T16" s="15">
        <f>_xll.qlRateHelperEarliestDate(R16,Trigger)</f>
        <v>42201</v>
      </c>
      <c r="U16" s="15">
        <f>_xll.qlRateHelperLatestDate(R16,Trigger)</f>
        <v>42445</v>
      </c>
      <c r="V16" s="155">
        <v>1.0009219547249235</v>
      </c>
    </row>
    <row r="17" spans="1:22" ht="11.25" customHeight="1" x14ac:dyDescent="0.2">
      <c r="A17" s="100" t="s">
        <v>46</v>
      </c>
      <c r="B17" s="100" t="str">
        <v>9M</v>
      </c>
      <c r="C17" s="101" t="str">
        <f t="shared" si="2"/>
        <v>9M</v>
      </c>
      <c r="D17" s="102">
        <f t="shared" si="3"/>
        <v>2</v>
      </c>
      <c r="E17" s="103" t="str">
        <f t="shared" si="0"/>
        <v>Modified Following</v>
      </c>
      <c r="F17" s="104" t="str">
        <f t="shared" si="4"/>
        <v>TRUE</v>
      </c>
      <c r="G17" s="105" t="s">
        <v>50</v>
      </c>
      <c r="H17" s="106">
        <v>-1.3600000000000001E-3</v>
      </c>
      <c r="I17" s="107" t="str">
        <f>IF(OR(C17="O/N",C17="T/N",C17="S/N"),_xll.qlDepositRateHelper2(,H17,IF(RIGHT(C17,1)="N","1D",C17),D17,Calendar,E17,F17,G17,,Trigger),_xll.qlOISRateHelper(,D17,C17,H17,$I$1,,Permanent,Trigger,ObjectOverwrite))</f>
        <v>obj_000aa#0006</v>
      </c>
      <c r="J17" s="102" t="b">
        <f t="shared" si="1"/>
        <v>1</v>
      </c>
      <c r="K17" s="75"/>
      <c r="L17" s="24" t="str">
        <f t="shared" si="5"/>
        <v>Dp</v>
      </c>
      <c r="M17" s="24" t="str">
        <f t="shared" si="6"/>
        <v>9M</v>
      </c>
      <c r="N17" s="14" t="str">
        <f t="shared" si="7"/>
        <v>obj_000aa#0006</v>
      </c>
      <c r="O17" s="14" t="b">
        <f t="shared" si="8"/>
        <v>1</v>
      </c>
      <c r="P17" s="14" t="str">
        <v>Dp</v>
      </c>
      <c r="Q17" s="14" t="str">
        <v>9M</v>
      </c>
      <c r="R17" s="14" t="str">
        <v>obj_000aa#0006</v>
      </c>
      <c r="S17" s="117">
        <f>_xll.qlRateHelperRate(R17,Trigger)</f>
        <v>-1.3600000000000001E-3</v>
      </c>
      <c r="T17" s="15">
        <f>_xll.qlRateHelperEarliestDate(R17,Trigger)</f>
        <v>42201</v>
      </c>
      <c r="U17" s="15">
        <f>_xll.qlRateHelperLatestDate(R17,Trigger)</f>
        <v>42478</v>
      </c>
      <c r="V17" s="155">
        <v>1.0010536581755389</v>
      </c>
    </row>
    <row r="18" spans="1:22" ht="11.25" customHeight="1" x14ac:dyDescent="0.2">
      <c r="A18" s="100" t="s">
        <v>46</v>
      </c>
      <c r="B18" s="100" t="str">
        <v>10M</v>
      </c>
      <c r="C18" s="101" t="str">
        <f t="shared" ref="C18:C71" si="9">IF(LEFT(B18,1)="#","9M",B18)</f>
        <v>10M</v>
      </c>
      <c r="D18" s="102">
        <f t="shared" ref="D18:D71" si="10">IF(C18="O/N",0,IF(C18="T/N",1,2))</f>
        <v>2</v>
      </c>
      <c r="E18" s="103" t="str">
        <f t="shared" si="0"/>
        <v>Modified Following</v>
      </c>
      <c r="F18" s="104" t="str">
        <f t="shared" si="4"/>
        <v>TRUE</v>
      </c>
      <c r="G18" s="105" t="s">
        <v>50</v>
      </c>
      <c r="H18" s="106">
        <v>-1.3700000000000001E-3</v>
      </c>
      <c r="I18" s="107" t="str">
        <f>IF(OR(C18="O/N",C18="T/N",C18="S/N"),_xll.qlDepositRateHelper2(,H18,IF(RIGHT(C18,1)="N","1D",C18),D18,Calendar,E18,F18,G18,,Trigger),_xll.qlOISRateHelper(,D18,C18,H18,$I$1,,Permanent,Trigger,ObjectOverwrite))</f>
        <v>obj_0008e#0006</v>
      </c>
      <c r="J18" s="102" t="b">
        <f t="shared" ref="J18:J71" si="11">IF(ISERROR(I18),FALSE,TRUE)</f>
        <v>1</v>
      </c>
      <c r="K18" s="75"/>
      <c r="L18" s="24" t="str">
        <f t="shared" si="5"/>
        <v>Dp</v>
      </c>
      <c r="M18" s="24" t="str">
        <f t="shared" si="6"/>
        <v>10M</v>
      </c>
      <c r="N18" s="14" t="str">
        <f t="shared" si="7"/>
        <v>obj_0008e#0006</v>
      </c>
      <c r="O18" s="14" t="b">
        <f t="shared" si="8"/>
        <v>1</v>
      </c>
      <c r="P18" s="14" t="str">
        <v>Dp</v>
      </c>
      <c r="Q18" s="14" t="str">
        <v>10M</v>
      </c>
      <c r="R18" s="14" t="str">
        <v>obj_0008e#0006</v>
      </c>
      <c r="S18" s="117">
        <f>_xll.qlRateHelperRate(R18,Trigger)</f>
        <v>-1.3700000000000001E-3</v>
      </c>
      <c r="T18" s="15">
        <f>_xll.qlRateHelperEarliestDate(R18,Trigger)</f>
        <v>42201</v>
      </c>
      <c r="U18" s="15">
        <f>_xll.qlRateHelperLatestDate(R18,Trigger)</f>
        <v>42506</v>
      </c>
      <c r="V18" s="155">
        <v>1.0011681614593106</v>
      </c>
    </row>
    <row r="19" spans="1:22" ht="11.25" customHeight="1" x14ac:dyDescent="0.2">
      <c r="A19" s="100" t="s">
        <v>46</v>
      </c>
      <c r="B19" s="100" t="str">
        <v>11M</v>
      </c>
      <c r="C19" s="101" t="str">
        <f t="shared" si="9"/>
        <v>11M</v>
      </c>
      <c r="D19" s="102">
        <f t="shared" si="10"/>
        <v>2</v>
      </c>
      <c r="E19" s="103" t="str">
        <f t="shared" si="0"/>
        <v>Modified Following</v>
      </c>
      <c r="F19" s="104" t="str">
        <f t="shared" si="4"/>
        <v>TRUE</v>
      </c>
      <c r="G19" s="105" t="s">
        <v>50</v>
      </c>
      <c r="H19" s="106">
        <v>-1.3800000000000002E-3</v>
      </c>
      <c r="I19" s="107" t="str">
        <f>IF(OR(C19="O/N",C19="T/N",C19="S/N"),_xll.qlDepositRateHelper2(,H19,IF(RIGHT(C19,1)="N","1D",C19),D19,Calendar,E19,F19,G19,,Trigger),_xll.qlOISRateHelper(,D19,C19,H19,$I$1,,Permanent,Trigger,ObjectOverwrite))</f>
        <v>obj_0008d#0006</v>
      </c>
      <c r="J19" s="102" t="b">
        <f t="shared" si="11"/>
        <v>1</v>
      </c>
      <c r="K19" s="75"/>
      <c r="L19" s="24" t="str">
        <f t="shared" si="5"/>
        <v>Dp</v>
      </c>
      <c r="M19" s="24" t="str">
        <f t="shared" si="6"/>
        <v>11M</v>
      </c>
      <c r="N19" s="14" t="str">
        <f t="shared" si="7"/>
        <v>obj_0008d#0006</v>
      </c>
      <c r="O19" s="14" t="b">
        <f t="shared" si="8"/>
        <v>1</v>
      </c>
      <c r="P19" s="14" t="str">
        <v>Dp</v>
      </c>
      <c r="Q19" s="14" t="str">
        <v>11M</v>
      </c>
      <c r="R19" s="14" t="str">
        <v>obj_0008d#0006</v>
      </c>
      <c r="S19" s="117">
        <f>_xll.qlRateHelperRate(R19,Trigger)</f>
        <v>-1.3800000000000002E-3</v>
      </c>
      <c r="T19" s="15">
        <f>_xll.qlRateHelperEarliestDate(R19,Trigger)</f>
        <v>42201</v>
      </c>
      <c r="U19" s="15">
        <f>_xll.qlRateHelperLatestDate(R19,Trigger)</f>
        <v>42537</v>
      </c>
      <c r="V19" s="155">
        <v>1.0012957801011204</v>
      </c>
    </row>
    <row r="20" spans="1:22" ht="11.25" customHeight="1" x14ac:dyDescent="0.2">
      <c r="A20" s="100" t="s">
        <v>46</v>
      </c>
      <c r="B20" s="100" t="str">
        <v>1Y</v>
      </c>
      <c r="C20" s="101" t="str">
        <f t="shared" si="9"/>
        <v>1Y</v>
      </c>
      <c r="D20" s="102">
        <f t="shared" si="10"/>
        <v>2</v>
      </c>
      <c r="E20" s="103" t="str">
        <f>IF(RIGHT(C20,1)="M","Modified Following",IF(RIGHT(C20,1)="Y","Modified Following","Following"))</f>
        <v>Modified Following</v>
      </c>
      <c r="F20" s="104" t="str">
        <f t="shared" si="4"/>
        <v>TRUE</v>
      </c>
      <c r="G20" s="105" t="s">
        <v>50</v>
      </c>
      <c r="H20" s="106">
        <v>-1.3800000000000002E-3</v>
      </c>
      <c r="I20" s="107" t="str">
        <f>IF(OR(C20="O/N",C20="T/N",C20="S/N"),_xll.qlDepositRateHelper2(,H20,IF(RIGHT(C20,1)="N","1D",C20),D20,Calendar,E20,F20,G20,,Trigger),_xll.qlOISRateHelper(,D20,C20,H20,$I$1,,Permanent,Trigger,ObjectOverwrite))</f>
        <v>obj_00016#0006</v>
      </c>
      <c r="J20" s="102" t="b">
        <f t="shared" si="11"/>
        <v>1</v>
      </c>
      <c r="K20" s="75"/>
      <c r="L20" s="24" t="str">
        <f t="shared" si="5"/>
        <v>Dp</v>
      </c>
      <c r="M20" s="24" t="str">
        <f t="shared" si="6"/>
        <v>1Y</v>
      </c>
      <c r="N20" s="14" t="str">
        <f t="shared" si="7"/>
        <v>obj_00016#0006</v>
      </c>
      <c r="O20" s="14" t="b">
        <f t="shared" si="8"/>
        <v>1</v>
      </c>
      <c r="P20" s="14" t="str">
        <v>Dp</v>
      </c>
      <c r="Q20" s="14" t="str">
        <v>1Y</v>
      </c>
      <c r="R20" s="14" t="str">
        <v>obj_00016#0006</v>
      </c>
      <c r="S20" s="117">
        <f>_xll.qlRateHelperRate(R20,Trigger)</f>
        <v>-1.3800000000000002E-3</v>
      </c>
      <c r="T20" s="15">
        <f>_xll.qlRateHelperEarliestDate(R20,Trigger)</f>
        <v>42201</v>
      </c>
      <c r="U20" s="15">
        <f>_xll.qlRateHelperLatestDate(R20,Trigger)</f>
        <v>42569</v>
      </c>
      <c r="V20" s="155">
        <v>1.0014187792275857</v>
      </c>
    </row>
    <row r="21" spans="1:22" ht="11.25" customHeight="1" x14ac:dyDescent="0.2">
      <c r="A21" s="100" t="s">
        <v>46</v>
      </c>
      <c r="B21" s="100" t="str">
        <v>13M</v>
      </c>
      <c r="C21" s="101" t="str">
        <f t="shared" si="9"/>
        <v>13M</v>
      </c>
      <c r="D21" s="102">
        <f t="shared" si="10"/>
        <v>2</v>
      </c>
      <c r="E21" s="103" t="str">
        <f t="shared" ref="E21:E71" si="12">IF(RIGHT(C21,1)="M","Modified Following",IF(RIGHT(C21,1)="Y","Modified Following","Following"))</f>
        <v>Modified Following</v>
      </c>
      <c r="F21" s="104" t="str">
        <f t="shared" si="4"/>
        <v>TRUE</v>
      </c>
      <c r="G21" s="105" t="s">
        <v>50</v>
      </c>
      <c r="H21" s="106">
        <v>-1.3700000000000001E-3</v>
      </c>
      <c r="I21" s="107" t="str">
        <f>IF(OR(C21="O/N",C21="T/N",C21="S/N"),_xll.qlDepositRateHelper2(,H21,IF(RIGHT(C21,1)="N","1D",C21),D21,Calendar,E21,F21,G21,,Trigger),_xll.qlOISRateHelper(,D21,C21,H21,$I$1,,Permanent,Trigger,ObjectOverwrite))</f>
        <v>obj_00038#0006</v>
      </c>
      <c r="J21" s="102" t="b">
        <f t="shared" si="11"/>
        <v>1</v>
      </c>
      <c r="K21" s="75"/>
      <c r="L21" s="24" t="str">
        <f t="shared" si="5"/>
        <v>Dp</v>
      </c>
      <c r="M21" s="24" t="str">
        <f t="shared" si="6"/>
        <v>13M</v>
      </c>
      <c r="N21" s="14" t="str">
        <f t="shared" si="7"/>
        <v>obj_00038#0006</v>
      </c>
      <c r="O21" s="14" t="b">
        <f t="shared" si="8"/>
        <v>1</v>
      </c>
      <c r="P21" s="14" t="str">
        <v>Dp</v>
      </c>
      <c r="Q21" s="14" t="str">
        <v>13M</v>
      </c>
      <c r="R21" s="14" t="str">
        <v>obj_00038#0006</v>
      </c>
      <c r="S21" s="117">
        <f>_xll.qlRateHelperRate(R21,Trigger)</f>
        <v>-1.3700000000000001E-3</v>
      </c>
      <c r="T21" s="15">
        <f>_xll.qlRateHelperEarliestDate(R21,Trigger)</f>
        <v>42201</v>
      </c>
      <c r="U21" s="15">
        <f>_xll.qlRateHelperLatestDate(R21,Trigger)</f>
        <v>42598</v>
      </c>
      <c r="V21" s="155">
        <v>1.0015190404165353</v>
      </c>
    </row>
    <row r="22" spans="1:22" ht="11.25" customHeight="1" x14ac:dyDescent="0.2">
      <c r="A22" s="100" t="s">
        <v>46</v>
      </c>
      <c r="B22" s="100" t="str">
        <v>14M</v>
      </c>
      <c r="C22" s="101" t="str">
        <f t="shared" si="9"/>
        <v>14M</v>
      </c>
      <c r="D22" s="102">
        <f t="shared" si="10"/>
        <v>2</v>
      </c>
      <c r="E22" s="103" t="str">
        <f t="shared" si="12"/>
        <v>Modified Following</v>
      </c>
      <c r="F22" s="104" t="str">
        <f t="shared" si="4"/>
        <v>TRUE</v>
      </c>
      <c r="G22" s="105" t="s">
        <v>50</v>
      </c>
      <c r="H22" s="106">
        <v>-1.3700000000000001E-3</v>
      </c>
      <c r="I22" s="107" t="str">
        <f>IF(OR(C22="O/N",C22="T/N",C22="S/N"),_xll.qlDepositRateHelper2(,H22,IF(RIGHT(C22,1)="N","1D",C22),D22,Calendar,E22,F22,G22,,Trigger),_xll.qlOISRateHelper(,D22,C22,H22,$I$1,,Permanent,Trigger,ObjectOverwrite))</f>
        <v>obj_0007f#0006</v>
      </c>
      <c r="J22" s="102" t="b">
        <f t="shared" si="11"/>
        <v>1</v>
      </c>
      <c r="L22" s="24" t="str">
        <f t="shared" si="5"/>
        <v>Dp</v>
      </c>
      <c r="M22" s="24" t="str">
        <f t="shared" si="6"/>
        <v>14M</v>
      </c>
      <c r="N22" s="14" t="str">
        <f t="shared" si="7"/>
        <v>obj_0007f#0006</v>
      </c>
      <c r="O22" s="14" t="b">
        <f t="shared" si="8"/>
        <v>1</v>
      </c>
      <c r="P22" s="14" t="str">
        <v>Dp</v>
      </c>
      <c r="Q22" s="14" t="str">
        <v>14M</v>
      </c>
      <c r="R22" s="14" t="str">
        <v>obj_0007f#0006</v>
      </c>
      <c r="S22" s="117">
        <f>_xll.qlRateHelperRate(R22,Trigger)</f>
        <v>-1.3700000000000001E-3</v>
      </c>
      <c r="T22" s="15">
        <f>_xll.qlRateHelperEarliestDate(R22,Trigger)</f>
        <v>42201</v>
      </c>
      <c r="U22" s="15">
        <f>_xll.qlRateHelperLatestDate(R22,Trigger)</f>
        <v>42629</v>
      </c>
      <c r="V22" s="155">
        <v>1.0016372207234081</v>
      </c>
    </row>
    <row r="23" spans="1:22" ht="11.25" customHeight="1" x14ac:dyDescent="0.2">
      <c r="A23" s="100" t="s">
        <v>46</v>
      </c>
      <c r="B23" s="100" t="str">
        <v>15M</v>
      </c>
      <c r="C23" s="101" t="str">
        <f t="shared" si="9"/>
        <v>15M</v>
      </c>
      <c r="D23" s="102">
        <f t="shared" si="10"/>
        <v>2</v>
      </c>
      <c r="E23" s="103" t="str">
        <f t="shared" si="12"/>
        <v>Modified Following</v>
      </c>
      <c r="F23" s="104" t="str">
        <f t="shared" si="4"/>
        <v>TRUE</v>
      </c>
      <c r="G23" s="105" t="s">
        <v>50</v>
      </c>
      <c r="H23" s="106">
        <v>-1.3600000000000001E-3</v>
      </c>
      <c r="I23" s="107" t="str">
        <f>IF(OR(C23="O/N",C23="T/N",C23="S/N"),_xll.qlDepositRateHelper2(,H23,IF(RIGHT(C23,1)="N","1D",C23),D23,Calendar,E23,F23,G23,,Trigger),_xll.qlOISRateHelper(,D23,C23,H23,$I$1,,Permanent,Trigger,ObjectOverwrite))</f>
        <v>obj_00017#0006</v>
      </c>
      <c r="J23" s="102" t="b">
        <f t="shared" si="11"/>
        <v>1</v>
      </c>
      <c r="L23" s="24" t="str">
        <f t="shared" si="5"/>
        <v>Dp</v>
      </c>
      <c r="M23" s="24" t="str">
        <f t="shared" si="6"/>
        <v>15M</v>
      </c>
      <c r="N23" s="14" t="str">
        <f t="shared" si="7"/>
        <v>obj_00017#0006</v>
      </c>
      <c r="O23" s="14" t="b">
        <f t="shared" si="8"/>
        <v>1</v>
      </c>
      <c r="P23" s="14" t="str">
        <v>Dp</v>
      </c>
      <c r="Q23" s="14" t="str">
        <v>15M</v>
      </c>
      <c r="R23" s="14" t="str">
        <v>obj_00017#0006</v>
      </c>
      <c r="S23" s="117">
        <f>_xll.qlRateHelperRate(R23,Trigger)</f>
        <v>-1.3600000000000001E-3</v>
      </c>
      <c r="T23" s="15">
        <f>_xll.qlRateHelperEarliestDate(R23,Trigger)</f>
        <v>42201</v>
      </c>
      <c r="U23" s="15">
        <f>_xll.qlRateHelperLatestDate(R23,Trigger)</f>
        <v>42660</v>
      </c>
      <c r="V23" s="155">
        <v>1.001742641285259</v>
      </c>
    </row>
    <row r="24" spans="1:22" ht="11.25" customHeight="1" x14ac:dyDescent="0.2">
      <c r="A24" s="100" t="s">
        <v>46</v>
      </c>
      <c r="B24" s="100" t="str">
        <v>16M</v>
      </c>
      <c r="C24" s="101" t="str">
        <f t="shared" si="9"/>
        <v>16M</v>
      </c>
      <c r="D24" s="102">
        <f t="shared" si="10"/>
        <v>2</v>
      </c>
      <c r="E24" s="103" t="str">
        <f t="shared" si="12"/>
        <v>Modified Following</v>
      </c>
      <c r="F24" s="104" t="str">
        <f t="shared" si="4"/>
        <v>TRUE</v>
      </c>
      <c r="G24" s="105" t="s">
        <v>50</v>
      </c>
      <c r="H24" s="106">
        <v>-1.3500000000000001E-3</v>
      </c>
      <c r="I24" s="107" t="str">
        <f>IF(OR(C24="O/N",C24="T/N",C24="S/N"),_xll.qlDepositRateHelper2(,H24,IF(RIGHT(C24,1)="N","1D",C24),D24,Calendar,E24,F24,G24,,Trigger),_xll.qlOISRateHelper(,D24,C24,H24,$I$1,,Permanent,Trigger,ObjectOverwrite))</f>
        <v>obj_00093#0006</v>
      </c>
      <c r="J24" s="102" t="b">
        <f t="shared" si="11"/>
        <v>1</v>
      </c>
      <c r="L24" s="24" t="str">
        <f t="shared" si="5"/>
        <v>Dp</v>
      </c>
      <c r="M24" s="24" t="str">
        <f t="shared" si="6"/>
        <v>16M</v>
      </c>
      <c r="N24" s="14" t="str">
        <f t="shared" si="7"/>
        <v>obj_00093#0006</v>
      </c>
      <c r="O24" s="14" t="b">
        <f t="shared" si="8"/>
        <v>1</v>
      </c>
      <c r="P24" s="14" t="str">
        <v>Dp</v>
      </c>
      <c r="Q24" s="14" t="str">
        <v>16M</v>
      </c>
      <c r="R24" s="14" t="str">
        <v>obj_00093#0006</v>
      </c>
      <c r="S24" s="117">
        <f>_xll.qlRateHelperRate(R24,Trigger)</f>
        <v>-1.3500000000000001E-3</v>
      </c>
      <c r="T24" s="15">
        <f>_xll.qlRateHelperEarliestDate(R24,Trigger)</f>
        <v>42201</v>
      </c>
      <c r="U24" s="15">
        <f>_xll.qlRateHelperLatestDate(R24,Trigger)</f>
        <v>42690</v>
      </c>
      <c r="V24" s="155">
        <v>1.001842594725884</v>
      </c>
    </row>
    <row r="25" spans="1:22" ht="11.25" customHeight="1" x14ac:dyDescent="0.2">
      <c r="A25" s="100" t="s">
        <v>46</v>
      </c>
      <c r="B25" s="100" t="str">
        <v>17M</v>
      </c>
      <c r="C25" s="101" t="str">
        <f t="shared" si="9"/>
        <v>17M</v>
      </c>
      <c r="D25" s="102">
        <f t="shared" si="10"/>
        <v>2</v>
      </c>
      <c r="E25" s="103" t="str">
        <f t="shared" si="12"/>
        <v>Modified Following</v>
      </c>
      <c r="F25" s="104" t="str">
        <f t="shared" si="4"/>
        <v>TRUE</v>
      </c>
      <c r="G25" s="105" t="s">
        <v>50</v>
      </c>
      <c r="H25" s="106">
        <v>-1.33E-3</v>
      </c>
      <c r="I25" s="107" t="str">
        <f>IF(OR(C25="O/N",C25="T/N",C25="S/N"),_xll.qlDepositRateHelper2(,H25,IF(RIGHT(C25,1)="N","1D",C25),D25,Calendar,E25,F25,G25,,Trigger),_xll.qlOISRateHelper(,D25,C25,H25,$I$1,,Permanent,Trigger,ObjectOverwrite))</f>
        <v>obj_00027#0006</v>
      </c>
      <c r="J25" s="102" t="b">
        <f t="shared" si="11"/>
        <v>1</v>
      </c>
      <c r="L25" s="24" t="str">
        <f t="shared" si="5"/>
        <v>Dp</v>
      </c>
      <c r="M25" s="24" t="str">
        <f t="shared" si="6"/>
        <v>17M</v>
      </c>
      <c r="N25" s="14" t="str">
        <f t="shared" si="7"/>
        <v>obj_00027#0006</v>
      </c>
      <c r="O25" s="14" t="b">
        <f t="shared" si="8"/>
        <v>1</v>
      </c>
      <c r="P25" s="14" t="str">
        <v>Dp</v>
      </c>
      <c r="Q25" s="14" t="str">
        <v>17M</v>
      </c>
      <c r="R25" s="14" t="str">
        <v>obj_00027#0006</v>
      </c>
      <c r="S25" s="117">
        <f>_xll.qlRateHelperRate(R25,Trigger)</f>
        <v>-1.33E-3</v>
      </c>
      <c r="T25" s="15">
        <f>_xll.qlRateHelperEarliestDate(R25,Trigger)</f>
        <v>42201</v>
      </c>
      <c r="U25" s="15">
        <f>_xll.qlRateHelperLatestDate(R25,Trigger)</f>
        <v>42720</v>
      </c>
      <c r="V25" s="155">
        <v>1.0019264486121111</v>
      </c>
    </row>
    <row r="26" spans="1:22" ht="11.25" customHeight="1" x14ac:dyDescent="0.2">
      <c r="A26" s="100" t="s">
        <v>46</v>
      </c>
      <c r="B26" s="100" t="str">
        <v>18M</v>
      </c>
      <c r="C26" s="101" t="str">
        <f t="shared" si="9"/>
        <v>18M</v>
      </c>
      <c r="D26" s="102">
        <f t="shared" si="10"/>
        <v>2</v>
      </c>
      <c r="E26" s="103" t="str">
        <f t="shared" si="12"/>
        <v>Modified Following</v>
      </c>
      <c r="F26" s="104" t="str">
        <f t="shared" si="4"/>
        <v>TRUE</v>
      </c>
      <c r="G26" s="105" t="s">
        <v>50</v>
      </c>
      <c r="H26" s="106">
        <v>-1.31E-3</v>
      </c>
      <c r="I26" s="107" t="str">
        <f>IF(OR(C26="O/N",C26="T/N",C26="S/N"),_xll.qlDepositRateHelper2(,H26,IF(RIGHT(C26,1)="N","1D",C26),D26,Calendar,E26,F26,G26,,Trigger),_xll.qlOISRateHelper(,D26,C26,H26,$I$1,,Permanent,Trigger,ObjectOverwrite))</f>
        <v>obj_0007c#0006</v>
      </c>
      <c r="J26" s="102" t="b">
        <f t="shared" si="11"/>
        <v>1</v>
      </c>
      <c r="L26" s="24" t="str">
        <f t="shared" si="5"/>
        <v>Dp</v>
      </c>
      <c r="M26" s="24" t="str">
        <f t="shared" si="6"/>
        <v>18M</v>
      </c>
      <c r="N26" s="14" t="str">
        <f t="shared" si="7"/>
        <v>obj_0007c#0006</v>
      </c>
      <c r="O26" s="14" t="b">
        <f t="shared" si="8"/>
        <v>1</v>
      </c>
      <c r="P26" s="14" t="str">
        <v>Dp</v>
      </c>
      <c r="Q26" s="14" t="str">
        <v>18M</v>
      </c>
      <c r="R26" s="14" t="str">
        <v>obj_0007c#0006</v>
      </c>
      <c r="S26" s="117">
        <f>_xll.qlRateHelperRate(R26,Trigger)</f>
        <v>-1.31E-3</v>
      </c>
      <c r="T26" s="15">
        <f>_xll.qlRateHelperEarliestDate(R26,Trigger)</f>
        <v>42201</v>
      </c>
      <c r="U26" s="15">
        <f>_xll.qlRateHelperLatestDate(R26,Trigger)</f>
        <v>42751</v>
      </c>
      <c r="V26" s="155">
        <v>1.0020106257634172</v>
      </c>
    </row>
    <row r="27" spans="1:22" ht="11.25" customHeight="1" x14ac:dyDescent="0.2">
      <c r="A27" s="100" t="s">
        <v>46</v>
      </c>
      <c r="B27" s="100" t="str">
        <v>19M</v>
      </c>
      <c r="C27" s="101" t="str">
        <f t="shared" si="9"/>
        <v>19M</v>
      </c>
      <c r="D27" s="102">
        <f t="shared" si="10"/>
        <v>2</v>
      </c>
      <c r="E27" s="103" t="str">
        <f t="shared" si="12"/>
        <v>Modified Following</v>
      </c>
      <c r="F27" s="104" t="str">
        <f t="shared" si="4"/>
        <v>TRUE</v>
      </c>
      <c r="G27" s="105" t="s">
        <v>50</v>
      </c>
      <c r="H27" s="106">
        <v>-1.2800000000000001E-3</v>
      </c>
      <c r="I27" s="107" t="str">
        <f>IF(OR(C27="O/N",C27="T/N",C27="S/N"),_xll.qlDepositRateHelper2(,H27,IF(RIGHT(C27,1)="N","1D",C27),D27,Calendar,E27,F27,G27,,Trigger),_xll.qlOISRateHelper(,D27,C27,H27,$I$1,,Permanent,Trigger,ObjectOverwrite))</f>
        <v>obj_00057#0006</v>
      </c>
      <c r="J27" s="102" t="b">
        <f t="shared" si="11"/>
        <v>1</v>
      </c>
      <c r="L27" s="24" t="str">
        <f t="shared" si="5"/>
        <v>Dp</v>
      </c>
      <c r="M27" s="24" t="str">
        <f t="shared" si="6"/>
        <v>19M</v>
      </c>
      <c r="N27" s="14" t="str">
        <f t="shared" si="7"/>
        <v>obj_00057#0006</v>
      </c>
      <c r="O27" s="14" t="b">
        <f t="shared" si="8"/>
        <v>1</v>
      </c>
      <c r="P27" s="14" t="str">
        <v>Dp</v>
      </c>
      <c r="Q27" s="14" t="str">
        <v>19M</v>
      </c>
      <c r="R27" s="14" t="str">
        <v>obj_00057#0006</v>
      </c>
      <c r="S27" s="117">
        <f>_xll.qlRateHelperRate(R27,Trigger)</f>
        <v>-1.2800000000000001E-3</v>
      </c>
      <c r="T27" s="15">
        <f>_xll.qlRateHelperEarliestDate(R27,Trigger)</f>
        <v>42201</v>
      </c>
      <c r="U27" s="15">
        <f>_xll.qlRateHelperLatestDate(R27,Trigger)</f>
        <v>42782</v>
      </c>
      <c r="V27" s="155">
        <v>1.0020752018039036</v>
      </c>
    </row>
    <row r="28" spans="1:22" ht="11.25" customHeight="1" x14ac:dyDescent="0.2">
      <c r="A28" s="100" t="s">
        <v>46</v>
      </c>
      <c r="B28" s="100" t="str">
        <v>20M</v>
      </c>
      <c r="C28" s="101" t="str">
        <f t="shared" si="9"/>
        <v>20M</v>
      </c>
      <c r="D28" s="102">
        <f t="shared" si="10"/>
        <v>2</v>
      </c>
      <c r="E28" s="103" t="str">
        <f t="shared" si="12"/>
        <v>Modified Following</v>
      </c>
      <c r="F28" s="104" t="str">
        <f t="shared" si="4"/>
        <v>TRUE</v>
      </c>
      <c r="G28" s="105" t="s">
        <v>50</v>
      </c>
      <c r="H28" s="106">
        <v>-1.24E-3</v>
      </c>
      <c r="I28" s="107" t="str">
        <f>IF(OR(C28="O/N",C28="T/N",C28="S/N"),_xll.qlDepositRateHelper2(,H28,IF(RIGHT(C28,1)="N","1D",C28),D28,Calendar,E28,F28,G28,,Trigger),_xll.qlOISRateHelper(,D28,C28,H28,$I$1,,Permanent,Trigger,ObjectOverwrite))</f>
        <v>obj_00018#0006</v>
      </c>
      <c r="J28" s="102" t="b">
        <f t="shared" si="11"/>
        <v>1</v>
      </c>
      <c r="L28" s="24" t="str">
        <f t="shared" si="5"/>
        <v>Dp</v>
      </c>
      <c r="M28" s="24" t="str">
        <f t="shared" si="6"/>
        <v>20M</v>
      </c>
      <c r="N28" s="14" t="str">
        <f t="shared" si="7"/>
        <v>obj_00018#0006</v>
      </c>
      <c r="O28" s="14" t="b">
        <f t="shared" si="8"/>
        <v>1</v>
      </c>
      <c r="P28" s="14" t="str">
        <v>Dp</v>
      </c>
      <c r="Q28" s="14" t="str">
        <v>20M</v>
      </c>
      <c r="R28" s="14" t="str">
        <v>obj_00018#0006</v>
      </c>
      <c r="S28" s="117">
        <f>_xll.qlRateHelperRate(R28,Trigger)</f>
        <v>-1.24E-3</v>
      </c>
      <c r="T28" s="15">
        <f>_xll.qlRateHelperEarliestDate(R28,Trigger)</f>
        <v>42201</v>
      </c>
      <c r="U28" s="15">
        <f>_xll.qlRateHelperLatestDate(R28,Trigger)</f>
        <v>42810</v>
      </c>
      <c r="V28" s="155">
        <v>1.0021072018757686</v>
      </c>
    </row>
    <row r="29" spans="1:22" ht="11.25" customHeight="1" x14ac:dyDescent="0.2">
      <c r="A29" s="100" t="s">
        <v>46</v>
      </c>
      <c r="B29" s="100" t="str">
        <v>21M</v>
      </c>
      <c r="C29" s="101" t="str">
        <f t="shared" si="9"/>
        <v>21M</v>
      </c>
      <c r="D29" s="102">
        <f t="shared" si="10"/>
        <v>2</v>
      </c>
      <c r="E29" s="103" t="str">
        <f t="shared" si="12"/>
        <v>Modified Following</v>
      </c>
      <c r="F29" s="104" t="str">
        <f t="shared" si="4"/>
        <v>TRUE</v>
      </c>
      <c r="G29" s="105" t="s">
        <v>50</v>
      </c>
      <c r="H29" s="106">
        <v>-1.1999999999999999E-3</v>
      </c>
      <c r="I29" s="107" t="str">
        <f>IF(OR(C29="O/N",C29="T/N",C29="S/N"),_xll.qlDepositRateHelper2(,H29,IF(RIGHT(C29,1)="N","1D",C29),D29,Calendar,E29,F29,G29,,Trigger),_xll.qlOISRateHelper(,D29,C29,H29,$I$1,,Permanent,Trigger,ObjectOverwrite))</f>
        <v>obj_00068#0006</v>
      </c>
      <c r="J29" s="102" t="b">
        <f t="shared" si="11"/>
        <v>1</v>
      </c>
      <c r="L29" s="24" t="str">
        <f t="shared" si="5"/>
        <v>Dp</v>
      </c>
      <c r="M29" s="24" t="str">
        <f t="shared" si="6"/>
        <v>21M</v>
      </c>
      <c r="N29" s="14" t="str">
        <f t="shared" si="7"/>
        <v>obj_00068#0006</v>
      </c>
      <c r="O29" s="14" t="b">
        <f t="shared" si="8"/>
        <v>1</v>
      </c>
      <c r="P29" s="14" t="str">
        <v>Dp</v>
      </c>
      <c r="Q29" s="14" t="str">
        <v>21M</v>
      </c>
      <c r="R29" s="14" t="str">
        <v>obj_00068#0006</v>
      </c>
      <c r="S29" s="117">
        <f>_xll.qlRateHelperRate(R29,Trigger)</f>
        <v>-1.1999999999999999E-3</v>
      </c>
      <c r="T29" s="15">
        <f>_xll.qlRateHelperEarliestDate(R29,Trigger)</f>
        <v>42201</v>
      </c>
      <c r="U29" s="15">
        <f>_xll.qlRateHelperLatestDate(R29,Trigger)</f>
        <v>42843</v>
      </c>
      <c r="V29" s="155">
        <v>1.0021496994817687</v>
      </c>
    </row>
    <row r="30" spans="1:22" ht="11.25" customHeight="1" x14ac:dyDescent="0.2">
      <c r="A30" s="100" t="s">
        <v>46</v>
      </c>
      <c r="B30" s="100" t="str">
        <v>22M</v>
      </c>
      <c r="C30" s="101" t="str">
        <f t="shared" si="9"/>
        <v>22M</v>
      </c>
      <c r="D30" s="102">
        <f t="shared" si="10"/>
        <v>2</v>
      </c>
      <c r="E30" s="103" t="str">
        <f t="shared" si="12"/>
        <v>Modified Following</v>
      </c>
      <c r="F30" s="104" t="str">
        <f t="shared" si="4"/>
        <v>TRUE</v>
      </c>
      <c r="G30" s="105" t="s">
        <v>50</v>
      </c>
      <c r="H30" s="106">
        <v>-1.16E-3</v>
      </c>
      <c r="I30" s="107" t="str">
        <f>IF(OR(C30="O/N",C30="T/N",C30="S/N"),_xll.qlDepositRateHelper2(,H30,IF(RIGHT(C30,1)="N","1D",C30),D30,Calendar,E30,F30,G30,,Trigger),_xll.qlOISRateHelper(,D30,C30,H30,$I$1,,Permanent,Trigger,ObjectOverwrite))</f>
        <v>obj_00049#0006</v>
      </c>
      <c r="J30" s="102" t="b">
        <f t="shared" si="11"/>
        <v>1</v>
      </c>
      <c r="L30" s="24" t="str">
        <f t="shared" si="5"/>
        <v>Dp</v>
      </c>
      <c r="M30" s="24" t="str">
        <f t="shared" si="6"/>
        <v>22M</v>
      </c>
      <c r="N30" s="14" t="str">
        <f t="shared" si="7"/>
        <v>obj_00049#0006</v>
      </c>
      <c r="O30" s="14" t="b">
        <f t="shared" si="8"/>
        <v>1</v>
      </c>
      <c r="P30" s="14" t="str">
        <v>Dp</v>
      </c>
      <c r="Q30" s="14" t="str">
        <v>22M</v>
      </c>
      <c r="R30" s="14" t="str">
        <v>obj_00049#0006</v>
      </c>
      <c r="S30" s="117">
        <f>_xll.qlRateHelperRate(R30,Trigger)</f>
        <v>-1.16E-3</v>
      </c>
      <c r="T30" s="15">
        <f>_xll.qlRateHelperEarliestDate(R30,Trigger)</f>
        <v>42201</v>
      </c>
      <c r="U30" s="15">
        <f>_xll.qlRateHelperLatestDate(R30,Trigger)</f>
        <v>42871</v>
      </c>
      <c r="V30" s="155">
        <v>1.0021686986989988</v>
      </c>
    </row>
    <row r="31" spans="1:22" ht="11.25" customHeight="1" x14ac:dyDescent="0.2">
      <c r="A31" s="100" t="s">
        <v>46</v>
      </c>
      <c r="B31" s="100" t="str">
        <v>23M</v>
      </c>
      <c r="C31" s="101" t="str">
        <f t="shared" si="9"/>
        <v>23M</v>
      </c>
      <c r="D31" s="102">
        <f t="shared" si="10"/>
        <v>2</v>
      </c>
      <c r="E31" s="103" t="str">
        <f t="shared" si="12"/>
        <v>Modified Following</v>
      </c>
      <c r="F31" s="104" t="str">
        <f t="shared" si="4"/>
        <v>TRUE</v>
      </c>
      <c r="G31" s="105" t="s">
        <v>50</v>
      </c>
      <c r="H31" s="106">
        <v>-1.1200000000000001E-3</v>
      </c>
      <c r="I31" s="107" t="str">
        <f>IF(OR(C31="O/N",C31="T/N",C31="S/N"),_xll.qlDepositRateHelper2(,H31,IF(RIGHT(C31,1)="N","1D",C31),D31,Calendar,E31,F31,G31,,Trigger),_xll.qlOISRateHelper(,D31,C31,H31,$I$1,,Permanent,Trigger,ObjectOverwrite))</f>
        <v>obj_00069#0006</v>
      </c>
      <c r="J31" s="102" t="b">
        <f t="shared" si="11"/>
        <v>1</v>
      </c>
      <c r="L31" s="24" t="str">
        <f t="shared" si="5"/>
        <v>Dp</v>
      </c>
      <c r="M31" s="24" t="str">
        <f t="shared" si="6"/>
        <v>23M</v>
      </c>
      <c r="N31" s="14" t="str">
        <f t="shared" si="7"/>
        <v>obj_00069#0006</v>
      </c>
      <c r="O31" s="14" t="b">
        <f t="shared" si="8"/>
        <v>1</v>
      </c>
      <c r="P31" s="14" t="str">
        <v>Dp</v>
      </c>
      <c r="Q31" s="14" t="str">
        <v>23M</v>
      </c>
      <c r="R31" s="14" t="str">
        <v>obj_00069#0006</v>
      </c>
      <c r="S31" s="117">
        <f>_xll.qlRateHelperRate(R31,Trigger)</f>
        <v>-1.1200000000000001E-3</v>
      </c>
      <c r="T31" s="15">
        <f>_xll.qlRateHelperEarliestDate(R31,Trigger)</f>
        <v>42201</v>
      </c>
      <c r="U31" s="15">
        <f>_xll.qlRateHelperLatestDate(R31,Trigger)</f>
        <v>42902</v>
      </c>
      <c r="V31" s="155">
        <v>1.002190842370597</v>
      </c>
    </row>
    <row r="32" spans="1:22" ht="11.25" customHeight="1" x14ac:dyDescent="0.2">
      <c r="A32" s="100" t="s">
        <v>46</v>
      </c>
      <c r="B32" s="100" t="str">
        <v>2Y</v>
      </c>
      <c r="C32" s="101" t="str">
        <f t="shared" si="9"/>
        <v>2Y</v>
      </c>
      <c r="D32" s="102">
        <f t="shared" si="10"/>
        <v>2</v>
      </c>
      <c r="E32" s="103" t="str">
        <f t="shared" si="12"/>
        <v>Modified Following</v>
      </c>
      <c r="F32" s="104" t="str">
        <f t="shared" si="4"/>
        <v>TRUE</v>
      </c>
      <c r="G32" s="105" t="s">
        <v>50</v>
      </c>
      <c r="H32" s="106">
        <v>-1.07E-3</v>
      </c>
      <c r="I32" s="107" t="str">
        <f>IF(OR(C32="O/N",C32="T/N",C32="S/N"),_xll.qlDepositRateHelper2(,H32,IF(RIGHT(C32,1)="N","1D",C32),D32,Calendar,E32,F32,G32,,Trigger),_xll.qlOISRateHelper(,D32,C32,H32,$I$1,,Permanent,Trigger,ObjectOverwrite))</f>
        <v>obj_0002e#0006</v>
      </c>
      <c r="J32" s="102" t="b">
        <f t="shared" si="11"/>
        <v>1</v>
      </c>
      <c r="L32" s="24" t="str">
        <f t="shared" si="5"/>
        <v>Dp</v>
      </c>
      <c r="M32" s="24" t="str">
        <f t="shared" si="6"/>
        <v>2Y</v>
      </c>
      <c r="N32" s="14" t="str">
        <f t="shared" si="7"/>
        <v>obj_0002e#0006</v>
      </c>
      <c r="O32" s="14" t="b">
        <f t="shared" si="8"/>
        <v>1</v>
      </c>
      <c r="P32" s="14" t="str">
        <v>Dp</v>
      </c>
      <c r="Q32" s="14" t="str">
        <v>2Y</v>
      </c>
      <c r="R32" s="14" t="str">
        <v>obj_0002e#0006</v>
      </c>
      <c r="S32" s="117">
        <f>_xll.qlRateHelperRate(R32,Trigger)</f>
        <v>-1.07E-3</v>
      </c>
      <c r="T32" s="15">
        <f>_xll.qlRateHelperEarliestDate(R32,Trigger)</f>
        <v>42201</v>
      </c>
      <c r="U32" s="15">
        <f>_xll.qlRateHelperLatestDate(R32,Trigger)</f>
        <v>42933</v>
      </c>
      <c r="V32" s="155">
        <v>1.0021856943105969</v>
      </c>
    </row>
    <row r="33" spans="1:22" ht="11.25" customHeight="1" x14ac:dyDescent="0.2">
      <c r="A33" s="100" t="s">
        <v>46</v>
      </c>
      <c r="B33" s="100" t="str">
        <v>3Y</v>
      </c>
      <c r="C33" s="101" t="str">
        <f t="shared" si="9"/>
        <v>3Y</v>
      </c>
      <c r="D33" s="102">
        <f t="shared" si="10"/>
        <v>2</v>
      </c>
      <c r="E33" s="103" t="str">
        <f t="shared" si="12"/>
        <v>Modified Following</v>
      </c>
      <c r="F33" s="104" t="str">
        <f t="shared" si="4"/>
        <v>TRUE</v>
      </c>
      <c r="G33" s="105" t="s">
        <v>50</v>
      </c>
      <c r="H33" s="106">
        <v>-2.5999999999999998E-4</v>
      </c>
      <c r="I33" s="107" t="str">
        <f>IF(OR(C33="O/N",C33="T/N",C33="S/N"),_xll.qlDepositRateHelper2(,H33,IF(RIGHT(C33,1)="N","1D",C33),D33,Calendar,E33,F33,G33,,Trigger),_xll.qlOISRateHelper(,D33,C33,H33,$I$1,,Permanent,Trigger,ObjectOverwrite))</f>
        <v>obj_00061#0006</v>
      </c>
      <c r="J33" s="102" t="b">
        <f t="shared" si="11"/>
        <v>1</v>
      </c>
      <c r="L33" s="24" t="str">
        <f t="shared" si="5"/>
        <v>Dp</v>
      </c>
      <c r="M33" s="24" t="str">
        <f t="shared" si="6"/>
        <v>3Y</v>
      </c>
      <c r="N33" s="14" t="str">
        <f t="shared" si="7"/>
        <v>obj_00061#0006</v>
      </c>
      <c r="O33" s="14" t="b">
        <f t="shared" si="8"/>
        <v>1</v>
      </c>
      <c r="P33" s="14" t="str">
        <v>Dp</v>
      </c>
      <c r="Q33" s="14" t="str">
        <v>3Y</v>
      </c>
      <c r="R33" s="14" t="str">
        <v>obj_00061#0006</v>
      </c>
      <c r="S33" s="117">
        <f>_xll.qlRateHelperRate(R33,Trigger)</f>
        <v>-2.5999999999999998E-4</v>
      </c>
      <c r="T33" s="15">
        <f>_xll.qlRateHelperEarliestDate(R33,Trigger)</f>
        <v>42201</v>
      </c>
      <c r="U33" s="15">
        <f>_xll.qlRateHelperLatestDate(R33,Trigger)</f>
        <v>43297</v>
      </c>
      <c r="V33" s="155">
        <v>1.0007988283697473</v>
      </c>
    </row>
    <row r="34" spans="1:22" ht="11.25" customHeight="1" x14ac:dyDescent="0.2">
      <c r="A34" s="100" t="s">
        <v>46</v>
      </c>
      <c r="B34" s="100" t="str">
        <v>4Y</v>
      </c>
      <c r="C34" s="101" t="str">
        <f t="shared" si="9"/>
        <v>4Y</v>
      </c>
      <c r="D34" s="102">
        <f t="shared" si="10"/>
        <v>2</v>
      </c>
      <c r="E34" s="103" t="str">
        <f t="shared" si="12"/>
        <v>Modified Following</v>
      </c>
      <c r="F34" s="104" t="str">
        <f t="shared" si="4"/>
        <v>TRUE</v>
      </c>
      <c r="G34" s="105" t="s">
        <v>50</v>
      </c>
      <c r="H34" s="106">
        <v>9.8999999999999999E-4</v>
      </c>
      <c r="I34" s="107" t="str">
        <f>IF(OR(C34="O/N",C34="T/N",C34="S/N"),_xll.qlDepositRateHelper2(,H34,IF(RIGHT(C34,1)="N","1D",C34),D34,Calendar,E34,F34,G34,,Trigger),_xll.qlOISRateHelper(,D34,C34,H34,$I$1,,Permanent,Trigger,ObjectOverwrite))</f>
        <v>obj_00041#0006</v>
      </c>
      <c r="J34" s="102" t="b">
        <f t="shared" si="11"/>
        <v>1</v>
      </c>
      <c r="L34" s="24" t="str">
        <f t="shared" si="5"/>
        <v>Dp</v>
      </c>
      <c r="M34" s="24" t="str">
        <f t="shared" si="6"/>
        <v>4Y</v>
      </c>
      <c r="N34" s="14" t="str">
        <f t="shared" si="7"/>
        <v>obj_00041#0006</v>
      </c>
      <c r="O34" s="14" t="b">
        <f t="shared" si="8"/>
        <v>1</v>
      </c>
      <c r="P34" s="14" t="str">
        <v>Dp</v>
      </c>
      <c r="Q34" s="14" t="str">
        <v>4Y</v>
      </c>
      <c r="R34" s="14" t="str">
        <v>obj_00041#0006</v>
      </c>
      <c r="S34" s="117">
        <f>_xll.qlRateHelperRate(R34,Trigger)</f>
        <v>9.8999999999999999E-4</v>
      </c>
      <c r="T34" s="15">
        <f>_xll.qlRateHelperEarliestDate(R34,Trigger)</f>
        <v>42201</v>
      </c>
      <c r="U34" s="15">
        <f>_xll.qlRateHelperLatestDate(R34,Trigger)</f>
        <v>43662</v>
      </c>
      <c r="V34" s="155">
        <v>0.99598796490479569</v>
      </c>
    </row>
    <row r="35" spans="1:22" ht="11.25" customHeight="1" x14ac:dyDescent="0.2">
      <c r="A35" s="100" t="s">
        <v>46</v>
      </c>
      <c r="B35" s="100" t="str">
        <v>5Y</v>
      </c>
      <c r="C35" s="101" t="str">
        <f t="shared" si="9"/>
        <v>5Y</v>
      </c>
      <c r="D35" s="102">
        <f t="shared" si="10"/>
        <v>2</v>
      </c>
      <c r="E35" s="103" t="str">
        <f t="shared" si="12"/>
        <v>Modified Following</v>
      </c>
      <c r="F35" s="104" t="str">
        <f t="shared" si="4"/>
        <v>TRUE</v>
      </c>
      <c r="G35" s="105" t="s">
        <v>50</v>
      </c>
      <c r="H35" s="106">
        <v>2.5200000000000001E-3</v>
      </c>
      <c r="I35" s="107" t="str">
        <f>IF(OR(C35="O/N",C35="T/N",C35="S/N"),_xll.qlDepositRateHelper2(,H35,IF(RIGHT(C35,1)="N","1D",C35),D35,Calendar,E35,F35,G35,,Trigger),_xll.qlOISRateHelper(,D35,C35,H35,$I$1,,Permanent,Trigger,ObjectOverwrite))</f>
        <v>obj_0007b#0006</v>
      </c>
      <c r="J35" s="102" t="b">
        <f t="shared" si="11"/>
        <v>1</v>
      </c>
      <c r="L35" s="24" t="str">
        <f t="shared" si="5"/>
        <v>Dp</v>
      </c>
      <c r="M35" s="24" t="str">
        <f t="shared" si="6"/>
        <v>5Y</v>
      </c>
      <c r="N35" s="14" t="str">
        <f t="shared" si="7"/>
        <v>obj_0007b#0006</v>
      </c>
      <c r="O35" s="14" t="b">
        <f t="shared" si="8"/>
        <v>1</v>
      </c>
      <c r="P35" s="14" t="str">
        <v>Dp</v>
      </c>
      <c r="Q35" s="14" t="str">
        <v>5Y</v>
      </c>
      <c r="R35" s="14" t="str">
        <v>obj_0007b#0006</v>
      </c>
      <c r="S35" s="117">
        <f>_xll.qlRateHelperRate(R35,Trigger)</f>
        <v>2.5200000000000001E-3</v>
      </c>
      <c r="T35" s="15">
        <f>_xll.qlRateHelperEarliestDate(R35,Trigger)</f>
        <v>42201</v>
      </c>
      <c r="U35" s="15">
        <f>_xll.qlRateHelperLatestDate(R35,Trigger)</f>
        <v>44028</v>
      </c>
      <c r="V35" s="155">
        <v>0.98724877119513677</v>
      </c>
    </row>
    <row r="36" spans="1:22" ht="11.25" customHeight="1" x14ac:dyDescent="0.2">
      <c r="A36" s="100" t="s">
        <v>46</v>
      </c>
      <c r="B36" s="100" t="str">
        <v>6Y</v>
      </c>
      <c r="C36" s="101" t="str">
        <f t="shared" si="9"/>
        <v>6Y</v>
      </c>
      <c r="D36" s="102">
        <f t="shared" si="10"/>
        <v>2</v>
      </c>
      <c r="E36" s="103" t="str">
        <f t="shared" si="12"/>
        <v>Modified Following</v>
      </c>
      <c r="F36" s="104" t="str">
        <f t="shared" si="4"/>
        <v>TRUE</v>
      </c>
      <c r="G36" s="105" t="s">
        <v>50</v>
      </c>
      <c r="H36" s="106">
        <v>4.1099999999999999E-3</v>
      </c>
      <c r="I36" s="107" t="str">
        <f>IF(OR(C36="O/N",C36="T/N",C36="S/N"),_xll.qlDepositRateHelper2(,H36,IF(RIGHT(C36,1)="N","1D",C36),D36,Calendar,E36,F36,G36,,Trigger),_xll.qlOISRateHelper(,D36,C36,H36,$I$1,,Permanent,Trigger,ObjectOverwrite))</f>
        <v>obj_00050#0006</v>
      </c>
      <c r="J36" s="102" t="b">
        <f t="shared" si="11"/>
        <v>1</v>
      </c>
      <c r="L36" s="24" t="str">
        <f t="shared" si="5"/>
        <v>Dp</v>
      </c>
      <c r="M36" s="24" t="str">
        <f t="shared" si="6"/>
        <v>6Y</v>
      </c>
      <c r="N36" s="14" t="str">
        <f t="shared" si="7"/>
        <v>obj_00050#0006</v>
      </c>
      <c r="O36" s="14" t="b">
        <f t="shared" si="8"/>
        <v>1</v>
      </c>
      <c r="P36" s="14" t="str">
        <v>Dp</v>
      </c>
      <c r="Q36" s="14" t="str">
        <v>6Y</v>
      </c>
      <c r="R36" s="14" t="str">
        <v>obj_00050#0006</v>
      </c>
      <c r="S36" s="117">
        <f>_xll.qlRateHelperRate(R36,Trigger)</f>
        <v>4.1099999999999999E-3</v>
      </c>
      <c r="T36" s="15">
        <f>_xll.qlRateHelperEarliestDate(R36,Trigger)</f>
        <v>42201</v>
      </c>
      <c r="U36" s="15">
        <f>_xll.qlRateHelperLatestDate(R36,Trigger)</f>
        <v>44393</v>
      </c>
      <c r="V36" s="155">
        <v>0.97513602411080436</v>
      </c>
    </row>
    <row r="37" spans="1:22" ht="11.25" customHeight="1" x14ac:dyDescent="0.2">
      <c r="A37" s="100" t="s">
        <v>46</v>
      </c>
      <c r="B37" s="100" t="str">
        <v>7Y</v>
      </c>
      <c r="C37" s="101" t="str">
        <f t="shared" si="9"/>
        <v>7Y</v>
      </c>
      <c r="D37" s="102">
        <f t="shared" si="10"/>
        <v>2</v>
      </c>
      <c r="E37" s="103" t="str">
        <f t="shared" si="12"/>
        <v>Modified Following</v>
      </c>
      <c r="F37" s="104" t="str">
        <f t="shared" si="4"/>
        <v>TRUE</v>
      </c>
      <c r="G37" s="105" t="s">
        <v>50</v>
      </c>
      <c r="H37" s="106">
        <v>5.6599999999999992E-3</v>
      </c>
      <c r="I37" s="107" t="str">
        <f>IF(OR(C37="O/N",C37="T/N",C37="S/N"),_xll.qlDepositRateHelper2(,H37,IF(RIGHT(C37,1)="N","1D",C37),D37,Calendar,E37,F37,G37,,Trigger),_xll.qlOISRateHelper(,D37,C37,H37,$I$1,,Permanent,Trigger,ObjectOverwrite))</f>
        <v>obj_00026#0006</v>
      </c>
      <c r="J37" s="102" t="b">
        <f t="shared" si="11"/>
        <v>1</v>
      </c>
      <c r="L37" s="24" t="str">
        <f t="shared" si="5"/>
        <v>Dp</v>
      </c>
      <c r="M37" s="24" t="str">
        <f t="shared" si="6"/>
        <v>7Y</v>
      </c>
      <c r="N37" s="14" t="str">
        <f t="shared" si="7"/>
        <v>obj_00026#0006</v>
      </c>
      <c r="O37" s="14" t="b">
        <f t="shared" si="8"/>
        <v>1</v>
      </c>
      <c r="P37" s="14" t="str">
        <v>Dp</v>
      </c>
      <c r="Q37" s="14" t="str">
        <v>7Y</v>
      </c>
      <c r="R37" s="14" t="str">
        <v>obj_00026#0006</v>
      </c>
      <c r="S37" s="117">
        <f>_xll.qlRateHelperRate(R37,Trigger)</f>
        <v>5.6599999999999992E-3</v>
      </c>
      <c r="T37" s="15">
        <f>_xll.qlRateHelperEarliestDate(R37,Trigger)</f>
        <v>42201</v>
      </c>
      <c r="U37" s="15">
        <f>_xll.qlRateHelperLatestDate(R37,Trigger)</f>
        <v>44760</v>
      </c>
      <c r="V37" s="155">
        <v>0.96021629285553312</v>
      </c>
    </row>
    <row r="38" spans="1:22" ht="11.25" customHeight="1" x14ac:dyDescent="0.2">
      <c r="A38" s="100" t="s">
        <v>46</v>
      </c>
      <c r="B38" s="100" t="str">
        <v>8Y</v>
      </c>
      <c r="C38" s="101" t="str">
        <f t="shared" si="9"/>
        <v>8Y</v>
      </c>
      <c r="D38" s="102">
        <f t="shared" si="10"/>
        <v>2</v>
      </c>
      <c r="E38" s="103" t="str">
        <f t="shared" si="12"/>
        <v>Modified Following</v>
      </c>
      <c r="F38" s="104" t="str">
        <f t="shared" si="4"/>
        <v>TRUE</v>
      </c>
      <c r="G38" s="105" t="s">
        <v>50</v>
      </c>
      <c r="H38" s="106">
        <v>7.1199999999999996E-3</v>
      </c>
      <c r="I38" s="107" t="str">
        <f>IF(OR(C38="O/N",C38="T/N",C38="S/N"),_xll.qlDepositRateHelper2(,H38,IF(RIGHT(C38,1)="N","1D",C38),D38,Calendar,E38,F38,G38,,Trigger),_xll.qlOISRateHelper(,D38,C38,H38,$I$1,,Permanent,Trigger,ObjectOverwrite))</f>
        <v>obj_0001c#0006</v>
      </c>
      <c r="J38" s="102" t="b">
        <f t="shared" si="11"/>
        <v>1</v>
      </c>
      <c r="L38" s="24" t="str">
        <f t="shared" si="5"/>
        <v>Dp</v>
      </c>
      <c r="M38" s="24" t="str">
        <f t="shared" si="6"/>
        <v>8Y</v>
      </c>
      <c r="N38" s="14" t="str">
        <f t="shared" si="7"/>
        <v>obj_0001c#0006</v>
      </c>
      <c r="O38" s="14" t="b">
        <f t="shared" si="8"/>
        <v>1</v>
      </c>
      <c r="P38" s="14" t="str">
        <v>Dp</v>
      </c>
      <c r="Q38" s="14" t="str">
        <v>8Y</v>
      </c>
      <c r="R38" s="14" t="str">
        <v>obj_0001c#0006</v>
      </c>
      <c r="S38" s="117">
        <f>_xll.qlRateHelperRate(R38,Trigger)</f>
        <v>7.1199999999999996E-3</v>
      </c>
      <c r="T38" s="15">
        <f>_xll.qlRateHelperEarliestDate(R38,Trigger)</f>
        <v>42201</v>
      </c>
      <c r="U38" s="15">
        <f>_xll.qlRateHelperLatestDate(R38,Trigger)</f>
        <v>45124</v>
      </c>
      <c r="V38" s="155">
        <v>0.94316255610276312</v>
      </c>
    </row>
    <row r="39" spans="1:22" ht="11.25" customHeight="1" x14ac:dyDescent="0.2">
      <c r="A39" s="100" t="s">
        <v>46</v>
      </c>
      <c r="B39" s="100" t="str">
        <v>9Y</v>
      </c>
      <c r="C39" s="101" t="str">
        <f t="shared" si="9"/>
        <v>9Y</v>
      </c>
      <c r="D39" s="102">
        <f t="shared" si="10"/>
        <v>2</v>
      </c>
      <c r="E39" s="103" t="str">
        <f t="shared" si="12"/>
        <v>Modified Following</v>
      </c>
      <c r="F39" s="104" t="str">
        <f t="shared" si="4"/>
        <v>TRUE</v>
      </c>
      <c r="G39" s="105" t="s">
        <v>50</v>
      </c>
      <c r="H39" s="106">
        <v>8.4399999999999996E-3</v>
      </c>
      <c r="I39" s="107" t="str">
        <f>IF(OR(C39="O/N",C39="T/N",C39="S/N"),_xll.qlDepositRateHelper2(,H39,IF(RIGHT(C39,1)="N","1D",C39),D39,Calendar,E39,F39,G39,,Trigger),_xll.qlOISRateHelper(,D39,C39,H39,$I$1,,Permanent,Trigger,ObjectOverwrite))</f>
        <v>obj_00019#0006</v>
      </c>
      <c r="J39" s="102" t="b">
        <f t="shared" si="11"/>
        <v>1</v>
      </c>
      <c r="L39" s="24" t="str">
        <f t="shared" si="5"/>
        <v>Dp</v>
      </c>
      <c r="M39" s="24" t="str">
        <f t="shared" si="6"/>
        <v>9Y</v>
      </c>
      <c r="N39" s="14" t="str">
        <f t="shared" si="7"/>
        <v>obj_00019#0006</v>
      </c>
      <c r="O39" s="14" t="b">
        <f t="shared" si="8"/>
        <v>1</v>
      </c>
      <c r="P39" s="14" t="str">
        <v>Dp</v>
      </c>
      <c r="Q39" s="14" t="str">
        <v>9Y</v>
      </c>
      <c r="R39" s="14" t="str">
        <v>obj_00019#0006</v>
      </c>
      <c r="S39" s="117">
        <f>_xll.qlRateHelperRate(R39,Trigger)</f>
        <v>8.4399999999999996E-3</v>
      </c>
      <c r="T39" s="15">
        <f>_xll.qlRateHelperEarliestDate(R39,Trigger)</f>
        <v>42201</v>
      </c>
      <c r="U39" s="15">
        <f>_xll.qlRateHelperLatestDate(R39,Trigger)</f>
        <v>45489</v>
      </c>
      <c r="V39" s="155">
        <v>0.92471118511213468</v>
      </c>
    </row>
    <row r="40" spans="1:22" ht="11.25" customHeight="1" x14ac:dyDescent="0.2">
      <c r="A40" s="100" t="s">
        <v>46</v>
      </c>
      <c r="B40" s="100" t="str">
        <v>10Y</v>
      </c>
      <c r="C40" s="101" t="str">
        <f t="shared" si="9"/>
        <v>10Y</v>
      </c>
      <c r="D40" s="102">
        <f t="shared" si="10"/>
        <v>2</v>
      </c>
      <c r="E40" s="103" t="str">
        <f t="shared" si="12"/>
        <v>Modified Following</v>
      </c>
      <c r="F40" s="104" t="str">
        <f t="shared" si="4"/>
        <v>TRUE</v>
      </c>
      <c r="G40" s="105" t="s">
        <v>50</v>
      </c>
      <c r="H40" s="106">
        <v>9.6200000000000001E-3</v>
      </c>
      <c r="I40" s="107" t="str">
        <f>IF(OR(C40="O/N",C40="T/N",C40="S/N"),_xll.qlDepositRateHelper2(,H40,IF(RIGHT(C40,1)="N","1D",C40),D40,Calendar,E40,F40,G40,,Trigger),_xll.qlOISRateHelper(,D40,C40,H40,$I$1,,Permanent,Trigger,ObjectOverwrite))</f>
        <v>obj_00028#0006</v>
      </c>
      <c r="J40" s="102" t="b">
        <f t="shared" si="11"/>
        <v>1</v>
      </c>
      <c r="L40" s="24" t="str">
        <f t="shared" si="5"/>
        <v>Dp</v>
      </c>
      <c r="M40" s="24" t="str">
        <f t="shared" si="6"/>
        <v>10Y</v>
      </c>
      <c r="N40" s="14" t="str">
        <f t="shared" si="7"/>
        <v>obj_00028#0006</v>
      </c>
      <c r="O40" s="14" t="b">
        <f t="shared" si="8"/>
        <v>1</v>
      </c>
      <c r="P40" s="14" t="str">
        <v>Dp</v>
      </c>
      <c r="Q40" s="14" t="str">
        <v>10Y</v>
      </c>
      <c r="R40" s="14" t="str">
        <v>obj_00028#0006</v>
      </c>
      <c r="S40" s="117">
        <f>_xll.qlRateHelperRate(R40,Trigger)</f>
        <v>9.6200000000000001E-3</v>
      </c>
      <c r="T40" s="15">
        <f>_xll.qlRateHelperEarliestDate(R40,Trigger)</f>
        <v>42201</v>
      </c>
      <c r="U40" s="15">
        <f>_xll.qlRateHelperLatestDate(R40,Trigger)</f>
        <v>45854</v>
      </c>
      <c r="V40" s="155">
        <v>0.90535370146626304</v>
      </c>
    </row>
    <row r="41" spans="1:22" ht="11.25" customHeight="1" x14ac:dyDescent="0.2">
      <c r="A41" s="100" t="s">
        <v>46</v>
      </c>
      <c r="B41" s="100" t="str">
        <v>11Y</v>
      </c>
      <c r="C41" s="101" t="str">
        <f t="shared" si="9"/>
        <v>11Y</v>
      </c>
      <c r="D41" s="102">
        <f t="shared" si="10"/>
        <v>2</v>
      </c>
      <c r="E41" s="103" t="str">
        <f t="shared" si="12"/>
        <v>Modified Following</v>
      </c>
      <c r="F41" s="104" t="str">
        <f t="shared" si="4"/>
        <v>TRUE</v>
      </c>
      <c r="G41" s="105" t="s">
        <v>50</v>
      </c>
      <c r="H41" s="106">
        <v>1.0660000000000001E-2</v>
      </c>
      <c r="I41" s="107" t="str">
        <f>IF(OR(C41="O/N",C41="T/N",C41="S/N"),_xll.qlDepositRateHelper2(,H41,IF(RIGHT(C41,1)="N","1D",C41),D41,Calendar,E41,F41,G41,,Trigger),_xll.qlOISRateHelper(,D41,C41,H41,$I$1,,Permanent,Trigger,ObjectOverwrite))</f>
        <v>obj_00033#0006</v>
      </c>
      <c r="J41" s="102" t="b">
        <f t="shared" si="11"/>
        <v>1</v>
      </c>
      <c r="L41" s="24" t="str">
        <f t="shared" si="5"/>
        <v>Dp</v>
      </c>
      <c r="M41" s="24" t="str">
        <f t="shared" si="6"/>
        <v>11Y</v>
      </c>
      <c r="N41" s="14" t="str">
        <f t="shared" si="7"/>
        <v>obj_00033#0006</v>
      </c>
      <c r="O41" s="14" t="b">
        <f t="shared" si="8"/>
        <v>1</v>
      </c>
      <c r="P41" s="14" t="str">
        <v>Dp</v>
      </c>
      <c r="Q41" s="14" t="str">
        <v>11Y</v>
      </c>
      <c r="R41" s="14" t="str">
        <v>obj_00033#0006</v>
      </c>
      <c r="S41" s="117">
        <f>_xll.qlRateHelperRate(R41,Trigger)</f>
        <v>1.0660000000000001E-2</v>
      </c>
      <c r="T41" s="15">
        <f>_xll.qlRateHelperEarliestDate(R41,Trigger)</f>
        <v>42201</v>
      </c>
      <c r="U41" s="15">
        <f>_xll.qlRateHelperLatestDate(R41,Trigger)</f>
        <v>46219</v>
      </c>
      <c r="V41" s="155">
        <v>0.88554993562747586</v>
      </c>
    </row>
    <row r="42" spans="1:22" ht="11.25" customHeight="1" x14ac:dyDescent="0.2">
      <c r="A42" s="100" t="s">
        <v>46</v>
      </c>
      <c r="B42" s="100" t="str">
        <v>12Y</v>
      </c>
      <c r="C42" s="101" t="str">
        <f t="shared" si="9"/>
        <v>12Y</v>
      </c>
      <c r="D42" s="102">
        <f t="shared" si="10"/>
        <v>2</v>
      </c>
      <c r="E42" s="103" t="str">
        <f t="shared" si="12"/>
        <v>Modified Following</v>
      </c>
      <c r="F42" s="104" t="str">
        <f t="shared" si="4"/>
        <v>TRUE</v>
      </c>
      <c r="G42" s="105" t="s">
        <v>50</v>
      </c>
      <c r="H42" s="106">
        <v>1.1599999999999999E-2</v>
      </c>
      <c r="I42" s="107" t="str">
        <f>IF(OR(C42="O/N",C42="T/N",C42="S/N"),_xll.qlDepositRateHelper2(,H42,IF(RIGHT(C42,1)="N","1D",C42),D42,Calendar,E42,F42,G42,,Trigger),_xll.qlOISRateHelper(,D42,C42,H42,$I$1,,Permanent,Trigger,ObjectOverwrite))</f>
        <v>obj_0005c#0006</v>
      </c>
      <c r="J42" s="102" t="b">
        <f t="shared" si="11"/>
        <v>1</v>
      </c>
      <c r="L42" s="24" t="str">
        <f t="shared" si="5"/>
        <v>Dp</v>
      </c>
      <c r="M42" s="24" t="str">
        <f t="shared" si="6"/>
        <v>12Y</v>
      </c>
      <c r="N42" s="14" t="str">
        <f t="shared" si="7"/>
        <v>obj_0005c#0006</v>
      </c>
      <c r="O42" s="14" t="b">
        <f t="shared" si="8"/>
        <v>1</v>
      </c>
      <c r="P42" s="14" t="str">
        <v>Dp</v>
      </c>
      <c r="Q42" s="14" t="str">
        <v>12Y</v>
      </c>
      <c r="R42" s="14" t="str">
        <v>obj_0005c#0006</v>
      </c>
      <c r="S42" s="117">
        <f>_xll.qlRateHelperRate(R42,Trigger)</f>
        <v>1.1599999999999999E-2</v>
      </c>
      <c r="T42" s="15">
        <f>_xll.qlRateHelperEarliestDate(R42,Trigger)</f>
        <v>42201</v>
      </c>
      <c r="U42" s="15">
        <f>_xll.qlRateHelperLatestDate(R42,Trigger)</f>
        <v>46584</v>
      </c>
      <c r="V42" s="155">
        <v>0.86528051688536256</v>
      </c>
    </row>
    <row r="43" spans="1:22" ht="11.25" customHeight="1" x14ac:dyDescent="0.2">
      <c r="A43" s="100" t="s">
        <v>46</v>
      </c>
      <c r="B43" s="100" t="str">
        <v>13Y</v>
      </c>
      <c r="C43" s="101" t="str">
        <f t="shared" si="9"/>
        <v>13Y</v>
      </c>
      <c r="D43" s="102">
        <f t="shared" si="10"/>
        <v>2</v>
      </c>
      <c r="E43" s="103" t="str">
        <f t="shared" si="12"/>
        <v>Modified Following</v>
      </c>
      <c r="F43" s="104" t="str">
        <f t="shared" si="4"/>
        <v>TRUE</v>
      </c>
      <c r="G43" s="105" t="s">
        <v>50</v>
      </c>
      <c r="H43" s="106">
        <v>1.2410000000000001E-2</v>
      </c>
      <c r="I43" s="107" t="str">
        <f>IF(OR(C43="O/N",C43="T/N",C43="S/N"),_xll.qlDepositRateHelper2(,H43,IF(RIGHT(C43,1)="N","1D",C43),D43,Calendar,E43,F43,G43,,Trigger),_xll.qlOISRateHelper(,D43,C43,H43,$I$1,,Permanent,Trigger,ObjectOverwrite))</f>
        <v>obj_00020#0006</v>
      </c>
      <c r="J43" s="102" t="b">
        <f t="shared" si="11"/>
        <v>1</v>
      </c>
      <c r="L43" s="24" t="str">
        <f t="shared" si="5"/>
        <v>Dp</v>
      </c>
      <c r="M43" s="24" t="str">
        <f t="shared" si="6"/>
        <v>13Y</v>
      </c>
      <c r="N43" s="14" t="str">
        <f t="shared" si="7"/>
        <v>obj_00020#0006</v>
      </c>
      <c r="O43" s="14" t="b">
        <f t="shared" si="8"/>
        <v>1</v>
      </c>
      <c r="P43" s="14" t="str">
        <v>Dp</v>
      </c>
      <c r="Q43" s="14" t="str">
        <v>13Y</v>
      </c>
      <c r="R43" s="14" t="str">
        <v>obj_00020#0006</v>
      </c>
      <c r="S43" s="117">
        <f>_xll.qlRateHelperRate(R43,Trigger)</f>
        <v>1.2410000000000001E-2</v>
      </c>
      <c r="T43" s="15">
        <f>_xll.qlRateHelperEarliestDate(R43,Trigger)</f>
        <v>42201</v>
      </c>
      <c r="U43" s="15">
        <f>_xll.qlRateHelperLatestDate(R43,Trigger)</f>
        <v>46951</v>
      </c>
      <c r="V43" s="155">
        <v>0.84518031936863969</v>
      </c>
    </row>
    <row r="44" spans="1:22" ht="11.25" customHeight="1" x14ac:dyDescent="0.2">
      <c r="A44" s="100" t="s">
        <v>46</v>
      </c>
      <c r="B44" s="100" t="str">
        <v>14Y</v>
      </c>
      <c r="C44" s="101" t="str">
        <f t="shared" si="9"/>
        <v>14Y</v>
      </c>
      <c r="D44" s="102">
        <f t="shared" si="10"/>
        <v>2</v>
      </c>
      <c r="E44" s="103" t="str">
        <f t="shared" si="12"/>
        <v>Modified Following</v>
      </c>
      <c r="F44" s="104" t="str">
        <f t="shared" si="4"/>
        <v>TRUE</v>
      </c>
      <c r="G44" s="105" t="s">
        <v>50</v>
      </c>
      <c r="H44" s="106">
        <v>1.3080000000000001E-2</v>
      </c>
      <c r="I44" s="107" t="str">
        <f>IF(OR(C44="O/N",C44="T/N",C44="S/N"),_xll.qlDepositRateHelper2(,H44,IF(RIGHT(C44,1)="N","1D",C44),D44,Calendar,E44,F44,G44,,Trigger),_xll.qlOISRateHelper(,D44,C44,H44,$I$1,,Permanent,Trigger,ObjectOverwrite))</f>
        <v>obj_00051#0006</v>
      </c>
      <c r="J44" s="102" t="b">
        <f t="shared" si="11"/>
        <v>1</v>
      </c>
      <c r="L44" s="24" t="str">
        <f t="shared" si="5"/>
        <v>Dp</v>
      </c>
      <c r="M44" s="24" t="str">
        <f t="shared" si="6"/>
        <v>14Y</v>
      </c>
      <c r="N44" s="14" t="str">
        <f t="shared" si="7"/>
        <v>obj_00051#0006</v>
      </c>
      <c r="O44" s="14" t="b">
        <f t="shared" si="8"/>
        <v>1</v>
      </c>
      <c r="P44" s="14" t="str">
        <v>Dp</v>
      </c>
      <c r="Q44" s="14" t="str">
        <v>14Y</v>
      </c>
      <c r="R44" s="14" t="str">
        <v>obj_00051#0006</v>
      </c>
      <c r="S44" s="117">
        <f>_xll.qlRateHelperRate(R44,Trigger)</f>
        <v>1.3080000000000001E-2</v>
      </c>
      <c r="T44" s="15">
        <f>_xll.qlRateHelperEarliestDate(R44,Trigger)</f>
        <v>42201</v>
      </c>
      <c r="U44" s="15">
        <f>_xll.qlRateHelperLatestDate(R44,Trigger)</f>
        <v>47315</v>
      </c>
      <c r="V44" s="155">
        <v>0.82589868779235509</v>
      </c>
    </row>
    <row r="45" spans="1:22" ht="11.25" customHeight="1" x14ac:dyDescent="0.2">
      <c r="A45" s="100" t="s">
        <v>46</v>
      </c>
      <c r="B45" s="100" t="str">
        <v>15Y</v>
      </c>
      <c r="C45" s="101" t="str">
        <f t="shared" si="9"/>
        <v>15Y</v>
      </c>
      <c r="D45" s="102">
        <f t="shared" si="10"/>
        <v>2</v>
      </c>
      <c r="E45" s="103" t="str">
        <f t="shared" si="12"/>
        <v>Modified Following</v>
      </c>
      <c r="F45" s="104" t="str">
        <f t="shared" si="4"/>
        <v>TRUE</v>
      </c>
      <c r="G45" s="105" t="s">
        <v>50</v>
      </c>
      <c r="H45" s="106">
        <v>1.366E-2</v>
      </c>
      <c r="I45" s="107" t="str">
        <f>IF(OR(C45="O/N",C45="T/N",C45="S/N"),_xll.qlDepositRateHelper2(,H45,IF(RIGHT(C45,1)="N","1D",C45),D45,Calendar,E45,F45,G45,,Trigger),_xll.qlOISRateHelper(,D45,C45,H45,$I$1,,Permanent,Trigger,ObjectOverwrite))</f>
        <v>obj_0001b#0006</v>
      </c>
      <c r="J45" s="102" t="b">
        <f t="shared" si="11"/>
        <v>1</v>
      </c>
      <c r="L45" s="24" t="str">
        <f t="shared" si="5"/>
        <v>Dp</v>
      </c>
      <c r="M45" s="24" t="str">
        <f t="shared" si="6"/>
        <v>15Y</v>
      </c>
      <c r="N45" s="14" t="str">
        <f t="shared" si="7"/>
        <v>obj_0001b#0006</v>
      </c>
      <c r="O45" s="14" t="b">
        <f t="shared" si="8"/>
        <v>1</v>
      </c>
      <c r="P45" s="14" t="str">
        <v>Dp</v>
      </c>
      <c r="Q45" s="14" t="str">
        <v>15Y</v>
      </c>
      <c r="R45" s="14" t="str">
        <v>obj_0001b#0006</v>
      </c>
      <c r="S45" s="117">
        <f>_xll.qlRateHelperRate(R45,Trigger)</f>
        <v>1.366E-2</v>
      </c>
      <c r="T45" s="15">
        <f>_xll.qlRateHelperEarliestDate(R45,Trigger)</f>
        <v>42201</v>
      </c>
      <c r="U45" s="15">
        <f>_xll.qlRateHelperLatestDate(R45,Trigger)</f>
        <v>47680</v>
      </c>
      <c r="V45" s="155">
        <v>0.80700158032117697</v>
      </c>
    </row>
    <row r="46" spans="1:22" ht="11.25" customHeight="1" x14ac:dyDescent="0.2">
      <c r="A46" s="100" t="s">
        <v>46</v>
      </c>
      <c r="B46" s="100" t="str">
        <v>16Y</v>
      </c>
      <c r="C46" s="101" t="str">
        <f t="shared" si="9"/>
        <v>16Y</v>
      </c>
      <c r="D46" s="102">
        <f t="shared" si="10"/>
        <v>2</v>
      </c>
      <c r="E46" s="103" t="str">
        <f t="shared" si="12"/>
        <v>Modified Following</v>
      </c>
      <c r="F46" s="104" t="str">
        <f t="shared" si="4"/>
        <v>TRUE</v>
      </c>
      <c r="G46" s="105" t="s">
        <v>50</v>
      </c>
      <c r="H46" s="106">
        <v>1.4159999999999999E-2</v>
      </c>
      <c r="I46" s="107" t="str">
        <f>IF(OR(C46="O/N",C46="T/N",C46="S/N"),_xll.qlDepositRateHelper2(,H46,IF(RIGHT(C46,1)="N","1D",C46),D46,Calendar,E46,F46,G46,,Trigger),_xll.qlOISRateHelper(,D46,C46,H46,$I$1,,Permanent,Trigger,ObjectOverwrite))</f>
        <v>obj_00039#0006</v>
      </c>
      <c r="J46" s="102" t="b">
        <f t="shared" si="11"/>
        <v>1</v>
      </c>
      <c r="L46" s="24" t="str">
        <f t="shared" si="5"/>
        <v>Dp</v>
      </c>
      <c r="M46" s="24" t="str">
        <f t="shared" si="6"/>
        <v>16Y</v>
      </c>
      <c r="N46" s="14" t="str">
        <f t="shared" si="7"/>
        <v>obj_00039#0006</v>
      </c>
      <c r="O46" s="14" t="b">
        <f t="shared" si="8"/>
        <v>1</v>
      </c>
      <c r="P46" s="14" t="str">
        <v>Dp</v>
      </c>
      <c r="Q46" s="14" t="str">
        <v>16Y</v>
      </c>
      <c r="R46" s="14" t="str">
        <v>obj_00039#0006</v>
      </c>
      <c r="S46" s="117">
        <f>_xll.qlRateHelperRate(R46,Trigger)</f>
        <v>1.4159999999999999E-2</v>
      </c>
      <c r="T46" s="15">
        <f>_xll.qlRateHelperEarliestDate(R46,Trigger)</f>
        <v>42201</v>
      </c>
      <c r="U46" s="15">
        <f>_xll.qlRateHelperLatestDate(R46,Trigger)</f>
        <v>48045</v>
      </c>
      <c r="V46" s="155">
        <v>0.78861510856758066</v>
      </c>
    </row>
    <row r="47" spans="1:22" ht="11.25" customHeight="1" x14ac:dyDescent="0.2">
      <c r="A47" s="100" t="s">
        <v>46</v>
      </c>
      <c r="B47" s="100" t="str">
        <v>17Y</v>
      </c>
      <c r="C47" s="101" t="str">
        <f t="shared" si="9"/>
        <v>17Y</v>
      </c>
      <c r="D47" s="102">
        <f t="shared" si="10"/>
        <v>2</v>
      </c>
      <c r="E47" s="103" t="str">
        <f t="shared" si="12"/>
        <v>Modified Following</v>
      </c>
      <c r="F47" s="104" t="str">
        <f t="shared" si="4"/>
        <v>TRUE</v>
      </c>
      <c r="G47" s="105" t="s">
        <v>50</v>
      </c>
      <c r="H47" s="106">
        <v>1.4579999999999999E-2</v>
      </c>
      <c r="I47" s="107" t="str">
        <f>IF(OR(C47="O/N",C47="T/N",C47="S/N"),_xll.qlDepositRateHelper2(,H47,IF(RIGHT(C47,1)="N","1D",C47),D47,Calendar,E47,F47,G47,,Trigger),_xll.qlOISRateHelper(,D47,C47,H47,$I$1,,Permanent,Trigger,ObjectOverwrite))</f>
        <v>obj_00032#0006</v>
      </c>
      <c r="J47" s="102" t="b">
        <f t="shared" si="11"/>
        <v>1</v>
      </c>
      <c r="L47" s="24" t="str">
        <f t="shared" si="5"/>
        <v>Dp</v>
      </c>
      <c r="M47" s="24" t="str">
        <f t="shared" si="6"/>
        <v>17Y</v>
      </c>
      <c r="N47" s="14" t="str">
        <f t="shared" si="7"/>
        <v>obj_00032#0006</v>
      </c>
      <c r="O47" s="14" t="b">
        <f t="shared" si="8"/>
        <v>1</v>
      </c>
      <c r="P47" s="14" t="str">
        <v>Dp</v>
      </c>
      <c r="Q47" s="14" t="str">
        <v>17Y</v>
      </c>
      <c r="R47" s="14" t="str">
        <v>obj_00032#0006</v>
      </c>
      <c r="S47" s="117">
        <f>_xll.qlRateHelperRate(R47,Trigger)</f>
        <v>1.4579999999999999E-2</v>
      </c>
      <c r="T47" s="15">
        <f>_xll.qlRateHelperEarliestDate(R47,Trigger)</f>
        <v>42201</v>
      </c>
      <c r="U47" s="15">
        <f>_xll.qlRateHelperLatestDate(R47,Trigger)</f>
        <v>48411</v>
      </c>
      <c r="V47" s="155">
        <v>0.77091772304870765</v>
      </c>
    </row>
    <row r="48" spans="1:22" ht="11.25" customHeight="1" x14ac:dyDescent="0.2">
      <c r="A48" s="100" t="s">
        <v>46</v>
      </c>
      <c r="B48" s="100" t="str">
        <v>18Y</v>
      </c>
      <c r="C48" s="101" t="str">
        <f t="shared" si="9"/>
        <v>18Y</v>
      </c>
      <c r="D48" s="102">
        <f t="shared" si="10"/>
        <v>2</v>
      </c>
      <c r="E48" s="103" t="str">
        <f t="shared" si="12"/>
        <v>Modified Following</v>
      </c>
      <c r="F48" s="104" t="str">
        <f t="shared" si="4"/>
        <v>TRUE</v>
      </c>
      <c r="G48" s="105" t="s">
        <v>50</v>
      </c>
      <c r="H48" s="106">
        <v>1.494E-2</v>
      </c>
      <c r="I48" s="107" t="str">
        <f>IF(OR(C48="O/N",C48="T/N",C48="S/N"),_xll.qlDepositRateHelper2(,H48,IF(RIGHT(C48,1)="N","1D",C48),D48,Calendar,E48,F48,G48,,Trigger),_xll.qlOISRateHelper(,D48,C48,H48,$I$1,,Permanent,Trigger,ObjectOverwrite))</f>
        <v>obj_00022#0006</v>
      </c>
      <c r="J48" s="102" t="b">
        <f t="shared" si="11"/>
        <v>1</v>
      </c>
      <c r="L48" s="24" t="str">
        <f t="shared" si="5"/>
        <v>Dp</v>
      </c>
      <c r="M48" s="24" t="str">
        <f t="shared" si="6"/>
        <v>18Y</v>
      </c>
      <c r="N48" s="14" t="str">
        <f t="shared" si="7"/>
        <v>obj_00022#0006</v>
      </c>
      <c r="O48" s="14" t="b">
        <f t="shared" si="8"/>
        <v>1</v>
      </c>
      <c r="P48" s="14" t="str">
        <v>Dp</v>
      </c>
      <c r="Q48" s="14" t="str">
        <v>18Y</v>
      </c>
      <c r="R48" s="14" t="str">
        <v>obj_00022#0006</v>
      </c>
      <c r="S48" s="117">
        <f>_xll.qlRateHelperRate(R48,Trigger)</f>
        <v>1.494E-2</v>
      </c>
      <c r="T48" s="15">
        <f>_xll.qlRateHelperEarliestDate(R48,Trigger)</f>
        <v>42201</v>
      </c>
      <c r="U48" s="15">
        <f>_xll.qlRateHelperLatestDate(R48,Trigger)</f>
        <v>48778</v>
      </c>
      <c r="V48" s="155">
        <v>0.75378076174732911</v>
      </c>
    </row>
    <row r="49" spans="1:22" ht="11.25" customHeight="1" x14ac:dyDescent="0.2">
      <c r="A49" s="100" t="s">
        <v>46</v>
      </c>
      <c r="B49" s="100" t="str">
        <v>19Y</v>
      </c>
      <c r="C49" s="101" t="str">
        <f t="shared" si="9"/>
        <v>19Y</v>
      </c>
      <c r="D49" s="102">
        <f t="shared" si="10"/>
        <v>2</v>
      </c>
      <c r="E49" s="103" t="str">
        <f t="shared" si="12"/>
        <v>Modified Following</v>
      </c>
      <c r="F49" s="104" t="str">
        <f t="shared" si="4"/>
        <v>TRUE</v>
      </c>
      <c r="G49" s="105" t="s">
        <v>50</v>
      </c>
      <c r="H49" s="106">
        <v>1.5229999999999999E-2</v>
      </c>
      <c r="I49" s="107" t="str">
        <f>IF(OR(C49="O/N",C49="T/N",C49="S/N"),_xll.qlDepositRateHelper2(,H49,IF(RIGHT(C49,1)="N","1D",C49),D49,Calendar,E49,F49,G49,,Trigger),_xll.qlOISRateHelper(,D49,C49,H49,$I$1,,Permanent,Trigger,ObjectOverwrite))</f>
        <v>obj_0006c#0006</v>
      </c>
      <c r="J49" s="102" t="b">
        <f t="shared" si="11"/>
        <v>1</v>
      </c>
      <c r="L49" s="24" t="str">
        <f t="shared" si="5"/>
        <v>Dp</v>
      </c>
      <c r="M49" s="24" t="str">
        <f t="shared" si="6"/>
        <v>19Y</v>
      </c>
      <c r="N49" s="14" t="str">
        <f t="shared" si="7"/>
        <v>obj_0006c#0006</v>
      </c>
      <c r="O49" s="14" t="b">
        <f t="shared" si="8"/>
        <v>1</v>
      </c>
      <c r="P49" s="14" t="str">
        <v>Dp</v>
      </c>
      <c r="Q49" s="14" t="str">
        <v>19Y</v>
      </c>
      <c r="R49" s="14" t="str">
        <v>obj_0006c#0006</v>
      </c>
      <c r="S49" s="117">
        <f>_xll.qlRateHelperRate(R49,Trigger)</f>
        <v>1.5229999999999999E-2</v>
      </c>
      <c r="T49" s="15">
        <f>_xll.qlRateHelperEarliestDate(R49,Trigger)</f>
        <v>42201</v>
      </c>
      <c r="U49" s="15">
        <f>_xll.qlRateHelperLatestDate(R49,Trigger)</f>
        <v>49142</v>
      </c>
      <c r="V49" s="155">
        <v>0.7376421713763448</v>
      </c>
    </row>
    <row r="50" spans="1:22" ht="11.25" customHeight="1" x14ac:dyDescent="0.2">
      <c r="A50" s="100" t="s">
        <v>46</v>
      </c>
      <c r="B50" s="100" t="str">
        <v>20Y</v>
      </c>
      <c r="C50" s="101" t="str">
        <f t="shared" si="9"/>
        <v>20Y</v>
      </c>
      <c r="D50" s="102">
        <f t="shared" si="10"/>
        <v>2</v>
      </c>
      <c r="E50" s="103" t="str">
        <f t="shared" si="12"/>
        <v>Modified Following</v>
      </c>
      <c r="F50" s="104" t="str">
        <f t="shared" si="4"/>
        <v>TRUE</v>
      </c>
      <c r="G50" s="105" t="s">
        <v>50</v>
      </c>
      <c r="H50" s="106">
        <v>1.5469999999999999E-2</v>
      </c>
      <c r="I50" s="107" t="str">
        <f>IF(OR(C50="O/N",C50="T/N",C50="S/N"),_xll.qlDepositRateHelper2(,H50,IF(RIGHT(C50,1)="N","1D",C50),D50,Calendar,E50,F50,G50,,Trigger),_xll.qlOISRateHelper(,D50,C50,H50,$I$1,,Permanent,Trigger,ObjectOverwrite))</f>
        <v>obj_0006f#0006</v>
      </c>
      <c r="J50" s="102" t="b">
        <f t="shared" si="11"/>
        <v>1</v>
      </c>
      <c r="L50" s="24" t="str">
        <f t="shared" si="5"/>
        <v>Dp</v>
      </c>
      <c r="M50" s="24" t="str">
        <f t="shared" si="6"/>
        <v>20Y</v>
      </c>
      <c r="N50" s="14" t="str">
        <f t="shared" si="7"/>
        <v>obj_0006f#0006</v>
      </c>
      <c r="O50" s="14" t="b">
        <f t="shared" si="8"/>
        <v>1</v>
      </c>
      <c r="P50" s="14" t="str">
        <v>Dp</v>
      </c>
      <c r="Q50" s="14" t="str">
        <v>20Y</v>
      </c>
      <c r="R50" s="14" t="str">
        <v>obj_0006f#0006</v>
      </c>
      <c r="S50" s="117">
        <f>_xll.qlRateHelperRate(R50,Trigger)</f>
        <v>1.5469999999999999E-2</v>
      </c>
      <c r="T50" s="15">
        <f>_xll.qlRateHelperEarliestDate(R50,Trigger)</f>
        <v>42201</v>
      </c>
      <c r="U50" s="15">
        <f>_xll.qlRateHelperLatestDate(R50,Trigger)</f>
        <v>49506</v>
      </c>
      <c r="V50" s="155">
        <v>0.72221099871378414</v>
      </c>
    </row>
    <row r="51" spans="1:22" ht="11.25" customHeight="1" x14ac:dyDescent="0.2">
      <c r="A51" s="100" t="s">
        <v>46</v>
      </c>
      <c r="B51" s="100" t="str">
        <v>21Y</v>
      </c>
      <c r="C51" s="101" t="str">
        <f t="shared" si="9"/>
        <v>21Y</v>
      </c>
      <c r="D51" s="102">
        <f t="shared" si="10"/>
        <v>2</v>
      </c>
      <c r="E51" s="103" t="str">
        <f t="shared" si="12"/>
        <v>Modified Following</v>
      </c>
      <c r="F51" s="104" t="str">
        <f t="shared" si="4"/>
        <v>TRUE</v>
      </c>
      <c r="G51" s="105" t="s">
        <v>50</v>
      </c>
      <c r="H51" s="106">
        <v>1.5650000000000001E-2</v>
      </c>
      <c r="I51" s="107" t="str">
        <f>IF(OR(C51="O/N",C51="T/N",C51="S/N"),_xll.qlDepositRateHelper2(,H51,IF(RIGHT(C51,1)="N","1D",C51),D51,Calendar,E51,F51,G51,,Trigger),_xll.qlOISRateHelper(,D51,C51,H51,$I$1,,Permanent,Trigger,ObjectOverwrite))</f>
        <v>obj_0001d#0006</v>
      </c>
      <c r="J51" s="102" t="b">
        <f t="shared" si="11"/>
        <v>1</v>
      </c>
      <c r="L51" s="24" t="str">
        <f t="shared" si="5"/>
        <v>Dp</v>
      </c>
      <c r="M51" s="24" t="str">
        <f t="shared" si="6"/>
        <v>21Y</v>
      </c>
      <c r="N51" s="14" t="str">
        <f t="shared" si="7"/>
        <v>obj_0001d#0006</v>
      </c>
      <c r="O51" s="14" t="b">
        <f t="shared" si="8"/>
        <v>1</v>
      </c>
      <c r="P51" s="14" t="str">
        <v>Dp</v>
      </c>
      <c r="Q51" s="14" t="str">
        <v>21Y</v>
      </c>
      <c r="R51" s="14" t="str">
        <v>obj_0001d#0006</v>
      </c>
      <c r="S51" s="117">
        <f>_xll.qlRateHelperRate(R51,Trigger)</f>
        <v>1.5650000000000001E-2</v>
      </c>
      <c r="T51" s="15">
        <f>_xll.qlRateHelperEarliestDate(R51,Trigger)</f>
        <v>42201</v>
      </c>
      <c r="U51" s="15">
        <f>_xll.qlRateHelperLatestDate(R51,Trigger)</f>
        <v>49872</v>
      </c>
      <c r="V51" s="155">
        <v>0.70771834630722275</v>
      </c>
    </row>
    <row r="52" spans="1:22" ht="11.25" customHeight="1" x14ac:dyDescent="0.2">
      <c r="A52" s="100" t="s">
        <v>46</v>
      </c>
      <c r="B52" s="100" t="str">
        <v>22Y</v>
      </c>
      <c r="C52" s="101" t="str">
        <f t="shared" si="9"/>
        <v>22Y</v>
      </c>
      <c r="D52" s="102">
        <f t="shared" si="10"/>
        <v>2</v>
      </c>
      <c r="E52" s="103" t="str">
        <f t="shared" si="12"/>
        <v>Modified Following</v>
      </c>
      <c r="F52" s="104" t="str">
        <f t="shared" si="4"/>
        <v>TRUE</v>
      </c>
      <c r="G52" s="105" t="s">
        <v>50</v>
      </c>
      <c r="H52" s="106">
        <v>1.5789999999999998E-2</v>
      </c>
      <c r="I52" s="107" t="str">
        <f>IF(OR(C52="O/N",C52="T/N",C52="S/N"),_xll.qlDepositRateHelper2(,H52,IF(RIGHT(C52,1)="N","1D",C52),D52,Calendar,E52,F52,G52,,Trigger),_xll.qlOISRateHelper(,D52,C52,H52,$I$1,,Permanent,Trigger,ObjectOverwrite))</f>
        <v>obj_00064#0006</v>
      </c>
      <c r="J52" s="102" t="b">
        <f t="shared" si="11"/>
        <v>1</v>
      </c>
      <c r="L52" s="24" t="str">
        <f t="shared" si="5"/>
        <v>Dp</v>
      </c>
      <c r="M52" s="24" t="str">
        <f t="shared" si="6"/>
        <v>22Y</v>
      </c>
      <c r="N52" s="14" t="str">
        <f t="shared" si="7"/>
        <v>obj_00064#0006</v>
      </c>
      <c r="O52" s="14" t="b">
        <f t="shared" si="8"/>
        <v>1</v>
      </c>
      <c r="P52" s="14" t="str">
        <v>Dp</v>
      </c>
      <c r="Q52" s="14" t="str">
        <v>22Y</v>
      </c>
      <c r="R52" s="14" t="str">
        <v>obj_00064#0006</v>
      </c>
      <c r="S52" s="117">
        <f>_xll.qlRateHelperRate(R52,Trigger)</f>
        <v>1.5789999999999998E-2</v>
      </c>
      <c r="T52" s="15">
        <f>_xll.qlRateHelperEarliestDate(R52,Trigger)</f>
        <v>42201</v>
      </c>
      <c r="U52" s="15">
        <f>_xll.qlRateHelperLatestDate(R52,Trigger)</f>
        <v>50237</v>
      </c>
      <c r="V52" s="155">
        <v>0.69399328098922097</v>
      </c>
    </row>
    <row r="53" spans="1:22" ht="11.25" customHeight="1" x14ac:dyDescent="0.2">
      <c r="A53" s="100" t="s">
        <v>46</v>
      </c>
      <c r="B53" s="100" t="str">
        <v>23Y</v>
      </c>
      <c r="C53" s="101" t="str">
        <f t="shared" si="9"/>
        <v>23Y</v>
      </c>
      <c r="D53" s="102">
        <f t="shared" si="10"/>
        <v>2</v>
      </c>
      <c r="E53" s="103" t="str">
        <f t="shared" si="12"/>
        <v>Modified Following</v>
      </c>
      <c r="F53" s="104" t="str">
        <f t="shared" si="4"/>
        <v>TRUE</v>
      </c>
      <c r="G53" s="105" t="s">
        <v>50</v>
      </c>
      <c r="H53" s="106">
        <v>1.5900000000000001E-2</v>
      </c>
      <c r="I53" s="107" t="str">
        <f>IF(OR(C53="O/N",C53="T/N",C53="S/N"),_xll.qlDepositRateHelper2(,H53,IF(RIGHT(C53,1)="N","1D",C53),D53,Calendar,E53,F53,G53,,Trigger),_xll.qlOISRateHelper(,D53,C53,H53,$I$1,,Permanent,Trigger,ObjectOverwrite))</f>
        <v>obj_00048#0006</v>
      </c>
      <c r="J53" s="102" t="b">
        <f t="shared" si="11"/>
        <v>1</v>
      </c>
      <c r="L53" s="24" t="str">
        <f t="shared" si="5"/>
        <v>Dp</v>
      </c>
      <c r="M53" s="24" t="str">
        <f t="shared" si="6"/>
        <v>23Y</v>
      </c>
      <c r="N53" s="14" t="str">
        <f t="shared" si="7"/>
        <v>obj_00048#0006</v>
      </c>
      <c r="O53" s="14" t="b">
        <f t="shared" si="8"/>
        <v>1</v>
      </c>
      <c r="P53" s="14" t="str">
        <v>Dp</v>
      </c>
      <c r="Q53" s="14" t="str">
        <v>23Y</v>
      </c>
      <c r="R53" s="14" t="str">
        <v>obj_00048#0006</v>
      </c>
      <c r="S53" s="117">
        <f>_xll.qlRateHelperRate(R53,Trigger)</f>
        <v>1.5900000000000001E-2</v>
      </c>
      <c r="T53" s="15">
        <f>_xll.qlRateHelperEarliestDate(R53,Trigger)</f>
        <v>42201</v>
      </c>
      <c r="U53" s="15">
        <f>_xll.qlRateHelperLatestDate(R53,Trigger)</f>
        <v>50602</v>
      </c>
      <c r="V53" s="155">
        <v>0.68088502860123057</v>
      </c>
    </row>
    <row r="54" spans="1:22" ht="11.25" customHeight="1" x14ac:dyDescent="0.2">
      <c r="A54" s="100" t="s">
        <v>46</v>
      </c>
      <c r="B54" s="100" t="str">
        <v>24Y</v>
      </c>
      <c r="C54" s="101" t="str">
        <f t="shared" si="9"/>
        <v>24Y</v>
      </c>
      <c r="D54" s="102">
        <f t="shared" si="10"/>
        <v>2</v>
      </c>
      <c r="E54" s="103" t="str">
        <f t="shared" si="12"/>
        <v>Modified Following</v>
      </c>
      <c r="F54" s="104" t="str">
        <f t="shared" si="4"/>
        <v>TRUE</v>
      </c>
      <c r="G54" s="105" t="s">
        <v>50</v>
      </c>
      <c r="H54" s="106">
        <v>1.6E-2</v>
      </c>
      <c r="I54" s="107" t="str">
        <f>IF(OR(C54="O/N",C54="T/N",C54="S/N"),_xll.qlDepositRateHelper2(,H54,IF(RIGHT(C54,1)="N","1D",C54),D54,Calendar,E54,F54,G54,,Trigger),_xll.qlOISRateHelper(,D54,C54,H54,$I$1,,Permanent,Trigger,ObjectOverwrite))</f>
        <v>obj_00073#0006</v>
      </c>
      <c r="J54" s="102" t="b">
        <f t="shared" si="11"/>
        <v>1</v>
      </c>
      <c r="L54" s="24" t="str">
        <f t="shared" si="5"/>
        <v>Dp</v>
      </c>
      <c r="M54" s="24" t="str">
        <f t="shared" si="6"/>
        <v>24Y</v>
      </c>
      <c r="N54" s="14" t="str">
        <f t="shared" si="7"/>
        <v>obj_00073#0006</v>
      </c>
      <c r="O54" s="14" t="b">
        <f t="shared" si="8"/>
        <v>1</v>
      </c>
      <c r="P54" s="14" t="str">
        <v>Dp</v>
      </c>
      <c r="Q54" s="14" t="str">
        <v>24Y</v>
      </c>
      <c r="R54" s="14" t="str">
        <v>obj_00073#0006</v>
      </c>
      <c r="S54" s="117">
        <f>_xll.qlRateHelperRate(R54,Trigger)</f>
        <v>1.6E-2</v>
      </c>
      <c r="T54" s="15">
        <f>_xll.qlRateHelperEarliestDate(R54,Trigger)</f>
        <v>42201</v>
      </c>
      <c r="U54" s="15">
        <f>_xll.qlRateHelperLatestDate(R54,Trigger)</f>
        <v>50969</v>
      </c>
      <c r="V54" s="155">
        <v>0.66798244193697121</v>
      </c>
    </row>
    <row r="55" spans="1:22" ht="11.25" customHeight="1" x14ac:dyDescent="0.2">
      <c r="A55" s="100" t="s">
        <v>46</v>
      </c>
      <c r="B55" s="100" t="str">
        <v>25Y</v>
      </c>
      <c r="C55" s="101" t="str">
        <f t="shared" si="9"/>
        <v>25Y</v>
      </c>
      <c r="D55" s="102">
        <f t="shared" si="10"/>
        <v>2</v>
      </c>
      <c r="E55" s="103" t="str">
        <f t="shared" si="12"/>
        <v>Modified Following</v>
      </c>
      <c r="F55" s="104" t="str">
        <f t="shared" si="4"/>
        <v>TRUE</v>
      </c>
      <c r="G55" s="105" t="s">
        <v>50</v>
      </c>
      <c r="H55" s="106">
        <v>1.6040000000000002E-2</v>
      </c>
      <c r="I55" s="107" t="str">
        <f>IF(OR(C55="O/N",C55="T/N",C55="S/N"),_xll.qlDepositRateHelper2(,H55,IF(RIGHT(C55,1)="N","1D",C55),D55,Calendar,E55,F55,G55,,Trigger),_xll.qlOISRateHelper(,D55,C55,H55,$I$1,,Permanent,Trigger,ObjectOverwrite))</f>
        <v>obj_0001a#0006</v>
      </c>
      <c r="J55" s="102" t="b">
        <f t="shared" si="11"/>
        <v>1</v>
      </c>
      <c r="L55" s="24" t="str">
        <f t="shared" si="5"/>
        <v>Dp</v>
      </c>
      <c r="M55" s="24" t="str">
        <f t="shared" si="6"/>
        <v>25Y</v>
      </c>
      <c r="N55" s="14" t="str">
        <f t="shared" si="7"/>
        <v>obj_0001a#0006</v>
      </c>
      <c r="O55" s="14" t="b">
        <f t="shared" si="8"/>
        <v>1</v>
      </c>
      <c r="P55" s="14" t="str">
        <v>Dp</v>
      </c>
      <c r="Q55" s="14" t="str">
        <v>25Y</v>
      </c>
      <c r="R55" s="14" t="str">
        <v>obj_0001a#0006</v>
      </c>
      <c r="S55" s="117">
        <f>_xll.qlRateHelperRate(R55,Trigger)</f>
        <v>1.6040000000000002E-2</v>
      </c>
      <c r="T55" s="15">
        <f>_xll.qlRateHelperEarliestDate(R55,Trigger)</f>
        <v>42201</v>
      </c>
      <c r="U55" s="15">
        <f>_xll.qlRateHelperLatestDate(R55,Trigger)</f>
        <v>51333</v>
      </c>
      <c r="V55" s="155">
        <v>0.65650503816500405</v>
      </c>
    </row>
    <row r="56" spans="1:22" ht="11.25" customHeight="1" x14ac:dyDescent="0.2">
      <c r="A56" s="100" t="s">
        <v>46</v>
      </c>
      <c r="B56" s="100" t="str">
        <v>26Y</v>
      </c>
      <c r="C56" s="101" t="str">
        <f t="shared" si="9"/>
        <v>26Y</v>
      </c>
      <c r="D56" s="102">
        <f t="shared" si="10"/>
        <v>2</v>
      </c>
      <c r="E56" s="103" t="str">
        <f t="shared" si="12"/>
        <v>Modified Following</v>
      </c>
      <c r="F56" s="104" t="str">
        <f t="shared" si="4"/>
        <v>TRUE</v>
      </c>
      <c r="G56" s="105" t="s">
        <v>50</v>
      </c>
      <c r="H56" s="106">
        <v>1.609E-2</v>
      </c>
      <c r="I56" s="107" t="str">
        <f>IF(OR(C56="O/N",C56="T/N",C56="S/N"),_xll.qlDepositRateHelper2(,H56,IF(RIGHT(C56,1)="N","1D",C56),D56,Calendar,E56,F56,G56,,Trigger),_xll.qlOISRateHelper(,D56,C56,H56,$I$1,,Permanent,Trigger,ObjectOverwrite))</f>
        <v>obj_0002c#0006</v>
      </c>
      <c r="J56" s="102" t="b">
        <f t="shared" si="11"/>
        <v>1</v>
      </c>
      <c r="L56" s="24" t="str">
        <f t="shared" si="5"/>
        <v>Dp</v>
      </c>
      <c r="M56" s="24" t="str">
        <f t="shared" si="6"/>
        <v>26Y</v>
      </c>
      <c r="N56" s="14" t="str">
        <f t="shared" si="7"/>
        <v>obj_0002c#0006</v>
      </c>
      <c r="O56" s="14" t="b">
        <f t="shared" si="8"/>
        <v>1</v>
      </c>
      <c r="P56" s="14" t="str">
        <v>Dp</v>
      </c>
      <c r="Q56" s="14" t="str">
        <v>26Y</v>
      </c>
      <c r="R56" s="14" t="str">
        <v>obj_0002c#0006</v>
      </c>
      <c r="S56" s="117">
        <f>_xll.qlRateHelperRate(R56,Trigger)</f>
        <v>1.609E-2</v>
      </c>
      <c r="T56" s="15">
        <f>_xll.qlRateHelperEarliestDate(R56,Trigger)</f>
        <v>42201</v>
      </c>
      <c r="U56" s="15">
        <f>_xll.qlRateHelperLatestDate(R56,Trigger)</f>
        <v>51698</v>
      </c>
      <c r="V56" s="155">
        <v>0.6449134958219982</v>
      </c>
    </row>
    <row r="57" spans="1:22" ht="11.25" customHeight="1" x14ac:dyDescent="0.2">
      <c r="A57" s="100" t="s">
        <v>46</v>
      </c>
      <c r="B57" s="100" t="str">
        <v>27Y</v>
      </c>
      <c r="C57" s="101" t="str">
        <f t="shared" si="9"/>
        <v>27Y</v>
      </c>
      <c r="D57" s="102">
        <f t="shared" si="10"/>
        <v>2</v>
      </c>
      <c r="E57" s="103" t="str">
        <f t="shared" si="12"/>
        <v>Modified Following</v>
      </c>
      <c r="F57" s="104" t="str">
        <f t="shared" si="4"/>
        <v>TRUE</v>
      </c>
      <c r="G57" s="105" t="s">
        <v>50</v>
      </c>
      <c r="H57" s="106">
        <v>1.6140000000000002E-2</v>
      </c>
      <c r="I57" s="107" t="str">
        <f>IF(OR(C57="O/N",C57="T/N",C57="S/N"),_xll.qlDepositRateHelper2(,H57,IF(RIGHT(C57,1)="N","1D",C57),D57,Calendar,E57,F57,G57,,Trigger),_xll.qlOISRateHelper(,D57,C57,H57,$I$1,,Permanent,Trigger,ObjectOverwrite))</f>
        <v>obj_0007d#0006</v>
      </c>
      <c r="J57" s="102" t="b">
        <f t="shared" si="11"/>
        <v>1</v>
      </c>
      <c r="L57" s="24" t="str">
        <f t="shared" si="5"/>
        <v>Dp</v>
      </c>
      <c r="M57" s="24" t="str">
        <f t="shared" si="6"/>
        <v>27Y</v>
      </c>
      <c r="N57" s="14" t="str">
        <f t="shared" si="7"/>
        <v>obj_0007d#0006</v>
      </c>
      <c r="O57" s="14" t="b">
        <f t="shared" si="8"/>
        <v>1</v>
      </c>
      <c r="P57" s="14" t="str">
        <v>Dp</v>
      </c>
      <c r="Q57" s="14" t="str">
        <v>27Y</v>
      </c>
      <c r="R57" s="14" t="str">
        <v>obj_0007d#0006</v>
      </c>
      <c r="S57" s="117">
        <f>_xll.qlRateHelperRate(R57,Trigger)</f>
        <v>1.6140000000000002E-2</v>
      </c>
      <c r="T57" s="15">
        <f>_xll.qlRateHelperEarliestDate(R57,Trigger)</f>
        <v>42201</v>
      </c>
      <c r="U57" s="15">
        <f>_xll.qlRateHelperLatestDate(R57,Trigger)</f>
        <v>52063</v>
      </c>
      <c r="V57" s="155">
        <v>0.63344425104922397</v>
      </c>
    </row>
    <row r="58" spans="1:22" ht="11.25" customHeight="1" x14ac:dyDescent="0.2">
      <c r="A58" s="100" t="s">
        <v>46</v>
      </c>
      <c r="B58" s="100" t="str">
        <v>28Y</v>
      </c>
      <c r="C58" s="101" t="str">
        <f t="shared" si="9"/>
        <v>28Y</v>
      </c>
      <c r="D58" s="102">
        <f t="shared" si="10"/>
        <v>2</v>
      </c>
      <c r="E58" s="103" t="str">
        <f t="shared" si="12"/>
        <v>Modified Following</v>
      </c>
      <c r="F58" s="104" t="str">
        <f t="shared" si="4"/>
        <v>TRUE</v>
      </c>
      <c r="G58" s="105" t="s">
        <v>50</v>
      </c>
      <c r="H58" s="106">
        <v>1.618E-2</v>
      </c>
      <c r="I58" s="107" t="str">
        <f>IF(OR(C58="O/N",C58="T/N",C58="S/N"),_xll.qlDepositRateHelper2(,H58,IF(RIGHT(C58,1)="N","1D",C58),D58,Calendar,E58,F58,G58,,Trigger),_xll.qlOISRateHelper(,D58,C58,H58,$I$1,,Permanent,Trigger,ObjectOverwrite))</f>
        <v>obj_00062#0006</v>
      </c>
      <c r="J58" s="102" t="b">
        <f t="shared" si="11"/>
        <v>1</v>
      </c>
      <c r="L58" s="24" t="str">
        <f t="shared" si="5"/>
        <v>Dp</v>
      </c>
      <c r="M58" s="24" t="str">
        <f t="shared" si="6"/>
        <v>28Y</v>
      </c>
      <c r="N58" s="14" t="str">
        <f t="shared" si="7"/>
        <v>obj_00062#0006</v>
      </c>
      <c r="O58" s="14" t="b">
        <f t="shared" si="8"/>
        <v>1</v>
      </c>
      <c r="P58" s="14" t="str">
        <v>Dp</v>
      </c>
      <c r="Q58" s="14" t="str">
        <v>28Y</v>
      </c>
      <c r="R58" s="14" t="str">
        <v>obj_00062#0006</v>
      </c>
      <c r="S58" s="117">
        <f>_xll.qlRateHelperRate(R58,Trigger)</f>
        <v>1.618E-2</v>
      </c>
      <c r="T58" s="15">
        <f>_xll.qlRateHelperEarliestDate(R58,Trigger)</f>
        <v>42201</v>
      </c>
      <c r="U58" s="15">
        <f>_xll.qlRateHelperLatestDate(R58,Trigger)</f>
        <v>52428</v>
      </c>
      <c r="V58" s="155">
        <v>0.62232669876140556</v>
      </c>
    </row>
    <row r="59" spans="1:22" ht="11.25" customHeight="1" x14ac:dyDescent="0.2">
      <c r="A59" s="100" t="s">
        <v>46</v>
      </c>
      <c r="B59" s="100" t="str">
        <v>29Y</v>
      </c>
      <c r="C59" s="101" t="str">
        <f t="shared" si="9"/>
        <v>29Y</v>
      </c>
      <c r="D59" s="102">
        <f t="shared" si="10"/>
        <v>2</v>
      </c>
      <c r="E59" s="103" t="str">
        <f t="shared" si="12"/>
        <v>Modified Following</v>
      </c>
      <c r="F59" s="104" t="str">
        <f t="shared" si="4"/>
        <v>TRUE</v>
      </c>
      <c r="G59" s="105" t="s">
        <v>50</v>
      </c>
      <c r="H59" s="106">
        <v>1.619E-2</v>
      </c>
      <c r="I59" s="107" t="str">
        <f>IF(OR(C59="O/N",C59="T/N",C59="S/N"),_xll.qlDepositRateHelper2(,H59,IF(RIGHT(C59,1)="N","1D",C59),D59,Calendar,E59,F59,G59,,Trigger),_xll.qlOISRateHelper(,D59,C59,H59,$I$1,,Permanent,Trigger,ObjectOverwrite))</f>
        <v>obj_00042#0006</v>
      </c>
      <c r="J59" s="102" t="b">
        <f t="shared" si="11"/>
        <v>1</v>
      </c>
      <c r="L59" s="24" t="str">
        <f t="shared" si="5"/>
        <v>Dp</v>
      </c>
      <c r="M59" s="24" t="str">
        <f t="shared" si="6"/>
        <v>29Y</v>
      </c>
      <c r="N59" s="14" t="str">
        <f t="shared" si="7"/>
        <v>obj_00042#0006</v>
      </c>
      <c r="O59" s="14" t="b">
        <f t="shared" si="8"/>
        <v>1</v>
      </c>
      <c r="P59" s="14" t="str">
        <v>Dp</v>
      </c>
      <c r="Q59" s="14" t="str">
        <v>29Y</v>
      </c>
      <c r="R59" s="14" t="str">
        <v>obj_00042#0006</v>
      </c>
      <c r="S59" s="117">
        <f>_xll.qlRateHelperRate(R59,Trigger)</f>
        <v>1.619E-2</v>
      </c>
      <c r="T59" s="15">
        <f>_xll.qlRateHelperEarliestDate(R59,Trigger)</f>
        <v>42201</v>
      </c>
      <c r="U59" s="15">
        <f>_xll.qlRateHelperLatestDate(R59,Trigger)</f>
        <v>52796</v>
      </c>
      <c r="V59" s="155">
        <v>0.6119653840309579</v>
      </c>
    </row>
    <row r="60" spans="1:22" ht="11.25" customHeight="1" x14ac:dyDescent="0.2">
      <c r="A60" s="100" t="s">
        <v>46</v>
      </c>
      <c r="B60" s="100" t="str">
        <v>30Y</v>
      </c>
      <c r="C60" s="101" t="str">
        <f t="shared" si="9"/>
        <v>30Y</v>
      </c>
      <c r="D60" s="102">
        <f t="shared" si="10"/>
        <v>2</v>
      </c>
      <c r="E60" s="103" t="str">
        <f t="shared" si="12"/>
        <v>Modified Following</v>
      </c>
      <c r="F60" s="104" t="str">
        <f t="shared" si="4"/>
        <v>TRUE</v>
      </c>
      <c r="G60" s="105" t="s">
        <v>50</v>
      </c>
      <c r="H60" s="106">
        <v>1.626E-2</v>
      </c>
      <c r="I60" s="107" t="str">
        <f>IF(OR(C60="O/N",C60="T/N",C60="S/N"),_xll.qlDepositRateHelper2(,H60,IF(RIGHT(C60,1)="N","1D",C60),D60,Calendar,E60,F60,G60,,Trigger),_xll.qlOISRateHelper(,D60,C60,H60,$I$1,,Permanent,Trigger,ObjectOverwrite))</f>
        <v>obj_00094#0006</v>
      </c>
      <c r="J60" s="102" t="b">
        <f t="shared" si="11"/>
        <v>1</v>
      </c>
      <c r="L60" s="24" t="str">
        <f t="shared" si="5"/>
        <v>Dp</v>
      </c>
      <c r="M60" s="24" t="str">
        <f t="shared" si="6"/>
        <v>30Y</v>
      </c>
      <c r="N60" s="14" t="str">
        <f t="shared" si="7"/>
        <v>obj_00094#0006</v>
      </c>
      <c r="O60" s="14" t="b">
        <f t="shared" si="8"/>
        <v>1</v>
      </c>
      <c r="P60" s="14" t="str">
        <v>Dp</v>
      </c>
      <c r="Q60" s="14" t="str">
        <v>30Y</v>
      </c>
      <c r="R60" s="14" t="str">
        <v>obj_00094#0006</v>
      </c>
      <c r="S60" s="117">
        <f>_xll.qlRateHelperRate(R60,Trigger)</f>
        <v>1.626E-2</v>
      </c>
      <c r="T60" s="15">
        <f>_xll.qlRateHelperEarliestDate(R60,Trigger)</f>
        <v>42201</v>
      </c>
      <c r="U60" s="15">
        <f>_xll.qlRateHelperLatestDate(R60,Trigger)</f>
        <v>53160</v>
      </c>
      <c r="V60" s="155">
        <v>0.60041638356522331</v>
      </c>
    </row>
    <row r="61" spans="1:22" ht="11.25" customHeight="1" x14ac:dyDescent="0.2">
      <c r="A61" s="100" t="s">
        <v>46</v>
      </c>
      <c r="B61" s="100" t="str">
        <v>35Y</v>
      </c>
      <c r="C61" s="101" t="str">
        <f t="shared" si="9"/>
        <v>35Y</v>
      </c>
      <c r="D61" s="102">
        <f t="shared" si="10"/>
        <v>2</v>
      </c>
      <c r="E61" s="103" t="str">
        <f t="shared" si="12"/>
        <v>Modified Following</v>
      </c>
      <c r="F61" s="104" t="str">
        <f t="shared" si="4"/>
        <v>TRUE</v>
      </c>
      <c r="G61" s="105" t="s">
        <v>50</v>
      </c>
      <c r="H61" s="106">
        <v>1.6500000000000001E-2</v>
      </c>
      <c r="I61" s="107" t="str">
        <f>IF(OR(C61="O/N",C61="T/N",C61="S/N"),_xll.qlDepositRateHelper2(,H61,IF(RIGHT(C61,1)="N","1D",C61),D61,Calendar,E61,F61,G61,,Trigger),_xll.qlOISRateHelper(,D61,C61,H61,$I$1,,Permanent,Trigger,ObjectOverwrite))</f>
        <v>obj_0004a#0006</v>
      </c>
      <c r="J61" s="102" t="b">
        <f t="shared" si="11"/>
        <v>1</v>
      </c>
      <c r="L61" s="24" t="str">
        <f t="shared" si="5"/>
        <v>Dp</v>
      </c>
      <c r="M61" s="24" t="str">
        <f t="shared" si="6"/>
        <v>35Y</v>
      </c>
      <c r="N61" s="14" t="str">
        <f t="shared" si="7"/>
        <v>obj_0004a#0006</v>
      </c>
      <c r="O61" s="14" t="b">
        <f t="shared" si="8"/>
        <v>1</v>
      </c>
      <c r="P61" s="14" t="str">
        <v>Dp</v>
      </c>
      <c r="Q61" s="14" t="str">
        <v>35Y</v>
      </c>
      <c r="R61" s="14" t="str">
        <v>obj_0004a#0006</v>
      </c>
      <c r="S61" s="117">
        <f>_xll.qlRateHelperRate(R61,Trigger)</f>
        <v>1.6500000000000001E-2</v>
      </c>
      <c r="T61" s="15">
        <f>_xll.qlRateHelperEarliestDate(R61,Trigger)</f>
        <v>42201</v>
      </c>
      <c r="U61" s="15">
        <f>_xll.qlRateHelperLatestDate(R61,Trigger)</f>
        <v>54987</v>
      </c>
      <c r="V61" s="155">
        <v>0.54697622438224436</v>
      </c>
    </row>
    <row r="62" spans="1:22" ht="11.25" customHeight="1" x14ac:dyDescent="0.2">
      <c r="A62" s="100" t="s">
        <v>46</v>
      </c>
      <c r="B62" s="100" t="str">
        <v>40Y</v>
      </c>
      <c r="C62" s="101" t="str">
        <f t="shared" si="9"/>
        <v>40Y</v>
      </c>
      <c r="D62" s="102">
        <f t="shared" si="10"/>
        <v>2</v>
      </c>
      <c r="E62" s="103" t="str">
        <f t="shared" si="12"/>
        <v>Modified Following</v>
      </c>
      <c r="F62" s="104" t="str">
        <f t="shared" si="4"/>
        <v>TRUE</v>
      </c>
      <c r="G62" s="105" t="s">
        <v>50</v>
      </c>
      <c r="H62" s="106">
        <v>1.6570000000000001E-2</v>
      </c>
      <c r="I62" s="107" t="str">
        <f>IF(OR(C62="O/N",C62="T/N",C62="S/N"),_xll.qlDepositRateHelper2(,H62,IF(RIGHT(C62,1)="N","1D",C62),D62,Calendar,E62,F62,G62,,Trigger),_xll.qlOISRateHelper(,D62,C62,H62,$I$1,,Permanent,Trigger,ObjectOverwrite))</f>
        <v>obj_00080#0006</v>
      </c>
      <c r="J62" s="102" t="b">
        <f t="shared" si="11"/>
        <v>1</v>
      </c>
      <c r="L62" s="24" t="str">
        <f t="shared" si="5"/>
        <v>Dp</v>
      </c>
      <c r="M62" s="24" t="str">
        <f t="shared" si="6"/>
        <v>40Y</v>
      </c>
      <c r="N62" s="14" t="str">
        <f t="shared" si="7"/>
        <v>obj_00080#0006</v>
      </c>
      <c r="O62" s="14" t="b">
        <f t="shared" si="8"/>
        <v>1</v>
      </c>
      <c r="P62" s="14" t="str">
        <v>Dp</v>
      </c>
      <c r="Q62" s="14" t="str">
        <v>40Y</v>
      </c>
      <c r="R62" s="14" t="str">
        <v>obj_00080#0006</v>
      </c>
      <c r="S62" s="117">
        <f>_xll.qlRateHelperRate(R62,Trigger)</f>
        <v>1.6570000000000001E-2</v>
      </c>
      <c r="T62" s="15">
        <f>_xll.qlRateHelperEarliestDate(R62,Trigger)</f>
        <v>42201</v>
      </c>
      <c r="U62" s="15">
        <f>_xll.qlRateHelperLatestDate(R62,Trigger)</f>
        <v>56811</v>
      </c>
      <c r="V62" s="155">
        <v>0.50148809000399253</v>
      </c>
    </row>
    <row r="63" spans="1:22" ht="11.25" customHeight="1" x14ac:dyDescent="0.2">
      <c r="A63" s="100" t="s">
        <v>46</v>
      </c>
      <c r="B63" s="100" t="str">
        <v>50Y</v>
      </c>
      <c r="C63" s="101" t="str">
        <f t="shared" si="9"/>
        <v>50Y</v>
      </c>
      <c r="D63" s="102">
        <f t="shared" si="10"/>
        <v>2</v>
      </c>
      <c r="E63" s="103" t="str">
        <f t="shared" si="12"/>
        <v>Modified Following</v>
      </c>
      <c r="F63" s="104" t="str">
        <f t="shared" si="4"/>
        <v>TRUE</v>
      </c>
      <c r="G63" s="105" t="s">
        <v>50</v>
      </c>
      <c r="H63" s="106">
        <v>1.6289999999999999E-2</v>
      </c>
      <c r="I63" s="107" t="str">
        <f>IF(OR(C63="O/N",C63="T/N",C63="S/N"),_xll.qlDepositRateHelper2(,H63,IF(RIGHT(C63,1)="N","1D",C63),D63,Calendar,E63,F63,G63,,Trigger),_xll.qlOISRateHelper(,D63,C63,H63,$I$1,,Permanent,Trigger,ObjectOverwrite))</f>
        <v>obj_00021#0006</v>
      </c>
      <c r="J63" s="102" t="b">
        <f t="shared" si="11"/>
        <v>1</v>
      </c>
      <c r="L63" s="24" t="str">
        <f t="shared" si="5"/>
        <v>Dp</v>
      </c>
      <c r="M63" s="24" t="str">
        <f t="shared" si="6"/>
        <v>50Y</v>
      </c>
      <c r="N63" s="14" t="str">
        <f t="shared" si="7"/>
        <v>obj_00021#0006</v>
      </c>
      <c r="O63" s="14" t="b">
        <f t="shared" si="8"/>
        <v>1</v>
      </c>
      <c r="P63" s="14" t="str">
        <v>Dp</v>
      </c>
      <c r="Q63" s="14" t="str">
        <v>50Y</v>
      </c>
      <c r="R63" s="14" t="str">
        <v>obj_00021#0006</v>
      </c>
      <c r="S63" s="117">
        <f>_xll.qlRateHelperRate(R63,Trigger)</f>
        <v>1.6289999999999999E-2</v>
      </c>
      <c r="T63" s="15">
        <f>_xll.qlRateHelperEarliestDate(R63,Trigger)</f>
        <v>42201</v>
      </c>
      <c r="U63" s="15">
        <f>_xll.qlRateHelperLatestDate(R63,Trigger)</f>
        <v>60464</v>
      </c>
      <c r="V63" s="155">
        <v>0.43338865869872217</v>
      </c>
    </row>
    <row r="64" spans="1:22" ht="11.25" customHeight="1" x14ac:dyDescent="0.2">
      <c r="A64" s="100" t="s">
        <v>46</v>
      </c>
      <c r="B64" s="100" t="str">
        <v>60Y</v>
      </c>
      <c r="C64" s="101" t="str">
        <f t="shared" si="9"/>
        <v>60Y</v>
      </c>
      <c r="D64" s="102">
        <f t="shared" si="10"/>
        <v>2</v>
      </c>
      <c r="E64" s="103" t="str">
        <f t="shared" si="12"/>
        <v>Modified Following</v>
      </c>
      <c r="F64" s="104" t="str">
        <f t="shared" si="4"/>
        <v>TRUE</v>
      </c>
      <c r="G64" s="105" t="s">
        <v>50</v>
      </c>
      <c r="H64" s="106">
        <v>1.6230000000000001E-2</v>
      </c>
      <c r="I64" s="107" t="str">
        <f>IF(OR(C64="O/N",C64="T/N",C64="S/N"),_xll.qlDepositRateHelper2(,H64,IF(RIGHT(C64,1)="N","1D",C64),D64,Calendar,E64,F64,G64,,Trigger),_xll.qlOISRateHelper(,D64,C64,H64,$I$1,,Permanent,Trigger,ObjectOverwrite))</f>
        <v>obj_0007e#0006</v>
      </c>
      <c r="J64" s="102" t="b">
        <f t="shared" si="11"/>
        <v>1</v>
      </c>
      <c r="L64" s="24" t="str">
        <f t="shared" si="5"/>
        <v>Dp</v>
      </c>
      <c r="M64" s="24" t="str">
        <f t="shared" si="6"/>
        <v>60Y</v>
      </c>
      <c r="N64" s="14" t="str">
        <f t="shared" si="7"/>
        <v>obj_0007e#0006</v>
      </c>
      <c r="O64" s="14" t="b">
        <f t="shared" si="8"/>
        <v>1</v>
      </c>
      <c r="P64" s="14" t="str">
        <v>Dp</v>
      </c>
      <c r="Q64" s="14" t="str">
        <v>60Y</v>
      </c>
      <c r="R64" s="14" t="str">
        <v>obj_0007e#0006</v>
      </c>
      <c r="S64" s="117">
        <f>_xll.qlRateHelperRate(R64,Trigger)</f>
        <v>1.6230000000000001E-2</v>
      </c>
      <c r="T64" s="15">
        <f>_xll.qlRateHelperEarliestDate(R64,Trigger)</f>
        <v>42201</v>
      </c>
      <c r="U64" s="15">
        <f>_xll.qlRateHelperLatestDate(R64,Trigger)</f>
        <v>64116</v>
      </c>
      <c r="V64" s="155">
        <v>0.36994893416321345</v>
      </c>
    </row>
    <row r="65" spans="1:22" ht="11.25" customHeight="1" x14ac:dyDescent="0.2">
      <c r="A65" s="100" t="s">
        <v>46</v>
      </c>
      <c r="B65" s="100" t="e">
        <v>#N/A</v>
      </c>
      <c r="C65" s="101" t="e">
        <f t="shared" si="9"/>
        <v>#N/A</v>
      </c>
      <c r="D65" s="102" t="e">
        <f t="shared" si="10"/>
        <v>#N/A</v>
      </c>
      <c r="E65" s="103" t="e">
        <f t="shared" si="12"/>
        <v>#N/A</v>
      </c>
      <c r="F65" s="104" t="e">
        <f t="shared" si="4"/>
        <v>#N/A</v>
      </c>
      <c r="G65" s="105" t="s">
        <v>50</v>
      </c>
      <c r="H65" s="106" t="e">
        <v>#N/A</v>
      </c>
      <c r="I65" s="107" t="e">
        <f>IF(OR(C65="O/N",C65="T/N",C65="S/N"),_xll.qlDepositRateHelper2(,H65,IF(RIGHT(C65,1)="N","1D",C65),D65,Calendar,E65,F65,G65,,Trigger),_xll.qlOISRateHelper(,D65,C65,H65,$I$1,,Permanent,Trigger,ObjectOverwrite))</f>
        <v>#N/A</v>
      </c>
      <c r="J65" s="102" t="b">
        <f t="shared" si="11"/>
        <v>0</v>
      </c>
      <c r="L65" s="24" t="str">
        <f t="shared" si="5"/>
        <v>Dp</v>
      </c>
      <c r="M65" s="24" t="e">
        <f t="shared" si="6"/>
        <v>#N/A</v>
      </c>
      <c r="N65" s="14" t="e">
        <f t="shared" si="7"/>
        <v>#N/A</v>
      </c>
      <c r="O65" s="14" t="b">
        <f t="shared" si="8"/>
        <v>0</v>
      </c>
      <c r="P65" s="14" t="e">
        <v>#N/A</v>
      </c>
      <c r="Q65" s="14" t="e">
        <v>#N/A</v>
      </c>
      <c r="R65" s="14" t="e">
        <v>#N/A</v>
      </c>
      <c r="S65" s="117" t="e">
        <f>_xll.qlRateHelperRate(R65,Trigger)</f>
        <v>#VALUE!</v>
      </c>
      <c r="T65" s="15" t="e">
        <f>_xll.qlRateHelperEarliestDate(R65,Trigger)</f>
        <v>#VALUE!</v>
      </c>
      <c r="U65" s="15" t="e">
        <f>_xll.qlRateHelperLatestDate(R65,Trigger)</f>
        <v>#VALUE!</v>
      </c>
      <c r="V65" s="155" t="e">
        <v>#N/A</v>
      </c>
    </row>
    <row r="66" spans="1:22" ht="11.25" customHeight="1" x14ac:dyDescent="0.2">
      <c r="A66" s="100" t="s">
        <v>46</v>
      </c>
      <c r="B66" s="100" t="e">
        <v>#N/A</v>
      </c>
      <c r="C66" s="101" t="e">
        <f t="shared" si="9"/>
        <v>#N/A</v>
      </c>
      <c r="D66" s="102" t="e">
        <f t="shared" si="10"/>
        <v>#N/A</v>
      </c>
      <c r="E66" s="103" t="e">
        <f t="shared" si="12"/>
        <v>#N/A</v>
      </c>
      <c r="F66" s="104" t="e">
        <f t="shared" si="4"/>
        <v>#N/A</v>
      </c>
      <c r="G66" s="105" t="s">
        <v>50</v>
      </c>
      <c r="H66" s="106" t="e">
        <v>#N/A</v>
      </c>
      <c r="I66" s="107" t="e">
        <f>IF(OR(C66="O/N",C66="T/N",C66="S/N"),_xll.qlDepositRateHelper2(,H66,IF(RIGHT(C66,1)="N","1D",C66),D66,Calendar,E66,F66,G66,,Trigger),_xll.qlOISRateHelper(,D66,C66,H66,$I$1,,Permanent,Trigger,ObjectOverwrite))</f>
        <v>#N/A</v>
      </c>
      <c r="J66" s="102" t="b">
        <f t="shared" si="11"/>
        <v>0</v>
      </c>
      <c r="L66" s="24" t="str">
        <f t="shared" si="5"/>
        <v>Dp</v>
      </c>
      <c r="M66" s="24" t="e">
        <f t="shared" si="6"/>
        <v>#N/A</v>
      </c>
      <c r="N66" s="14" t="e">
        <f t="shared" si="7"/>
        <v>#N/A</v>
      </c>
      <c r="O66" s="14" t="b">
        <f t="shared" si="8"/>
        <v>0</v>
      </c>
      <c r="P66" s="14" t="e">
        <v>#N/A</v>
      </c>
      <c r="Q66" s="14" t="e">
        <v>#N/A</v>
      </c>
      <c r="R66" s="14" t="e">
        <v>#N/A</v>
      </c>
      <c r="S66" s="117" t="e">
        <f>_xll.qlRateHelperRate(R66,Trigger)</f>
        <v>#VALUE!</v>
      </c>
      <c r="T66" s="15" t="e">
        <f>_xll.qlRateHelperEarliestDate(R66,Trigger)</f>
        <v>#VALUE!</v>
      </c>
      <c r="U66" s="15" t="e">
        <f>_xll.qlRateHelperLatestDate(R66,Trigger)</f>
        <v>#VALUE!</v>
      </c>
      <c r="V66" s="155" t="e">
        <v>#N/A</v>
      </c>
    </row>
    <row r="67" spans="1:22" ht="11.25" customHeight="1" x14ac:dyDescent="0.2">
      <c r="A67" s="100" t="s">
        <v>46</v>
      </c>
      <c r="B67" s="100" t="e">
        <v>#N/A</v>
      </c>
      <c r="C67" s="101" t="e">
        <f t="shared" si="9"/>
        <v>#N/A</v>
      </c>
      <c r="D67" s="102" t="e">
        <f t="shared" si="10"/>
        <v>#N/A</v>
      </c>
      <c r="E67" s="103" t="e">
        <f t="shared" si="12"/>
        <v>#N/A</v>
      </c>
      <c r="F67" s="104" t="e">
        <f t="shared" si="4"/>
        <v>#N/A</v>
      </c>
      <c r="G67" s="105" t="s">
        <v>50</v>
      </c>
      <c r="H67" s="106" t="e">
        <v>#N/A</v>
      </c>
      <c r="I67" s="107" t="e">
        <f>IF(OR(C67="O/N",C67="T/N",C67="S/N"),_xll.qlDepositRateHelper2(,H67,IF(RIGHT(C67,1)="N","1D",C67),D67,Calendar,E67,F67,G67,,Trigger),_xll.qlOISRateHelper(,D67,C67,H67,$I$1,,Permanent,Trigger,ObjectOverwrite))</f>
        <v>#N/A</v>
      </c>
      <c r="J67" s="102" t="b">
        <f t="shared" si="11"/>
        <v>0</v>
      </c>
      <c r="L67" s="24" t="str">
        <f t="shared" si="5"/>
        <v>Dp</v>
      </c>
      <c r="M67" s="24" t="e">
        <f t="shared" si="6"/>
        <v>#N/A</v>
      </c>
      <c r="N67" s="14" t="e">
        <f t="shared" si="7"/>
        <v>#N/A</v>
      </c>
      <c r="O67" s="14" t="b">
        <f t="shared" si="8"/>
        <v>0</v>
      </c>
      <c r="P67" s="14" t="e">
        <v>#N/A</v>
      </c>
      <c r="Q67" s="14" t="e">
        <v>#N/A</v>
      </c>
      <c r="R67" s="14" t="e">
        <v>#N/A</v>
      </c>
      <c r="S67" s="117" t="e">
        <f>_xll.qlRateHelperRate(R67,Trigger)</f>
        <v>#VALUE!</v>
      </c>
      <c r="T67" s="15" t="e">
        <f>_xll.qlRateHelperEarliestDate(R67,Trigger)</f>
        <v>#VALUE!</v>
      </c>
      <c r="U67" s="15" t="e">
        <f>_xll.qlRateHelperLatestDate(R67,Trigger)</f>
        <v>#VALUE!</v>
      </c>
      <c r="V67" s="155" t="e">
        <v>#N/A</v>
      </c>
    </row>
    <row r="68" spans="1:22" ht="11.25" customHeight="1" x14ac:dyDescent="0.2">
      <c r="A68" s="100" t="s">
        <v>46</v>
      </c>
      <c r="B68" s="100" t="e">
        <v>#N/A</v>
      </c>
      <c r="C68" s="101" t="e">
        <f t="shared" si="9"/>
        <v>#N/A</v>
      </c>
      <c r="D68" s="102" t="e">
        <f t="shared" si="10"/>
        <v>#N/A</v>
      </c>
      <c r="E68" s="103" t="e">
        <f t="shared" si="12"/>
        <v>#N/A</v>
      </c>
      <c r="F68" s="104" t="e">
        <f t="shared" ref="F68:F71" si="13">IF(RIGHT(C68,1)="M","TRUE",IF(RIGHT(C68,1)="Y","TRUE","FALSE"))</f>
        <v>#N/A</v>
      </c>
      <c r="G68" s="105" t="s">
        <v>50</v>
      </c>
      <c r="H68" s="106" t="e">
        <v>#N/A</v>
      </c>
      <c r="I68" s="107" t="e">
        <f>IF(OR(C68="O/N",C68="T/N",C68="S/N"),_xll.qlDepositRateHelper2(,H68,IF(RIGHT(C68,1)="N","1D",C68),D68,Calendar,E68,F68,G68,,Trigger),_xll.qlOISRateHelper(,D68,C68,H68,$I$1,,Permanent,Trigger,ObjectOverwrite))</f>
        <v>#N/A</v>
      </c>
      <c r="J68" s="102" t="b">
        <f t="shared" si="11"/>
        <v>0</v>
      </c>
      <c r="L68" s="24" t="str">
        <f t="shared" ref="L68:L71" si="14">A68</f>
        <v>Dp</v>
      </c>
      <c r="M68" s="24" t="e">
        <f t="shared" ref="M68:M71" si="15">C68</f>
        <v>#N/A</v>
      </c>
      <c r="N68" s="14" t="e">
        <f t="shared" ref="N68:N71" si="16">I68</f>
        <v>#N/A</v>
      </c>
      <c r="O68" s="14" t="b">
        <f t="shared" ref="O68:O71" si="17">J68</f>
        <v>0</v>
      </c>
      <c r="P68" s="14" t="e">
        <v>#N/A</v>
      </c>
      <c r="Q68" s="14" t="e">
        <v>#N/A</v>
      </c>
      <c r="R68" s="14" t="e">
        <v>#N/A</v>
      </c>
      <c r="S68" s="117" t="e">
        <f>_xll.qlRateHelperRate(R68,Trigger)</f>
        <v>#VALUE!</v>
      </c>
      <c r="T68" s="15" t="e">
        <f>_xll.qlRateHelperEarliestDate(R68,Trigger)</f>
        <v>#VALUE!</v>
      </c>
      <c r="U68" s="15" t="e">
        <f>_xll.qlRateHelperLatestDate(R68,Trigger)</f>
        <v>#VALUE!</v>
      </c>
      <c r="V68" s="155" t="e">
        <v>#N/A</v>
      </c>
    </row>
    <row r="69" spans="1:22" ht="11.25" customHeight="1" x14ac:dyDescent="0.2">
      <c r="A69" s="100" t="s">
        <v>46</v>
      </c>
      <c r="B69" s="100" t="e">
        <v>#N/A</v>
      </c>
      <c r="C69" s="101" t="e">
        <f t="shared" si="9"/>
        <v>#N/A</v>
      </c>
      <c r="D69" s="102" t="e">
        <f t="shared" si="10"/>
        <v>#N/A</v>
      </c>
      <c r="E69" s="103" t="e">
        <f t="shared" si="12"/>
        <v>#N/A</v>
      </c>
      <c r="F69" s="104" t="e">
        <f t="shared" si="13"/>
        <v>#N/A</v>
      </c>
      <c r="G69" s="105" t="s">
        <v>50</v>
      </c>
      <c r="H69" s="106" t="e">
        <v>#N/A</v>
      </c>
      <c r="I69" s="107" t="e">
        <f>IF(OR(C69="O/N",C69="T/N",C69="S/N"),_xll.qlDepositRateHelper2(,H69,IF(RIGHT(C69,1)="N","1D",C69),D69,Calendar,E69,F69,G69,,Trigger),_xll.qlOISRateHelper(,D69,C69,H69,$I$1,,Permanent,Trigger,ObjectOverwrite))</f>
        <v>#N/A</v>
      </c>
      <c r="J69" s="102" t="b">
        <f t="shared" si="11"/>
        <v>0</v>
      </c>
      <c r="L69" s="24" t="str">
        <f t="shared" si="14"/>
        <v>Dp</v>
      </c>
      <c r="M69" s="24" t="e">
        <f t="shared" si="15"/>
        <v>#N/A</v>
      </c>
      <c r="N69" s="14" t="e">
        <f t="shared" si="16"/>
        <v>#N/A</v>
      </c>
      <c r="O69" s="14" t="b">
        <f t="shared" si="17"/>
        <v>0</v>
      </c>
      <c r="P69" s="14" t="e">
        <v>#N/A</v>
      </c>
      <c r="Q69" s="14" t="e">
        <v>#N/A</v>
      </c>
      <c r="R69" s="14" t="e">
        <v>#N/A</v>
      </c>
      <c r="S69" s="117" t="e">
        <f>_xll.qlRateHelperRate(R69,Trigger)</f>
        <v>#VALUE!</v>
      </c>
      <c r="T69" s="15" t="e">
        <f>_xll.qlRateHelperEarliestDate(R69,Trigger)</f>
        <v>#VALUE!</v>
      </c>
      <c r="U69" s="15" t="e">
        <f>_xll.qlRateHelperLatestDate(R69,Trigger)</f>
        <v>#VALUE!</v>
      </c>
      <c r="V69" s="155" t="e">
        <v>#N/A</v>
      </c>
    </row>
    <row r="70" spans="1:22" ht="11.25" customHeight="1" x14ac:dyDescent="0.2">
      <c r="A70" s="100" t="s">
        <v>46</v>
      </c>
      <c r="B70" s="100" t="e">
        <v>#N/A</v>
      </c>
      <c r="C70" s="101" t="e">
        <f t="shared" si="9"/>
        <v>#N/A</v>
      </c>
      <c r="D70" s="102" t="e">
        <f t="shared" si="10"/>
        <v>#N/A</v>
      </c>
      <c r="E70" s="103" t="e">
        <f t="shared" si="12"/>
        <v>#N/A</v>
      </c>
      <c r="F70" s="104" t="e">
        <f t="shared" si="13"/>
        <v>#N/A</v>
      </c>
      <c r="G70" s="105" t="s">
        <v>50</v>
      </c>
      <c r="H70" s="106" t="e">
        <v>#N/A</v>
      </c>
      <c r="I70" s="107" t="e">
        <f>IF(OR(C70="O/N",C70="T/N",C70="S/N"),_xll.qlDepositRateHelper2(,H70,IF(RIGHT(C70,1)="N","1D",C70),D70,Calendar,E70,F70,G70,,Trigger),_xll.qlOISRateHelper(,D70,C70,H70,$I$1,,Permanent,Trigger,ObjectOverwrite))</f>
        <v>#N/A</v>
      </c>
      <c r="J70" s="102" t="b">
        <f t="shared" si="11"/>
        <v>0</v>
      </c>
      <c r="L70" s="24" t="str">
        <f t="shared" si="14"/>
        <v>Dp</v>
      </c>
      <c r="M70" s="24" t="e">
        <f t="shared" si="15"/>
        <v>#N/A</v>
      </c>
      <c r="N70" s="14" t="e">
        <f t="shared" si="16"/>
        <v>#N/A</v>
      </c>
      <c r="O70" s="14" t="b">
        <f t="shared" si="17"/>
        <v>0</v>
      </c>
      <c r="P70" s="14" t="e">
        <v>#N/A</v>
      </c>
      <c r="Q70" s="14" t="e">
        <v>#N/A</v>
      </c>
      <c r="R70" s="14" t="e">
        <v>#N/A</v>
      </c>
      <c r="S70" s="117" t="e">
        <f>_xll.qlRateHelperRate(R70,Trigger)</f>
        <v>#VALUE!</v>
      </c>
      <c r="T70" s="15" t="e">
        <f>_xll.qlRateHelperEarliestDate(R70,Trigger)</f>
        <v>#VALUE!</v>
      </c>
      <c r="U70" s="15" t="e">
        <f>_xll.qlRateHelperLatestDate(R70,Trigger)</f>
        <v>#VALUE!</v>
      </c>
      <c r="V70" s="155" t="e">
        <v>#N/A</v>
      </c>
    </row>
    <row r="71" spans="1:22" ht="11.25" customHeight="1" x14ac:dyDescent="0.2">
      <c r="A71" s="4" t="s">
        <v>46</v>
      </c>
      <c r="B71" s="4" t="e">
        <v>#N/A</v>
      </c>
      <c r="C71" s="21" t="e">
        <f t="shared" si="9"/>
        <v>#N/A</v>
      </c>
      <c r="D71" s="19" t="e">
        <f t="shared" si="10"/>
        <v>#N/A</v>
      </c>
      <c r="E71" s="20" t="e">
        <f t="shared" si="12"/>
        <v>#N/A</v>
      </c>
      <c r="F71" s="22" t="e">
        <f t="shared" si="13"/>
        <v>#N/A</v>
      </c>
      <c r="G71" s="5" t="s">
        <v>50</v>
      </c>
      <c r="H71" s="6" t="e">
        <v>#N/A</v>
      </c>
      <c r="I71" s="7" t="e">
        <f>IF(OR(C71="O/N",C71="T/N",C71="S/N"),_xll.qlDepositRateHelper2(,H71,IF(RIGHT(C71,1)="N","1D",C71),D71,Calendar,E71,F71,G71,,Trigger),_xll.qlOISRateHelper(,D71,C71,H71,$I$1,,Permanent,Trigger,ObjectOverwrite))</f>
        <v>#N/A</v>
      </c>
      <c r="J71" s="19" t="b">
        <f t="shared" si="11"/>
        <v>0</v>
      </c>
      <c r="L71" s="25" t="str">
        <f t="shared" si="14"/>
        <v>Dp</v>
      </c>
      <c r="M71" s="25" t="e">
        <f t="shared" si="15"/>
        <v>#N/A</v>
      </c>
      <c r="N71" s="16" t="e">
        <f t="shared" si="16"/>
        <v>#N/A</v>
      </c>
      <c r="O71" s="16" t="b">
        <f t="shared" si="17"/>
        <v>0</v>
      </c>
      <c r="P71" s="16" t="e">
        <v>#N/A</v>
      </c>
      <c r="Q71" s="16" t="e">
        <v>#N/A</v>
      </c>
      <c r="R71" s="16" t="e">
        <v>#N/A</v>
      </c>
      <c r="S71" s="220" t="e">
        <f>_xll.qlRateHelperRate(R71,Trigger)</f>
        <v>#VALUE!</v>
      </c>
      <c r="T71" s="30" t="e">
        <f>_xll.qlRateHelperEarliestDate(R71,Trigger)</f>
        <v>#VALUE!</v>
      </c>
      <c r="U71" s="30" t="e">
        <f>_xll.qlRateHelperLatestDate(R71,Trigger)</f>
        <v>#VALUE!</v>
      </c>
      <c r="V71" s="156" t="e">
        <v>#N/A</v>
      </c>
    </row>
    <row r="72" spans="1:22" ht="11.25" customHeight="1" x14ac:dyDescent="0.2"/>
    <row r="73" spans="1:22" ht="11.25" customHeight="1" x14ac:dyDescent="0.2"/>
    <row r="74" spans="1:22" ht="11.25" customHeight="1" x14ac:dyDescent="0.2"/>
    <row r="75" spans="1:22" ht="11.25" customHeight="1" x14ac:dyDescent="0.2"/>
    <row r="76" spans="1:22" ht="11.25" customHeight="1" x14ac:dyDescent="0.2"/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1">
    <dataValidation type="list" allowBlank="1" showInputMessage="1" showErrorMessage="1" sqref="G3:G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E30"/>
  <sheetViews>
    <sheetView workbookViewId="0">
      <selection activeCell="I2" sqref="I2"/>
    </sheetView>
  </sheetViews>
  <sheetFormatPr defaultRowHeight="11.25" x14ac:dyDescent="0.2"/>
  <cols>
    <col min="1" max="2" width="2.7109375" style="171" customWidth="1"/>
    <col min="3" max="3" width="11" style="171" bestFit="1" customWidth="1"/>
    <col min="4" max="4" width="16" style="171" bestFit="1" customWidth="1"/>
    <col min="5" max="5" width="17.28515625" style="171" bestFit="1" customWidth="1"/>
    <col min="6" max="6" width="2.7109375" style="171" customWidth="1"/>
    <col min="7" max="7" width="15.28515625" style="171" bestFit="1" customWidth="1"/>
    <col min="8" max="8" width="12" style="171" bestFit="1" customWidth="1"/>
    <col min="9" max="9" width="15.140625" style="171" bestFit="1" customWidth="1"/>
    <col min="10" max="10" width="31.7109375" style="171" bestFit="1" customWidth="1"/>
    <col min="11" max="12" width="17.7109375" style="171" customWidth="1"/>
    <col min="13" max="13" width="2.7109375" style="171" customWidth="1"/>
    <col min="14" max="14" width="6" style="171" bestFit="1" customWidth="1"/>
    <col min="15" max="15" width="11.140625" style="171" bestFit="1" customWidth="1"/>
    <col min="16" max="16" width="14" style="171" bestFit="1" customWidth="1"/>
    <col min="17" max="17" width="7" style="171" bestFit="1" customWidth="1"/>
    <col min="18" max="18" width="9.85546875" style="171" bestFit="1" customWidth="1"/>
    <col min="19" max="19" width="8.140625" style="171" bestFit="1" customWidth="1"/>
    <col min="20" max="20" width="12.140625" style="171" bestFit="1" customWidth="1"/>
    <col min="21" max="21" width="9.85546875" style="171" bestFit="1" customWidth="1"/>
    <col min="22" max="22" width="12" style="171" bestFit="1" customWidth="1"/>
    <col min="23" max="23" width="8" style="171" bestFit="1" customWidth="1"/>
    <col min="24" max="24" width="13.140625" style="171" bestFit="1" customWidth="1"/>
    <col min="25" max="25" width="8" style="171" bestFit="1" customWidth="1"/>
    <col min="26" max="26" width="2.7109375" style="171" customWidth="1"/>
    <col min="27" max="27" width="15.5703125" style="171" bestFit="1" customWidth="1"/>
    <col min="28" max="28" width="7.140625" style="171" bestFit="1" customWidth="1"/>
    <col min="29" max="30" width="2.7109375" style="171" customWidth="1"/>
    <col min="31" max="16384" width="9.140625" style="171"/>
  </cols>
  <sheetData>
    <row r="1" spans="2:31" s="157" customFormat="1" x14ac:dyDescent="0.2">
      <c r="AD1" s="171"/>
    </row>
    <row r="2" spans="2:31" s="157" customFormat="1" ht="11.25" customHeight="1" x14ac:dyDescent="0.2">
      <c r="B2" s="184"/>
      <c r="C2" s="185"/>
      <c r="D2" s="185"/>
      <c r="E2" s="185"/>
      <c r="F2" s="185"/>
      <c r="G2" s="185"/>
      <c r="H2" s="172" t="s">
        <v>54</v>
      </c>
      <c r="I2" s="205" t="s">
        <v>55</v>
      </c>
      <c r="J2" s="185"/>
      <c r="K2" s="185"/>
      <c r="L2" s="185"/>
      <c r="M2" s="185"/>
      <c r="N2" s="185"/>
      <c r="O2" s="175"/>
      <c r="P2" s="175"/>
      <c r="Q2" s="175"/>
      <c r="R2" s="175"/>
      <c r="S2" s="175"/>
      <c r="T2" s="175"/>
      <c r="U2" s="175"/>
      <c r="V2" s="175"/>
      <c r="W2" s="186">
        <f>MAX(Y5:Y8)</f>
        <v>0</v>
      </c>
      <c r="X2" s="175"/>
      <c r="Y2" s="175"/>
      <c r="Z2" s="178"/>
      <c r="AD2" s="171"/>
    </row>
    <row r="3" spans="2:31" s="157" customFormat="1" ht="22.5" customHeight="1" x14ac:dyDescent="0.2">
      <c r="B3" s="45"/>
      <c r="C3" s="172" t="s">
        <v>57</v>
      </c>
      <c r="D3" s="172" t="str">
        <f t="shared" ref="D3:D8" si="0">UPPER(Currency)&amp;$C3</f>
        <v>EURSTD</v>
      </c>
      <c r="E3" s="159" t="str">
        <f>_xll.qlRelinkableHandleYieldTermStructure(D3,,Permanent,Trigger,ObjectOverwrite)</f>
        <v>EURSTD#0004</v>
      </c>
      <c r="F3" s="158" t="str">
        <f>_xll.ohRangeRetrieveError(E3)</f>
        <v/>
      </c>
      <c r="G3" s="8"/>
      <c r="H3" s="8"/>
      <c r="I3" s="8"/>
      <c r="J3" s="8"/>
      <c r="K3" s="173" t="s">
        <v>194</v>
      </c>
      <c r="L3" s="173" t="s">
        <v>195</v>
      </c>
      <c r="M3" s="1"/>
      <c r="N3" s="173" t="s">
        <v>56</v>
      </c>
      <c r="O3" s="173" t="s">
        <v>80</v>
      </c>
      <c r="P3" s="173" t="s">
        <v>81</v>
      </c>
      <c r="Q3" s="173" t="s">
        <v>82</v>
      </c>
      <c r="R3" s="173" t="s">
        <v>59</v>
      </c>
      <c r="S3" s="173" t="s">
        <v>60</v>
      </c>
      <c r="T3" s="173" t="s">
        <v>61</v>
      </c>
      <c r="U3" s="173" t="s">
        <v>62</v>
      </c>
      <c r="V3" s="173" t="s">
        <v>63</v>
      </c>
      <c r="W3" s="173" t="s">
        <v>64</v>
      </c>
      <c r="X3" s="173" t="s">
        <v>65</v>
      </c>
      <c r="Y3" s="173"/>
      <c r="Z3" s="180"/>
      <c r="AD3" s="171"/>
    </row>
    <row r="4" spans="2:31" s="157" customFormat="1" ht="11.25" customHeight="1" x14ac:dyDescent="0.2">
      <c r="B4" s="45"/>
      <c r="C4" s="189" t="s">
        <v>66</v>
      </c>
      <c r="D4" s="189" t="str">
        <f t="shared" si="0"/>
        <v>EURON</v>
      </c>
      <c r="E4" s="190" t="str">
        <f>_xll.qlRelinkableHandleYieldTermStructure(D4,,Permanent,Trigger,ObjectOverwrite)</f>
        <v>EURON#0004</v>
      </c>
      <c r="F4" s="191" t="str">
        <f>_xll.ohRangeRetrieveError(E4)</f>
        <v/>
      </c>
      <c r="G4" s="190" t="s">
        <v>58</v>
      </c>
      <c r="H4" s="190" t="s">
        <v>58</v>
      </c>
      <c r="I4" s="190" t="str">
        <f>_xll.qlEonia(G4,E4,Permanent,Trigger,ObjectOverwrite)</f>
        <v>Eonia#0004</v>
      </c>
      <c r="J4" s="190" t="str">
        <f>_xll.qlLastFixingQuote(H4&amp;"LastFixing_Quote",I4,Permanent,Trigger,ObjectOverwrite)</f>
        <v>EoniaLastFixing_Quote#0004</v>
      </c>
      <c r="K4" s="198" t="str">
        <f>_xll.ohRangeRetrieveError(I4)</f>
        <v/>
      </c>
      <c r="L4" s="199" t="str">
        <f>_xll.ohRangeRetrieveError(J4)</f>
        <v/>
      </c>
      <c r="M4" s="1"/>
      <c r="N4" s="160" t="s">
        <v>66</v>
      </c>
      <c r="O4" s="160" t="s">
        <v>67</v>
      </c>
      <c r="P4" s="161">
        <f>$G$16</f>
        <v>42199</v>
      </c>
      <c r="Q4" s="162">
        <f>H16</f>
        <v>-0.112</v>
      </c>
      <c r="R4" s="160" t="b">
        <f>IF(AND(ISNUMBER(Q4),Q4&lt;&gt;0%,_xll.ohTrigger(Trigger)+1),TRUE,FALSE)</f>
        <v>1</v>
      </c>
      <c r="S4" s="160" t="b">
        <f>IF($R4,_xll.qlIndexAddFixings(T4,P4,Q4/100,TRUE,ISERROR($U7)),NA())</f>
        <v>1</v>
      </c>
      <c r="T4" s="160" t="str">
        <f>I4</f>
        <v>Eonia#0004</v>
      </c>
      <c r="U4" s="160" t="e">
        <f>_xll.qlIndexFixing(T4,P4,TRUE,R4)</f>
        <v>#NUM!</v>
      </c>
      <c r="V4" s="160">
        <f>IF(S4,_xll.qlIndexFixing(T4,P4,FALSE,R4),"-")</f>
        <v>-1.1200000000000001E-3</v>
      </c>
      <c r="W4" s="160" t="e">
        <f>U4-V4</f>
        <v>#NUM!</v>
      </c>
      <c r="X4" s="160" t="e">
        <f>_xll.qlIndexFixing(T4,P4,TRUE,$V4)</f>
        <v>#NUM!</v>
      </c>
      <c r="Y4" s="160">
        <f>IF(ISERROR(W4),0,ABS(W4))</f>
        <v>0</v>
      </c>
      <c r="Z4" s="180"/>
      <c r="AD4" s="171"/>
    </row>
    <row r="5" spans="2:31" s="157" customFormat="1" ht="11.25" customHeight="1" x14ac:dyDescent="0.2">
      <c r="B5" s="45"/>
      <c r="C5" s="192" t="s">
        <v>6</v>
      </c>
      <c r="D5" s="192" t="str">
        <f t="shared" si="0"/>
        <v>EUR1M</v>
      </c>
      <c r="E5" s="193" t="str">
        <f>_xll.qlRelinkableHandleYieldTermStructure(D5,,Permanent,Trigger,ObjectOverwrite)</f>
        <v>EUR1M#0004</v>
      </c>
      <c r="F5" s="194" t="str">
        <f>_xll.ohRangeRetrieveError(E5)</f>
        <v/>
      </c>
      <c r="G5" s="193" t="s">
        <v>6</v>
      </c>
      <c r="H5" s="193" t="str">
        <f>PROPER(Currency)&amp;FamilyName&amp;$G5</f>
        <v>Euribor1M</v>
      </c>
      <c r="I5" s="193" t="str">
        <f>_xll.qlEuribor(H5,G5,E5,Permanent,Trigger,ObjectOverwrite)</f>
        <v>Euribor1M#0004</v>
      </c>
      <c r="J5" s="193" t="str">
        <f>_xll.qlLastFixingQuote(H5&amp;"LastFixing_Quote",I5,Permanent,Trigger,ObjectOverwrite)</f>
        <v>Euribor1MLastFixing_Quote#0004</v>
      </c>
      <c r="K5" s="200" t="str">
        <f>_xll.ohRangeRetrieveError(I5)</f>
        <v/>
      </c>
      <c r="L5" s="201" t="str">
        <f>_xll.ohRangeRetrieveError(J5)</f>
        <v/>
      </c>
      <c r="M5" s="1"/>
      <c r="N5" s="160" t="s">
        <v>6</v>
      </c>
      <c r="O5" s="160" t="str">
        <f>Currency&amp;"IBOR"&amp;$N5&amp;"D="</f>
        <v>EURIBOR1MD=</v>
      </c>
      <c r="P5" s="161">
        <f>$G$16</f>
        <v>42199</v>
      </c>
      <c r="Q5" s="162">
        <f>I16</f>
        <v>-7.0999999999999994E-2</v>
      </c>
      <c r="R5" s="160" t="b">
        <f>IF(AND(ISNUMBER(Q5),Q5&lt;&gt;0%,_xll.ohTrigger(Trigger)+1),TRUE,FALSE)</f>
        <v>1</v>
      </c>
      <c r="S5" s="160" t="b">
        <f>IF($R5,_xll.qlIndexAddFixings(T5,P5,Q5/100,TRUE,ISERROR($U8)),NA())</f>
        <v>1</v>
      </c>
      <c r="T5" s="160" t="str">
        <f>I5</f>
        <v>Euribor1M#0004</v>
      </c>
      <c r="U5" s="160" t="e">
        <f>_xll.qlIndexFixing(T5,P5,TRUE,R5)</f>
        <v>#NUM!</v>
      </c>
      <c r="V5" s="160">
        <f>IF(S5,_xll.qlIndexFixing(T5,P5,FALSE,R5),"-")</f>
        <v>-7.0999999999999991E-4</v>
      </c>
      <c r="W5" s="160" t="e">
        <f>U5-V5</f>
        <v>#NUM!</v>
      </c>
      <c r="X5" s="160" t="e">
        <f>_xll.qlIndexFixing(T5,P5,TRUE,$V5)</f>
        <v>#NUM!</v>
      </c>
      <c r="Y5" s="160">
        <f>IF(ISERROR(W5),0,ABS(W5))</f>
        <v>0</v>
      </c>
      <c r="Z5" s="180"/>
      <c r="AD5" s="171"/>
    </row>
    <row r="6" spans="2:31" s="157" customFormat="1" ht="11.25" customHeight="1" x14ac:dyDescent="0.2">
      <c r="B6" s="45"/>
      <c r="C6" s="192" t="s">
        <v>0</v>
      </c>
      <c r="D6" s="192" t="str">
        <f t="shared" si="0"/>
        <v>EUR3M</v>
      </c>
      <c r="E6" s="193" t="str">
        <f>_xll.qlRelinkableHandleYieldTermStructure(D6,,Permanent,Trigger,ObjectOverwrite)</f>
        <v>EUR3M#0004</v>
      </c>
      <c r="F6" s="194" t="str">
        <f>_xll.ohRangeRetrieveError(E6)</f>
        <v/>
      </c>
      <c r="G6" s="193" t="s">
        <v>0</v>
      </c>
      <c r="H6" s="193" t="str">
        <f>PROPER(Currency)&amp;FamilyName&amp;$G6</f>
        <v>Euribor3M</v>
      </c>
      <c r="I6" s="193" t="str">
        <f>_xll.qlEuribor(H6,G6,E6,Permanent,Trigger,ObjectOverwrite)</f>
        <v>Euribor3M#0004</v>
      </c>
      <c r="J6" s="193" t="str">
        <f>_xll.qlLastFixingQuote(H6&amp;"LastFixing_Quote",I6,Permanent,Trigger,ObjectOverwrite)</f>
        <v>Euribor3MLastFixing_Quote#0004</v>
      </c>
      <c r="K6" s="200" t="str">
        <f>_xll.ohRangeRetrieveError(I6)</f>
        <v/>
      </c>
      <c r="L6" s="201" t="str">
        <f>_xll.ohRangeRetrieveError(J6)</f>
        <v/>
      </c>
      <c r="M6" s="1"/>
      <c r="N6" s="163" t="s">
        <v>0</v>
      </c>
      <c r="O6" s="163" t="str">
        <f>Currency&amp;"IBOR"&amp;$N6&amp;"D="</f>
        <v>EURIBOR3MD=</v>
      </c>
      <c r="P6" s="164">
        <f t="shared" ref="P6:P8" si="1">$G$16</f>
        <v>42199</v>
      </c>
      <c r="Q6" s="165">
        <f>J16</f>
        <v>-1.9E-2</v>
      </c>
      <c r="R6" s="163" t="b">
        <f>IF(AND(ISNUMBER(Q6),Q6&lt;&gt;0%,_xll.ohTrigger(Trigger)+1),TRUE,FALSE)</f>
        <v>1</v>
      </c>
      <c r="S6" s="163" t="b">
        <f>IF($R6,_xll.qlIndexAddFixings(T6,P6,Q6/100,TRUE,ISERROR($U9)),NA())</f>
        <v>1</v>
      </c>
      <c r="T6" s="163" t="str">
        <f>I6</f>
        <v>Euribor3M#0004</v>
      </c>
      <c r="U6" s="163" t="e">
        <f>_xll.qlIndexFixing(T6,P6,TRUE,R6)</f>
        <v>#NUM!</v>
      </c>
      <c r="V6" s="163">
        <f>IF(S6,_xll.qlIndexFixing(T6,P6,FALSE,R6),"-")</f>
        <v>-1.8999999999999998E-4</v>
      </c>
      <c r="W6" s="163" t="e">
        <f>U6-V6</f>
        <v>#NUM!</v>
      </c>
      <c r="X6" s="163" t="e">
        <f>_xll.qlIndexFixing(T6,P6,TRUE,$V6)</f>
        <v>#NUM!</v>
      </c>
      <c r="Y6" s="163">
        <f>IF(ISERROR(W6),0,ABS(W6))</f>
        <v>0</v>
      </c>
      <c r="Z6" s="180"/>
      <c r="AD6" s="171"/>
    </row>
    <row r="7" spans="2:31" s="157" customFormat="1" ht="11.25" customHeight="1" x14ac:dyDescent="0.2">
      <c r="B7" s="45"/>
      <c r="C7" s="192" t="s">
        <v>7</v>
      </c>
      <c r="D7" s="192" t="str">
        <f t="shared" si="0"/>
        <v>EUR6M</v>
      </c>
      <c r="E7" s="193" t="str">
        <f>_xll.qlRelinkableHandleYieldTermStructure(D7,,Permanent,Trigger,ObjectOverwrite)</f>
        <v>EUR6M#0004</v>
      </c>
      <c r="F7" s="194" t="str">
        <f>_xll.ohRangeRetrieveError(E7)</f>
        <v/>
      </c>
      <c r="G7" s="193" t="s">
        <v>7</v>
      </c>
      <c r="H7" s="193" t="str">
        <f>PROPER(Currency)&amp;FamilyName&amp;$G7</f>
        <v>Euribor6M</v>
      </c>
      <c r="I7" s="193" t="str">
        <f>_xll.qlEuribor(H7,G7,E7,Permanent,Trigger,ObjectOverwrite)</f>
        <v>Euribor6M#0004</v>
      </c>
      <c r="J7" s="193" t="str">
        <f>_xll.qlLastFixingQuote(H7&amp;"LastFixing_Quote",I7,Permanent,Trigger,ObjectOverwrite)</f>
        <v>Euribor6MLastFixing_Quote#0004</v>
      </c>
      <c r="K7" s="200" t="str">
        <f>_xll.ohRangeRetrieveError(I7)</f>
        <v/>
      </c>
      <c r="L7" s="201" t="str">
        <f>_xll.ohRangeRetrieveError(J7)</f>
        <v/>
      </c>
      <c r="M7" s="1"/>
      <c r="N7" s="163" t="s">
        <v>7</v>
      </c>
      <c r="O7" s="163" t="str">
        <f>Currency&amp;"IBOR"&amp;$N7&amp;"D="</f>
        <v>EURIBOR6MD=</v>
      </c>
      <c r="P7" s="164">
        <f t="shared" si="1"/>
        <v>42199</v>
      </c>
      <c r="Q7" s="165">
        <f>K16</f>
        <v>4.9000000000000002E-2</v>
      </c>
      <c r="R7" s="163" t="b">
        <f>IF(AND(ISNUMBER(Q7),Q7&lt;&gt;0%,_xll.ohTrigger(Trigger)+1),TRUE,FALSE)</f>
        <v>1</v>
      </c>
      <c r="S7" s="163" t="b">
        <f>IF($R7,_xll.qlIndexAddFixings(T7,P7,Q7/100,TRUE,ISERROR(#REF!)),NA())</f>
        <v>1</v>
      </c>
      <c r="T7" s="163" t="str">
        <f>I7</f>
        <v>Euribor6M#0004</v>
      </c>
      <c r="U7" s="163" t="e">
        <f>_xll.qlIndexFixing(T7,P7,TRUE,R7)</f>
        <v>#NUM!</v>
      </c>
      <c r="V7" s="163">
        <f>IF(S7,_xll.qlIndexFixing(T7,P7,FALSE,R7),"-")</f>
        <v>4.8999999999999998E-4</v>
      </c>
      <c r="W7" s="163" t="e">
        <f>U7-V7</f>
        <v>#NUM!</v>
      </c>
      <c r="X7" s="163" t="e">
        <f>_xll.qlIndexFixing(T7,P7,TRUE,$V7)</f>
        <v>#NUM!</v>
      </c>
      <c r="Y7" s="163">
        <f>IF(ISERROR(W7),0,ABS(W7))</f>
        <v>0</v>
      </c>
      <c r="Z7" s="180"/>
      <c r="AD7" s="171"/>
    </row>
    <row r="8" spans="2:31" s="157" customFormat="1" ht="11.25" customHeight="1" x14ac:dyDescent="0.2">
      <c r="B8" s="45"/>
      <c r="C8" s="195" t="s">
        <v>51</v>
      </c>
      <c r="D8" s="195" t="str">
        <f t="shared" si="0"/>
        <v>EUR1Y</v>
      </c>
      <c r="E8" s="196" t="str">
        <f>_xll.qlRelinkableHandleYieldTermStructure(D8,,Permanent,Trigger,ObjectOverwrite)</f>
        <v>EUR1Y#0004</v>
      </c>
      <c r="F8" s="197" t="str">
        <f>_xll.ohRangeRetrieveError(E8)</f>
        <v/>
      </c>
      <c r="G8" s="196" t="s">
        <v>51</v>
      </c>
      <c r="H8" s="196" t="str">
        <f>PROPER(Currency)&amp;FamilyName&amp;$G8</f>
        <v>Euribor1Y</v>
      </c>
      <c r="I8" s="196" t="str">
        <f>_xll.qlEuribor(H8,G8,E8,Permanent,Trigger,ObjectOverwrite)</f>
        <v>Euribor1Y#0004</v>
      </c>
      <c r="J8" s="196" t="str">
        <f>_xll.qlLastFixingQuote(H8&amp;"LastFixing_Quote",I8,Permanent,Trigger,ObjectOverwrite)</f>
        <v>Euribor1YLastFixing_Quote#0004</v>
      </c>
      <c r="K8" s="202" t="str">
        <f>_xll.ohRangeRetrieveError(I8)</f>
        <v/>
      </c>
      <c r="L8" s="203" t="str">
        <f>_xll.ohRangeRetrieveError(J8)</f>
        <v/>
      </c>
      <c r="M8" s="1"/>
      <c r="N8" s="166" t="s">
        <v>51</v>
      </c>
      <c r="O8" s="166" t="str">
        <f>Currency&amp;"IBOR"&amp;$N8&amp;"D="</f>
        <v>EURIBOR1YD=</v>
      </c>
      <c r="P8" s="167">
        <f t="shared" si="1"/>
        <v>42199</v>
      </c>
      <c r="Q8" s="168">
        <f>L16</f>
        <v>0.16800000000000001</v>
      </c>
      <c r="R8" s="166" t="b">
        <f>IF(AND(ISNUMBER(Q8),Q8&lt;&gt;0%,_xll.ohTrigger(Trigger)+1),TRUE,FALSE)</f>
        <v>1</v>
      </c>
      <c r="S8" s="166" t="b">
        <f>IF($R8,_xll.qlIndexAddFixings(T8,P8,Q8/100,TRUE,ISERROR(#REF!)),NA())</f>
        <v>1</v>
      </c>
      <c r="T8" s="166" t="str">
        <f>I8</f>
        <v>Euribor1Y#0004</v>
      </c>
      <c r="U8" s="166" t="e">
        <f>_xll.qlIndexFixing(T8,P8,TRUE,R8)</f>
        <v>#NUM!</v>
      </c>
      <c r="V8" s="166">
        <f>IF(S8,_xll.qlIndexFixing(T8,P8,FALSE,R8),"-")</f>
        <v>1.6800000000000001E-3</v>
      </c>
      <c r="W8" s="166" t="e">
        <f>U8-V8</f>
        <v>#NUM!</v>
      </c>
      <c r="X8" s="166" t="e">
        <f>_xll.qlIndexFixing(T8,P8,TRUE,$V8)</f>
        <v>#NUM!</v>
      </c>
      <c r="Y8" s="166">
        <f>IF(ISERROR(W8),0,ABS(W8))</f>
        <v>0</v>
      </c>
      <c r="Z8" s="180"/>
      <c r="AD8" s="171"/>
    </row>
    <row r="9" spans="2:31" s="157" customFormat="1" ht="11.25" customHeight="1" x14ac:dyDescent="0.2">
      <c r="B9" s="187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3"/>
      <c r="AD9" s="171"/>
    </row>
    <row r="10" spans="2:31" s="157" customFormat="1" ht="11.25" customHeight="1" x14ac:dyDescent="0.2">
      <c r="AD10" s="171"/>
    </row>
    <row r="11" spans="2:31" s="157" customFormat="1" ht="11.25" customHeight="1" x14ac:dyDescent="0.2"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AD11" s="171"/>
    </row>
    <row r="12" spans="2:31" s="157" customFormat="1" ht="18" customHeight="1" x14ac:dyDescent="0.2">
      <c r="B12" s="174"/>
      <c r="C12" s="175"/>
      <c r="D12" s="176"/>
      <c r="E12" s="175"/>
      <c r="F12" s="175"/>
      <c r="G12" s="175"/>
      <c r="H12" s="175"/>
      <c r="I12" s="175"/>
      <c r="J12" s="175"/>
      <c r="K12" s="177"/>
      <c r="L12" s="175"/>
      <c r="M12" s="178"/>
      <c r="AB12" s="171"/>
      <c r="AC12" s="171"/>
      <c r="AD12" s="171"/>
      <c r="AE12" s="171"/>
    </row>
    <row r="13" spans="2:31" s="157" customFormat="1" ht="22.5" customHeight="1" x14ac:dyDescent="0.2">
      <c r="B13" s="179"/>
      <c r="C13" s="172" t="s">
        <v>79</v>
      </c>
      <c r="D13" s="32" t="s">
        <v>72</v>
      </c>
      <c r="E13" s="31" t="s">
        <v>73</v>
      </c>
      <c r="F13" s="169"/>
      <c r="G13" s="173" t="str">
        <f>_xll.RHistory(O4:O8,D13:E13,D14,,"CH:In;Fd TSREPEAT:N SORT:"&amp;"DESC",G14)</f>
        <v>Updated at 15:49:14</v>
      </c>
      <c r="H13" s="169"/>
      <c r="I13" s="169"/>
      <c r="J13" s="169"/>
      <c r="K13" s="169"/>
      <c r="L13" s="169"/>
      <c r="M13" s="180"/>
      <c r="AB13" s="171"/>
      <c r="AC13" s="171"/>
      <c r="AD13" s="171"/>
      <c r="AE13" s="171"/>
    </row>
    <row r="14" spans="2:31" s="157" customFormat="1" ht="11.25" customHeight="1" x14ac:dyDescent="0.2">
      <c r="B14" s="179"/>
      <c r="C14" s="172" t="s">
        <v>71</v>
      </c>
      <c r="D14" s="33" t="str">
        <f>"START:"&amp;D15&amp; " END:"&amp;D16&amp;" INTERVAL:1D"</f>
        <v>START:42199 END:42199 INTERVAL:1D</v>
      </c>
      <c r="E14" s="169"/>
      <c r="F14" s="169"/>
      <c r="G14" s="173"/>
      <c r="H14" s="172" t="s">
        <v>67</v>
      </c>
      <c r="I14" s="172" t="s">
        <v>74</v>
      </c>
      <c r="J14" s="172" t="s">
        <v>75</v>
      </c>
      <c r="K14" s="172" t="s">
        <v>76</v>
      </c>
      <c r="L14" s="172" t="s">
        <v>77</v>
      </c>
      <c r="M14" s="180"/>
      <c r="AB14" s="171"/>
      <c r="AC14" s="171"/>
      <c r="AD14" s="171"/>
      <c r="AE14" s="171"/>
    </row>
    <row r="15" spans="2:31" s="157" customFormat="1" ht="11.25" customHeight="1" x14ac:dyDescent="0.2">
      <c r="B15" s="179"/>
      <c r="C15" s="172" t="s">
        <v>68</v>
      </c>
      <c r="D15" s="170">
        <f>Evaluationdate</f>
        <v>42199</v>
      </c>
      <c r="E15" s="169"/>
      <c r="F15" s="169"/>
      <c r="G15" s="204" t="s">
        <v>196</v>
      </c>
      <c r="H15" s="158" t="s">
        <v>78</v>
      </c>
      <c r="I15" s="158" t="s">
        <v>78</v>
      </c>
      <c r="J15" s="158" t="s">
        <v>78</v>
      </c>
      <c r="K15" s="158" t="s">
        <v>78</v>
      </c>
      <c r="L15" s="158" t="s">
        <v>78</v>
      </c>
      <c r="M15" s="180"/>
      <c r="AB15" s="171"/>
      <c r="AC15" s="171"/>
      <c r="AD15" s="171"/>
      <c r="AE15" s="171"/>
    </row>
    <row r="16" spans="2:31" s="157" customFormat="1" ht="11.25" customHeight="1" x14ac:dyDescent="0.2">
      <c r="B16" s="179"/>
      <c r="C16" s="172" t="s">
        <v>70</v>
      </c>
      <c r="D16" s="170">
        <f>D15</f>
        <v>42199</v>
      </c>
      <c r="E16" s="169"/>
      <c r="F16" s="169"/>
      <c r="G16" s="170">
        <v>42199</v>
      </c>
      <c r="H16" s="158">
        <v>-0.112</v>
      </c>
      <c r="I16" s="158">
        <v>-7.0999999999999994E-2</v>
      </c>
      <c r="J16" s="158">
        <v>-1.9E-2</v>
      </c>
      <c r="K16" s="158">
        <v>4.9000000000000002E-2</v>
      </c>
      <c r="L16" s="158">
        <v>0.16800000000000001</v>
      </c>
      <c r="M16" s="180"/>
      <c r="AB16" s="171"/>
      <c r="AC16" s="171"/>
      <c r="AD16" s="171"/>
      <c r="AE16" s="171"/>
    </row>
    <row r="17" spans="2:13" ht="11.25" customHeight="1" x14ac:dyDescent="0.2">
      <c r="B17" s="181"/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3"/>
    </row>
    <row r="18" spans="2:13" ht="11.25" customHeight="1" x14ac:dyDescent="0.2"/>
    <row r="19" spans="2:13" ht="11.25" customHeight="1" x14ac:dyDescent="0.2"/>
    <row r="20" spans="2:13" ht="11.25" customHeight="1" x14ac:dyDescent="0.2"/>
    <row r="21" spans="2:13" ht="11.25" customHeight="1" x14ac:dyDescent="0.2"/>
    <row r="24" spans="2:13" ht="24" customHeight="1" x14ac:dyDescent="0.2"/>
    <row r="25" spans="2:13" ht="11.25" customHeight="1" x14ac:dyDescent="0.2"/>
    <row r="26" spans="2:13" ht="11.25" customHeight="1" x14ac:dyDescent="0.2"/>
    <row r="27" spans="2:13" ht="11.25" customHeight="1" x14ac:dyDescent="0.2"/>
    <row r="28" spans="2:13" ht="11.25" customHeight="1" x14ac:dyDescent="0.2"/>
    <row r="29" spans="2:13" ht="11.25" customHeight="1" x14ac:dyDescent="0.2"/>
    <row r="30" spans="2:13" ht="11.25" customHeight="1" x14ac:dyDescent="0.2"/>
  </sheetData>
  <conditionalFormatting sqref="W4:W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showGridLines="0" workbookViewId="0">
      <selection activeCell="AE1" sqref="AE1:AM66"/>
    </sheetView>
  </sheetViews>
  <sheetFormatPr defaultRowHeight="11.25" x14ac:dyDescent="0.2"/>
  <cols>
    <col min="1" max="1" width="4" style="72" bestFit="1" customWidth="1"/>
    <col min="2" max="2" width="10" style="218" bestFit="1" customWidth="1"/>
    <col min="3" max="3" width="15.140625" style="72" bestFit="1" customWidth="1"/>
    <col min="4" max="4" width="10" style="218" bestFit="1" customWidth="1"/>
    <col min="5" max="5" width="10" style="72" bestFit="1" customWidth="1"/>
    <col min="6" max="7" width="2" style="72" bestFit="1" customWidth="1"/>
    <col min="8" max="8" width="12" style="72" bestFit="1" customWidth="1"/>
    <col min="9" max="9" width="2" style="72" bestFit="1" customWidth="1"/>
    <col min="10" max="10" width="2.7109375" style="72" customWidth="1"/>
    <col min="11" max="11" width="4" style="72" bestFit="1" customWidth="1"/>
    <col min="12" max="12" width="10" style="218" bestFit="1" customWidth="1"/>
    <col min="13" max="13" width="16.140625" style="72" bestFit="1" customWidth="1"/>
    <col min="14" max="14" width="10" style="218" bestFit="1" customWidth="1"/>
    <col min="15" max="15" width="10" style="72" bestFit="1" customWidth="1"/>
    <col min="16" max="17" width="2" style="72" bestFit="1" customWidth="1"/>
    <col min="18" max="18" width="12" style="72" bestFit="1" customWidth="1"/>
    <col min="19" max="19" width="2" style="72" bestFit="1" customWidth="1"/>
    <col min="20" max="20" width="2.7109375" style="72" customWidth="1"/>
    <col min="21" max="21" width="4" style="72" bestFit="1" customWidth="1"/>
    <col min="22" max="22" width="10" style="218" bestFit="1" customWidth="1"/>
    <col min="23" max="23" width="16.140625" style="72" bestFit="1" customWidth="1"/>
    <col min="24" max="24" width="10" style="218" bestFit="1" customWidth="1"/>
    <col min="25" max="25" width="10" style="72" bestFit="1" customWidth="1"/>
    <col min="26" max="27" width="2" style="72" bestFit="1" customWidth="1"/>
    <col min="28" max="28" width="12" style="72" bestFit="1" customWidth="1"/>
    <col min="29" max="29" width="2" style="72" bestFit="1" customWidth="1"/>
    <col min="30" max="30" width="2.7109375" style="72" customWidth="1"/>
    <col min="31" max="31" width="4" style="72" bestFit="1" customWidth="1"/>
    <col min="32" max="32" width="10" style="218" bestFit="1" customWidth="1"/>
    <col min="33" max="33" width="16.140625" style="72" bestFit="1" customWidth="1"/>
    <col min="34" max="34" width="10" style="218" bestFit="1" customWidth="1"/>
    <col min="35" max="35" width="5" style="72" bestFit="1" customWidth="1"/>
    <col min="36" max="37" width="2" style="72" bestFit="1" customWidth="1"/>
    <col min="38" max="38" width="13.140625" style="72" bestFit="1" customWidth="1"/>
    <col min="39" max="39" width="2" style="72" bestFit="1" customWidth="1"/>
    <col min="40" max="40" width="2.7109375" style="72" customWidth="1"/>
    <col min="41" max="41" width="4" style="72" bestFit="1" customWidth="1"/>
    <col min="42" max="42" width="10" style="218" bestFit="1" customWidth="1"/>
    <col min="43" max="43" width="16.140625" style="72" bestFit="1" customWidth="1"/>
    <col min="44" max="44" width="10" style="218" bestFit="1" customWidth="1"/>
    <col min="45" max="45" width="10" style="72" bestFit="1" customWidth="1"/>
    <col min="46" max="47" width="2" style="72" bestFit="1" customWidth="1"/>
    <col min="48" max="48" width="12" style="72" bestFit="1" customWidth="1"/>
    <col min="49" max="49" width="2" style="72" bestFit="1" customWidth="1"/>
    <col min="50" max="50" width="2.7109375" style="72" customWidth="1"/>
    <col min="51" max="51" width="4" style="72" bestFit="1" customWidth="1"/>
    <col min="52" max="52" width="10" style="218" bestFit="1" customWidth="1"/>
    <col min="53" max="53" width="7" style="72" bestFit="1" customWidth="1"/>
    <col min="54" max="54" width="10" style="218" bestFit="1" customWidth="1"/>
    <col min="55" max="55" width="4" style="72" bestFit="1" customWidth="1"/>
    <col min="56" max="57" width="2" style="72" bestFit="1" customWidth="1"/>
    <col min="58" max="58" width="11" style="72" bestFit="1" customWidth="1"/>
    <col min="59" max="59" width="2" style="72" bestFit="1" customWidth="1"/>
    <col min="60" max="16384" width="9.140625" style="72"/>
  </cols>
  <sheetData>
    <row r="1" spans="1:59" ht="12" thickBot="1" x14ac:dyDescent="0.25">
      <c r="A1" s="208" t="s">
        <v>34</v>
      </c>
      <c r="B1" s="215" t="s">
        <v>84</v>
      </c>
      <c r="C1" s="209"/>
      <c r="D1" s="219"/>
      <c r="E1" s="210"/>
      <c r="F1" s="210"/>
      <c r="G1" s="210"/>
      <c r="H1" s="210"/>
      <c r="I1" s="211"/>
      <c r="K1" s="208" t="s">
        <v>34</v>
      </c>
      <c r="L1" s="215" t="s">
        <v>132</v>
      </c>
      <c r="M1" s="209"/>
      <c r="N1" s="219"/>
      <c r="O1" s="210"/>
      <c r="P1" s="210"/>
      <c r="Q1" s="210"/>
      <c r="R1" s="210"/>
      <c r="S1" s="211"/>
      <c r="U1" s="208" t="s">
        <v>34</v>
      </c>
      <c r="V1" s="215" t="s">
        <v>137</v>
      </c>
      <c r="W1" s="209"/>
      <c r="X1" s="219"/>
      <c r="Y1" s="210"/>
      <c r="Z1" s="210"/>
      <c r="AA1" s="210"/>
      <c r="AB1" s="210"/>
      <c r="AC1" s="211"/>
      <c r="AE1" s="208" t="s">
        <v>34</v>
      </c>
      <c r="AF1" s="215" t="s">
        <v>164</v>
      </c>
      <c r="AG1" s="209"/>
      <c r="AH1" s="219"/>
      <c r="AI1" s="210"/>
      <c r="AJ1" s="210"/>
      <c r="AK1" s="210"/>
      <c r="AL1" s="210"/>
      <c r="AM1" s="211"/>
      <c r="AO1" s="208" t="s">
        <v>34</v>
      </c>
      <c r="AP1" s="215" t="s">
        <v>141</v>
      </c>
      <c r="AQ1" s="209"/>
      <c r="AR1" s="219"/>
      <c r="AS1" s="210"/>
      <c r="AT1" s="210"/>
      <c r="AU1" s="210"/>
      <c r="AV1" s="210"/>
      <c r="AW1" s="211"/>
      <c r="AY1" s="208" t="s">
        <v>34</v>
      </c>
      <c r="AZ1" s="215" t="s">
        <v>146</v>
      </c>
      <c r="BA1" s="209"/>
      <c r="BB1" s="219"/>
      <c r="BC1" s="210"/>
      <c r="BD1" s="210"/>
      <c r="BE1" s="210"/>
      <c r="BF1" s="210"/>
      <c r="BG1" s="211"/>
    </row>
    <row r="2" spans="1:59" x14ac:dyDescent="0.2">
      <c r="A2" s="206" t="s">
        <v>46</v>
      </c>
      <c r="B2" s="216">
        <v>42199</v>
      </c>
      <c r="C2" s="14" t="s">
        <v>85</v>
      </c>
      <c r="D2" s="216">
        <v>42200</v>
      </c>
      <c r="E2" s="14" t="s">
        <v>86</v>
      </c>
      <c r="F2" s="14">
        <v>0</v>
      </c>
      <c r="G2" s="14">
        <v>0</v>
      </c>
      <c r="H2" s="207">
        <v>-0.1099999</v>
      </c>
      <c r="I2" s="26">
        <v>0</v>
      </c>
      <c r="K2" s="206" t="s">
        <v>46</v>
      </c>
      <c r="L2" s="216">
        <v>42199</v>
      </c>
      <c r="M2" s="14" t="s">
        <v>133</v>
      </c>
      <c r="N2" s="216">
        <v>42200</v>
      </c>
      <c r="O2" s="14" t="s">
        <v>86</v>
      </c>
      <c r="P2" s="14">
        <v>0</v>
      </c>
      <c r="Q2" s="14">
        <v>0</v>
      </c>
      <c r="R2" s="207">
        <v>-0.1099999</v>
      </c>
      <c r="S2" s="26">
        <v>0</v>
      </c>
      <c r="U2" s="206" t="s">
        <v>46</v>
      </c>
      <c r="V2" s="216">
        <v>42199</v>
      </c>
      <c r="W2" s="14" t="s">
        <v>85</v>
      </c>
      <c r="X2" s="216">
        <v>42200</v>
      </c>
      <c r="Y2" s="14" t="s">
        <v>86</v>
      </c>
      <c r="Z2" s="14">
        <v>0</v>
      </c>
      <c r="AA2" s="14">
        <v>0</v>
      </c>
      <c r="AB2" s="207">
        <v>-0.1099999</v>
      </c>
      <c r="AC2" s="26">
        <v>0</v>
      </c>
      <c r="AE2" s="206" t="s">
        <v>46</v>
      </c>
      <c r="AF2" s="216">
        <v>42199</v>
      </c>
      <c r="AG2" s="14" t="s">
        <v>165</v>
      </c>
      <c r="AH2" s="216">
        <v>42200</v>
      </c>
      <c r="AI2" s="14" t="s">
        <v>86</v>
      </c>
      <c r="AJ2" s="14">
        <v>0</v>
      </c>
      <c r="AK2" s="14">
        <v>0</v>
      </c>
      <c r="AL2" s="207">
        <v>-6.9980163999999997E-2</v>
      </c>
      <c r="AM2" s="26">
        <v>0</v>
      </c>
      <c r="AO2" s="206" t="s">
        <v>46</v>
      </c>
      <c r="AP2" s="216">
        <v>42199</v>
      </c>
      <c r="AQ2" s="14" t="s">
        <v>85</v>
      </c>
      <c r="AR2" s="216">
        <v>42200</v>
      </c>
      <c r="AS2" s="14" t="s">
        <v>86</v>
      </c>
      <c r="AT2" s="14">
        <v>0</v>
      </c>
      <c r="AU2" s="14">
        <v>0</v>
      </c>
      <c r="AV2" s="207">
        <v>-0.1099999</v>
      </c>
      <c r="AW2" s="26">
        <v>0</v>
      </c>
      <c r="AY2" s="206" t="s">
        <v>46</v>
      </c>
      <c r="AZ2" s="216">
        <v>42199</v>
      </c>
      <c r="BA2" s="14" t="s">
        <v>133</v>
      </c>
      <c r="BB2" s="216">
        <v>42200</v>
      </c>
      <c r="BC2" s="14" t="s">
        <v>86</v>
      </c>
      <c r="BD2" s="14">
        <v>0</v>
      </c>
      <c r="BE2" s="14">
        <v>0</v>
      </c>
      <c r="BF2" s="207">
        <v>-0.1099999</v>
      </c>
      <c r="BG2" s="26">
        <v>0</v>
      </c>
    </row>
    <row r="3" spans="1:59" x14ac:dyDescent="0.2">
      <c r="A3" s="206" t="s">
        <v>46</v>
      </c>
      <c r="B3" s="216">
        <v>42200</v>
      </c>
      <c r="C3" s="14" t="s">
        <v>85</v>
      </c>
      <c r="D3" s="216">
        <v>42201</v>
      </c>
      <c r="E3" s="14" t="s">
        <v>87</v>
      </c>
      <c r="F3" s="14">
        <v>0</v>
      </c>
      <c r="G3" s="14">
        <v>0</v>
      </c>
      <c r="H3" s="207">
        <v>-0.11</v>
      </c>
      <c r="I3" s="26">
        <v>0</v>
      </c>
      <c r="K3" s="206" t="s">
        <v>46</v>
      </c>
      <c r="L3" s="216">
        <v>42200</v>
      </c>
      <c r="M3" s="14" t="s">
        <v>133</v>
      </c>
      <c r="N3" s="216">
        <v>42201</v>
      </c>
      <c r="O3" s="14" t="s">
        <v>87</v>
      </c>
      <c r="P3" s="14">
        <v>0</v>
      </c>
      <c r="Q3" s="14">
        <v>0</v>
      </c>
      <c r="R3" s="207">
        <v>-0.11</v>
      </c>
      <c r="S3" s="26">
        <v>0</v>
      </c>
      <c r="U3" s="206" t="s">
        <v>46</v>
      </c>
      <c r="V3" s="216">
        <v>42200</v>
      </c>
      <c r="W3" s="14" t="s">
        <v>85</v>
      </c>
      <c r="X3" s="216">
        <v>42201</v>
      </c>
      <c r="Y3" s="14" t="s">
        <v>87</v>
      </c>
      <c r="Z3" s="14">
        <v>0</v>
      </c>
      <c r="AA3" s="14">
        <v>0</v>
      </c>
      <c r="AB3" s="207">
        <v>-0.11</v>
      </c>
      <c r="AC3" s="26">
        <v>0</v>
      </c>
      <c r="AE3" s="206" t="s">
        <v>46</v>
      </c>
      <c r="AF3" s="216">
        <v>42200</v>
      </c>
      <c r="AG3" s="14" t="s">
        <v>165</v>
      </c>
      <c r="AH3" s="216">
        <v>42201</v>
      </c>
      <c r="AI3" s="14" t="s">
        <v>87</v>
      </c>
      <c r="AJ3" s="14">
        <v>0</v>
      </c>
      <c r="AK3" s="14">
        <v>0</v>
      </c>
      <c r="AL3" s="207">
        <v>-7.0332380999999999E-2</v>
      </c>
      <c r="AM3" s="26">
        <v>0</v>
      </c>
      <c r="AO3" s="206" t="s">
        <v>46</v>
      </c>
      <c r="AP3" s="216">
        <v>42200</v>
      </c>
      <c r="AQ3" s="14" t="s">
        <v>85</v>
      </c>
      <c r="AR3" s="216">
        <v>42201</v>
      </c>
      <c r="AS3" s="14" t="s">
        <v>87</v>
      </c>
      <c r="AT3" s="14">
        <v>0</v>
      </c>
      <c r="AU3" s="14">
        <v>0</v>
      </c>
      <c r="AV3" s="207">
        <v>-0.11</v>
      </c>
      <c r="AW3" s="26">
        <v>0</v>
      </c>
      <c r="AY3" s="206" t="s">
        <v>46</v>
      </c>
      <c r="AZ3" s="216">
        <v>42200</v>
      </c>
      <c r="BA3" s="14" t="s">
        <v>133</v>
      </c>
      <c r="BB3" s="216">
        <v>42201</v>
      </c>
      <c r="BC3" s="14" t="s">
        <v>87</v>
      </c>
      <c r="BD3" s="14">
        <v>0</v>
      </c>
      <c r="BE3" s="14">
        <v>0</v>
      </c>
      <c r="BF3" s="207">
        <v>-0.11</v>
      </c>
      <c r="BG3" s="26">
        <v>0</v>
      </c>
    </row>
    <row r="4" spans="1:59" x14ac:dyDescent="0.2">
      <c r="A4" s="206" t="s">
        <v>46</v>
      </c>
      <c r="B4" s="216">
        <v>42201</v>
      </c>
      <c r="C4" s="14" t="s">
        <v>88</v>
      </c>
      <c r="D4" s="216">
        <v>42202</v>
      </c>
      <c r="E4" s="14" t="s">
        <v>89</v>
      </c>
      <c r="F4" s="14">
        <v>0</v>
      </c>
      <c r="G4" s="14">
        <v>0</v>
      </c>
      <c r="H4" s="207">
        <v>-0.11</v>
      </c>
      <c r="I4" s="26">
        <v>0</v>
      </c>
      <c r="K4" s="206" t="s">
        <v>46</v>
      </c>
      <c r="L4" s="216">
        <v>42201</v>
      </c>
      <c r="M4" s="14" t="s">
        <v>133</v>
      </c>
      <c r="N4" s="216">
        <v>42202</v>
      </c>
      <c r="O4" s="14" t="s">
        <v>89</v>
      </c>
      <c r="P4" s="14">
        <v>0</v>
      </c>
      <c r="Q4" s="14">
        <v>0</v>
      </c>
      <c r="R4" s="207">
        <v>-0.11</v>
      </c>
      <c r="S4" s="26">
        <v>0</v>
      </c>
      <c r="U4" s="206" t="s">
        <v>46</v>
      </c>
      <c r="V4" s="216">
        <v>42201</v>
      </c>
      <c r="W4" s="14" t="s">
        <v>138</v>
      </c>
      <c r="X4" s="216">
        <v>42202</v>
      </c>
      <c r="Y4" s="14" t="s">
        <v>89</v>
      </c>
      <c r="Z4" s="14">
        <v>0</v>
      </c>
      <c r="AA4" s="14">
        <v>0</v>
      </c>
      <c r="AB4" s="207">
        <v>0.36709999999999998</v>
      </c>
      <c r="AC4" s="26">
        <v>0</v>
      </c>
      <c r="AE4" s="206" t="s">
        <v>46</v>
      </c>
      <c r="AF4" s="216">
        <v>42201</v>
      </c>
      <c r="AG4" s="14" t="s">
        <v>165</v>
      </c>
      <c r="AH4" s="216">
        <v>42202</v>
      </c>
      <c r="AI4" s="14" t="s">
        <v>89</v>
      </c>
      <c r="AJ4" s="14">
        <v>0</v>
      </c>
      <c r="AK4" s="14">
        <v>0</v>
      </c>
      <c r="AL4" s="207">
        <v>-7.0677379999999998E-2</v>
      </c>
      <c r="AM4" s="26">
        <v>0</v>
      </c>
      <c r="AO4" s="206" t="s">
        <v>46</v>
      </c>
      <c r="AP4" s="216">
        <v>42201</v>
      </c>
      <c r="AQ4" s="14" t="s">
        <v>142</v>
      </c>
      <c r="AR4" s="216">
        <v>42202</v>
      </c>
      <c r="AS4" s="14" t="s">
        <v>89</v>
      </c>
      <c r="AT4" s="14">
        <v>0</v>
      </c>
      <c r="AU4" s="14">
        <v>0</v>
      </c>
      <c r="AV4" s="207">
        <v>0.18729999999999999</v>
      </c>
      <c r="AW4" s="26">
        <v>0</v>
      </c>
      <c r="AY4" s="206" t="s">
        <v>46</v>
      </c>
      <c r="AZ4" s="216">
        <v>42201</v>
      </c>
      <c r="BA4" s="14" t="s">
        <v>133</v>
      </c>
      <c r="BB4" s="216">
        <v>42202</v>
      </c>
      <c r="BC4" s="14" t="s">
        <v>89</v>
      </c>
      <c r="BD4" s="14">
        <v>0</v>
      </c>
      <c r="BE4" s="14">
        <v>0</v>
      </c>
      <c r="BF4" s="207">
        <v>-0.11</v>
      </c>
      <c r="BG4" s="26">
        <v>0</v>
      </c>
    </row>
    <row r="5" spans="1:59" x14ac:dyDescent="0.2">
      <c r="A5" s="206" t="s">
        <v>46</v>
      </c>
      <c r="B5" s="216">
        <v>42201</v>
      </c>
      <c r="C5" s="14" t="s">
        <v>88</v>
      </c>
      <c r="D5" s="216">
        <v>42208</v>
      </c>
      <c r="E5" s="14" t="s">
        <v>90</v>
      </c>
      <c r="F5" s="14">
        <v>0</v>
      </c>
      <c r="G5" s="14">
        <v>0</v>
      </c>
      <c r="H5" s="207">
        <v>-4.99E-2</v>
      </c>
      <c r="I5" s="26">
        <v>0</v>
      </c>
      <c r="K5" s="206" t="s">
        <v>46</v>
      </c>
      <c r="L5" s="216">
        <v>42201</v>
      </c>
      <c r="M5" s="14" t="s">
        <v>133</v>
      </c>
      <c r="N5" s="216">
        <v>42208</v>
      </c>
      <c r="O5" s="14" t="s">
        <v>90</v>
      </c>
      <c r="P5" s="14">
        <v>0</v>
      </c>
      <c r="Q5" s="14">
        <v>0</v>
      </c>
      <c r="R5" s="207">
        <v>-0.1</v>
      </c>
      <c r="S5" s="26">
        <v>0</v>
      </c>
      <c r="U5" s="206" t="s">
        <v>46</v>
      </c>
      <c r="V5" s="216">
        <v>42201</v>
      </c>
      <c r="W5" s="14" t="s">
        <v>138</v>
      </c>
      <c r="X5" s="216">
        <v>42208</v>
      </c>
      <c r="Y5" s="14" t="s">
        <v>90</v>
      </c>
      <c r="Z5" s="14">
        <v>0</v>
      </c>
      <c r="AA5" s="14">
        <v>0</v>
      </c>
      <c r="AB5" s="207">
        <v>2.9899999999999999E-2</v>
      </c>
      <c r="AC5" s="26">
        <v>0</v>
      </c>
      <c r="AE5" s="206" t="s">
        <v>46</v>
      </c>
      <c r="AF5" s="216">
        <v>42201</v>
      </c>
      <c r="AG5" s="14" t="s">
        <v>165</v>
      </c>
      <c r="AH5" s="216">
        <v>42208</v>
      </c>
      <c r="AI5" s="14" t="s">
        <v>90</v>
      </c>
      <c r="AJ5" s="14">
        <v>0</v>
      </c>
      <c r="AK5" s="14">
        <v>0</v>
      </c>
      <c r="AL5" s="207">
        <v>-7.2999999999999995E-2</v>
      </c>
      <c r="AM5" s="26">
        <v>0</v>
      </c>
      <c r="AO5" s="206" t="s">
        <v>46</v>
      </c>
      <c r="AP5" s="216">
        <v>42201</v>
      </c>
      <c r="AQ5" s="14" t="s">
        <v>142</v>
      </c>
      <c r="AR5" s="216">
        <v>42208</v>
      </c>
      <c r="AS5" s="14" t="s">
        <v>90</v>
      </c>
      <c r="AT5" s="14">
        <v>0</v>
      </c>
      <c r="AU5" s="14">
        <v>0</v>
      </c>
      <c r="AV5" s="207">
        <v>0.1762</v>
      </c>
      <c r="AW5" s="26">
        <v>0</v>
      </c>
      <c r="AY5" s="206" t="s">
        <v>46</v>
      </c>
      <c r="AZ5" s="216">
        <v>42201</v>
      </c>
      <c r="BA5" s="14" t="s">
        <v>147</v>
      </c>
      <c r="BB5" s="216">
        <v>42208</v>
      </c>
      <c r="BC5" s="14" t="s">
        <v>90</v>
      </c>
      <c r="BD5" s="14">
        <v>0</v>
      </c>
      <c r="BE5" s="14">
        <v>0</v>
      </c>
      <c r="BF5" s="207">
        <v>-0.121</v>
      </c>
      <c r="BG5" s="26">
        <v>0</v>
      </c>
    </row>
    <row r="6" spans="1:59" x14ac:dyDescent="0.2">
      <c r="A6" s="206" t="s">
        <v>46</v>
      </c>
      <c r="B6" s="216">
        <v>42201</v>
      </c>
      <c r="C6" s="14" t="s">
        <v>88</v>
      </c>
      <c r="D6" s="216">
        <v>42215</v>
      </c>
      <c r="E6" s="14" t="s">
        <v>91</v>
      </c>
      <c r="F6" s="14">
        <v>0</v>
      </c>
      <c r="G6" s="14">
        <v>0</v>
      </c>
      <c r="H6" s="207">
        <v>-4.5900000000000003E-2</v>
      </c>
      <c r="I6" s="26">
        <v>0</v>
      </c>
      <c r="K6" s="206" t="s">
        <v>46</v>
      </c>
      <c r="L6" s="216">
        <v>42201</v>
      </c>
      <c r="M6" s="14" t="s">
        <v>133</v>
      </c>
      <c r="N6" s="216">
        <v>42215</v>
      </c>
      <c r="O6" s="14" t="s">
        <v>91</v>
      </c>
      <c r="P6" s="14">
        <v>0</v>
      </c>
      <c r="Q6" s="14">
        <v>0</v>
      </c>
      <c r="R6" s="207">
        <v>-0.09</v>
      </c>
      <c r="S6" s="26">
        <v>0</v>
      </c>
      <c r="U6" s="206" t="s">
        <v>46</v>
      </c>
      <c r="V6" s="216">
        <v>42201</v>
      </c>
      <c r="W6" s="14" t="s">
        <v>138</v>
      </c>
      <c r="X6" s="216">
        <v>42215</v>
      </c>
      <c r="Y6" s="14" t="s">
        <v>91</v>
      </c>
      <c r="Z6" s="14">
        <v>0</v>
      </c>
      <c r="AA6" s="14">
        <v>0</v>
      </c>
      <c r="AB6" s="207">
        <v>3.3099999999999997E-2</v>
      </c>
      <c r="AC6" s="26">
        <v>0</v>
      </c>
      <c r="AE6" s="206" t="s">
        <v>46</v>
      </c>
      <c r="AF6" s="216">
        <v>42201</v>
      </c>
      <c r="AG6" s="14" t="s">
        <v>165</v>
      </c>
      <c r="AH6" s="216">
        <v>42215</v>
      </c>
      <c r="AI6" s="14" t="s">
        <v>91</v>
      </c>
      <c r="AJ6" s="14">
        <v>0</v>
      </c>
      <c r="AK6" s="14">
        <v>0</v>
      </c>
      <c r="AL6" s="207">
        <v>-7.4700000000000003E-2</v>
      </c>
      <c r="AM6" s="26">
        <v>0</v>
      </c>
      <c r="AO6" s="206" t="s">
        <v>46</v>
      </c>
      <c r="AP6" s="216">
        <v>42201</v>
      </c>
      <c r="AQ6" s="14" t="s">
        <v>142</v>
      </c>
      <c r="AR6" s="216">
        <v>42215</v>
      </c>
      <c r="AS6" s="14" t="s">
        <v>91</v>
      </c>
      <c r="AT6" s="14">
        <v>0</v>
      </c>
      <c r="AU6" s="14">
        <v>0</v>
      </c>
      <c r="AV6" s="207">
        <v>0.17419999999999999</v>
      </c>
      <c r="AW6" s="26">
        <v>0</v>
      </c>
      <c r="AY6" s="206" t="s">
        <v>46</v>
      </c>
      <c r="AZ6" s="216">
        <v>42201</v>
      </c>
      <c r="BA6" s="14" t="s">
        <v>147</v>
      </c>
      <c r="BB6" s="216">
        <v>42215</v>
      </c>
      <c r="BC6" s="14" t="s">
        <v>91</v>
      </c>
      <c r="BD6" s="14">
        <v>0</v>
      </c>
      <c r="BE6" s="14">
        <v>0</v>
      </c>
      <c r="BF6" s="207">
        <v>-0.123</v>
      </c>
      <c r="BG6" s="26">
        <v>0</v>
      </c>
    </row>
    <row r="7" spans="1:59" x14ac:dyDescent="0.2">
      <c r="A7" s="206" t="s">
        <v>46</v>
      </c>
      <c r="B7" s="216">
        <v>42201</v>
      </c>
      <c r="C7" s="14" t="s">
        <v>88</v>
      </c>
      <c r="D7" s="216">
        <v>42222</v>
      </c>
      <c r="E7" s="14" t="s">
        <v>92</v>
      </c>
      <c r="F7" s="14">
        <v>0</v>
      </c>
      <c r="G7" s="14">
        <v>0</v>
      </c>
      <c r="H7" s="207">
        <v>-3.6299999999999999E-2</v>
      </c>
      <c r="I7" s="26">
        <v>0</v>
      </c>
      <c r="K7" s="206" t="s">
        <v>46</v>
      </c>
      <c r="L7" s="216">
        <v>42201</v>
      </c>
      <c r="M7" s="14" t="s">
        <v>133</v>
      </c>
      <c r="N7" s="216">
        <v>42222</v>
      </c>
      <c r="O7" s="14" t="s">
        <v>92</v>
      </c>
      <c r="P7" s="14">
        <v>0</v>
      </c>
      <c r="Q7" s="14">
        <v>0</v>
      </c>
      <c r="R7" s="207">
        <v>-0.08</v>
      </c>
      <c r="S7" s="26">
        <v>0</v>
      </c>
      <c r="U7" s="206" t="s">
        <v>46</v>
      </c>
      <c r="V7" s="216">
        <v>42201</v>
      </c>
      <c r="W7" s="14" t="s">
        <v>138</v>
      </c>
      <c r="X7" s="216">
        <v>42222</v>
      </c>
      <c r="Y7" s="14" t="s">
        <v>92</v>
      </c>
      <c r="Z7" s="14">
        <v>0</v>
      </c>
      <c r="AA7" s="14">
        <v>0</v>
      </c>
      <c r="AB7" s="207">
        <v>3.73E-2</v>
      </c>
      <c r="AC7" s="26">
        <v>0</v>
      </c>
      <c r="AE7" s="206" t="s">
        <v>46</v>
      </c>
      <c r="AF7" s="216">
        <v>42201</v>
      </c>
      <c r="AG7" s="14" t="s">
        <v>165</v>
      </c>
      <c r="AH7" s="216">
        <v>42222</v>
      </c>
      <c r="AI7" s="14" t="s">
        <v>92</v>
      </c>
      <c r="AJ7" s="14">
        <v>0</v>
      </c>
      <c r="AK7" s="14">
        <v>0</v>
      </c>
      <c r="AL7" s="207">
        <v>-6.9400000000000003E-2</v>
      </c>
      <c r="AM7" s="26">
        <v>0</v>
      </c>
      <c r="AO7" s="206" t="s">
        <v>46</v>
      </c>
      <c r="AP7" s="216">
        <v>42201</v>
      </c>
      <c r="AQ7" s="14" t="s">
        <v>142</v>
      </c>
      <c r="AR7" s="216">
        <v>42222</v>
      </c>
      <c r="AS7" s="14" t="s">
        <v>92</v>
      </c>
      <c r="AT7" s="14">
        <v>0</v>
      </c>
      <c r="AU7" s="14">
        <v>0</v>
      </c>
      <c r="AV7" s="207">
        <v>0.1792</v>
      </c>
      <c r="AW7" s="26">
        <v>0</v>
      </c>
      <c r="AY7" s="206" t="s">
        <v>46</v>
      </c>
      <c r="AZ7" s="216">
        <v>42201</v>
      </c>
      <c r="BA7" s="14" t="s">
        <v>147</v>
      </c>
      <c r="BB7" s="216">
        <v>42222</v>
      </c>
      <c r="BC7" s="14" t="s">
        <v>92</v>
      </c>
      <c r="BD7" s="14">
        <v>0</v>
      </c>
      <c r="BE7" s="14">
        <v>0</v>
      </c>
      <c r="BF7" s="207">
        <v>-0.11799999999999999</v>
      </c>
      <c r="BG7" s="26">
        <v>0</v>
      </c>
    </row>
    <row r="8" spans="1:59" x14ac:dyDescent="0.2">
      <c r="A8" s="206" t="s">
        <v>46</v>
      </c>
      <c r="B8" s="216">
        <v>42201</v>
      </c>
      <c r="C8" s="14" t="s">
        <v>88</v>
      </c>
      <c r="D8" s="216">
        <v>42233</v>
      </c>
      <c r="E8" s="14" t="s">
        <v>6</v>
      </c>
      <c r="F8" s="14">
        <v>0</v>
      </c>
      <c r="G8" s="14">
        <v>0</v>
      </c>
      <c r="H8" s="207">
        <v>-3.1099999999999999E-2</v>
      </c>
      <c r="I8" s="26">
        <v>0</v>
      </c>
      <c r="K8" s="206" t="s">
        <v>46</v>
      </c>
      <c r="L8" s="216">
        <v>42201</v>
      </c>
      <c r="M8" s="14" t="s">
        <v>133</v>
      </c>
      <c r="N8" s="216">
        <v>42233</v>
      </c>
      <c r="O8" s="14" t="s">
        <v>6</v>
      </c>
      <c r="P8" s="14">
        <v>0</v>
      </c>
      <c r="Q8" s="14">
        <v>0</v>
      </c>
      <c r="R8" s="207">
        <v>-0.06</v>
      </c>
      <c r="S8" s="26">
        <v>0</v>
      </c>
      <c r="U8" s="206" t="s">
        <v>46</v>
      </c>
      <c r="V8" s="216">
        <v>42201</v>
      </c>
      <c r="W8" s="14" t="s">
        <v>138</v>
      </c>
      <c r="X8" s="216">
        <v>42233</v>
      </c>
      <c r="Y8" s="14" t="s">
        <v>6</v>
      </c>
      <c r="Z8" s="14">
        <v>0</v>
      </c>
      <c r="AA8" s="14">
        <v>0</v>
      </c>
      <c r="AB8" s="207">
        <v>3.4099999999999998E-2</v>
      </c>
      <c r="AC8" s="26">
        <v>0</v>
      </c>
      <c r="AE8" s="206" t="s">
        <v>46</v>
      </c>
      <c r="AF8" s="216">
        <v>42201</v>
      </c>
      <c r="AG8" s="14" t="s">
        <v>165</v>
      </c>
      <c r="AH8" s="216">
        <v>42233</v>
      </c>
      <c r="AI8" s="14" t="s">
        <v>6</v>
      </c>
      <c r="AJ8" s="14">
        <v>0</v>
      </c>
      <c r="AK8" s="14">
        <v>0</v>
      </c>
      <c r="AL8" s="207">
        <v>-7.0999999999999994E-2</v>
      </c>
      <c r="AM8" s="26">
        <v>0</v>
      </c>
      <c r="AO8" s="206" t="s">
        <v>46</v>
      </c>
      <c r="AP8" s="216">
        <v>42201</v>
      </c>
      <c r="AQ8" s="14" t="s">
        <v>142</v>
      </c>
      <c r="AR8" s="216">
        <v>42233</v>
      </c>
      <c r="AS8" s="14" t="s">
        <v>6</v>
      </c>
      <c r="AT8" s="14">
        <v>0</v>
      </c>
      <c r="AU8" s="14">
        <v>0</v>
      </c>
      <c r="AV8" s="207">
        <v>0.1772</v>
      </c>
      <c r="AW8" s="26">
        <v>0</v>
      </c>
      <c r="AY8" s="206" t="s">
        <v>46</v>
      </c>
      <c r="AZ8" s="216">
        <v>42201</v>
      </c>
      <c r="BA8" s="14" t="s">
        <v>147</v>
      </c>
      <c r="BB8" s="216">
        <v>42233</v>
      </c>
      <c r="BC8" s="14" t="s">
        <v>6</v>
      </c>
      <c r="BD8" s="14">
        <v>0</v>
      </c>
      <c r="BE8" s="14">
        <v>0</v>
      </c>
      <c r="BF8" s="207">
        <v>-0.12</v>
      </c>
      <c r="BG8" s="26">
        <v>0</v>
      </c>
    </row>
    <row r="9" spans="1:59" x14ac:dyDescent="0.2">
      <c r="A9" s="206" t="s">
        <v>46</v>
      </c>
      <c r="B9" s="216">
        <v>42201</v>
      </c>
      <c r="C9" s="14" t="s">
        <v>88</v>
      </c>
      <c r="D9" s="216">
        <v>42263</v>
      </c>
      <c r="E9" s="14" t="s">
        <v>93</v>
      </c>
      <c r="F9" s="14">
        <v>0</v>
      </c>
      <c r="G9" s="14">
        <v>0</v>
      </c>
      <c r="H9" s="207">
        <v>-3.1800000000000002E-2</v>
      </c>
      <c r="I9" s="26">
        <v>0</v>
      </c>
      <c r="K9" s="206" t="s">
        <v>46</v>
      </c>
      <c r="L9" s="216">
        <v>42201</v>
      </c>
      <c r="M9" s="14" t="s">
        <v>133</v>
      </c>
      <c r="N9" s="216">
        <v>42263</v>
      </c>
      <c r="O9" s="14" t="s">
        <v>93</v>
      </c>
      <c r="P9" s="14">
        <v>0</v>
      </c>
      <c r="Q9" s="14">
        <v>0</v>
      </c>
      <c r="R9" s="207">
        <v>-0.03</v>
      </c>
      <c r="S9" s="26">
        <v>0</v>
      </c>
      <c r="T9" s="212"/>
      <c r="U9" s="206" t="s">
        <v>46</v>
      </c>
      <c r="V9" s="216">
        <v>42201</v>
      </c>
      <c r="W9" s="14" t="s">
        <v>138</v>
      </c>
      <c r="X9" s="216">
        <v>42263</v>
      </c>
      <c r="Y9" s="14" t="s">
        <v>93</v>
      </c>
      <c r="Z9" s="14">
        <v>0</v>
      </c>
      <c r="AA9" s="14">
        <v>0</v>
      </c>
      <c r="AB9" s="207">
        <v>2.29E-2</v>
      </c>
      <c r="AC9" s="26">
        <v>0</v>
      </c>
      <c r="AE9" s="206" t="s">
        <v>45</v>
      </c>
      <c r="AF9" s="216">
        <v>42201</v>
      </c>
      <c r="AG9" s="14" t="s">
        <v>166</v>
      </c>
      <c r="AH9" s="216">
        <v>42263</v>
      </c>
      <c r="AI9" s="14" t="s">
        <v>93</v>
      </c>
      <c r="AJ9" s="14">
        <v>0</v>
      </c>
      <c r="AK9" s="14">
        <v>0</v>
      </c>
      <c r="AL9" s="207">
        <v>-7.3001559999999993E-2</v>
      </c>
      <c r="AM9" s="26">
        <v>0</v>
      </c>
      <c r="AO9" s="206" t="s">
        <v>46</v>
      </c>
      <c r="AP9" s="216">
        <v>42201</v>
      </c>
      <c r="AQ9" s="14" t="s">
        <v>142</v>
      </c>
      <c r="AR9" s="216">
        <v>42263</v>
      </c>
      <c r="AS9" s="14" t="s">
        <v>93</v>
      </c>
      <c r="AT9" s="14">
        <v>0</v>
      </c>
      <c r="AU9" s="14">
        <v>0</v>
      </c>
      <c r="AV9" s="207">
        <v>0.1741</v>
      </c>
      <c r="AW9" s="26">
        <v>0</v>
      </c>
      <c r="AY9" s="206" t="s">
        <v>46</v>
      </c>
      <c r="AZ9" s="216">
        <v>42201</v>
      </c>
      <c r="BA9" s="14" t="s">
        <v>147</v>
      </c>
      <c r="BB9" s="216">
        <v>42263</v>
      </c>
      <c r="BC9" s="14" t="s">
        <v>93</v>
      </c>
      <c r="BD9" s="14">
        <v>0</v>
      </c>
      <c r="BE9" s="14">
        <v>0</v>
      </c>
      <c r="BF9" s="207">
        <v>-0.123</v>
      </c>
      <c r="BG9" s="26">
        <v>0</v>
      </c>
    </row>
    <row r="10" spans="1:59" x14ac:dyDescent="0.2">
      <c r="A10" s="206" t="s">
        <v>46</v>
      </c>
      <c r="B10" s="216">
        <v>42201</v>
      </c>
      <c r="C10" s="14" t="s">
        <v>88</v>
      </c>
      <c r="D10" s="216">
        <v>42293</v>
      </c>
      <c r="E10" s="14" t="s">
        <v>0</v>
      </c>
      <c r="F10" s="14">
        <v>0</v>
      </c>
      <c r="G10" s="14">
        <v>0</v>
      </c>
      <c r="H10" s="207">
        <v>-1.9E-2</v>
      </c>
      <c r="I10" s="26">
        <v>0</v>
      </c>
      <c r="K10" s="206" t="s">
        <v>46</v>
      </c>
      <c r="L10" s="216">
        <v>42201</v>
      </c>
      <c r="M10" s="14" t="s">
        <v>133</v>
      </c>
      <c r="N10" s="216">
        <v>42293</v>
      </c>
      <c r="O10" s="14" t="s">
        <v>0</v>
      </c>
      <c r="P10" s="14">
        <v>0</v>
      </c>
      <c r="Q10" s="14">
        <v>0</v>
      </c>
      <c r="R10" s="207">
        <v>-0.01</v>
      </c>
      <c r="S10" s="26">
        <v>0</v>
      </c>
      <c r="U10" s="206" t="s">
        <v>46</v>
      </c>
      <c r="V10" s="216">
        <v>42201</v>
      </c>
      <c r="W10" s="14" t="s">
        <v>138</v>
      </c>
      <c r="X10" s="216">
        <v>42293</v>
      </c>
      <c r="Y10" s="14" t="s">
        <v>0</v>
      </c>
      <c r="Z10" s="14">
        <v>0</v>
      </c>
      <c r="AA10" s="14">
        <v>0</v>
      </c>
      <c r="AB10" s="207">
        <v>3.4200000000000001E-2</v>
      </c>
      <c r="AC10" s="26">
        <v>0</v>
      </c>
      <c r="AE10" s="206" t="s">
        <v>45</v>
      </c>
      <c r="AF10" s="216">
        <v>42201</v>
      </c>
      <c r="AG10" s="14" t="s">
        <v>166</v>
      </c>
      <c r="AH10" s="216">
        <v>42293</v>
      </c>
      <c r="AI10" s="14" t="s">
        <v>0</v>
      </c>
      <c r="AJ10" s="14">
        <v>0</v>
      </c>
      <c r="AK10" s="14">
        <v>0</v>
      </c>
      <c r="AL10" s="207">
        <v>-7.6003115999999996E-2</v>
      </c>
      <c r="AM10" s="26">
        <v>0</v>
      </c>
      <c r="AO10" s="206" t="s">
        <v>46</v>
      </c>
      <c r="AP10" s="216">
        <v>42201</v>
      </c>
      <c r="AQ10" s="14" t="s">
        <v>142</v>
      </c>
      <c r="AR10" s="216">
        <v>42293</v>
      </c>
      <c r="AS10" s="14" t="s">
        <v>0</v>
      </c>
      <c r="AT10" s="14">
        <v>0</v>
      </c>
      <c r="AU10" s="14">
        <v>0</v>
      </c>
      <c r="AV10" s="207">
        <v>0.1711</v>
      </c>
      <c r="AW10" s="26">
        <v>0</v>
      </c>
      <c r="AY10" s="206" t="s">
        <v>46</v>
      </c>
      <c r="AZ10" s="216">
        <v>42201</v>
      </c>
      <c r="BA10" s="14" t="s">
        <v>147</v>
      </c>
      <c r="BB10" s="216">
        <v>42293</v>
      </c>
      <c r="BC10" s="14" t="s">
        <v>0</v>
      </c>
      <c r="BD10" s="14">
        <v>0</v>
      </c>
      <c r="BE10" s="14">
        <v>0</v>
      </c>
      <c r="BF10" s="207">
        <v>-0.126</v>
      </c>
      <c r="BG10" s="26">
        <v>0</v>
      </c>
    </row>
    <row r="11" spans="1:59" x14ac:dyDescent="0.2">
      <c r="A11" s="206" t="s">
        <v>46</v>
      </c>
      <c r="B11" s="216">
        <v>42201</v>
      </c>
      <c r="C11" s="14" t="s">
        <v>88</v>
      </c>
      <c r="D11" s="216">
        <v>42324</v>
      </c>
      <c r="E11" s="14" t="s">
        <v>94</v>
      </c>
      <c r="F11" s="14">
        <v>0</v>
      </c>
      <c r="G11" s="14">
        <v>0</v>
      </c>
      <c r="H11" s="207">
        <v>-1.47E-2</v>
      </c>
      <c r="I11" s="26">
        <v>0</v>
      </c>
      <c r="K11" s="206" t="s">
        <v>46</v>
      </c>
      <c r="L11" s="216">
        <v>42201</v>
      </c>
      <c r="M11" s="14" t="s">
        <v>133</v>
      </c>
      <c r="N11" s="216">
        <v>42324</v>
      </c>
      <c r="O11" s="14" t="s">
        <v>94</v>
      </c>
      <c r="P11" s="14">
        <v>0</v>
      </c>
      <c r="Q11" s="14">
        <v>0</v>
      </c>
      <c r="R11" s="207">
        <v>0.02</v>
      </c>
      <c r="S11" s="26">
        <v>0</v>
      </c>
      <c r="U11" s="206" t="s">
        <v>46</v>
      </c>
      <c r="V11" s="216">
        <v>42201</v>
      </c>
      <c r="W11" s="14" t="s">
        <v>138</v>
      </c>
      <c r="X11" s="216">
        <v>42324</v>
      </c>
      <c r="Y11" s="14" t="s">
        <v>94</v>
      </c>
      <c r="Z11" s="14">
        <v>0</v>
      </c>
      <c r="AA11" s="14">
        <v>0</v>
      </c>
      <c r="AB11" s="207">
        <v>4.2599999999999999E-2</v>
      </c>
      <c r="AC11" s="26">
        <v>0</v>
      </c>
      <c r="AE11" s="206" t="s">
        <v>45</v>
      </c>
      <c r="AF11" s="216">
        <v>42201</v>
      </c>
      <c r="AG11" s="14" t="s">
        <v>166</v>
      </c>
      <c r="AH11" s="216">
        <v>42324</v>
      </c>
      <c r="AI11" s="14" t="s">
        <v>94</v>
      </c>
      <c r="AJ11" s="14">
        <v>0</v>
      </c>
      <c r="AK11" s="14">
        <v>0</v>
      </c>
      <c r="AL11" s="207">
        <v>-7.8004743000000001E-2</v>
      </c>
      <c r="AM11" s="26">
        <v>0</v>
      </c>
      <c r="AO11" s="206" t="s">
        <v>46</v>
      </c>
      <c r="AP11" s="216">
        <v>42201</v>
      </c>
      <c r="AQ11" s="14" t="s">
        <v>142</v>
      </c>
      <c r="AR11" s="216">
        <v>42324</v>
      </c>
      <c r="AS11" s="14" t="s">
        <v>94</v>
      </c>
      <c r="AT11" s="14">
        <v>0</v>
      </c>
      <c r="AU11" s="14">
        <v>0</v>
      </c>
      <c r="AV11" s="207">
        <v>0.1691</v>
      </c>
      <c r="AW11" s="26">
        <v>0</v>
      </c>
      <c r="AY11" s="206" t="s">
        <v>46</v>
      </c>
      <c r="AZ11" s="216">
        <v>42201</v>
      </c>
      <c r="BA11" s="14" t="s">
        <v>147</v>
      </c>
      <c r="BB11" s="216">
        <v>42324</v>
      </c>
      <c r="BC11" s="14" t="s">
        <v>94</v>
      </c>
      <c r="BD11" s="14">
        <v>0</v>
      </c>
      <c r="BE11" s="14">
        <v>0</v>
      </c>
      <c r="BF11" s="207">
        <v>-0.128</v>
      </c>
      <c r="BG11" s="26">
        <v>0</v>
      </c>
    </row>
    <row r="12" spans="1:59" x14ac:dyDescent="0.2">
      <c r="A12" s="206" t="s">
        <v>46</v>
      </c>
      <c r="B12" s="216">
        <v>42201</v>
      </c>
      <c r="C12" s="14" t="s">
        <v>88</v>
      </c>
      <c r="D12" s="216">
        <v>42354</v>
      </c>
      <c r="E12" s="14" t="s">
        <v>95</v>
      </c>
      <c r="F12" s="14">
        <v>0</v>
      </c>
      <c r="G12" s="14">
        <v>0</v>
      </c>
      <c r="H12" s="207">
        <v>-1.3599999999999999E-2</v>
      </c>
      <c r="I12" s="26">
        <v>0</v>
      </c>
      <c r="K12" s="206" t="s">
        <v>46</v>
      </c>
      <c r="L12" s="216">
        <v>42201</v>
      </c>
      <c r="M12" s="14" t="s">
        <v>133</v>
      </c>
      <c r="N12" s="216">
        <v>42354</v>
      </c>
      <c r="O12" s="14" t="s">
        <v>95</v>
      </c>
      <c r="P12" s="14">
        <v>0</v>
      </c>
      <c r="Q12" s="14">
        <v>0</v>
      </c>
      <c r="R12" s="207">
        <v>0.04</v>
      </c>
      <c r="S12" s="26">
        <v>0</v>
      </c>
      <c r="U12" s="206" t="s">
        <v>46</v>
      </c>
      <c r="V12" s="216">
        <v>42201</v>
      </c>
      <c r="W12" s="14" t="s">
        <v>138</v>
      </c>
      <c r="X12" s="216">
        <v>42354</v>
      </c>
      <c r="Y12" s="14" t="s">
        <v>95</v>
      </c>
      <c r="Z12" s="14">
        <v>0</v>
      </c>
      <c r="AA12" s="14">
        <v>0</v>
      </c>
      <c r="AB12" s="207">
        <v>4.9700000000000001E-2</v>
      </c>
      <c r="AC12" s="26">
        <v>0</v>
      </c>
      <c r="AE12" s="206" t="s">
        <v>45</v>
      </c>
      <c r="AF12" s="216">
        <v>42201</v>
      </c>
      <c r="AG12" s="14" t="s">
        <v>166</v>
      </c>
      <c r="AH12" s="216">
        <v>42354</v>
      </c>
      <c r="AI12" s="14" t="s">
        <v>95</v>
      </c>
      <c r="AJ12" s="14">
        <v>0</v>
      </c>
      <c r="AK12" s="14">
        <v>0</v>
      </c>
      <c r="AL12" s="207">
        <v>-7.9006707999999995E-2</v>
      </c>
      <c r="AM12" s="26">
        <v>0</v>
      </c>
      <c r="AO12" s="206" t="s">
        <v>46</v>
      </c>
      <c r="AP12" s="216">
        <v>42201</v>
      </c>
      <c r="AQ12" s="14" t="s">
        <v>142</v>
      </c>
      <c r="AR12" s="216">
        <v>42354</v>
      </c>
      <c r="AS12" s="14" t="s">
        <v>95</v>
      </c>
      <c r="AT12" s="14">
        <v>0</v>
      </c>
      <c r="AU12" s="14">
        <v>0</v>
      </c>
      <c r="AV12" s="207">
        <v>0.1671</v>
      </c>
      <c r="AW12" s="26">
        <v>0</v>
      </c>
      <c r="AY12" s="206" t="s">
        <v>46</v>
      </c>
      <c r="AZ12" s="216">
        <v>42201</v>
      </c>
      <c r="BA12" s="14" t="s">
        <v>147</v>
      </c>
      <c r="BB12" s="216">
        <v>42354</v>
      </c>
      <c r="BC12" s="14" t="s">
        <v>95</v>
      </c>
      <c r="BD12" s="14">
        <v>0</v>
      </c>
      <c r="BE12" s="14">
        <v>0</v>
      </c>
      <c r="BF12" s="207">
        <v>-0.13</v>
      </c>
      <c r="BG12" s="26">
        <v>0</v>
      </c>
    </row>
    <row r="13" spans="1:59" x14ac:dyDescent="0.2">
      <c r="A13" s="206" t="s">
        <v>46</v>
      </c>
      <c r="B13" s="216">
        <v>42201</v>
      </c>
      <c r="C13" s="14" t="s">
        <v>88</v>
      </c>
      <c r="D13" s="216">
        <v>42387</v>
      </c>
      <c r="E13" s="14" t="s">
        <v>7</v>
      </c>
      <c r="F13" s="14">
        <v>0</v>
      </c>
      <c r="G13" s="14">
        <v>0</v>
      </c>
      <c r="H13" s="207">
        <v>-1.1299999999999999E-2</v>
      </c>
      <c r="I13" s="26">
        <v>0</v>
      </c>
      <c r="K13" s="206" t="s">
        <v>46</v>
      </c>
      <c r="L13" s="216">
        <v>42201</v>
      </c>
      <c r="M13" s="14" t="s">
        <v>133</v>
      </c>
      <c r="N13" s="216">
        <v>42387</v>
      </c>
      <c r="O13" s="14" t="s">
        <v>7</v>
      </c>
      <c r="P13" s="14">
        <v>0</v>
      </c>
      <c r="Q13" s="14">
        <v>0</v>
      </c>
      <c r="R13" s="207">
        <v>0.06</v>
      </c>
      <c r="S13" s="26">
        <v>0</v>
      </c>
      <c r="U13" s="206" t="s">
        <v>46</v>
      </c>
      <c r="V13" s="216">
        <v>42201</v>
      </c>
      <c r="W13" s="14" t="s">
        <v>138</v>
      </c>
      <c r="X13" s="216">
        <v>42387</v>
      </c>
      <c r="Y13" s="14" t="s">
        <v>7</v>
      </c>
      <c r="Z13" s="14">
        <v>0</v>
      </c>
      <c r="AA13" s="14">
        <v>0</v>
      </c>
      <c r="AB13" s="207">
        <v>4.8800000000000003E-2</v>
      </c>
      <c r="AC13" s="26">
        <v>0</v>
      </c>
      <c r="AE13" s="206" t="s">
        <v>45</v>
      </c>
      <c r="AF13" s="216">
        <v>42201</v>
      </c>
      <c r="AG13" s="14" t="s">
        <v>166</v>
      </c>
      <c r="AH13" s="216">
        <v>42387</v>
      </c>
      <c r="AI13" s="14" t="s">
        <v>7</v>
      </c>
      <c r="AJ13" s="14">
        <v>0</v>
      </c>
      <c r="AK13" s="14">
        <v>0</v>
      </c>
      <c r="AL13" s="207">
        <v>-8.0008734999999997E-2</v>
      </c>
      <c r="AM13" s="26">
        <v>0</v>
      </c>
      <c r="AO13" s="206" t="s">
        <v>46</v>
      </c>
      <c r="AP13" s="216">
        <v>42201</v>
      </c>
      <c r="AQ13" s="14" t="s">
        <v>142</v>
      </c>
      <c r="AR13" s="216">
        <v>42387</v>
      </c>
      <c r="AS13" s="14" t="s">
        <v>7</v>
      </c>
      <c r="AT13" s="14">
        <v>0</v>
      </c>
      <c r="AU13" s="14">
        <v>0</v>
      </c>
      <c r="AV13" s="207">
        <v>0.1661</v>
      </c>
      <c r="AW13" s="26">
        <v>0</v>
      </c>
      <c r="AY13" s="206" t="s">
        <v>46</v>
      </c>
      <c r="AZ13" s="216">
        <v>42201</v>
      </c>
      <c r="BA13" s="14" t="s">
        <v>147</v>
      </c>
      <c r="BB13" s="216">
        <v>42387</v>
      </c>
      <c r="BC13" s="14" t="s">
        <v>7</v>
      </c>
      <c r="BD13" s="14">
        <v>0</v>
      </c>
      <c r="BE13" s="14">
        <v>0</v>
      </c>
      <c r="BF13" s="207">
        <v>-0.13100000000000001</v>
      </c>
      <c r="BG13" s="26">
        <v>0</v>
      </c>
    </row>
    <row r="14" spans="1:59" x14ac:dyDescent="0.2">
      <c r="A14" s="206" t="s">
        <v>46</v>
      </c>
      <c r="B14" s="216">
        <v>42201</v>
      </c>
      <c r="C14" s="14" t="s">
        <v>88</v>
      </c>
      <c r="D14" s="216">
        <v>42416</v>
      </c>
      <c r="E14" s="14" t="s">
        <v>96</v>
      </c>
      <c r="F14" s="14">
        <v>0</v>
      </c>
      <c r="G14" s="14">
        <v>0</v>
      </c>
      <c r="H14" s="207">
        <v>-1.03E-2</v>
      </c>
      <c r="I14" s="26">
        <v>0</v>
      </c>
      <c r="K14" s="206" t="s">
        <v>46</v>
      </c>
      <c r="L14" s="216">
        <v>42201</v>
      </c>
      <c r="M14" s="14" t="s">
        <v>133</v>
      </c>
      <c r="N14" s="216">
        <v>42416</v>
      </c>
      <c r="O14" s="14" t="s">
        <v>96</v>
      </c>
      <c r="P14" s="14">
        <v>0</v>
      </c>
      <c r="Q14" s="14">
        <v>0</v>
      </c>
      <c r="R14" s="207">
        <v>0.09</v>
      </c>
      <c r="S14" s="26">
        <v>0</v>
      </c>
      <c r="U14" s="206" t="s">
        <v>46</v>
      </c>
      <c r="V14" s="216">
        <v>42201</v>
      </c>
      <c r="W14" s="14" t="s">
        <v>138</v>
      </c>
      <c r="X14" s="216">
        <v>42416</v>
      </c>
      <c r="Y14" s="14" t="s">
        <v>96</v>
      </c>
      <c r="Z14" s="14">
        <v>0</v>
      </c>
      <c r="AA14" s="14">
        <v>0</v>
      </c>
      <c r="AB14" s="207">
        <v>4.6899999999999997E-2</v>
      </c>
      <c r="AC14" s="26">
        <v>0</v>
      </c>
      <c r="AE14" s="206" t="s">
        <v>45</v>
      </c>
      <c r="AF14" s="216">
        <v>42201</v>
      </c>
      <c r="AG14" s="14" t="s">
        <v>166</v>
      </c>
      <c r="AH14" s="216">
        <v>42416</v>
      </c>
      <c r="AI14" s="14" t="s">
        <v>96</v>
      </c>
      <c r="AJ14" s="14">
        <v>0</v>
      </c>
      <c r="AK14" s="14">
        <v>0</v>
      </c>
      <c r="AL14" s="207">
        <v>-8.2010215999999997E-2</v>
      </c>
      <c r="AM14" s="26">
        <v>0</v>
      </c>
      <c r="AO14" s="206" t="s">
        <v>46</v>
      </c>
      <c r="AP14" s="216">
        <v>42201</v>
      </c>
      <c r="AQ14" s="14" t="s">
        <v>142</v>
      </c>
      <c r="AR14" s="216">
        <v>42416</v>
      </c>
      <c r="AS14" s="14" t="s">
        <v>96</v>
      </c>
      <c r="AT14" s="14">
        <v>0</v>
      </c>
      <c r="AU14" s="14">
        <v>0</v>
      </c>
      <c r="AV14" s="207">
        <v>0.1641</v>
      </c>
      <c r="AW14" s="26">
        <v>0</v>
      </c>
      <c r="AY14" s="206" t="s">
        <v>46</v>
      </c>
      <c r="AZ14" s="216">
        <v>42201</v>
      </c>
      <c r="BA14" s="14" t="s">
        <v>147</v>
      </c>
      <c r="BB14" s="216">
        <v>42416</v>
      </c>
      <c r="BC14" s="14" t="s">
        <v>96</v>
      </c>
      <c r="BD14" s="14">
        <v>0</v>
      </c>
      <c r="BE14" s="14">
        <v>0</v>
      </c>
      <c r="BF14" s="207">
        <v>-0.13300000000000001</v>
      </c>
      <c r="BG14" s="26">
        <v>0</v>
      </c>
    </row>
    <row r="15" spans="1:59" x14ac:dyDescent="0.2">
      <c r="A15" s="206" t="s">
        <v>46</v>
      </c>
      <c r="B15" s="216">
        <v>42201</v>
      </c>
      <c r="C15" s="14" t="s">
        <v>97</v>
      </c>
      <c r="D15" s="216">
        <v>42445</v>
      </c>
      <c r="E15" s="14" t="s">
        <v>197</v>
      </c>
      <c r="F15" s="14">
        <v>0</v>
      </c>
      <c r="G15" s="14">
        <v>0</v>
      </c>
      <c r="H15" s="207">
        <v>-0.01</v>
      </c>
      <c r="I15" s="26">
        <v>0</v>
      </c>
      <c r="K15" s="206" t="s">
        <v>46</v>
      </c>
      <c r="L15" s="216">
        <v>42201</v>
      </c>
      <c r="M15" s="14" t="s">
        <v>134</v>
      </c>
      <c r="N15" s="216">
        <v>42445</v>
      </c>
      <c r="O15" s="14" t="s">
        <v>197</v>
      </c>
      <c r="P15" s="14">
        <v>0</v>
      </c>
      <c r="Q15" s="14">
        <v>0</v>
      </c>
      <c r="R15" s="207">
        <v>0.11</v>
      </c>
      <c r="S15" s="26">
        <v>0</v>
      </c>
      <c r="U15" s="206" t="s">
        <v>46</v>
      </c>
      <c r="V15" s="216">
        <v>42201</v>
      </c>
      <c r="W15" s="14" t="s">
        <v>139</v>
      </c>
      <c r="X15" s="216">
        <v>42445</v>
      </c>
      <c r="Y15" s="14" t="s">
        <v>197</v>
      </c>
      <c r="Z15" s="14">
        <v>0</v>
      </c>
      <c r="AA15" s="14">
        <v>0</v>
      </c>
      <c r="AB15" s="207">
        <v>4.3799999999999999E-2</v>
      </c>
      <c r="AC15" s="26">
        <v>0</v>
      </c>
      <c r="AE15" s="206" t="s">
        <v>45</v>
      </c>
      <c r="AF15" s="216">
        <v>42201</v>
      </c>
      <c r="AG15" s="14" t="s">
        <v>166</v>
      </c>
      <c r="AH15" s="216">
        <v>42445</v>
      </c>
      <c r="AI15" s="14" t="s">
        <v>148</v>
      </c>
      <c r="AJ15" s="14">
        <v>0</v>
      </c>
      <c r="AK15" s="14">
        <v>0</v>
      </c>
      <c r="AL15" s="207">
        <v>-8.2012737000000002E-2</v>
      </c>
      <c r="AM15" s="26">
        <v>0</v>
      </c>
      <c r="AO15" s="206" t="s">
        <v>46</v>
      </c>
      <c r="AP15" s="216">
        <v>42201</v>
      </c>
      <c r="AQ15" s="14" t="s">
        <v>143</v>
      </c>
      <c r="AR15" s="216">
        <v>42445</v>
      </c>
      <c r="AS15" s="14" t="s">
        <v>197</v>
      </c>
      <c r="AT15" s="14">
        <v>0</v>
      </c>
      <c r="AU15" s="14">
        <v>0</v>
      </c>
      <c r="AV15" s="207">
        <v>0.15179999999999999</v>
      </c>
      <c r="AW15" s="26">
        <v>0</v>
      </c>
      <c r="AY15" s="206" t="s">
        <v>46</v>
      </c>
      <c r="AZ15" s="216">
        <v>42201</v>
      </c>
      <c r="BA15" s="14" t="s">
        <v>147</v>
      </c>
      <c r="BB15" s="216">
        <v>42445</v>
      </c>
      <c r="BC15" s="14" t="s">
        <v>148</v>
      </c>
      <c r="BD15" s="14">
        <v>0</v>
      </c>
      <c r="BE15" s="14">
        <v>0</v>
      </c>
      <c r="BF15" s="207">
        <v>-0.13500000000000001</v>
      </c>
      <c r="BG15" s="26">
        <v>0</v>
      </c>
    </row>
    <row r="16" spans="1:59" x14ac:dyDescent="0.2">
      <c r="A16" s="206" t="s">
        <v>44</v>
      </c>
      <c r="B16" s="216">
        <v>42445</v>
      </c>
      <c r="C16" s="14" t="s">
        <v>98</v>
      </c>
      <c r="D16" s="216">
        <v>42537</v>
      </c>
      <c r="E16" s="14">
        <v>42430</v>
      </c>
      <c r="F16" s="14">
        <v>0</v>
      </c>
      <c r="G16" s="14">
        <v>0</v>
      </c>
      <c r="H16" s="207">
        <v>100.0175</v>
      </c>
      <c r="I16" s="26">
        <v>0</v>
      </c>
      <c r="K16" s="206" t="s">
        <v>44</v>
      </c>
      <c r="L16" s="216">
        <v>42445</v>
      </c>
      <c r="M16" s="14" t="s">
        <v>135</v>
      </c>
      <c r="N16" s="216">
        <v>42537</v>
      </c>
      <c r="O16" s="14">
        <v>42430</v>
      </c>
      <c r="P16" s="14">
        <v>0</v>
      </c>
      <c r="Q16" s="14">
        <v>0</v>
      </c>
      <c r="R16" s="207">
        <v>100.0175</v>
      </c>
      <c r="S16" s="26">
        <v>0</v>
      </c>
      <c r="U16" s="206" t="s">
        <v>44</v>
      </c>
      <c r="V16" s="216">
        <v>42445</v>
      </c>
      <c r="W16" s="14" t="s">
        <v>140</v>
      </c>
      <c r="X16" s="216">
        <v>42537</v>
      </c>
      <c r="Y16" s="14">
        <v>42430</v>
      </c>
      <c r="Z16" s="14">
        <v>0</v>
      </c>
      <c r="AA16" s="14">
        <v>0</v>
      </c>
      <c r="AB16" s="207">
        <v>99.930099999999996</v>
      </c>
      <c r="AC16" s="26">
        <v>0</v>
      </c>
      <c r="AE16" s="206" t="s">
        <v>45</v>
      </c>
      <c r="AF16" s="216">
        <v>42201</v>
      </c>
      <c r="AG16" s="14" t="s">
        <v>166</v>
      </c>
      <c r="AH16" s="216">
        <v>42478</v>
      </c>
      <c r="AI16" s="14" t="s">
        <v>149</v>
      </c>
      <c r="AJ16" s="14">
        <v>0</v>
      </c>
      <c r="AK16" s="14">
        <v>0</v>
      </c>
      <c r="AL16" s="207">
        <v>-8.3015013999999998E-2</v>
      </c>
      <c r="AM16" s="26">
        <v>0</v>
      </c>
      <c r="AO16" s="206" t="s">
        <v>44</v>
      </c>
      <c r="AP16" s="216">
        <v>42445</v>
      </c>
      <c r="AQ16" s="14" t="s">
        <v>144</v>
      </c>
      <c r="AR16" s="216">
        <v>42537</v>
      </c>
      <c r="AS16" s="14">
        <v>42430</v>
      </c>
      <c r="AT16" s="14">
        <v>0</v>
      </c>
      <c r="AU16" s="14">
        <v>0</v>
      </c>
      <c r="AV16" s="207">
        <v>99.801400000000001</v>
      </c>
      <c r="AW16" s="26">
        <v>0</v>
      </c>
      <c r="AY16" s="206" t="s">
        <v>46</v>
      </c>
      <c r="AZ16" s="216">
        <v>42201</v>
      </c>
      <c r="BA16" s="14" t="s">
        <v>147</v>
      </c>
      <c r="BB16" s="216">
        <v>42478</v>
      </c>
      <c r="BC16" s="14" t="s">
        <v>149</v>
      </c>
      <c r="BD16" s="14">
        <v>0</v>
      </c>
      <c r="BE16" s="14">
        <v>0</v>
      </c>
      <c r="BF16" s="207">
        <v>-0.13600000000000001</v>
      </c>
      <c r="BG16" s="26">
        <v>0</v>
      </c>
    </row>
    <row r="17" spans="1:59" x14ac:dyDescent="0.2">
      <c r="A17" s="206" t="s">
        <v>44</v>
      </c>
      <c r="B17" s="216">
        <v>42536</v>
      </c>
      <c r="C17" s="14" t="s">
        <v>98</v>
      </c>
      <c r="D17" s="216">
        <v>42628</v>
      </c>
      <c r="E17" s="14">
        <v>42522</v>
      </c>
      <c r="F17" s="14">
        <v>0</v>
      </c>
      <c r="G17" s="14">
        <v>0</v>
      </c>
      <c r="H17" s="207">
        <v>100.0025</v>
      </c>
      <c r="I17" s="26">
        <v>0</v>
      </c>
      <c r="K17" s="206" t="s">
        <v>44</v>
      </c>
      <c r="L17" s="216">
        <v>42536</v>
      </c>
      <c r="M17" s="14" t="s">
        <v>135</v>
      </c>
      <c r="N17" s="216">
        <v>42628</v>
      </c>
      <c r="O17" s="14">
        <v>42522</v>
      </c>
      <c r="P17" s="14">
        <v>0</v>
      </c>
      <c r="Q17" s="14">
        <v>0</v>
      </c>
      <c r="R17" s="207">
        <v>100.0025</v>
      </c>
      <c r="S17" s="26">
        <v>0</v>
      </c>
      <c r="U17" s="206" t="s">
        <v>44</v>
      </c>
      <c r="V17" s="216">
        <v>42536</v>
      </c>
      <c r="W17" s="14" t="s">
        <v>140</v>
      </c>
      <c r="X17" s="216">
        <v>42628</v>
      </c>
      <c r="Y17" s="14">
        <v>42522</v>
      </c>
      <c r="Z17" s="14">
        <v>0</v>
      </c>
      <c r="AA17" s="14">
        <v>0</v>
      </c>
      <c r="AB17" s="207">
        <v>99.915199999999999</v>
      </c>
      <c r="AC17" s="26">
        <v>0</v>
      </c>
      <c r="AE17" s="206" t="s">
        <v>45</v>
      </c>
      <c r="AF17" s="216">
        <v>42201</v>
      </c>
      <c r="AG17" s="14" t="s">
        <v>166</v>
      </c>
      <c r="AH17" s="216">
        <v>42506</v>
      </c>
      <c r="AI17" s="14" t="s">
        <v>150</v>
      </c>
      <c r="AJ17" s="14">
        <v>0</v>
      </c>
      <c r="AK17" s="14">
        <v>0</v>
      </c>
      <c r="AL17" s="207">
        <v>-8.3017497999999995E-2</v>
      </c>
      <c r="AM17" s="26">
        <v>0</v>
      </c>
      <c r="AO17" s="206" t="s">
        <v>44</v>
      </c>
      <c r="AP17" s="216">
        <v>42536</v>
      </c>
      <c r="AQ17" s="14" t="s">
        <v>144</v>
      </c>
      <c r="AR17" s="216">
        <v>42628</v>
      </c>
      <c r="AS17" s="14">
        <v>42522</v>
      </c>
      <c r="AT17" s="14">
        <v>0</v>
      </c>
      <c r="AU17" s="14">
        <v>0</v>
      </c>
      <c r="AV17" s="207">
        <v>99.786500000000004</v>
      </c>
      <c r="AW17" s="26">
        <v>0</v>
      </c>
      <c r="AY17" s="206" t="s">
        <v>46</v>
      </c>
      <c r="AZ17" s="216">
        <v>42201</v>
      </c>
      <c r="BA17" s="14" t="s">
        <v>147</v>
      </c>
      <c r="BB17" s="216">
        <v>42506</v>
      </c>
      <c r="BC17" s="14" t="s">
        <v>150</v>
      </c>
      <c r="BD17" s="14">
        <v>0</v>
      </c>
      <c r="BE17" s="14">
        <v>0</v>
      </c>
      <c r="BF17" s="207">
        <v>-0.13700000000000001</v>
      </c>
      <c r="BG17" s="26">
        <v>0</v>
      </c>
    </row>
    <row r="18" spans="1:59" x14ac:dyDescent="0.2">
      <c r="A18" s="206" t="s">
        <v>44</v>
      </c>
      <c r="B18" s="216">
        <v>42634</v>
      </c>
      <c r="C18" s="14" t="s">
        <v>98</v>
      </c>
      <c r="D18" s="216">
        <v>42725</v>
      </c>
      <c r="E18" s="14">
        <v>42614</v>
      </c>
      <c r="F18" s="14">
        <v>0</v>
      </c>
      <c r="G18" s="14">
        <v>0</v>
      </c>
      <c r="H18" s="207">
        <v>99.967500000000001</v>
      </c>
      <c r="I18" s="26">
        <v>0</v>
      </c>
      <c r="K18" s="206" t="s">
        <v>44</v>
      </c>
      <c r="L18" s="216">
        <v>42634</v>
      </c>
      <c r="M18" s="14" t="s">
        <v>135</v>
      </c>
      <c r="N18" s="216">
        <v>42725</v>
      </c>
      <c r="O18" s="14">
        <v>42614</v>
      </c>
      <c r="P18" s="14">
        <v>0</v>
      </c>
      <c r="Q18" s="14">
        <v>0</v>
      </c>
      <c r="R18" s="207">
        <v>99.967500000000001</v>
      </c>
      <c r="S18" s="26">
        <v>0</v>
      </c>
      <c r="U18" s="206" t="s">
        <v>44</v>
      </c>
      <c r="V18" s="216">
        <v>42634</v>
      </c>
      <c r="W18" s="14" t="s">
        <v>140</v>
      </c>
      <c r="X18" s="216">
        <v>42725</v>
      </c>
      <c r="Y18" s="14">
        <v>42614</v>
      </c>
      <c r="Z18" s="14">
        <v>0</v>
      </c>
      <c r="AA18" s="14">
        <v>0</v>
      </c>
      <c r="AB18" s="207">
        <v>99.876400000000004</v>
      </c>
      <c r="AC18" s="26">
        <v>0</v>
      </c>
      <c r="AE18" s="206" t="s">
        <v>45</v>
      </c>
      <c r="AF18" s="216">
        <v>42201</v>
      </c>
      <c r="AG18" s="14" t="s">
        <v>166</v>
      </c>
      <c r="AH18" s="216">
        <v>42537</v>
      </c>
      <c r="AI18" s="14" t="s">
        <v>151</v>
      </c>
      <c r="AJ18" s="14">
        <v>0</v>
      </c>
      <c r="AK18" s="14">
        <v>0</v>
      </c>
      <c r="AL18" s="207">
        <v>-8.4019276000000004E-2</v>
      </c>
      <c r="AM18" s="26">
        <v>0</v>
      </c>
      <c r="AO18" s="206" t="s">
        <v>44</v>
      </c>
      <c r="AP18" s="216">
        <v>42634</v>
      </c>
      <c r="AQ18" s="14" t="s">
        <v>144</v>
      </c>
      <c r="AR18" s="216">
        <v>42725</v>
      </c>
      <c r="AS18" s="14">
        <v>42614</v>
      </c>
      <c r="AT18" s="14">
        <v>0</v>
      </c>
      <c r="AU18" s="14">
        <v>0</v>
      </c>
      <c r="AV18" s="207">
        <v>99.751499999999993</v>
      </c>
      <c r="AW18" s="26">
        <v>0</v>
      </c>
      <c r="AY18" s="206" t="s">
        <v>46</v>
      </c>
      <c r="AZ18" s="216">
        <v>42201</v>
      </c>
      <c r="BA18" s="14" t="s">
        <v>147</v>
      </c>
      <c r="BB18" s="216">
        <v>42537</v>
      </c>
      <c r="BC18" s="14" t="s">
        <v>151</v>
      </c>
      <c r="BD18" s="14">
        <v>0</v>
      </c>
      <c r="BE18" s="14">
        <v>0</v>
      </c>
      <c r="BF18" s="207">
        <v>-0.13800000000000001</v>
      </c>
      <c r="BG18" s="26">
        <v>0</v>
      </c>
    </row>
    <row r="19" spans="1:59" x14ac:dyDescent="0.2">
      <c r="A19" s="206" t="s">
        <v>44</v>
      </c>
      <c r="B19" s="216">
        <v>42725</v>
      </c>
      <c r="C19" s="14" t="s">
        <v>98</v>
      </c>
      <c r="D19" s="216">
        <v>42815</v>
      </c>
      <c r="E19" s="14">
        <v>42705</v>
      </c>
      <c r="F19" s="14">
        <v>0</v>
      </c>
      <c r="G19" s="14">
        <v>0</v>
      </c>
      <c r="H19" s="207">
        <v>99.927750000000003</v>
      </c>
      <c r="I19" s="26">
        <v>0</v>
      </c>
      <c r="K19" s="206" t="s">
        <v>44</v>
      </c>
      <c r="L19" s="216">
        <v>42725</v>
      </c>
      <c r="M19" s="14" t="s">
        <v>135</v>
      </c>
      <c r="N19" s="216">
        <v>42815</v>
      </c>
      <c r="O19" s="14">
        <v>42705</v>
      </c>
      <c r="P19" s="14">
        <v>0</v>
      </c>
      <c r="Q19" s="14">
        <v>0</v>
      </c>
      <c r="R19" s="207">
        <v>99.927750000000003</v>
      </c>
      <c r="S19" s="26">
        <v>0</v>
      </c>
      <c r="U19" s="206" t="s">
        <v>44</v>
      </c>
      <c r="V19" s="216">
        <v>42725</v>
      </c>
      <c r="W19" s="14" t="s">
        <v>140</v>
      </c>
      <c r="X19" s="216">
        <v>42815</v>
      </c>
      <c r="Y19" s="14">
        <v>42705</v>
      </c>
      <c r="Z19" s="14">
        <v>0</v>
      </c>
      <c r="AA19" s="14">
        <v>0</v>
      </c>
      <c r="AB19" s="207">
        <v>99.824250000000006</v>
      </c>
      <c r="AC19" s="26">
        <v>0</v>
      </c>
      <c r="AE19" s="206" t="s">
        <v>45</v>
      </c>
      <c r="AF19" s="216">
        <v>42201</v>
      </c>
      <c r="AG19" s="14" t="s">
        <v>166</v>
      </c>
      <c r="AH19" s="216">
        <v>42569</v>
      </c>
      <c r="AI19" s="14" t="s">
        <v>167</v>
      </c>
      <c r="AJ19" s="14">
        <v>0</v>
      </c>
      <c r="AK19" s="14">
        <v>0</v>
      </c>
      <c r="AL19" s="207">
        <v>-8.3022129E-2</v>
      </c>
      <c r="AM19" s="26">
        <v>0</v>
      </c>
      <c r="AO19" s="206" t="s">
        <v>44</v>
      </c>
      <c r="AP19" s="216">
        <v>42725</v>
      </c>
      <c r="AQ19" s="14" t="s">
        <v>144</v>
      </c>
      <c r="AR19" s="216">
        <v>42815</v>
      </c>
      <c r="AS19" s="14">
        <v>42705</v>
      </c>
      <c r="AT19" s="14">
        <v>0</v>
      </c>
      <c r="AU19" s="14">
        <v>0</v>
      </c>
      <c r="AV19" s="207">
        <v>99.711749999999995</v>
      </c>
      <c r="AW19" s="26">
        <v>0</v>
      </c>
      <c r="AY19" s="206" t="s">
        <v>46</v>
      </c>
      <c r="AZ19" s="216">
        <v>42201</v>
      </c>
      <c r="BA19" s="14" t="s">
        <v>147</v>
      </c>
      <c r="BB19" s="216">
        <v>42569</v>
      </c>
      <c r="BC19" s="14" t="s">
        <v>51</v>
      </c>
      <c r="BD19" s="14">
        <v>0</v>
      </c>
      <c r="BE19" s="14">
        <v>0</v>
      </c>
      <c r="BF19" s="207">
        <v>-0.13800000000000001</v>
      </c>
      <c r="BG19" s="26">
        <v>0</v>
      </c>
    </row>
    <row r="20" spans="1:59" x14ac:dyDescent="0.2">
      <c r="A20" s="206" t="s">
        <v>44</v>
      </c>
      <c r="B20" s="216">
        <v>42809</v>
      </c>
      <c r="C20" s="14" t="s">
        <v>98</v>
      </c>
      <c r="D20" s="216">
        <v>42901</v>
      </c>
      <c r="E20" s="14">
        <v>42795</v>
      </c>
      <c r="F20" s="14">
        <v>0</v>
      </c>
      <c r="G20" s="14">
        <v>0</v>
      </c>
      <c r="H20" s="207">
        <v>99.879000000000005</v>
      </c>
      <c r="I20" s="26">
        <v>0</v>
      </c>
      <c r="K20" s="206" t="s">
        <v>44</v>
      </c>
      <c r="L20" s="216">
        <v>42809</v>
      </c>
      <c r="M20" s="14" t="s">
        <v>135</v>
      </c>
      <c r="N20" s="216">
        <v>42901</v>
      </c>
      <c r="O20" s="14">
        <v>42795</v>
      </c>
      <c r="P20" s="14">
        <v>0</v>
      </c>
      <c r="Q20" s="14">
        <v>0</v>
      </c>
      <c r="R20" s="207">
        <v>99.879000000000005</v>
      </c>
      <c r="S20" s="26">
        <v>0</v>
      </c>
      <c r="U20" s="206" t="s">
        <v>44</v>
      </c>
      <c r="V20" s="216">
        <v>42809</v>
      </c>
      <c r="W20" s="14" t="s">
        <v>140</v>
      </c>
      <c r="X20" s="216">
        <v>42901</v>
      </c>
      <c r="Y20" s="14">
        <v>42795</v>
      </c>
      <c r="Z20" s="14">
        <v>0</v>
      </c>
      <c r="AA20" s="14">
        <v>0</v>
      </c>
      <c r="AB20" s="207">
        <v>99.768100000000004</v>
      </c>
      <c r="AC20" s="26">
        <v>0</v>
      </c>
      <c r="AE20" s="206" t="s">
        <v>45</v>
      </c>
      <c r="AF20" s="216">
        <v>42201</v>
      </c>
      <c r="AG20" s="14" t="s">
        <v>168</v>
      </c>
      <c r="AH20" s="216">
        <v>42660</v>
      </c>
      <c r="AI20" s="14" t="s">
        <v>169</v>
      </c>
      <c r="AJ20" s="14">
        <v>0</v>
      </c>
      <c r="AK20" s="14">
        <v>0</v>
      </c>
      <c r="AL20" s="207">
        <v>-8.0213453000000004E-2</v>
      </c>
      <c r="AM20" s="26">
        <v>0</v>
      </c>
      <c r="AO20" s="206" t="s">
        <v>44</v>
      </c>
      <c r="AP20" s="216">
        <v>42809</v>
      </c>
      <c r="AQ20" s="14" t="s">
        <v>144</v>
      </c>
      <c r="AR20" s="216">
        <v>42901</v>
      </c>
      <c r="AS20" s="14">
        <v>42795</v>
      </c>
      <c r="AT20" s="14">
        <v>0</v>
      </c>
      <c r="AU20" s="14">
        <v>0</v>
      </c>
      <c r="AV20" s="207">
        <v>99.662999999999997</v>
      </c>
      <c r="AW20" s="26">
        <v>0</v>
      </c>
      <c r="AY20" s="206" t="s">
        <v>46</v>
      </c>
      <c r="AZ20" s="216">
        <v>42201</v>
      </c>
      <c r="BA20" s="14" t="s">
        <v>147</v>
      </c>
      <c r="BB20" s="216">
        <v>42598</v>
      </c>
      <c r="BC20" s="14" t="s">
        <v>152</v>
      </c>
      <c r="BD20" s="14">
        <v>0</v>
      </c>
      <c r="BE20" s="14">
        <v>0</v>
      </c>
      <c r="BF20" s="207">
        <v>-0.13700000000000001</v>
      </c>
      <c r="BG20" s="26">
        <v>0</v>
      </c>
    </row>
    <row r="21" spans="1:59" x14ac:dyDescent="0.2">
      <c r="A21" s="206" t="s">
        <v>44</v>
      </c>
      <c r="B21" s="216">
        <v>42907</v>
      </c>
      <c r="C21" s="14" t="s">
        <v>98</v>
      </c>
      <c r="D21" s="216">
        <v>42999</v>
      </c>
      <c r="E21" s="14">
        <v>42887</v>
      </c>
      <c r="F21" s="14">
        <v>0</v>
      </c>
      <c r="G21" s="14">
        <v>0</v>
      </c>
      <c r="H21" s="207">
        <v>99.825500000000005</v>
      </c>
      <c r="I21" s="26">
        <v>0</v>
      </c>
      <c r="K21" s="206" t="s">
        <v>44</v>
      </c>
      <c r="L21" s="216">
        <v>42907</v>
      </c>
      <c r="M21" s="14" t="s">
        <v>135</v>
      </c>
      <c r="N21" s="216">
        <v>42999</v>
      </c>
      <c r="O21" s="14">
        <v>42887</v>
      </c>
      <c r="P21" s="14">
        <v>0</v>
      </c>
      <c r="Q21" s="14">
        <v>0</v>
      </c>
      <c r="R21" s="207">
        <v>99.825500000000005</v>
      </c>
      <c r="S21" s="26">
        <v>0</v>
      </c>
      <c r="U21" s="206" t="s">
        <v>44</v>
      </c>
      <c r="V21" s="216">
        <v>42907</v>
      </c>
      <c r="W21" s="14" t="s">
        <v>140</v>
      </c>
      <c r="X21" s="216">
        <v>42999</v>
      </c>
      <c r="Y21" s="14">
        <v>42887</v>
      </c>
      <c r="Z21" s="14">
        <v>0</v>
      </c>
      <c r="AA21" s="14">
        <v>0</v>
      </c>
      <c r="AB21" s="207">
        <v>99.724000000000004</v>
      </c>
      <c r="AC21" s="26">
        <v>0</v>
      </c>
      <c r="AE21" s="206" t="s">
        <v>45</v>
      </c>
      <c r="AF21" s="216">
        <v>42201</v>
      </c>
      <c r="AG21" s="14" t="s">
        <v>168</v>
      </c>
      <c r="AH21" s="216">
        <v>42751</v>
      </c>
      <c r="AI21" s="14" t="s">
        <v>170</v>
      </c>
      <c r="AJ21" s="14">
        <v>0</v>
      </c>
      <c r="AK21" s="14">
        <v>0</v>
      </c>
      <c r="AL21" s="207">
        <v>-7.4747452000000006E-2</v>
      </c>
      <c r="AM21" s="26">
        <v>0</v>
      </c>
      <c r="AO21" s="206" t="s">
        <v>44</v>
      </c>
      <c r="AP21" s="216">
        <v>42907</v>
      </c>
      <c r="AQ21" s="14" t="s">
        <v>144</v>
      </c>
      <c r="AR21" s="216">
        <v>42999</v>
      </c>
      <c r="AS21" s="14">
        <v>42887</v>
      </c>
      <c r="AT21" s="14">
        <v>0</v>
      </c>
      <c r="AU21" s="14">
        <v>0</v>
      </c>
      <c r="AV21" s="207">
        <v>99.6096</v>
      </c>
      <c r="AW21" s="26">
        <v>0</v>
      </c>
      <c r="AY21" s="206" t="s">
        <v>46</v>
      </c>
      <c r="AZ21" s="216">
        <v>42201</v>
      </c>
      <c r="BA21" s="14" t="s">
        <v>147</v>
      </c>
      <c r="BB21" s="216">
        <v>42629</v>
      </c>
      <c r="BC21" s="14" t="s">
        <v>153</v>
      </c>
      <c r="BD21" s="14">
        <v>0</v>
      </c>
      <c r="BE21" s="14">
        <v>0</v>
      </c>
      <c r="BF21" s="207">
        <v>-0.13700000000000001</v>
      </c>
      <c r="BG21" s="26">
        <v>0</v>
      </c>
    </row>
    <row r="22" spans="1:59" x14ac:dyDescent="0.2">
      <c r="A22" s="206" t="s">
        <v>45</v>
      </c>
      <c r="B22" s="216">
        <v>42201</v>
      </c>
      <c r="C22" s="14" t="s">
        <v>99</v>
      </c>
      <c r="D22" s="216">
        <v>43297</v>
      </c>
      <c r="E22" s="14" t="s">
        <v>100</v>
      </c>
      <c r="F22" s="14">
        <v>0</v>
      </c>
      <c r="G22" s="14">
        <v>0</v>
      </c>
      <c r="H22" s="207">
        <v>0.11700000000000001</v>
      </c>
      <c r="I22" s="26">
        <v>0</v>
      </c>
      <c r="K22" s="206" t="s">
        <v>45</v>
      </c>
      <c r="L22" s="216">
        <v>42201</v>
      </c>
      <c r="M22" s="14" t="s">
        <v>136</v>
      </c>
      <c r="N22" s="216">
        <v>43297</v>
      </c>
      <c r="O22" s="14" t="s">
        <v>100</v>
      </c>
      <c r="P22" s="14">
        <v>0</v>
      </c>
      <c r="Q22" s="14">
        <v>0</v>
      </c>
      <c r="R22" s="207">
        <v>0.20599999999999999</v>
      </c>
      <c r="S22" s="26">
        <v>0</v>
      </c>
      <c r="U22" s="206" t="s">
        <v>45</v>
      </c>
      <c r="V22" s="216">
        <v>42201</v>
      </c>
      <c r="W22" s="14" t="s">
        <v>136</v>
      </c>
      <c r="X22" s="216">
        <v>43297</v>
      </c>
      <c r="Y22" s="14" t="s">
        <v>100</v>
      </c>
      <c r="Z22" s="14">
        <v>0</v>
      </c>
      <c r="AA22" s="14">
        <v>0</v>
      </c>
      <c r="AB22" s="207">
        <v>0.20599999999999999</v>
      </c>
      <c r="AC22" s="26">
        <v>0</v>
      </c>
      <c r="AE22" s="206" t="s">
        <v>45</v>
      </c>
      <c r="AF22" s="216">
        <v>42201</v>
      </c>
      <c r="AG22" s="14" t="s">
        <v>168</v>
      </c>
      <c r="AH22" s="216">
        <v>42843</v>
      </c>
      <c r="AI22" s="14" t="s">
        <v>171</v>
      </c>
      <c r="AJ22" s="14">
        <v>0</v>
      </c>
      <c r="AK22" s="14">
        <v>0</v>
      </c>
      <c r="AL22" s="207">
        <v>-6.6324715000000006E-2</v>
      </c>
      <c r="AM22" s="26">
        <v>0</v>
      </c>
      <c r="AO22" s="206" t="s">
        <v>45</v>
      </c>
      <c r="AP22" s="216">
        <v>42201</v>
      </c>
      <c r="AQ22" s="14" t="s">
        <v>145</v>
      </c>
      <c r="AR22" s="216">
        <v>43297</v>
      </c>
      <c r="AS22" s="14" t="s">
        <v>100</v>
      </c>
      <c r="AT22" s="14">
        <v>0</v>
      </c>
      <c r="AU22" s="14">
        <v>0</v>
      </c>
      <c r="AV22" s="207">
        <v>0.32700000000000001</v>
      </c>
      <c r="AW22" s="26">
        <v>0</v>
      </c>
      <c r="AY22" s="206" t="s">
        <v>46</v>
      </c>
      <c r="AZ22" s="216">
        <v>42201</v>
      </c>
      <c r="BA22" s="14" t="s">
        <v>147</v>
      </c>
      <c r="BB22" s="216">
        <v>42660</v>
      </c>
      <c r="BC22" s="14" t="s">
        <v>154</v>
      </c>
      <c r="BD22" s="14">
        <v>0</v>
      </c>
      <c r="BE22" s="14">
        <v>0</v>
      </c>
      <c r="BF22" s="207">
        <v>-0.13600000000000001</v>
      </c>
      <c r="BG22" s="26">
        <v>0</v>
      </c>
    </row>
    <row r="23" spans="1:59" x14ac:dyDescent="0.2">
      <c r="A23" s="206" t="s">
        <v>45</v>
      </c>
      <c r="B23" s="216">
        <v>42201</v>
      </c>
      <c r="C23" s="14" t="s">
        <v>99</v>
      </c>
      <c r="D23" s="216">
        <v>43662</v>
      </c>
      <c r="E23" s="14" t="s">
        <v>101</v>
      </c>
      <c r="F23" s="14">
        <v>0</v>
      </c>
      <c r="G23" s="14">
        <v>0</v>
      </c>
      <c r="H23" s="207">
        <v>0.249</v>
      </c>
      <c r="I23" s="26">
        <v>0</v>
      </c>
      <c r="K23" s="206" t="s">
        <v>45</v>
      </c>
      <c r="L23" s="216">
        <v>42201</v>
      </c>
      <c r="M23" s="14" t="s">
        <v>136</v>
      </c>
      <c r="N23" s="216">
        <v>43662</v>
      </c>
      <c r="O23" s="14" t="s">
        <v>101</v>
      </c>
      <c r="P23" s="14">
        <v>0</v>
      </c>
      <c r="Q23" s="14">
        <v>0</v>
      </c>
      <c r="R23" s="207">
        <v>0.34200000000000003</v>
      </c>
      <c r="S23" s="26">
        <v>0</v>
      </c>
      <c r="U23" s="206" t="s">
        <v>45</v>
      </c>
      <c r="V23" s="216">
        <v>42201</v>
      </c>
      <c r="W23" s="14" t="s">
        <v>136</v>
      </c>
      <c r="X23" s="216">
        <v>43662</v>
      </c>
      <c r="Y23" s="14" t="s">
        <v>101</v>
      </c>
      <c r="Z23" s="14">
        <v>0</v>
      </c>
      <c r="AA23" s="14">
        <v>0</v>
      </c>
      <c r="AB23" s="207">
        <v>0.34200000000000003</v>
      </c>
      <c r="AC23" s="26">
        <v>0</v>
      </c>
      <c r="AE23" s="206" t="s">
        <v>45</v>
      </c>
      <c r="AF23" s="216">
        <v>42201</v>
      </c>
      <c r="AG23" s="14" t="s">
        <v>168</v>
      </c>
      <c r="AH23" s="216">
        <v>42933</v>
      </c>
      <c r="AI23" s="14" t="s">
        <v>163</v>
      </c>
      <c r="AJ23" s="14">
        <v>0</v>
      </c>
      <c r="AK23" s="14">
        <v>0</v>
      </c>
      <c r="AL23" s="207">
        <v>-5.5E-2</v>
      </c>
      <c r="AM23" s="26">
        <v>0</v>
      </c>
      <c r="AO23" s="206" t="s">
        <v>45</v>
      </c>
      <c r="AP23" s="216">
        <v>42201</v>
      </c>
      <c r="AQ23" s="14" t="s">
        <v>145</v>
      </c>
      <c r="AR23" s="216">
        <v>43662</v>
      </c>
      <c r="AS23" s="14" t="s">
        <v>101</v>
      </c>
      <c r="AT23" s="14">
        <v>0</v>
      </c>
      <c r="AU23" s="14">
        <v>0</v>
      </c>
      <c r="AV23" s="207">
        <v>0.46400000000000002</v>
      </c>
      <c r="AW23" s="26">
        <v>0</v>
      </c>
      <c r="AY23" s="206" t="s">
        <v>46</v>
      </c>
      <c r="AZ23" s="216">
        <v>42201</v>
      </c>
      <c r="BA23" s="14" t="s">
        <v>147</v>
      </c>
      <c r="BB23" s="216">
        <v>42690</v>
      </c>
      <c r="BC23" s="14" t="s">
        <v>155</v>
      </c>
      <c r="BD23" s="14">
        <v>0</v>
      </c>
      <c r="BE23" s="14">
        <v>0</v>
      </c>
      <c r="BF23" s="207">
        <v>-0.13500000000000001</v>
      </c>
      <c r="BG23" s="26">
        <v>0</v>
      </c>
    </row>
    <row r="24" spans="1:59" x14ac:dyDescent="0.2">
      <c r="A24" s="206" t="s">
        <v>45</v>
      </c>
      <c r="B24" s="216">
        <v>42201</v>
      </c>
      <c r="C24" s="14" t="s">
        <v>99</v>
      </c>
      <c r="D24" s="216">
        <v>44028</v>
      </c>
      <c r="E24" s="14" t="s">
        <v>102</v>
      </c>
      <c r="F24" s="14">
        <v>0</v>
      </c>
      <c r="G24" s="14">
        <v>0</v>
      </c>
      <c r="H24" s="207">
        <v>0.40699999999999997</v>
      </c>
      <c r="I24" s="26">
        <v>0</v>
      </c>
      <c r="K24" s="206" t="s">
        <v>45</v>
      </c>
      <c r="L24" s="216">
        <v>42201</v>
      </c>
      <c r="M24" s="14" t="s">
        <v>136</v>
      </c>
      <c r="N24" s="216">
        <v>44028</v>
      </c>
      <c r="O24" s="14" t="s">
        <v>102</v>
      </c>
      <c r="P24" s="14">
        <v>0</v>
      </c>
      <c r="Q24" s="14">
        <v>0</v>
      </c>
      <c r="R24" s="207">
        <v>0.501</v>
      </c>
      <c r="S24" s="26">
        <v>0</v>
      </c>
      <c r="U24" s="206" t="s">
        <v>45</v>
      </c>
      <c r="V24" s="216">
        <v>42201</v>
      </c>
      <c r="W24" s="14" t="s">
        <v>136</v>
      </c>
      <c r="X24" s="216">
        <v>44028</v>
      </c>
      <c r="Y24" s="14" t="s">
        <v>102</v>
      </c>
      <c r="Z24" s="14">
        <v>0</v>
      </c>
      <c r="AA24" s="14">
        <v>0</v>
      </c>
      <c r="AB24" s="207">
        <v>0.501</v>
      </c>
      <c r="AC24" s="26">
        <v>0</v>
      </c>
      <c r="AE24" s="206" t="s">
        <v>45</v>
      </c>
      <c r="AF24" s="216">
        <v>42201</v>
      </c>
      <c r="AG24" s="14" t="s">
        <v>168</v>
      </c>
      <c r="AH24" s="216">
        <v>43024</v>
      </c>
      <c r="AI24" s="14" t="s">
        <v>172</v>
      </c>
      <c r="AJ24" s="14">
        <v>0</v>
      </c>
      <c r="AK24" s="14">
        <v>0</v>
      </c>
      <c r="AL24" s="207">
        <v>-4.0072223999999997E-2</v>
      </c>
      <c r="AM24" s="26">
        <v>0</v>
      </c>
      <c r="AO24" s="206" t="s">
        <v>45</v>
      </c>
      <c r="AP24" s="216">
        <v>42201</v>
      </c>
      <c r="AQ24" s="14" t="s">
        <v>145</v>
      </c>
      <c r="AR24" s="216">
        <v>44028</v>
      </c>
      <c r="AS24" s="14" t="s">
        <v>102</v>
      </c>
      <c r="AT24" s="14">
        <v>0</v>
      </c>
      <c r="AU24" s="14">
        <v>0</v>
      </c>
      <c r="AV24" s="207">
        <v>0.623</v>
      </c>
      <c r="AW24" s="26">
        <v>0</v>
      </c>
      <c r="AY24" s="206" t="s">
        <v>46</v>
      </c>
      <c r="AZ24" s="216">
        <v>42201</v>
      </c>
      <c r="BA24" s="14" t="s">
        <v>147</v>
      </c>
      <c r="BB24" s="216">
        <v>42720</v>
      </c>
      <c r="BC24" s="14" t="s">
        <v>156</v>
      </c>
      <c r="BD24" s="14">
        <v>0</v>
      </c>
      <c r="BE24" s="14">
        <v>0</v>
      </c>
      <c r="BF24" s="207">
        <v>-0.13300000000000001</v>
      </c>
      <c r="BG24" s="26">
        <v>0</v>
      </c>
    </row>
    <row r="25" spans="1:59" x14ac:dyDescent="0.2">
      <c r="A25" s="206" t="s">
        <v>45</v>
      </c>
      <c r="B25" s="216">
        <v>42201</v>
      </c>
      <c r="C25" s="14" t="s">
        <v>99</v>
      </c>
      <c r="D25" s="216">
        <v>44393</v>
      </c>
      <c r="E25" s="14" t="s">
        <v>103</v>
      </c>
      <c r="F25" s="14">
        <v>0</v>
      </c>
      <c r="G25" s="14">
        <v>0</v>
      </c>
      <c r="H25" s="207">
        <v>0.56799999999999995</v>
      </c>
      <c r="I25" s="26">
        <v>0</v>
      </c>
      <c r="K25" s="206" t="s">
        <v>45</v>
      </c>
      <c r="L25" s="216">
        <v>42201</v>
      </c>
      <c r="M25" s="14" t="s">
        <v>136</v>
      </c>
      <c r="N25" s="216">
        <v>44393</v>
      </c>
      <c r="O25" s="14" t="s">
        <v>103</v>
      </c>
      <c r="P25" s="14">
        <v>0</v>
      </c>
      <c r="Q25" s="14">
        <v>0</v>
      </c>
      <c r="R25" s="207">
        <v>0.66200000000000003</v>
      </c>
      <c r="S25" s="26">
        <v>0</v>
      </c>
      <c r="U25" s="206" t="s">
        <v>45</v>
      </c>
      <c r="V25" s="216">
        <v>42201</v>
      </c>
      <c r="W25" s="14" t="s">
        <v>136</v>
      </c>
      <c r="X25" s="216">
        <v>44393</v>
      </c>
      <c r="Y25" s="14" t="s">
        <v>103</v>
      </c>
      <c r="Z25" s="14">
        <v>0</v>
      </c>
      <c r="AA25" s="14">
        <v>0</v>
      </c>
      <c r="AB25" s="207">
        <v>0.66200000000000003</v>
      </c>
      <c r="AC25" s="26">
        <v>0</v>
      </c>
      <c r="AE25" s="206" t="s">
        <v>45</v>
      </c>
      <c r="AF25" s="216">
        <v>42201</v>
      </c>
      <c r="AG25" s="14" t="s">
        <v>168</v>
      </c>
      <c r="AH25" s="216">
        <v>43116</v>
      </c>
      <c r="AI25" s="14" t="s">
        <v>173</v>
      </c>
      <c r="AJ25" s="14">
        <v>0</v>
      </c>
      <c r="AK25" s="14">
        <v>0</v>
      </c>
      <c r="AL25" s="207">
        <v>-2.1436763000000001E-2</v>
      </c>
      <c r="AM25" s="26">
        <v>0</v>
      </c>
      <c r="AO25" s="206" t="s">
        <v>45</v>
      </c>
      <c r="AP25" s="216">
        <v>42201</v>
      </c>
      <c r="AQ25" s="14" t="s">
        <v>145</v>
      </c>
      <c r="AR25" s="216">
        <v>44393</v>
      </c>
      <c r="AS25" s="14" t="s">
        <v>103</v>
      </c>
      <c r="AT25" s="14">
        <v>0</v>
      </c>
      <c r="AU25" s="14">
        <v>0</v>
      </c>
      <c r="AV25" s="207">
        <v>0.78300000000000003</v>
      </c>
      <c r="AW25" s="26">
        <v>0</v>
      </c>
      <c r="AY25" s="206" t="s">
        <v>46</v>
      </c>
      <c r="AZ25" s="216">
        <v>42201</v>
      </c>
      <c r="BA25" s="14" t="s">
        <v>147</v>
      </c>
      <c r="BB25" s="216">
        <v>42751</v>
      </c>
      <c r="BC25" s="14" t="s">
        <v>157</v>
      </c>
      <c r="BD25" s="14">
        <v>0</v>
      </c>
      <c r="BE25" s="14">
        <v>0</v>
      </c>
      <c r="BF25" s="207">
        <v>-0.13100000000000001</v>
      </c>
      <c r="BG25" s="26">
        <v>0</v>
      </c>
    </row>
    <row r="26" spans="1:59" x14ac:dyDescent="0.2">
      <c r="A26" s="206" t="s">
        <v>45</v>
      </c>
      <c r="B26" s="216">
        <v>42201</v>
      </c>
      <c r="C26" s="14" t="s">
        <v>99</v>
      </c>
      <c r="D26" s="216">
        <v>44760</v>
      </c>
      <c r="E26" s="14" t="s">
        <v>104</v>
      </c>
      <c r="F26" s="14">
        <v>0</v>
      </c>
      <c r="G26" s="14">
        <v>0</v>
      </c>
      <c r="H26" s="207">
        <v>0.72599999999999998</v>
      </c>
      <c r="I26" s="26">
        <v>0</v>
      </c>
      <c r="K26" s="206" t="s">
        <v>45</v>
      </c>
      <c r="L26" s="216">
        <v>42201</v>
      </c>
      <c r="M26" s="14" t="s">
        <v>136</v>
      </c>
      <c r="N26" s="216">
        <v>44760</v>
      </c>
      <c r="O26" s="14" t="s">
        <v>104</v>
      </c>
      <c r="P26" s="14">
        <v>0</v>
      </c>
      <c r="Q26" s="14">
        <v>0</v>
      </c>
      <c r="R26" s="207">
        <v>0.81899999999999995</v>
      </c>
      <c r="S26" s="26">
        <v>0</v>
      </c>
      <c r="U26" s="206" t="s">
        <v>45</v>
      </c>
      <c r="V26" s="216">
        <v>42201</v>
      </c>
      <c r="W26" s="14" t="s">
        <v>136</v>
      </c>
      <c r="X26" s="216">
        <v>44760</v>
      </c>
      <c r="Y26" s="14" t="s">
        <v>104</v>
      </c>
      <c r="Z26" s="14">
        <v>0</v>
      </c>
      <c r="AA26" s="14">
        <v>0</v>
      </c>
      <c r="AB26" s="207">
        <v>0.81899999999999995</v>
      </c>
      <c r="AC26" s="26">
        <v>0</v>
      </c>
      <c r="AE26" s="206" t="s">
        <v>45</v>
      </c>
      <c r="AF26" s="216">
        <v>42201</v>
      </c>
      <c r="AG26" s="14" t="s">
        <v>168</v>
      </c>
      <c r="AH26" s="216">
        <v>43206</v>
      </c>
      <c r="AI26" s="14" t="s">
        <v>174</v>
      </c>
      <c r="AJ26" s="14">
        <v>0</v>
      </c>
      <c r="AK26" s="14">
        <v>0</v>
      </c>
      <c r="AL26" s="207">
        <v>8.9942E-5</v>
      </c>
      <c r="AM26" s="26">
        <v>0</v>
      </c>
      <c r="AO26" s="206" t="s">
        <v>45</v>
      </c>
      <c r="AP26" s="216">
        <v>42201</v>
      </c>
      <c r="AQ26" s="14" t="s">
        <v>145</v>
      </c>
      <c r="AR26" s="216">
        <v>44760</v>
      </c>
      <c r="AS26" s="14" t="s">
        <v>104</v>
      </c>
      <c r="AT26" s="14">
        <v>0</v>
      </c>
      <c r="AU26" s="14">
        <v>0</v>
      </c>
      <c r="AV26" s="207">
        <v>0.93899999999999995</v>
      </c>
      <c r="AW26" s="26">
        <v>0</v>
      </c>
      <c r="AY26" s="206" t="s">
        <v>46</v>
      </c>
      <c r="AZ26" s="216">
        <v>42201</v>
      </c>
      <c r="BA26" s="14" t="s">
        <v>147</v>
      </c>
      <c r="BB26" s="216">
        <v>42782</v>
      </c>
      <c r="BC26" s="14" t="s">
        <v>158</v>
      </c>
      <c r="BD26" s="14">
        <v>0</v>
      </c>
      <c r="BE26" s="14">
        <v>0</v>
      </c>
      <c r="BF26" s="207">
        <v>-0.128</v>
      </c>
      <c r="BG26" s="26">
        <v>0</v>
      </c>
    </row>
    <row r="27" spans="1:59" x14ac:dyDescent="0.2">
      <c r="A27" s="206" t="s">
        <v>45</v>
      </c>
      <c r="B27" s="216">
        <v>42201</v>
      </c>
      <c r="C27" s="14" t="s">
        <v>99</v>
      </c>
      <c r="D27" s="216">
        <v>45124</v>
      </c>
      <c r="E27" s="14" t="s">
        <v>105</v>
      </c>
      <c r="F27" s="14">
        <v>0</v>
      </c>
      <c r="G27" s="14">
        <v>0</v>
      </c>
      <c r="H27" s="207">
        <v>0.874</v>
      </c>
      <c r="I27" s="26">
        <v>0</v>
      </c>
      <c r="K27" s="206" t="s">
        <v>45</v>
      </c>
      <c r="L27" s="216">
        <v>42201</v>
      </c>
      <c r="M27" s="14" t="s">
        <v>136</v>
      </c>
      <c r="N27" s="216">
        <v>45124</v>
      </c>
      <c r="O27" s="14" t="s">
        <v>105</v>
      </c>
      <c r="P27" s="14">
        <v>0</v>
      </c>
      <c r="Q27" s="14">
        <v>0</v>
      </c>
      <c r="R27" s="207">
        <v>0.96399999999999997</v>
      </c>
      <c r="S27" s="26">
        <v>0</v>
      </c>
      <c r="U27" s="206" t="s">
        <v>45</v>
      </c>
      <c r="V27" s="216">
        <v>42201</v>
      </c>
      <c r="W27" s="14" t="s">
        <v>136</v>
      </c>
      <c r="X27" s="216">
        <v>45124</v>
      </c>
      <c r="Y27" s="14" t="s">
        <v>105</v>
      </c>
      <c r="Z27" s="14">
        <v>0</v>
      </c>
      <c r="AA27" s="14">
        <v>0</v>
      </c>
      <c r="AB27" s="207">
        <v>0.96399999999999997</v>
      </c>
      <c r="AC27" s="26">
        <v>0</v>
      </c>
      <c r="AE27" s="206" t="s">
        <v>45</v>
      </c>
      <c r="AF27" s="216">
        <v>42201</v>
      </c>
      <c r="AG27" s="14" t="s">
        <v>168</v>
      </c>
      <c r="AH27" s="216">
        <v>43297</v>
      </c>
      <c r="AI27" s="14" t="s">
        <v>100</v>
      </c>
      <c r="AJ27" s="14">
        <v>0</v>
      </c>
      <c r="AK27" s="14">
        <v>0</v>
      </c>
      <c r="AL27" s="207">
        <v>2.3E-2</v>
      </c>
      <c r="AM27" s="26">
        <v>0</v>
      </c>
      <c r="AO27" s="206" t="s">
        <v>45</v>
      </c>
      <c r="AP27" s="216">
        <v>42201</v>
      </c>
      <c r="AQ27" s="14" t="s">
        <v>145</v>
      </c>
      <c r="AR27" s="216">
        <v>45124</v>
      </c>
      <c r="AS27" s="14" t="s">
        <v>105</v>
      </c>
      <c r="AT27" s="14">
        <v>0</v>
      </c>
      <c r="AU27" s="14">
        <v>0</v>
      </c>
      <c r="AV27" s="207">
        <v>1.0820000000000001</v>
      </c>
      <c r="AW27" s="26">
        <v>0</v>
      </c>
      <c r="AY27" s="206" t="s">
        <v>46</v>
      </c>
      <c r="AZ27" s="216">
        <v>42201</v>
      </c>
      <c r="BA27" s="14" t="s">
        <v>147</v>
      </c>
      <c r="BB27" s="216">
        <v>42810</v>
      </c>
      <c r="BC27" s="14" t="s">
        <v>159</v>
      </c>
      <c r="BD27" s="14">
        <v>0</v>
      </c>
      <c r="BE27" s="14">
        <v>0</v>
      </c>
      <c r="BF27" s="207">
        <v>-0.124</v>
      </c>
      <c r="BG27" s="26">
        <v>0</v>
      </c>
    </row>
    <row r="28" spans="1:59" x14ac:dyDescent="0.2">
      <c r="A28" s="206" t="s">
        <v>45</v>
      </c>
      <c r="B28" s="216">
        <v>42201</v>
      </c>
      <c r="C28" s="14" t="s">
        <v>99</v>
      </c>
      <c r="D28" s="216">
        <v>45489</v>
      </c>
      <c r="E28" s="14" t="s">
        <v>106</v>
      </c>
      <c r="F28" s="14">
        <v>0</v>
      </c>
      <c r="G28" s="14">
        <v>0</v>
      </c>
      <c r="H28" s="207">
        <v>1.006</v>
      </c>
      <c r="I28" s="26">
        <v>0</v>
      </c>
      <c r="K28" s="206" t="s">
        <v>45</v>
      </c>
      <c r="L28" s="216">
        <v>42201</v>
      </c>
      <c r="M28" s="14" t="s">
        <v>136</v>
      </c>
      <c r="N28" s="216">
        <v>45489</v>
      </c>
      <c r="O28" s="14" t="s">
        <v>106</v>
      </c>
      <c r="P28" s="14">
        <v>0</v>
      </c>
      <c r="Q28" s="14">
        <v>0</v>
      </c>
      <c r="R28" s="207">
        <v>1.0940000000000001</v>
      </c>
      <c r="S28" s="26">
        <v>0</v>
      </c>
      <c r="U28" s="206" t="s">
        <v>45</v>
      </c>
      <c r="V28" s="216">
        <v>42201</v>
      </c>
      <c r="W28" s="14" t="s">
        <v>136</v>
      </c>
      <c r="X28" s="216">
        <v>45489</v>
      </c>
      <c r="Y28" s="14" t="s">
        <v>106</v>
      </c>
      <c r="Z28" s="14">
        <v>0</v>
      </c>
      <c r="AA28" s="14">
        <v>0</v>
      </c>
      <c r="AB28" s="207">
        <v>1.0940000000000001</v>
      </c>
      <c r="AC28" s="26">
        <v>0</v>
      </c>
      <c r="AE28" s="206" t="s">
        <v>45</v>
      </c>
      <c r="AF28" s="216">
        <v>42201</v>
      </c>
      <c r="AG28" s="14" t="s">
        <v>168</v>
      </c>
      <c r="AH28" s="216">
        <v>43662</v>
      </c>
      <c r="AI28" s="14" t="s">
        <v>101</v>
      </c>
      <c r="AJ28" s="14">
        <v>0</v>
      </c>
      <c r="AK28" s="14">
        <v>0</v>
      </c>
      <c r="AL28" s="207">
        <v>0.152</v>
      </c>
      <c r="AM28" s="26">
        <v>0</v>
      </c>
      <c r="AO28" s="206" t="s">
        <v>45</v>
      </c>
      <c r="AP28" s="216">
        <v>42201</v>
      </c>
      <c r="AQ28" s="14" t="s">
        <v>145</v>
      </c>
      <c r="AR28" s="216">
        <v>45489</v>
      </c>
      <c r="AS28" s="14" t="s">
        <v>106</v>
      </c>
      <c r="AT28" s="14">
        <v>0</v>
      </c>
      <c r="AU28" s="14">
        <v>0</v>
      </c>
      <c r="AV28" s="207">
        <v>1.21</v>
      </c>
      <c r="AW28" s="26">
        <v>0</v>
      </c>
      <c r="AY28" s="206" t="s">
        <v>46</v>
      </c>
      <c r="AZ28" s="216">
        <v>42201</v>
      </c>
      <c r="BA28" s="14" t="s">
        <v>147</v>
      </c>
      <c r="BB28" s="216">
        <v>42843</v>
      </c>
      <c r="BC28" s="14" t="s">
        <v>160</v>
      </c>
      <c r="BD28" s="14">
        <v>0</v>
      </c>
      <c r="BE28" s="14">
        <v>0</v>
      </c>
      <c r="BF28" s="207">
        <v>-0.12</v>
      </c>
      <c r="BG28" s="26">
        <v>0</v>
      </c>
    </row>
    <row r="29" spans="1:59" x14ac:dyDescent="0.2">
      <c r="A29" s="206" t="s">
        <v>45</v>
      </c>
      <c r="B29" s="216">
        <v>42201</v>
      </c>
      <c r="C29" s="14" t="s">
        <v>99</v>
      </c>
      <c r="D29" s="216">
        <v>45854</v>
      </c>
      <c r="E29" s="14" t="s">
        <v>107</v>
      </c>
      <c r="F29" s="14">
        <v>0</v>
      </c>
      <c r="G29" s="14">
        <v>0</v>
      </c>
      <c r="H29" s="207">
        <v>1.123</v>
      </c>
      <c r="I29" s="26">
        <v>0</v>
      </c>
      <c r="K29" s="206" t="s">
        <v>45</v>
      </c>
      <c r="L29" s="216">
        <v>42201</v>
      </c>
      <c r="M29" s="14" t="s">
        <v>136</v>
      </c>
      <c r="N29" s="216">
        <v>45854</v>
      </c>
      <c r="O29" s="14" t="s">
        <v>107</v>
      </c>
      <c r="P29" s="14">
        <v>0</v>
      </c>
      <c r="Q29" s="14">
        <v>0</v>
      </c>
      <c r="R29" s="207">
        <v>1.208</v>
      </c>
      <c r="S29" s="26">
        <v>0</v>
      </c>
      <c r="U29" s="206" t="s">
        <v>45</v>
      </c>
      <c r="V29" s="216">
        <v>42201</v>
      </c>
      <c r="W29" s="14" t="s">
        <v>136</v>
      </c>
      <c r="X29" s="216">
        <v>45854</v>
      </c>
      <c r="Y29" s="14" t="s">
        <v>107</v>
      </c>
      <c r="Z29" s="14">
        <v>0</v>
      </c>
      <c r="AA29" s="14">
        <v>0</v>
      </c>
      <c r="AB29" s="207">
        <v>1.208</v>
      </c>
      <c r="AC29" s="26">
        <v>0</v>
      </c>
      <c r="AE29" s="206" t="s">
        <v>45</v>
      </c>
      <c r="AF29" s="216">
        <v>42201</v>
      </c>
      <c r="AG29" s="14" t="s">
        <v>168</v>
      </c>
      <c r="AH29" s="216">
        <v>44028</v>
      </c>
      <c r="AI29" s="14" t="s">
        <v>102</v>
      </c>
      <c r="AJ29" s="14">
        <v>0</v>
      </c>
      <c r="AK29" s="14">
        <v>0</v>
      </c>
      <c r="AL29" s="207">
        <v>0.307</v>
      </c>
      <c r="AM29" s="26">
        <v>0</v>
      </c>
      <c r="AO29" s="206" t="s">
        <v>45</v>
      </c>
      <c r="AP29" s="216">
        <v>42201</v>
      </c>
      <c r="AQ29" s="14" t="s">
        <v>145</v>
      </c>
      <c r="AR29" s="216">
        <v>45854</v>
      </c>
      <c r="AS29" s="14" t="s">
        <v>107</v>
      </c>
      <c r="AT29" s="14">
        <v>0</v>
      </c>
      <c r="AU29" s="14">
        <v>0</v>
      </c>
      <c r="AV29" s="207">
        <v>1.321</v>
      </c>
      <c r="AW29" s="26">
        <v>0</v>
      </c>
      <c r="AY29" s="206" t="s">
        <v>46</v>
      </c>
      <c r="AZ29" s="216">
        <v>42201</v>
      </c>
      <c r="BA29" s="14" t="s">
        <v>147</v>
      </c>
      <c r="BB29" s="216">
        <v>42871</v>
      </c>
      <c r="BC29" s="14" t="s">
        <v>161</v>
      </c>
      <c r="BD29" s="14">
        <v>0</v>
      </c>
      <c r="BE29" s="14">
        <v>0</v>
      </c>
      <c r="BF29" s="207">
        <v>-0.11600000000000001</v>
      </c>
      <c r="BG29" s="26">
        <v>0</v>
      </c>
    </row>
    <row r="30" spans="1:59" x14ac:dyDescent="0.2">
      <c r="A30" s="206" t="s">
        <v>45</v>
      </c>
      <c r="B30" s="216">
        <v>42201</v>
      </c>
      <c r="C30" s="14" t="s">
        <v>99</v>
      </c>
      <c r="D30" s="216">
        <v>46219</v>
      </c>
      <c r="E30" s="14" t="s">
        <v>108</v>
      </c>
      <c r="F30" s="14">
        <v>0</v>
      </c>
      <c r="G30" s="14">
        <v>0</v>
      </c>
      <c r="H30" s="207">
        <v>1.2271421899999999</v>
      </c>
      <c r="I30" s="26">
        <v>0</v>
      </c>
      <c r="K30" s="206" t="s">
        <v>45</v>
      </c>
      <c r="L30" s="216">
        <v>42201</v>
      </c>
      <c r="M30" s="14" t="s">
        <v>136</v>
      </c>
      <c r="N30" s="216">
        <v>46219</v>
      </c>
      <c r="O30" s="14" t="s">
        <v>108</v>
      </c>
      <c r="P30" s="14">
        <v>0</v>
      </c>
      <c r="Q30" s="14">
        <v>0</v>
      </c>
      <c r="R30" s="207">
        <v>1.3086866210000001</v>
      </c>
      <c r="S30" s="26">
        <v>0</v>
      </c>
      <c r="U30" s="206" t="s">
        <v>45</v>
      </c>
      <c r="V30" s="216">
        <v>42201</v>
      </c>
      <c r="W30" s="14" t="s">
        <v>136</v>
      </c>
      <c r="X30" s="216">
        <v>46219</v>
      </c>
      <c r="Y30" s="14" t="s">
        <v>108</v>
      </c>
      <c r="Z30" s="14">
        <v>0</v>
      </c>
      <c r="AA30" s="14">
        <v>0</v>
      </c>
      <c r="AB30" s="207">
        <v>1.3086866210000001</v>
      </c>
      <c r="AC30" s="26">
        <v>0</v>
      </c>
      <c r="AE30" s="206" t="s">
        <v>45</v>
      </c>
      <c r="AF30" s="216">
        <v>42201</v>
      </c>
      <c r="AG30" s="14" t="s">
        <v>168</v>
      </c>
      <c r="AH30" s="216">
        <v>44393</v>
      </c>
      <c r="AI30" s="14" t="s">
        <v>103</v>
      </c>
      <c r="AJ30" s="14">
        <v>0</v>
      </c>
      <c r="AK30" s="14">
        <v>0</v>
      </c>
      <c r="AL30" s="207">
        <v>0.46600000000000003</v>
      </c>
      <c r="AM30" s="26">
        <v>0</v>
      </c>
      <c r="AO30" s="206" t="s">
        <v>45</v>
      </c>
      <c r="AP30" s="216">
        <v>42201</v>
      </c>
      <c r="AQ30" s="14" t="s">
        <v>145</v>
      </c>
      <c r="AR30" s="216">
        <v>46219</v>
      </c>
      <c r="AS30" s="14" t="s">
        <v>108</v>
      </c>
      <c r="AT30" s="14">
        <v>0</v>
      </c>
      <c r="AU30" s="14">
        <v>0</v>
      </c>
      <c r="AV30" s="207">
        <v>1.4178402960000001</v>
      </c>
      <c r="AW30" s="26">
        <v>0</v>
      </c>
      <c r="AY30" s="206" t="s">
        <v>46</v>
      </c>
      <c r="AZ30" s="216">
        <v>42201</v>
      </c>
      <c r="BA30" s="14" t="s">
        <v>147</v>
      </c>
      <c r="BB30" s="216">
        <v>42902</v>
      </c>
      <c r="BC30" s="14" t="s">
        <v>162</v>
      </c>
      <c r="BD30" s="14">
        <v>0</v>
      </c>
      <c r="BE30" s="14">
        <v>0</v>
      </c>
      <c r="BF30" s="207">
        <v>-0.112</v>
      </c>
      <c r="BG30" s="26">
        <v>0</v>
      </c>
    </row>
    <row r="31" spans="1:59" x14ac:dyDescent="0.2">
      <c r="A31" s="206" t="s">
        <v>45</v>
      </c>
      <c r="B31" s="216">
        <v>42201</v>
      </c>
      <c r="C31" s="14" t="s">
        <v>99</v>
      </c>
      <c r="D31" s="216">
        <v>46584</v>
      </c>
      <c r="E31" s="14" t="s">
        <v>109</v>
      </c>
      <c r="F31" s="14">
        <v>0</v>
      </c>
      <c r="G31" s="14">
        <v>0</v>
      </c>
      <c r="H31" s="207">
        <v>1.3180000000000001</v>
      </c>
      <c r="I31" s="26">
        <v>0</v>
      </c>
      <c r="K31" s="206" t="s">
        <v>45</v>
      </c>
      <c r="L31" s="216">
        <v>42201</v>
      </c>
      <c r="M31" s="14" t="s">
        <v>136</v>
      </c>
      <c r="N31" s="216">
        <v>46584</v>
      </c>
      <c r="O31" s="14" t="s">
        <v>109</v>
      </c>
      <c r="P31" s="14">
        <v>0</v>
      </c>
      <c r="Q31" s="14">
        <v>0</v>
      </c>
      <c r="R31" s="207">
        <v>1.3959999999999999</v>
      </c>
      <c r="S31" s="26">
        <v>0</v>
      </c>
      <c r="U31" s="206" t="s">
        <v>45</v>
      </c>
      <c r="V31" s="216">
        <v>42201</v>
      </c>
      <c r="W31" s="14" t="s">
        <v>136</v>
      </c>
      <c r="X31" s="216">
        <v>46584</v>
      </c>
      <c r="Y31" s="14" t="s">
        <v>109</v>
      </c>
      <c r="Z31" s="14">
        <v>0</v>
      </c>
      <c r="AA31" s="14">
        <v>0</v>
      </c>
      <c r="AB31" s="207">
        <v>1.3959999999999999</v>
      </c>
      <c r="AC31" s="26">
        <v>0</v>
      </c>
      <c r="AE31" s="206" t="s">
        <v>45</v>
      </c>
      <c r="AF31" s="216">
        <v>42201</v>
      </c>
      <c r="AG31" s="14" t="s">
        <v>168</v>
      </c>
      <c r="AH31" s="216">
        <v>44760</v>
      </c>
      <c r="AI31" s="14" t="s">
        <v>104</v>
      </c>
      <c r="AJ31" s="14">
        <v>0</v>
      </c>
      <c r="AK31" s="14">
        <v>0</v>
      </c>
      <c r="AL31" s="207">
        <v>0.626</v>
      </c>
      <c r="AM31" s="26">
        <v>0</v>
      </c>
      <c r="AO31" s="206" t="s">
        <v>45</v>
      </c>
      <c r="AP31" s="216">
        <v>42201</v>
      </c>
      <c r="AQ31" s="14" t="s">
        <v>145</v>
      </c>
      <c r="AR31" s="216">
        <v>46584</v>
      </c>
      <c r="AS31" s="14" t="s">
        <v>109</v>
      </c>
      <c r="AT31" s="14">
        <v>0</v>
      </c>
      <c r="AU31" s="14">
        <v>0</v>
      </c>
      <c r="AV31" s="207">
        <v>1.5009999999999999</v>
      </c>
      <c r="AW31" s="26">
        <v>0</v>
      </c>
      <c r="AY31" s="206" t="s">
        <v>46</v>
      </c>
      <c r="AZ31" s="216">
        <v>42201</v>
      </c>
      <c r="BA31" s="14" t="s">
        <v>147</v>
      </c>
      <c r="BB31" s="216">
        <v>42933</v>
      </c>
      <c r="BC31" s="14" t="s">
        <v>163</v>
      </c>
      <c r="BD31" s="14">
        <v>0</v>
      </c>
      <c r="BE31" s="14">
        <v>0</v>
      </c>
      <c r="BF31" s="207">
        <v>-0.107</v>
      </c>
      <c r="BG31" s="26">
        <v>0</v>
      </c>
    </row>
    <row r="32" spans="1:59" x14ac:dyDescent="0.2">
      <c r="A32" s="206" t="s">
        <v>45</v>
      </c>
      <c r="B32" s="216">
        <v>42201</v>
      </c>
      <c r="C32" s="14" t="s">
        <v>99</v>
      </c>
      <c r="D32" s="216">
        <v>46951</v>
      </c>
      <c r="E32" s="14" t="s">
        <v>110</v>
      </c>
      <c r="F32" s="14">
        <v>0</v>
      </c>
      <c r="G32" s="14">
        <v>0</v>
      </c>
      <c r="H32" s="207">
        <v>1.3961605079999999</v>
      </c>
      <c r="I32" s="26">
        <v>0</v>
      </c>
      <c r="K32" s="206" t="s">
        <v>45</v>
      </c>
      <c r="L32" s="216">
        <v>42201</v>
      </c>
      <c r="M32" s="14" t="s">
        <v>136</v>
      </c>
      <c r="N32" s="216">
        <v>46951</v>
      </c>
      <c r="O32" s="14" t="s">
        <v>110</v>
      </c>
      <c r="P32" s="14">
        <v>0</v>
      </c>
      <c r="Q32" s="14">
        <v>0</v>
      </c>
      <c r="R32" s="207">
        <v>1.4706427129999999</v>
      </c>
      <c r="S32" s="26">
        <v>0</v>
      </c>
      <c r="U32" s="206" t="s">
        <v>45</v>
      </c>
      <c r="V32" s="216">
        <v>42201</v>
      </c>
      <c r="W32" s="14" t="s">
        <v>136</v>
      </c>
      <c r="X32" s="216">
        <v>46951</v>
      </c>
      <c r="Y32" s="14" t="s">
        <v>110</v>
      </c>
      <c r="Z32" s="14">
        <v>0</v>
      </c>
      <c r="AA32" s="14">
        <v>0</v>
      </c>
      <c r="AB32" s="207">
        <v>1.4706427129999999</v>
      </c>
      <c r="AC32" s="26">
        <v>0</v>
      </c>
      <c r="AE32" s="206" t="s">
        <v>45</v>
      </c>
      <c r="AF32" s="216">
        <v>42201</v>
      </c>
      <c r="AG32" s="14" t="s">
        <v>168</v>
      </c>
      <c r="AH32" s="216">
        <v>45124</v>
      </c>
      <c r="AI32" s="14" t="s">
        <v>105</v>
      </c>
      <c r="AJ32" s="14">
        <v>0</v>
      </c>
      <c r="AK32" s="14">
        <v>0</v>
      </c>
      <c r="AL32" s="207">
        <v>0.77400000000000002</v>
      </c>
      <c r="AM32" s="26">
        <v>0</v>
      </c>
      <c r="AO32" s="206" t="s">
        <v>45</v>
      </c>
      <c r="AP32" s="216">
        <v>42201</v>
      </c>
      <c r="AQ32" s="14" t="s">
        <v>145</v>
      </c>
      <c r="AR32" s="216">
        <v>46951</v>
      </c>
      <c r="AS32" s="14" t="s">
        <v>110</v>
      </c>
      <c r="AT32" s="14">
        <v>0</v>
      </c>
      <c r="AU32" s="14">
        <v>0</v>
      </c>
      <c r="AV32" s="207">
        <v>1.5716142230000001</v>
      </c>
      <c r="AW32" s="26">
        <v>0</v>
      </c>
      <c r="AY32" s="206" t="s">
        <v>46</v>
      </c>
      <c r="AZ32" s="216">
        <v>42201</v>
      </c>
      <c r="BA32" s="14" t="s">
        <v>147</v>
      </c>
      <c r="BB32" s="216">
        <v>43297</v>
      </c>
      <c r="BC32" s="14" t="s">
        <v>100</v>
      </c>
      <c r="BD32" s="14">
        <v>0</v>
      </c>
      <c r="BE32" s="14">
        <v>0</v>
      </c>
      <c r="BF32" s="207">
        <v>-2.5999999999999999E-2</v>
      </c>
      <c r="BG32" s="26">
        <v>0</v>
      </c>
    </row>
    <row r="33" spans="1:59" x14ac:dyDescent="0.2">
      <c r="A33" s="206" t="s">
        <v>45</v>
      </c>
      <c r="B33" s="216">
        <v>42201</v>
      </c>
      <c r="C33" s="14" t="s">
        <v>99</v>
      </c>
      <c r="D33" s="216">
        <v>47315</v>
      </c>
      <c r="E33" s="14" t="s">
        <v>111</v>
      </c>
      <c r="F33" s="14">
        <v>0</v>
      </c>
      <c r="G33" s="14">
        <v>0</v>
      </c>
      <c r="H33" s="207">
        <v>1.461886265</v>
      </c>
      <c r="I33" s="26">
        <v>0</v>
      </c>
      <c r="K33" s="206" t="s">
        <v>45</v>
      </c>
      <c r="L33" s="216">
        <v>42201</v>
      </c>
      <c r="M33" s="14" t="s">
        <v>136</v>
      </c>
      <c r="N33" s="216">
        <v>47315</v>
      </c>
      <c r="O33" s="14" t="s">
        <v>111</v>
      </c>
      <c r="P33" s="14">
        <v>0</v>
      </c>
      <c r="Q33" s="14">
        <v>0</v>
      </c>
      <c r="R33" s="207">
        <v>1.533012314</v>
      </c>
      <c r="S33" s="26">
        <v>0</v>
      </c>
      <c r="U33" s="206" t="s">
        <v>45</v>
      </c>
      <c r="V33" s="216">
        <v>42201</v>
      </c>
      <c r="W33" s="14" t="s">
        <v>136</v>
      </c>
      <c r="X33" s="216">
        <v>47315</v>
      </c>
      <c r="Y33" s="14" t="s">
        <v>111</v>
      </c>
      <c r="Z33" s="14">
        <v>0</v>
      </c>
      <c r="AA33" s="14">
        <v>0</v>
      </c>
      <c r="AB33" s="207">
        <v>1.533012314</v>
      </c>
      <c r="AC33" s="26">
        <v>0</v>
      </c>
      <c r="AE33" s="206" t="s">
        <v>45</v>
      </c>
      <c r="AF33" s="216">
        <v>42201</v>
      </c>
      <c r="AG33" s="14" t="s">
        <v>168</v>
      </c>
      <c r="AH33" s="216">
        <v>45489</v>
      </c>
      <c r="AI33" s="14" t="s">
        <v>106</v>
      </c>
      <c r="AJ33" s="14">
        <v>0</v>
      </c>
      <c r="AK33" s="14">
        <v>0</v>
      </c>
      <c r="AL33" s="207">
        <v>0.90700000000000003</v>
      </c>
      <c r="AM33" s="26">
        <v>0</v>
      </c>
      <c r="AO33" s="206" t="s">
        <v>45</v>
      </c>
      <c r="AP33" s="216">
        <v>42201</v>
      </c>
      <c r="AQ33" s="14" t="s">
        <v>145</v>
      </c>
      <c r="AR33" s="216">
        <v>47315</v>
      </c>
      <c r="AS33" s="14" t="s">
        <v>111</v>
      </c>
      <c r="AT33" s="14">
        <v>0</v>
      </c>
      <c r="AU33" s="14">
        <v>0</v>
      </c>
      <c r="AV33" s="207">
        <v>1.630286004</v>
      </c>
      <c r="AW33" s="26">
        <v>0</v>
      </c>
      <c r="AY33" s="206" t="s">
        <v>46</v>
      </c>
      <c r="AZ33" s="216">
        <v>42201</v>
      </c>
      <c r="BA33" s="14" t="s">
        <v>147</v>
      </c>
      <c r="BB33" s="216">
        <v>43662</v>
      </c>
      <c r="BC33" s="14" t="s">
        <v>101</v>
      </c>
      <c r="BD33" s="14">
        <v>0</v>
      </c>
      <c r="BE33" s="14">
        <v>0</v>
      </c>
      <c r="BF33" s="207">
        <v>9.9000000000000005E-2</v>
      </c>
      <c r="BG33" s="26">
        <v>0</v>
      </c>
    </row>
    <row r="34" spans="1:59" x14ac:dyDescent="0.2">
      <c r="A34" s="206" t="s">
        <v>45</v>
      </c>
      <c r="B34" s="216">
        <v>42201</v>
      </c>
      <c r="C34" s="14" t="s">
        <v>99</v>
      </c>
      <c r="D34" s="216">
        <v>11155</v>
      </c>
      <c r="E34" s="14" t="s">
        <v>112</v>
      </c>
      <c r="F34" s="14">
        <v>0</v>
      </c>
      <c r="G34" s="14">
        <v>0</v>
      </c>
      <c r="H34" s="207">
        <v>1.518</v>
      </c>
      <c r="I34" s="26">
        <v>0</v>
      </c>
      <c r="K34" s="206" t="s">
        <v>45</v>
      </c>
      <c r="L34" s="216">
        <v>42201</v>
      </c>
      <c r="M34" s="14" t="s">
        <v>136</v>
      </c>
      <c r="N34" s="216">
        <v>11155</v>
      </c>
      <c r="O34" s="14" t="s">
        <v>112</v>
      </c>
      <c r="P34" s="14">
        <v>0</v>
      </c>
      <c r="Q34" s="14">
        <v>0</v>
      </c>
      <c r="R34" s="207">
        <v>1.5860000000000001</v>
      </c>
      <c r="S34" s="26">
        <v>0</v>
      </c>
      <c r="U34" s="206" t="s">
        <v>45</v>
      </c>
      <c r="V34" s="216">
        <v>42201</v>
      </c>
      <c r="W34" s="14" t="s">
        <v>136</v>
      </c>
      <c r="X34" s="216">
        <v>11155</v>
      </c>
      <c r="Y34" s="14" t="s">
        <v>112</v>
      </c>
      <c r="Z34" s="14">
        <v>0</v>
      </c>
      <c r="AA34" s="14">
        <v>0</v>
      </c>
      <c r="AB34" s="207">
        <v>1.5860000000000001</v>
      </c>
      <c r="AC34" s="26">
        <v>0</v>
      </c>
      <c r="AE34" s="206" t="s">
        <v>45</v>
      </c>
      <c r="AF34" s="216">
        <v>42201</v>
      </c>
      <c r="AG34" s="14" t="s">
        <v>168</v>
      </c>
      <c r="AH34" s="216">
        <v>45854</v>
      </c>
      <c r="AI34" s="14" t="s">
        <v>107</v>
      </c>
      <c r="AJ34" s="14">
        <v>0</v>
      </c>
      <c r="AK34" s="14">
        <v>0</v>
      </c>
      <c r="AL34" s="207">
        <v>1.0249999999999999</v>
      </c>
      <c r="AM34" s="26">
        <v>0</v>
      </c>
      <c r="AO34" s="206" t="s">
        <v>45</v>
      </c>
      <c r="AP34" s="216">
        <v>42201</v>
      </c>
      <c r="AQ34" s="14" t="s">
        <v>145</v>
      </c>
      <c r="AR34" s="216">
        <v>11155</v>
      </c>
      <c r="AS34" s="14" t="s">
        <v>112</v>
      </c>
      <c r="AT34" s="14">
        <v>0</v>
      </c>
      <c r="AU34" s="14">
        <v>0</v>
      </c>
      <c r="AV34" s="207">
        <v>1.68</v>
      </c>
      <c r="AW34" s="26">
        <v>0</v>
      </c>
      <c r="AY34" s="206" t="s">
        <v>46</v>
      </c>
      <c r="AZ34" s="216">
        <v>42201</v>
      </c>
      <c r="BA34" s="14" t="s">
        <v>147</v>
      </c>
      <c r="BB34" s="216">
        <v>44028</v>
      </c>
      <c r="BC34" s="14" t="s">
        <v>102</v>
      </c>
      <c r="BD34" s="14">
        <v>0</v>
      </c>
      <c r="BE34" s="14">
        <v>0</v>
      </c>
      <c r="BF34" s="207">
        <v>0.252</v>
      </c>
      <c r="BG34" s="26">
        <v>0</v>
      </c>
    </row>
    <row r="35" spans="1:59" x14ac:dyDescent="0.2">
      <c r="A35" s="206" t="s">
        <v>45</v>
      </c>
      <c r="B35" s="216">
        <v>42201</v>
      </c>
      <c r="C35" s="14" t="s">
        <v>99</v>
      </c>
      <c r="D35" s="216">
        <v>11520</v>
      </c>
      <c r="E35" s="14" t="s">
        <v>113</v>
      </c>
      <c r="F35" s="14">
        <v>0</v>
      </c>
      <c r="G35" s="14">
        <v>0</v>
      </c>
      <c r="H35" s="207">
        <v>1.56558749</v>
      </c>
      <c r="I35" s="26">
        <v>0</v>
      </c>
      <c r="K35" s="206" t="s">
        <v>45</v>
      </c>
      <c r="L35" s="216">
        <v>42201</v>
      </c>
      <c r="M35" s="14" t="s">
        <v>136</v>
      </c>
      <c r="N35" s="216">
        <v>11520</v>
      </c>
      <c r="O35" s="14" t="s">
        <v>113</v>
      </c>
      <c r="P35" s="14">
        <v>0</v>
      </c>
      <c r="Q35" s="14">
        <v>0</v>
      </c>
      <c r="R35" s="207">
        <v>1.6307482360000001</v>
      </c>
      <c r="S35" s="26">
        <v>0</v>
      </c>
      <c r="U35" s="206" t="s">
        <v>45</v>
      </c>
      <c r="V35" s="216">
        <v>42201</v>
      </c>
      <c r="W35" s="14" t="s">
        <v>136</v>
      </c>
      <c r="X35" s="216">
        <v>11520</v>
      </c>
      <c r="Y35" s="14" t="s">
        <v>113</v>
      </c>
      <c r="Z35" s="14">
        <v>0</v>
      </c>
      <c r="AA35" s="14">
        <v>0</v>
      </c>
      <c r="AB35" s="207">
        <v>1.6307482360000001</v>
      </c>
      <c r="AC35" s="26">
        <v>0</v>
      </c>
      <c r="AE35" s="206" t="s">
        <v>45</v>
      </c>
      <c r="AF35" s="216">
        <v>42201</v>
      </c>
      <c r="AG35" s="14" t="s">
        <v>168</v>
      </c>
      <c r="AH35" s="216">
        <v>46219</v>
      </c>
      <c r="AI35" s="14" t="s">
        <v>108</v>
      </c>
      <c r="AJ35" s="14">
        <v>0</v>
      </c>
      <c r="AK35" s="14">
        <v>0</v>
      </c>
      <c r="AL35" s="207">
        <v>1.1295080799999999</v>
      </c>
      <c r="AM35" s="26">
        <v>0</v>
      </c>
      <c r="AO35" s="206" t="s">
        <v>45</v>
      </c>
      <c r="AP35" s="216">
        <v>42201</v>
      </c>
      <c r="AQ35" s="14" t="s">
        <v>145</v>
      </c>
      <c r="AR35" s="216">
        <v>11520</v>
      </c>
      <c r="AS35" s="14" t="s">
        <v>113</v>
      </c>
      <c r="AT35" s="14">
        <v>0</v>
      </c>
      <c r="AU35" s="14">
        <v>0</v>
      </c>
      <c r="AV35" s="207">
        <v>1.72195637</v>
      </c>
      <c r="AW35" s="26">
        <v>0</v>
      </c>
      <c r="AY35" s="206" t="s">
        <v>46</v>
      </c>
      <c r="AZ35" s="216">
        <v>42201</v>
      </c>
      <c r="BA35" s="14" t="s">
        <v>147</v>
      </c>
      <c r="BB35" s="216">
        <v>44393</v>
      </c>
      <c r="BC35" s="14" t="s">
        <v>103</v>
      </c>
      <c r="BD35" s="14">
        <v>0</v>
      </c>
      <c r="BE35" s="14">
        <v>0</v>
      </c>
      <c r="BF35" s="207">
        <v>0.41099999999999998</v>
      </c>
      <c r="BG35" s="26">
        <v>0</v>
      </c>
    </row>
    <row r="36" spans="1:59" x14ac:dyDescent="0.2">
      <c r="A36" s="206" t="s">
        <v>45</v>
      </c>
      <c r="B36" s="216">
        <v>42201</v>
      </c>
      <c r="C36" s="14" t="s">
        <v>99</v>
      </c>
      <c r="D36" s="216">
        <v>11886</v>
      </c>
      <c r="E36" s="14" t="s">
        <v>114</v>
      </c>
      <c r="F36" s="14">
        <v>0</v>
      </c>
      <c r="G36" s="14">
        <v>0</v>
      </c>
      <c r="H36" s="207">
        <v>1.6058579710000001</v>
      </c>
      <c r="I36" s="26">
        <v>0</v>
      </c>
      <c r="K36" s="206" t="s">
        <v>45</v>
      </c>
      <c r="L36" s="216">
        <v>42201</v>
      </c>
      <c r="M36" s="14" t="s">
        <v>136</v>
      </c>
      <c r="N36" s="216">
        <v>11886</v>
      </c>
      <c r="O36" s="14" t="s">
        <v>114</v>
      </c>
      <c r="P36" s="14">
        <v>0</v>
      </c>
      <c r="Q36" s="14">
        <v>0</v>
      </c>
      <c r="R36" s="207">
        <v>1.668436974</v>
      </c>
      <c r="S36" s="26">
        <v>0</v>
      </c>
      <c r="U36" s="206" t="s">
        <v>45</v>
      </c>
      <c r="V36" s="216">
        <v>42201</v>
      </c>
      <c r="W36" s="14" t="s">
        <v>136</v>
      </c>
      <c r="X36" s="216">
        <v>11886</v>
      </c>
      <c r="Y36" s="14" t="s">
        <v>114</v>
      </c>
      <c r="Z36" s="14">
        <v>0</v>
      </c>
      <c r="AA36" s="14">
        <v>0</v>
      </c>
      <c r="AB36" s="207">
        <v>1.668436974</v>
      </c>
      <c r="AC36" s="26">
        <v>0</v>
      </c>
      <c r="AE36" s="206" t="s">
        <v>45</v>
      </c>
      <c r="AF36" s="216">
        <v>42201</v>
      </c>
      <c r="AG36" s="14" t="s">
        <v>168</v>
      </c>
      <c r="AH36" s="216">
        <v>46584</v>
      </c>
      <c r="AI36" s="14" t="s">
        <v>109</v>
      </c>
      <c r="AJ36" s="14">
        <v>0</v>
      </c>
      <c r="AK36" s="14">
        <v>0</v>
      </c>
      <c r="AL36" s="207">
        <v>1.2210000000000001</v>
      </c>
      <c r="AM36" s="26">
        <v>0</v>
      </c>
      <c r="AO36" s="206" t="s">
        <v>45</v>
      </c>
      <c r="AP36" s="216">
        <v>42201</v>
      </c>
      <c r="AQ36" s="14" t="s">
        <v>145</v>
      </c>
      <c r="AR36" s="216">
        <v>11886</v>
      </c>
      <c r="AS36" s="14" t="s">
        <v>114</v>
      </c>
      <c r="AT36" s="14">
        <v>0</v>
      </c>
      <c r="AU36" s="14">
        <v>0</v>
      </c>
      <c r="AV36" s="207">
        <v>1.7572469369999999</v>
      </c>
      <c r="AW36" s="26">
        <v>0</v>
      </c>
      <c r="AY36" s="206" t="s">
        <v>46</v>
      </c>
      <c r="AZ36" s="216">
        <v>42201</v>
      </c>
      <c r="BA36" s="14" t="s">
        <v>147</v>
      </c>
      <c r="BB36" s="216">
        <v>44760</v>
      </c>
      <c r="BC36" s="14" t="s">
        <v>104</v>
      </c>
      <c r="BD36" s="14">
        <v>0</v>
      </c>
      <c r="BE36" s="14">
        <v>0</v>
      </c>
      <c r="BF36" s="207">
        <v>0.56599999999999995</v>
      </c>
      <c r="BG36" s="26">
        <v>0</v>
      </c>
    </row>
    <row r="37" spans="1:59" x14ac:dyDescent="0.2">
      <c r="A37" s="206" t="s">
        <v>45</v>
      </c>
      <c r="B37" s="216">
        <v>42201</v>
      </c>
      <c r="C37" s="14" t="s">
        <v>99</v>
      </c>
      <c r="D37" s="216">
        <v>12253</v>
      </c>
      <c r="E37" s="14" t="s">
        <v>115</v>
      </c>
      <c r="F37" s="14">
        <v>0</v>
      </c>
      <c r="G37" s="14">
        <v>0</v>
      </c>
      <c r="H37" s="207">
        <v>1.638988093</v>
      </c>
      <c r="I37" s="26">
        <v>0</v>
      </c>
      <c r="K37" s="206" t="s">
        <v>45</v>
      </c>
      <c r="L37" s="216">
        <v>42201</v>
      </c>
      <c r="M37" s="14" t="s">
        <v>136</v>
      </c>
      <c r="N37" s="216">
        <v>12253</v>
      </c>
      <c r="O37" s="14" t="s">
        <v>115</v>
      </c>
      <c r="P37" s="14">
        <v>0</v>
      </c>
      <c r="Q37" s="14">
        <v>0</v>
      </c>
      <c r="R37" s="207">
        <v>1.699186394</v>
      </c>
      <c r="S37" s="26">
        <v>0</v>
      </c>
      <c r="U37" s="206" t="s">
        <v>45</v>
      </c>
      <c r="V37" s="216">
        <v>42201</v>
      </c>
      <c r="W37" s="14" t="s">
        <v>136</v>
      </c>
      <c r="X37" s="216">
        <v>12253</v>
      </c>
      <c r="Y37" s="14" t="s">
        <v>115</v>
      </c>
      <c r="Z37" s="14">
        <v>0</v>
      </c>
      <c r="AA37" s="14">
        <v>0</v>
      </c>
      <c r="AB37" s="207">
        <v>1.699186394</v>
      </c>
      <c r="AC37" s="26">
        <v>0</v>
      </c>
      <c r="AE37" s="206" t="s">
        <v>45</v>
      </c>
      <c r="AF37" s="216">
        <v>42201</v>
      </c>
      <c r="AG37" s="14" t="s">
        <v>168</v>
      </c>
      <c r="AH37" s="216">
        <v>46951</v>
      </c>
      <c r="AI37" s="14" t="s">
        <v>110</v>
      </c>
      <c r="AJ37" s="14">
        <v>0</v>
      </c>
      <c r="AK37" s="14">
        <v>0</v>
      </c>
      <c r="AL37" s="207">
        <v>1.3007141550000001</v>
      </c>
      <c r="AM37" s="26">
        <v>0</v>
      </c>
      <c r="AO37" s="206" t="s">
        <v>45</v>
      </c>
      <c r="AP37" s="216">
        <v>42201</v>
      </c>
      <c r="AQ37" s="14" t="s">
        <v>145</v>
      </c>
      <c r="AR37" s="216">
        <v>12253</v>
      </c>
      <c r="AS37" s="14" t="s">
        <v>115</v>
      </c>
      <c r="AT37" s="14">
        <v>0</v>
      </c>
      <c r="AU37" s="14">
        <v>0</v>
      </c>
      <c r="AV37" s="207">
        <v>1.785865509</v>
      </c>
      <c r="AW37" s="26">
        <v>0</v>
      </c>
      <c r="AY37" s="206" t="s">
        <v>46</v>
      </c>
      <c r="AZ37" s="216">
        <v>42201</v>
      </c>
      <c r="BA37" s="14" t="s">
        <v>147</v>
      </c>
      <c r="BB37" s="216">
        <v>45124</v>
      </c>
      <c r="BC37" s="14" t="s">
        <v>105</v>
      </c>
      <c r="BD37" s="14">
        <v>0</v>
      </c>
      <c r="BE37" s="14">
        <v>0</v>
      </c>
      <c r="BF37" s="207">
        <v>0.71199999999999997</v>
      </c>
      <c r="BG37" s="26">
        <v>0</v>
      </c>
    </row>
    <row r="38" spans="1:59" x14ac:dyDescent="0.2">
      <c r="A38" s="206" t="s">
        <v>45</v>
      </c>
      <c r="B38" s="216">
        <v>42201</v>
      </c>
      <c r="C38" s="14" t="s">
        <v>99</v>
      </c>
      <c r="D38" s="216">
        <v>12617</v>
      </c>
      <c r="E38" s="14" t="s">
        <v>116</v>
      </c>
      <c r="F38" s="14">
        <v>0</v>
      </c>
      <c r="G38" s="14">
        <v>0</v>
      </c>
      <c r="H38" s="207">
        <v>1.6654545839999999</v>
      </c>
      <c r="I38" s="26">
        <v>0</v>
      </c>
      <c r="K38" s="206" t="s">
        <v>45</v>
      </c>
      <c r="L38" s="216">
        <v>42201</v>
      </c>
      <c r="M38" s="14" t="s">
        <v>136</v>
      </c>
      <c r="N38" s="216">
        <v>12617</v>
      </c>
      <c r="O38" s="14" t="s">
        <v>116</v>
      </c>
      <c r="P38" s="14">
        <v>0</v>
      </c>
      <c r="Q38" s="14">
        <v>0</v>
      </c>
      <c r="R38" s="207">
        <v>1.723475088</v>
      </c>
      <c r="S38" s="26">
        <v>0</v>
      </c>
      <c r="U38" s="206" t="s">
        <v>45</v>
      </c>
      <c r="V38" s="216">
        <v>42201</v>
      </c>
      <c r="W38" s="14" t="s">
        <v>136</v>
      </c>
      <c r="X38" s="216">
        <v>12617</v>
      </c>
      <c r="Y38" s="14" t="s">
        <v>116</v>
      </c>
      <c r="Z38" s="14">
        <v>0</v>
      </c>
      <c r="AA38" s="14">
        <v>0</v>
      </c>
      <c r="AB38" s="207">
        <v>1.723475088</v>
      </c>
      <c r="AC38" s="26">
        <v>0</v>
      </c>
      <c r="AE38" s="206" t="s">
        <v>45</v>
      </c>
      <c r="AF38" s="216">
        <v>42201</v>
      </c>
      <c r="AG38" s="14" t="s">
        <v>168</v>
      </c>
      <c r="AH38" s="216">
        <v>47315</v>
      </c>
      <c r="AI38" s="14" t="s">
        <v>111</v>
      </c>
      <c r="AJ38" s="14">
        <v>0</v>
      </c>
      <c r="AK38" s="14">
        <v>0</v>
      </c>
      <c r="AL38" s="207">
        <v>1.368582886</v>
      </c>
      <c r="AM38" s="26">
        <v>0</v>
      </c>
      <c r="AO38" s="206" t="s">
        <v>45</v>
      </c>
      <c r="AP38" s="216">
        <v>42201</v>
      </c>
      <c r="AQ38" s="14" t="s">
        <v>145</v>
      </c>
      <c r="AR38" s="216">
        <v>12617</v>
      </c>
      <c r="AS38" s="14" t="s">
        <v>116</v>
      </c>
      <c r="AT38" s="14">
        <v>0</v>
      </c>
      <c r="AU38" s="14">
        <v>0</v>
      </c>
      <c r="AV38" s="207">
        <v>1.8082444710000001</v>
      </c>
      <c r="AW38" s="26">
        <v>0</v>
      </c>
      <c r="AY38" s="206" t="s">
        <v>46</v>
      </c>
      <c r="AZ38" s="216">
        <v>42201</v>
      </c>
      <c r="BA38" s="14" t="s">
        <v>147</v>
      </c>
      <c r="BB38" s="216">
        <v>45489</v>
      </c>
      <c r="BC38" s="14" t="s">
        <v>106</v>
      </c>
      <c r="BD38" s="14">
        <v>0</v>
      </c>
      <c r="BE38" s="14">
        <v>0</v>
      </c>
      <c r="BF38" s="207">
        <v>0.84399999999999997</v>
      </c>
      <c r="BG38" s="26">
        <v>0</v>
      </c>
    </row>
    <row r="39" spans="1:59" x14ac:dyDescent="0.2">
      <c r="A39" s="206" t="s">
        <v>45</v>
      </c>
      <c r="B39" s="216">
        <v>42201</v>
      </c>
      <c r="C39" s="14" t="s">
        <v>99</v>
      </c>
      <c r="D39" s="216">
        <v>12981</v>
      </c>
      <c r="E39" s="14" t="s">
        <v>117</v>
      </c>
      <c r="F39" s="14">
        <v>0</v>
      </c>
      <c r="G39" s="14">
        <v>0</v>
      </c>
      <c r="H39" s="207">
        <v>1.6859999999999999</v>
      </c>
      <c r="I39" s="26">
        <v>0</v>
      </c>
      <c r="K39" s="206" t="s">
        <v>45</v>
      </c>
      <c r="L39" s="216">
        <v>42201</v>
      </c>
      <c r="M39" s="14" t="s">
        <v>136</v>
      </c>
      <c r="N39" s="216">
        <v>12981</v>
      </c>
      <c r="O39" s="14" t="s">
        <v>117</v>
      </c>
      <c r="P39" s="14">
        <v>0</v>
      </c>
      <c r="Q39" s="14">
        <v>0</v>
      </c>
      <c r="R39" s="207">
        <v>1.742</v>
      </c>
      <c r="S39" s="26">
        <v>0</v>
      </c>
      <c r="U39" s="206" t="s">
        <v>45</v>
      </c>
      <c r="V39" s="216">
        <v>42201</v>
      </c>
      <c r="W39" s="14" t="s">
        <v>136</v>
      </c>
      <c r="X39" s="216">
        <v>12981</v>
      </c>
      <c r="Y39" s="14" t="s">
        <v>117</v>
      </c>
      <c r="Z39" s="14">
        <v>0</v>
      </c>
      <c r="AA39" s="14">
        <v>0</v>
      </c>
      <c r="AB39" s="207">
        <v>1.742</v>
      </c>
      <c r="AC39" s="26">
        <v>0</v>
      </c>
      <c r="AE39" s="206" t="s">
        <v>45</v>
      </c>
      <c r="AF39" s="216">
        <v>42201</v>
      </c>
      <c r="AG39" s="14" t="s">
        <v>168</v>
      </c>
      <c r="AH39" s="216">
        <v>11155</v>
      </c>
      <c r="AI39" s="14" t="s">
        <v>112</v>
      </c>
      <c r="AJ39" s="14">
        <v>0</v>
      </c>
      <c r="AK39" s="14">
        <v>0</v>
      </c>
      <c r="AL39" s="207">
        <v>1.427</v>
      </c>
      <c r="AM39" s="26">
        <v>0</v>
      </c>
      <c r="AO39" s="206" t="s">
        <v>45</v>
      </c>
      <c r="AP39" s="216">
        <v>42201</v>
      </c>
      <c r="AQ39" s="14" t="s">
        <v>145</v>
      </c>
      <c r="AR39" s="216">
        <v>12981</v>
      </c>
      <c r="AS39" s="14" t="s">
        <v>117</v>
      </c>
      <c r="AT39" s="14">
        <v>0</v>
      </c>
      <c r="AU39" s="14">
        <v>0</v>
      </c>
      <c r="AV39" s="207">
        <v>1.825</v>
      </c>
      <c r="AW39" s="26">
        <v>0</v>
      </c>
      <c r="AY39" s="206" t="s">
        <v>46</v>
      </c>
      <c r="AZ39" s="216">
        <v>42201</v>
      </c>
      <c r="BA39" s="14" t="s">
        <v>147</v>
      </c>
      <c r="BB39" s="216">
        <v>45854</v>
      </c>
      <c r="BC39" s="14" t="s">
        <v>107</v>
      </c>
      <c r="BD39" s="14">
        <v>0</v>
      </c>
      <c r="BE39" s="14">
        <v>0</v>
      </c>
      <c r="BF39" s="207">
        <v>0.96199999999999997</v>
      </c>
      <c r="BG39" s="26">
        <v>0</v>
      </c>
    </row>
    <row r="40" spans="1:59" x14ac:dyDescent="0.2">
      <c r="A40" s="206" t="s">
        <v>45</v>
      </c>
      <c r="B40" s="216">
        <v>42201</v>
      </c>
      <c r="C40" s="14" t="s">
        <v>99</v>
      </c>
      <c r="D40" s="216">
        <v>13347</v>
      </c>
      <c r="E40" s="14" t="s">
        <v>118</v>
      </c>
      <c r="F40" s="14">
        <v>0</v>
      </c>
      <c r="G40" s="14">
        <v>0</v>
      </c>
      <c r="H40" s="207">
        <v>1.7014261749999999</v>
      </c>
      <c r="I40" s="26">
        <v>0</v>
      </c>
      <c r="K40" s="206" t="s">
        <v>45</v>
      </c>
      <c r="L40" s="216">
        <v>42201</v>
      </c>
      <c r="M40" s="14" t="s">
        <v>136</v>
      </c>
      <c r="N40" s="216">
        <v>13347</v>
      </c>
      <c r="O40" s="14" t="s">
        <v>118</v>
      </c>
      <c r="P40" s="14">
        <v>0</v>
      </c>
      <c r="Q40" s="14">
        <v>0</v>
      </c>
      <c r="R40" s="207">
        <v>1.755541649</v>
      </c>
      <c r="S40" s="26">
        <v>0</v>
      </c>
      <c r="U40" s="206" t="s">
        <v>45</v>
      </c>
      <c r="V40" s="216">
        <v>42201</v>
      </c>
      <c r="W40" s="14" t="s">
        <v>136</v>
      </c>
      <c r="X40" s="216">
        <v>13347</v>
      </c>
      <c r="Y40" s="14" t="s">
        <v>118</v>
      </c>
      <c r="Z40" s="14">
        <v>0</v>
      </c>
      <c r="AA40" s="14">
        <v>0</v>
      </c>
      <c r="AB40" s="207">
        <v>1.755541649</v>
      </c>
      <c r="AC40" s="26">
        <v>0</v>
      </c>
      <c r="AE40" s="206" t="s">
        <v>45</v>
      </c>
      <c r="AF40" s="216">
        <v>42201</v>
      </c>
      <c r="AG40" s="14" t="s">
        <v>168</v>
      </c>
      <c r="AH40" s="216">
        <v>11520</v>
      </c>
      <c r="AI40" s="14" t="s">
        <v>113</v>
      </c>
      <c r="AJ40" s="14">
        <v>0</v>
      </c>
      <c r="AK40" s="14">
        <v>0</v>
      </c>
      <c r="AL40" s="207">
        <v>1.47678241</v>
      </c>
      <c r="AM40" s="26">
        <v>0</v>
      </c>
      <c r="AO40" s="206" t="s">
        <v>45</v>
      </c>
      <c r="AP40" s="216">
        <v>42201</v>
      </c>
      <c r="AQ40" s="14" t="s">
        <v>145</v>
      </c>
      <c r="AR40" s="216">
        <v>13347</v>
      </c>
      <c r="AS40" s="14" t="s">
        <v>118</v>
      </c>
      <c r="AT40" s="14">
        <v>0</v>
      </c>
      <c r="AU40" s="14">
        <v>0</v>
      </c>
      <c r="AV40" s="207">
        <v>1.836874272</v>
      </c>
      <c r="AW40" s="26">
        <v>0</v>
      </c>
      <c r="AY40" s="206" t="s">
        <v>46</v>
      </c>
      <c r="AZ40" s="216">
        <v>42201</v>
      </c>
      <c r="BA40" s="14" t="s">
        <v>147</v>
      </c>
      <c r="BB40" s="216">
        <v>46219</v>
      </c>
      <c r="BC40" s="14" t="s">
        <v>108</v>
      </c>
      <c r="BD40" s="14">
        <v>0</v>
      </c>
      <c r="BE40" s="14">
        <v>0</v>
      </c>
      <c r="BF40" s="207">
        <v>1.0660000000000001</v>
      </c>
      <c r="BG40" s="26">
        <v>0</v>
      </c>
    </row>
    <row r="41" spans="1:59" x14ac:dyDescent="0.2">
      <c r="A41" s="206" t="s">
        <v>45</v>
      </c>
      <c r="B41" s="216">
        <v>42201</v>
      </c>
      <c r="C41" s="14" t="s">
        <v>99</v>
      </c>
      <c r="D41" s="216">
        <v>13712</v>
      </c>
      <c r="E41" s="14" t="s">
        <v>119</v>
      </c>
      <c r="F41" s="14">
        <v>0</v>
      </c>
      <c r="G41" s="14">
        <v>0</v>
      </c>
      <c r="H41" s="207">
        <v>1.7123745699999999</v>
      </c>
      <c r="I41" s="26">
        <v>0</v>
      </c>
      <c r="K41" s="206" t="s">
        <v>45</v>
      </c>
      <c r="L41" s="216">
        <v>42201</v>
      </c>
      <c r="M41" s="14" t="s">
        <v>136</v>
      </c>
      <c r="N41" s="216">
        <v>13712</v>
      </c>
      <c r="O41" s="14" t="s">
        <v>119</v>
      </c>
      <c r="P41" s="14">
        <v>0</v>
      </c>
      <c r="Q41" s="14">
        <v>0</v>
      </c>
      <c r="R41" s="207">
        <v>1.7647449989999999</v>
      </c>
      <c r="S41" s="26">
        <v>0</v>
      </c>
      <c r="U41" s="206" t="s">
        <v>45</v>
      </c>
      <c r="V41" s="216">
        <v>42201</v>
      </c>
      <c r="W41" s="14" t="s">
        <v>136</v>
      </c>
      <c r="X41" s="216">
        <v>13712</v>
      </c>
      <c r="Y41" s="14" t="s">
        <v>119</v>
      </c>
      <c r="Z41" s="14">
        <v>0</v>
      </c>
      <c r="AA41" s="14">
        <v>0</v>
      </c>
      <c r="AB41" s="207">
        <v>1.7647449989999999</v>
      </c>
      <c r="AC41" s="26">
        <v>0</v>
      </c>
      <c r="AE41" s="206" t="s">
        <v>45</v>
      </c>
      <c r="AF41" s="216">
        <v>42201</v>
      </c>
      <c r="AG41" s="14" t="s">
        <v>168</v>
      </c>
      <c r="AH41" s="216">
        <v>11886</v>
      </c>
      <c r="AI41" s="14" t="s">
        <v>114</v>
      </c>
      <c r="AJ41" s="14">
        <v>0</v>
      </c>
      <c r="AK41" s="14">
        <v>0</v>
      </c>
      <c r="AL41" s="207">
        <v>1.519116911</v>
      </c>
      <c r="AM41" s="26">
        <v>0</v>
      </c>
      <c r="AO41" s="206" t="s">
        <v>45</v>
      </c>
      <c r="AP41" s="216">
        <v>42201</v>
      </c>
      <c r="AQ41" s="14" t="s">
        <v>145</v>
      </c>
      <c r="AR41" s="216">
        <v>13712</v>
      </c>
      <c r="AS41" s="14" t="s">
        <v>119</v>
      </c>
      <c r="AT41" s="14">
        <v>0</v>
      </c>
      <c r="AU41" s="14">
        <v>0</v>
      </c>
      <c r="AV41" s="207">
        <v>1.844521791</v>
      </c>
      <c r="AW41" s="26">
        <v>0</v>
      </c>
      <c r="AY41" s="206" t="s">
        <v>46</v>
      </c>
      <c r="AZ41" s="216">
        <v>42201</v>
      </c>
      <c r="BA41" s="14" t="s">
        <v>147</v>
      </c>
      <c r="BB41" s="216">
        <v>46584</v>
      </c>
      <c r="BC41" s="14" t="s">
        <v>109</v>
      </c>
      <c r="BD41" s="14">
        <v>0</v>
      </c>
      <c r="BE41" s="14">
        <v>0</v>
      </c>
      <c r="BF41" s="207">
        <v>1.1599999999999999</v>
      </c>
      <c r="BG41" s="26">
        <v>0</v>
      </c>
    </row>
    <row r="42" spans="1:59" x14ac:dyDescent="0.2">
      <c r="A42" s="206" t="s">
        <v>45</v>
      </c>
      <c r="B42" s="216">
        <v>42201</v>
      </c>
      <c r="C42" s="14" t="s">
        <v>99</v>
      </c>
      <c r="D42" s="216">
        <v>14077</v>
      </c>
      <c r="E42" s="14" t="s">
        <v>120</v>
      </c>
      <c r="F42" s="14">
        <v>0</v>
      </c>
      <c r="G42" s="14">
        <v>0</v>
      </c>
      <c r="H42" s="207">
        <v>1.720183054</v>
      </c>
      <c r="I42" s="26">
        <v>0</v>
      </c>
      <c r="K42" s="206" t="s">
        <v>45</v>
      </c>
      <c r="L42" s="216">
        <v>42201</v>
      </c>
      <c r="M42" s="14" t="s">
        <v>136</v>
      </c>
      <c r="N42" s="216">
        <v>14077</v>
      </c>
      <c r="O42" s="14" t="s">
        <v>120</v>
      </c>
      <c r="P42" s="14">
        <v>0</v>
      </c>
      <c r="Q42" s="14">
        <v>0</v>
      </c>
      <c r="R42" s="207">
        <v>1.770951248</v>
      </c>
      <c r="S42" s="26">
        <v>0</v>
      </c>
      <c r="U42" s="206" t="s">
        <v>45</v>
      </c>
      <c r="V42" s="216">
        <v>42201</v>
      </c>
      <c r="W42" s="14" t="s">
        <v>136</v>
      </c>
      <c r="X42" s="216">
        <v>14077</v>
      </c>
      <c r="Y42" s="14" t="s">
        <v>120</v>
      </c>
      <c r="Z42" s="14">
        <v>0</v>
      </c>
      <c r="AA42" s="14">
        <v>0</v>
      </c>
      <c r="AB42" s="207">
        <v>1.770951248</v>
      </c>
      <c r="AC42" s="26">
        <v>0</v>
      </c>
      <c r="AE42" s="206" t="s">
        <v>45</v>
      </c>
      <c r="AF42" s="216">
        <v>42201</v>
      </c>
      <c r="AG42" s="14" t="s">
        <v>168</v>
      </c>
      <c r="AH42" s="216">
        <v>12253</v>
      </c>
      <c r="AI42" s="14" t="s">
        <v>115</v>
      </c>
      <c r="AJ42" s="14">
        <v>0</v>
      </c>
      <c r="AK42" s="14">
        <v>0</v>
      </c>
      <c r="AL42" s="207">
        <v>1.554234857</v>
      </c>
      <c r="AM42" s="26">
        <v>0</v>
      </c>
      <c r="AO42" s="206" t="s">
        <v>45</v>
      </c>
      <c r="AP42" s="216">
        <v>42201</v>
      </c>
      <c r="AQ42" s="14" t="s">
        <v>145</v>
      </c>
      <c r="AR42" s="216">
        <v>14077</v>
      </c>
      <c r="AS42" s="14" t="s">
        <v>120</v>
      </c>
      <c r="AT42" s="14">
        <v>0</v>
      </c>
      <c r="AU42" s="14">
        <v>0</v>
      </c>
      <c r="AV42" s="207">
        <v>1.849309251</v>
      </c>
      <c r="AW42" s="26">
        <v>0</v>
      </c>
      <c r="AY42" s="206" t="s">
        <v>46</v>
      </c>
      <c r="AZ42" s="216">
        <v>42201</v>
      </c>
      <c r="BA42" s="14" t="s">
        <v>147</v>
      </c>
      <c r="BB42" s="216">
        <v>46951</v>
      </c>
      <c r="BC42" s="14" t="s">
        <v>110</v>
      </c>
      <c r="BD42" s="14">
        <v>0</v>
      </c>
      <c r="BE42" s="14">
        <v>0</v>
      </c>
      <c r="BF42" s="207">
        <v>1.2410000000000001</v>
      </c>
      <c r="BG42" s="26">
        <v>0</v>
      </c>
    </row>
    <row r="43" spans="1:59" x14ac:dyDescent="0.2">
      <c r="A43" s="206" t="s">
        <v>45</v>
      </c>
      <c r="B43" s="216">
        <v>42201</v>
      </c>
      <c r="C43" s="14" t="s">
        <v>99</v>
      </c>
      <c r="D43" s="216">
        <v>14444</v>
      </c>
      <c r="E43" s="14" t="s">
        <v>121</v>
      </c>
      <c r="F43" s="14">
        <v>0</v>
      </c>
      <c r="G43" s="14">
        <v>0</v>
      </c>
      <c r="H43" s="207">
        <v>1.7257803190000001</v>
      </c>
      <c r="I43" s="26">
        <v>0</v>
      </c>
      <c r="K43" s="206" t="s">
        <v>45</v>
      </c>
      <c r="L43" s="216">
        <v>42201</v>
      </c>
      <c r="M43" s="14" t="s">
        <v>136</v>
      </c>
      <c r="N43" s="216">
        <v>14444</v>
      </c>
      <c r="O43" s="14" t="s">
        <v>121</v>
      </c>
      <c r="P43" s="14">
        <v>0</v>
      </c>
      <c r="Q43" s="14">
        <v>0</v>
      </c>
      <c r="R43" s="207">
        <v>1.7750833660000001</v>
      </c>
      <c r="S43" s="26">
        <v>0</v>
      </c>
      <c r="U43" s="206" t="s">
        <v>45</v>
      </c>
      <c r="V43" s="216">
        <v>42201</v>
      </c>
      <c r="W43" s="14" t="s">
        <v>136</v>
      </c>
      <c r="X43" s="216">
        <v>14444</v>
      </c>
      <c r="Y43" s="14" t="s">
        <v>121</v>
      </c>
      <c r="Z43" s="14">
        <v>0</v>
      </c>
      <c r="AA43" s="14">
        <v>0</v>
      </c>
      <c r="AB43" s="207">
        <v>1.7750833660000001</v>
      </c>
      <c r="AC43" s="26">
        <v>0</v>
      </c>
      <c r="AE43" s="206" t="s">
        <v>45</v>
      </c>
      <c r="AF43" s="216">
        <v>42201</v>
      </c>
      <c r="AG43" s="14" t="s">
        <v>168</v>
      </c>
      <c r="AH43" s="216">
        <v>12617</v>
      </c>
      <c r="AI43" s="14" t="s">
        <v>116</v>
      </c>
      <c r="AJ43" s="14">
        <v>0</v>
      </c>
      <c r="AK43" s="14">
        <v>0</v>
      </c>
      <c r="AL43" s="207">
        <v>1.582603151</v>
      </c>
      <c r="AM43" s="26">
        <v>0</v>
      </c>
      <c r="AO43" s="206" t="s">
        <v>45</v>
      </c>
      <c r="AP43" s="216">
        <v>42201</v>
      </c>
      <c r="AQ43" s="14" t="s">
        <v>145</v>
      </c>
      <c r="AR43" s="216">
        <v>14444</v>
      </c>
      <c r="AS43" s="14" t="s">
        <v>121</v>
      </c>
      <c r="AT43" s="14">
        <v>0</v>
      </c>
      <c r="AU43" s="14">
        <v>0</v>
      </c>
      <c r="AV43" s="207">
        <v>1.852170125</v>
      </c>
      <c r="AW43" s="26">
        <v>0</v>
      </c>
      <c r="AY43" s="206" t="s">
        <v>46</v>
      </c>
      <c r="AZ43" s="216">
        <v>42201</v>
      </c>
      <c r="BA43" s="14" t="s">
        <v>147</v>
      </c>
      <c r="BB43" s="216">
        <v>47315</v>
      </c>
      <c r="BC43" s="14" t="s">
        <v>111</v>
      </c>
      <c r="BD43" s="14">
        <v>0</v>
      </c>
      <c r="BE43" s="14">
        <v>0</v>
      </c>
      <c r="BF43" s="207">
        <v>1.3080000000000001</v>
      </c>
      <c r="BG43" s="26">
        <v>0</v>
      </c>
    </row>
    <row r="44" spans="1:59" x14ac:dyDescent="0.2">
      <c r="A44" s="206" t="s">
        <v>45</v>
      </c>
      <c r="B44" s="216">
        <v>42201</v>
      </c>
      <c r="C44" s="14" t="s">
        <v>99</v>
      </c>
      <c r="D44" s="216">
        <v>14808</v>
      </c>
      <c r="E44" s="14" t="s">
        <v>122</v>
      </c>
      <c r="F44" s="14">
        <v>0</v>
      </c>
      <c r="G44" s="14">
        <v>0</v>
      </c>
      <c r="H44" s="207">
        <v>1.73</v>
      </c>
      <c r="I44" s="26">
        <v>0</v>
      </c>
      <c r="K44" s="206" t="s">
        <v>45</v>
      </c>
      <c r="L44" s="216">
        <v>42201</v>
      </c>
      <c r="M44" s="14" t="s">
        <v>136</v>
      </c>
      <c r="N44" s="216">
        <v>14808</v>
      </c>
      <c r="O44" s="14" t="s">
        <v>122</v>
      </c>
      <c r="P44" s="14">
        <v>0</v>
      </c>
      <c r="Q44" s="14">
        <v>0</v>
      </c>
      <c r="R44" s="207">
        <v>1.778</v>
      </c>
      <c r="S44" s="26">
        <v>0</v>
      </c>
      <c r="U44" s="206" t="s">
        <v>45</v>
      </c>
      <c r="V44" s="216">
        <v>42201</v>
      </c>
      <c r="W44" s="14" t="s">
        <v>136</v>
      </c>
      <c r="X44" s="216">
        <v>14808</v>
      </c>
      <c r="Y44" s="14" t="s">
        <v>122</v>
      </c>
      <c r="Z44" s="14">
        <v>0</v>
      </c>
      <c r="AA44" s="14">
        <v>0</v>
      </c>
      <c r="AB44" s="207">
        <v>1.778</v>
      </c>
      <c r="AC44" s="26">
        <v>0</v>
      </c>
      <c r="AE44" s="206" t="s">
        <v>45</v>
      </c>
      <c r="AF44" s="216">
        <v>42201</v>
      </c>
      <c r="AG44" s="14" t="s">
        <v>168</v>
      </c>
      <c r="AH44" s="216">
        <v>12981</v>
      </c>
      <c r="AI44" s="14" t="s">
        <v>117</v>
      </c>
      <c r="AJ44" s="14">
        <v>0</v>
      </c>
      <c r="AK44" s="14">
        <v>0</v>
      </c>
      <c r="AL44" s="207">
        <v>1.605</v>
      </c>
      <c r="AM44" s="26">
        <v>0</v>
      </c>
      <c r="AO44" s="206" t="s">
        <v>45</v>
      </c>
      <c r="AP44" s="216">
        <v>42201</v>
      </c>
      <c r="AQ44" s="14" t="s">
        <v>145</v>
      </c>
      <c r="AR44" s="216">
        <v>14808</v>
      </c>
      <c r="AS44" s="14" t="s">
        <v>122</v>
      </c>
      <c r="AT44" s="14">
        <v>0</v>
      </c>
      <c r="AU44" s="14">
        <v>0</v>
      </c>
      <c r="AV44" s="207">
        <v>1.8540000000000001</v>
      </c>
      <c r="AW44" s="26">
        <v>0</v>
      </c>
      <c r="AY44" s="206" t="s">
        <v>46</v>
      </c>
      <c r="AZ44" s="216">
        <v>42201</v>
      </c>
      <c r="BA44" s="14" t="s">
        <v>147</v>
      </c>
      <c r="BB44" s="216">
        <v>11155</v>
      </c>
      <c r="BC44" s="14" t="s">
        <v>112</v>
      </c>
      <c r="BD44" s="14">
        <v>0</v>
      </c>
      <c r="BE44" s="14">
        <v>0</v>
      </c>
      <c r="BF44" s="207">
        <v>1.3660000000000001</v>
      </c>
      <c r="BG44" s="26">
        <v>0</v>
      </c>
    </row>
    <row r="45" spans="1:59" x14ac:dyDescent="0.2">
      <c r="A45" s="206" t="s">
        <v>45</v>
      </c>
      <c r="B45" s="216">
        <v>42201</v>
      </c>
      <c r="C45" s="14" t="s">
        <v>99</v>
      </c>
      <c r="D45" s="216">
        <v>15173</v>
      </c>
      <c r="E45" s="14" t="s">
        <v>123</v>
      </c>
      <c r="F45" s="14">
        <v>0</v>
      </c>
      <c r="G45" s="14">
        <v>0</v>
      </c>
      <c r="H45" s="207">
        <v>1.7331888879999999</v>
      </c>
      <c r="I45" s="26">
        <v>0</v>
      </c>
      <c r="K45" s="206" t="s">
        <v>45</v>
      </c>
      <c r="L45" s="216">
        <v>42201</v>
      </c>
      <c r="M45" s="14" t="s">
        <v>136</v>
      </c>
      <c r="N45" s="216">
        <v>15173</v>
      </c>
      <c r="O45" s="14" t="s">
        <v>123</v>
      </c>
      <c r="P45" s="14">
        <v>0</v>
      </c>
      <c r="Q45" s="14">
        <v>0</v>
      </c>
      <c r="R45" s="207">
        <v>1.780018654</v>
      </c>
      <c r="S45" s="26">
        <v>0</v>
      </c>
      <c r="U45" s="206" t="s">
        <v>45</v>
      </c>
      <c r="V45" s="216">
        <v>42201</v>
      </c>
      <c r="W45" s="14" t="s">
        <v>136</v>
      </c>
      <c r="X45" s="216">
        <v>15173</v>
      </c>
      <c r="Y45" s="14" t="s">
        <v>123</v>
      </c>
      <c r="Z45" s="14">
        <v>0</v>
      </c>
      <c r="AA45" s="14">
        <v>0</v>
      </c>
      <c r="AB45" s="207">
        <v>1.780018654</v>
      </c>
      <c r="AC45" s="26">
        <v>0</v>
      </c>
      <c r="AE45" s="206" t="s">
        <v>45</v>
      </c>
      <c r="AF45" s="216">
        <v>42201</v>
      </c>
      <c r="AG45" s="14" t="s">
        <v>168</v>
      </c>
      <c r="AH45" s="216">
        <v>13347</v>
      </c>
      <c r="AI45" s="14" t="s">
        <v>118</v>
      </c>
      <c r="AJ45" s="14">
        <v>0</v>
      </c>
      <c r="AK45" s="14">
        <v>0</v>
      </c>
      <c r="AL45" s="207">
        <v>1.6222346620000001</v>
      </c>
      <c r="AM45" s="26">
        <v>0</v>
      </c>
      <c r="AO45" s="206" t="s">
        <v>45</v>
      </c>
      <c r="AP45" s="216">
        <v>42201</v>
      </c>
      <c r="AQ45" s="14" t="s">
        <v>145</v>
      </c>
      <c r="AR45" s="216">
        <v>15173</v>
      </c>
      <c r="AS45" s="14" t="s">
        <v>123</v>
      </c>
      <c r="AT45" s="14">
        <v>0</v>
      </c>
      <c r="AU45" s="14">
        <v>0</v>
      </c>
      <c r="AV45" s="207">
        <v>1.8550880190000001</v>
      </c>
      <c r="AW45" s="26">
        <v>0</v>
      </c>
      <c r="AY45" s="206" t="s">
        <v>46</v>
      </c>
      <c r="AZ45" s="216">
        <v>42201</v>
      </c>
      <c r="BA45" s="14" t="s">
        <v>147</v>
      </c>
      <c r="BB45" s="216">
        <v>11520</v>
      </c>
      <c r="BC45" s="14" t="s">
        <v>113</v>
      </c>
      <c r="BD45" s="14">
        <v>0</v>
      </c>
      <c r="BE45" s="14">
        <v>0</v>
      </c>
      <c r="BF45" s="207">
        <v>1.4159999999999999</v>
      </c>
      <c r="BG45" s="26">
        <v>0</v>
      </c>
    </row>
    <row r="46" spans="1:59" x14ac:dyDescent="0.2">
      <c r="A46" s="206" t="s">
        <v>45</v>
      </c>
      <c r="B46" s="216">
        <v>42201</v>
      </c>
      <c r="C46" s="14" t="s">
        <v>99</v>
      </c>
      <c r="D46" s="216">
        <v>15538</v>
      </c>
      <c r="E46" s="14" t="s">
        <v>124</v>
      </c>
      <c r="F46" s="14">
        <v>0</v>
      </c>
      <c r="G46" s="14">
        <v>0</v>
      </c>
      <c r="H46" s="207">
        <v>1.7358838409999999</v>
      </c>
      <c r="I46" s="26">
        <v>0</v>
      </c>
      <c r="K46" s="206" t="s">
        <v>45</v>
      </c>
      <c r="L46" s="216">
        <v>42201</v>
      </c>
      <c r="M46" s="14" t="s">
        <v>136</v>
      </c>
      <c r="N46" s="216">
        <v>15538</v>
      </c>
      <c r="O46" s="14" t="s">
        <v>124</v>
      </c>
      <c r="P46" s="14">
        <v>0</v>
      </c>
      <c r="Q46" s="14">
        <v>0</v>
      </c>
      <c r="R46" s="207">
        <v>1.7816561310000001</v>
      </c>
      <c r="S46" s="26">
        <v>0</v>
      </c>
      <c r="U46" s="206" t="s">
        <v>45</v>
      </c>
      <c r="V46" s="216">
        <v>42201</v>
      </c>
      <c r="W46" s="14" t="s">
        <v>136</v>
      </c>
      <c r="X46" s="216">
        <v>15538</v>
      </c>
      <c r="Y46" s="14" t="s">
        <v>124</v>
      </c>
      <c r="Z46" s="14">
        <v>0</v>
      </c>
      <c r="AA46" s="14">
        <v>0</v>
      </c>
      <c r="AB46" s="207">
        <v>1.7816561310000001</v>
      </c>
      <c r="AC46" s="26">
        <v>0</v>
      </c>
      <c r="AE46" s="206" t="s">
        <v>45</v>
      </c>
      <c r="AF46" s="216">
        <v>42201</v>
      </c>
      <c r="AG46" s="14" t="s">
        <v>168</v>
      </c>
      <c r="AH46" s="216">
        <v>13712</v>
      </c>
      <c r="AI46" s="14" t="s">
        <v>119</v>
      </c>
      <c r="AJ46" s="14">
        <v>0</v>
      </c>
      <c r="AK46" s="14">
        <v>0</v>
      </c>
      <c r="AL46" s="207">
        <v>1.6349201499999999</v>
      </c>
      <c r="AM46" s="26">
        <v>0</v>
      </c>
      <c r="AO46" s="206" t="s">
        <v>45</v>
      </c>
      <c r="AP46" s="216">
        <v>42201</v>
      </c>
      <c r="AQ46" s="14" t="s">
        <v>145</v>
      </c>
      <c r="AR46" s="216">
        <v>15538</v>
      </c>
      <c r="AS46" s="14" t="s">
        <v>124</v>
      </c>
      <c r="AT46" s="14">
        <v>0</v>
      </c>
      <c r="AU46" s="14">
        <v>0</v>
      </c>
      <c r="AV46" s="207">
        <v>1.8559105</v>
      </c>
      <c r="AW46" s="26">
        <v>0</v>
      </c>
      <c r="AY46" s="206" t="s">
        <v>46</v>
      </c>
      <c r="AZ46" s="216">
        <v>42201</v>
      </c>
      <c r="BA46" s="14" t="s">
        <v>147</v>
      </c>
      <c r="BB46" s="216">
        <v>11886</v>
      </c>
      <c r="BC46" s="14" t="s">
        <v>114</v>
      </c>
      <c r="BD46" s="14">
        <v>0</v>
      </c>
      <c r="BE46" s="14">
        <v>0</v>
      </c>
      <c r="BF46" s="207">
        <v>1.458</v>
      </c>
      <c r="BG46" s="26">
        <v>0</v>
      </c>
    </row>
    <row r="47" spans="1:59" x14ac:dyDescent="0.2">
      <c r="A47" s="206" t="s">
        <v>45</v>
      </c>
      <c r="B47" s="216">
        <v>42201</v>
      </c>
      <c r="C47" s="14" t="s">
        <v>99</v>
      </c>
      <c r="D47" s="216">
        <v>15903</v>
      </c>
      <c r="E47" s="14" t="s">
        <v>125</v>
      </c>
      <c r="F47" s="14">
        <v>0</v>
      </c>
      <c r="G47" s="14">
        <v>0</v>
      </c>
      <c r="H47" s="207">
        <v>1.738393265</v>
      </c>
      <c r="I47" s="26">
        <v>0</v>
      </c>
      <c r="K47" s="206" t="s">
        <v>45</v>
      </c>
      <c r="L47" s="216">
        <v>42201</v>
      </c>
      <c r="M47" s="14" t="s">
        <v>136</v>
      </c>
      <c r="N47" s="216">
        <v>15903</v>
      </c>
      <c r="O47" s="14" t="s">
        <v>125</v>
      </c>
      <c r="P47" s="14">
        <v>0</v>
      </c>
      <c r="Q47" s="14">
        <v>0</v>
      </c>
      <c r="R47" s="207">
        <v>1.7831912219999999</v>
      </c>
      <c r="S47" s="26">
        <v>0</v>
      </c>
      <c r="U47" s="206" t="s">
        <v>45</v>
      </c>
      <c r="V47" s="216">
        <v>42201</v>
      </c>
      <c r="W47" s="14" t="s">
        <v>136</v>
      </c>
      <c r="X47" s="216">
        <v>15903</v>
      </c>
      <c r="Y47" s="14" t="s">
        <v>125</v>
      </c>
      <c r="Z47" s="14">
        <v>0</v>
      </c>
      <c r="AA47" s="14">
        <v>0</v>
      </c>
      <c r="AB47" s="207">
        <v>1.7831912219999999</v>
      </c>
      <c r="AC47" s="26">
        <v>0</v>
      </c>
      <c r="AE47" s="206" t="s">
        <v>45</v>
      </c>
      <c r="AF47" s="216">
        <v>42201</v>
      </c>
      <c r="AG47" s="14" t="s">
        <v>168</v>
      </c>
      <c r="AH47" s="216">
        <v>14077</v>
      </c>
      <c r="AI47" s="14" t="s">
        <v>120</v>
      </c>
      <c r="AJ47" s="14">
        <v>0</v>
      </c>
      <c r="AK47" s="14">
        <v>0</v>
      </c>
      <c r="AL47" s="207">
        <v>1.6443572529999999</v>
      </c>
      <c r="AM47" s="26">
        <v>0</v>
      </c>
      <c r="AO47" s="206" t="s">
        <v>45</v>
      </c>
      <c r="AP47" s="216">
        <v>42201</v>
      </c>
      <c r="AQ47" s="14" t="s">
        <v>145</v>
      </c>
      <c r="AR47" s="216">
        <v>15903</v>
      </c>
      <c r="AS47" s="14" t="s">
        <v>125</v>
      </c>
      <c r="AT47" s="14">
        <v>0</v>
      </c>
      <c r="AU47" s="14">
        <v>0</v>
      </c>
      <c r="AV47" s="207">
        <v>1.856691841</v>
      </c>
      <c r="AW47" s="26">
        <v>0</v>
      </c>
      <c r="AY47" s="206" t="s">
        <v>46</v>
      </c>
      <c r="AZ47" s="216">
        <v>42201</v>
      </c>
      <c r="BA47" s="14" t="s">
        <v>147</v>
      </c>
      <c r="BB47" s="216">
        <v>12253</v>
      </c>
      <c r="BC47" s="14" t="s">
        <v>115</v>
      </c>
      <c r="BD47" s="14">
        <v>0</v>
      </c>
      <c r="BE47" s="14">
        <v>0</v>
      </c>
      <c r="BF47" s="207">
        <v>1.494</v>
      </c>
      <c r="BG47" s="26">
        <v>0</v>
      </c>
    </row>
    <row r="48" spans="1:59" x14ac:dyDescent="0.2">
      <c r="A48" s="206" t="s">
        <v>45</v>
      </c>
      <c r="B48" s="216">
        <v>42201</v>
      </c>
      <c r="C48" s="14" t="s">
        <v>99</v>
      </c>
      <c r="D48" s="216">
        <v>16271</v>
      </c>
      <c r="E48" s="14" t="s">
        <v>126</v>
      </c>
      <c r="F48" s="14">
        <v>0</v>
      </c>
      <c r="G48" s="14">
        <v>0</v>
      </c>
      <c r="H48" s="207">
        <v>1.7411241740000001</v>
      </c>
      <c r="I48" s="26">
        <v>0</v>
      </c>
      <c r="K48" s="206" t="s">
        <v>45</v>
      </c>
      <c r="L48" s="216">
        <v>42201</v>
      </c>
      <c r="M48" s="14" t="s">
        <v>136</v>
      </c>
      <c r="N48" s="216">
        <v>16271</v>
      </c>
      <c r="O48" s="14" t="s">
        <v>126</v>
      </c>
      <c r="P48" s="14">
        <v>0</v>
      </c>
      <c r="Q48" s="14">
        <v>0</v>
      </c>
      <c r="R48" s="207">
        <v>1.785001557</v>
      </c>
      <c r="S48" s="26">
        <v>0</v>
      </c>
      <c r="U48" s="206" t="s">
        <v>45</v>
      </c>
      <c r="V48" s="216">
        <v>42201</v>
      </c>
      <c r="W48" s="14" t="s">
        <v>136</v>
      </c>
      <c r="X48" s="216">
        <v>16271</v>
      </c>
      <c r="Y48" s="14" t="s">
        <v>126</v>
      </c>
      <c r="Z48" s="14">
        <v>0</v>
      </c>
      <c r="AA48" s="14">
        <v>0</v>
      </c>
      <c r="AB48" s="207">
        <v>1.785001557</v>
      </c>
      <c r="AC48" s="26">
        <v>0</v>
      </c>
      <c r="AE48" s="206" t="s">
        <v>45</v>
      </c>
      <c r="AF48" s="216">
        <v>42201</v>
      </c>
      <c r="AG48" s="14" t="s">
        <v>168</v>
      </c>
      <c r="AH48" s="216">
        <v>14444</v>
      </c>
      <c r="AI48" s="14" t="s">
        <v>121</v>
      </c>
      <c r="AJ48" s="14">
        <v>0</v>
      </c>
      <c r="AK48" s="14">
        <v>0</v>
      </c>
      <c r="AL48" s="207">
        <v>1.6514554809999999</v>
      </c>
      <c r="AM48" s="26">
        <v>0</v>
      </c>
      <c r="AO48" s="206" t="s">
        <v>45</v>
      </c>
      <c r="AP48" s="216">
        <v>42201</v>
      </c>
      <c r="AQ48" s="14" t="s">
        <v>145</v>
      </c>
      <c r="AR48" s="216">
        <v>16271</v>
      </c>
      <c r="AS48" s="14" t="s">
        <v>126</v>
      </c>
      <c r="AT48" s="14">
        <v>0</v>
      </c>
      <c r="AU48" s="14">
        <v>0</v>
      </c>
      <c r="AV48" s="207">
        <v>1.85776271</v>
      </c>
      <c r="AW48" s="26">
        <v>0</v>
      </c>
      <c r="AY48" s="206" t="s">
        <v>46</v>
      </c>
      <c r="AZ48" s="216">
        <v>42201</v>
      </c>
      <c r="BA48" s="14" t="s">
        <v>147</v>
      </c>
      <c r="BB48" s="216">
        <v>12617</v>
      </c>
      <c r="BC48" s="14" t="s">
        <v>116</v>
      </c>
      <c r="BD48" s="14">
        <v>0</v>
      </c>
      <c r="BE48" s="14">
        <v>0</v>
      </c>
      <c r="BF48" s="207">
        <v>1.5229999999999999</v>
      </c>
      <c r="BG48" s="26">
        <v>0</v>
      </c>
    </row>
    <row r="49" spans="1:59" x14ac:dyDescent="0.2">
      <c r="A49" s="206" t="s">
        <v>45</v>
      </c>
      <c r="B49" s="216">
        <v>42201</v>
      </c>
      <c r="C49" s="14" t="s">
        <v>99</v>
      </c>
      <c r="D49" s="216">
        <v>16635</v>
      </c>
      <c r="E49" s="14" t="s">
        <v>127</v>
      </c>
      <c r="F49" s="14">
        <v>0</v>
      </c>
      <c r="G49" s="14">
        <v>0</v>
      </c>
      <c r="H49" s="207">
        <v>1.744</v>
      </c>
      <c r="I49" s="26">
        <v>0</v>
      </c>
      <c r="K49" s="206" t="s">
        <v>45</v>
      </c>
      <c r="L49" s="216">
        <v>42201</v>
      </c>
      <c r="M49" s="14" t="s">
        <v>136</v>
      </c>
      <c r="N49" s="216">
        <v>16635</v>
      </c>
      <c r="O49" s="14" t="s">
        <v>127</v>
      </c>
      <c r="P49" s="14">
        <v>0</v>
      </c>
      <c r="Q49" s="14">
        <v>0</v>
      </c>
      <c r="R49" s="207">
        <v>1.7869999999999999</v>
      </c>
      <c r="S49" s="26">
        <v>0</v>
      </c>
      <c r="U49" s="206" t="s">
        <v>45</v>
      </c>
      <c r="V49" s="216">
        <v>42201</v>
      </c>
      <c r="W49" s="14" t="s">
        <v>136</v>
      </c>
      <c r="X49" s="216">
        <v>16635</v>
      </c>
      <c r="Y49" s="14" t="s">
        <v>127</v>
      </c>
      <c r="Z49" s="14">
        <v>0</v>
      </c>
      <c r="AA49" s="14">
        <v>0</v>
      </c>
      <c r="AB49" s="207">
        <v>1.7869999999999999</v>
      </c>
      <c r="AC49" s="26">
        <v>0</v>
      </c>
      <c r="AE49" s="206" t="s">
        <v>45</v>
      </c>
      <c r="AF49" s="216">
        <v>42201</v>
      </c>
      <c r="AG49" s="14" t="s">
        <v>168</v>
      </c>
      <c r="AH49" s="216">
        <v>14808</v>
      </c>
      <c r="AI49" s="14" t="s">
        <v>122</v>
      </c>
      <c r="AJ49" s="14">
        <v>0</v>
      </c>
      <c r="AK49" s="14">
        <v>0</v>
      </c>
      <c r="AL49" s="207">
        <v>1.657</v>
      </c>
      <c r="AM49" s="26">
        <v>0</v>
      </c>
      <c r="AO49" s="206" t="s">
        <v>45</v>
      </c>
      <c r="AP49" s="216">
        <v>42201</v>
      </c>
      <c r="AQ49" s="14" t="s">
        <v>145</v>
      </c>
      <c r="AR49" s="216">
        <v>16635</v>
      </c>
      <c r="AS49" s="14" t="s">
        <v>127</v>
      </c>
      <c r="AT49" s="14">
        <v>0</v>
      </c>
      <c r="AU49" s="14">
        <v>0</v>
      </c>
      <c r="AV49" s="207">
        <v>1.859</v>
      </c>
      <c r="AW49" s="26">
        <v>0</v>
      </c>
      <c r="AY49" s="206" t="s">
        <v>46</v>
      </c>
      <c r="AZ49" s="216">
        <v>42201</v>
      </c>
      <c r="BA49" s="14" t="s">
        <v>147</v>
      </c>
      <c r="BB49" s="216">
        <v>12981</v>
      </c>
      <c r="BC49" s="14" t="s">
        <v>117</v>
      </c>
      <c r="BD49" s="14">
        <v>0</v>
      </c>
      <c r="BE49" s="14">
        <v>0</v>
      </c>
      <c r="BF49" s="207">
        <v>1.5469999999999999</v>
      </c>
      <c r="BG49" s="26">
        <v>0</v>
      </c>
    </row>
    <row r="50" spans="1:59" x14ac:dyDescent="0.2">
      <c r="A50" s="206" t="s">
        <v>45</v>
      </c>
      <c r="B50" s="216">
        <v>42201</v>
      </c>
      <c r="C50" s="14" t="s">
        <v>99</v>
      </c>
      <c r="D50" s="216">
        <v>16999</v>
      </c>
      <c r="E50" s="14" t="s">
        <v>128</v>
      </c>
      <c r="F50" s="14">
        <v>0</v>
      </c>
      <c r="G50" s="14">
        <v>0</v>
      </c>
      <c r="H50" s="207">
        <v>1.74728444</v>
      </c>
      <c r="I50" s="26">
        <v>0</v>
      </c>
      <c r="K50" s="206" t="s">
        <v>45</v>
      </c>
      <c r="L50" s="216">
        <v>42201</v>
      </c>
      <c r="M50" s="14" t="s">
        <v>136</v>
      </c>
      <c r="N50" s="216">
        <v>16999</v>
      </c>
      <c r="O50" s="14" t="s">
        <v>128</v>
      </c>
      <c r="P50" s="14">
        <v>0</v>
      </c>
      <c r="Q50" s="14">
        <v>0</v>
      </c>
      <c r="R50" s="207">
        <v>1.7894162849999999</v>
      </c>
      <c r="S50" s="26">
        <v>0</v>
      </c>
      <c r="U50" s="206" t="s">
        <v>45</v>
      </c>
      <c r="V50" s="216">
        <v>42201</v>
      </c>
      <c r="W50" s="14" t="s">
        <v>136</v>
      </c>
      <c r="X50" s="216">
        <v>16999</v>
      </c>
      <c r="Y50" s="14" t="s">
        <v>128</v>
      </c>
      <c r="Z50" s="14">
        <v>0</v>
      </c>
      <c r="AA50" s="14">
        <v>0</v>
      </c>
      <c r="AB50" s="207">
        <v>1.7894162849999999</v>
      </c>
      <c r="AC50" s="26">
        <v>0</v>
      </c>
      <c r="AE50" s="206" t="s">
        <v>45</v>
      </c>
      <c r="AF50" s="216">
        <v>42201</v>
      </c>
      <c r="AG50" s="14" t="s">
        <v>168</v>
      </c>
      <c r="AH50" s="216">
        <v>15173</v>
      </c>
      <c r="AI50" s="14" t="s">
        <v>123</v>
      </c>
      <c r="AJ50" s="14">
        <v>0</v>
      </c>
      <c r="AK50" s="14">
        <v>0</v>
      </c>
      <c r="AL50" s="207">
        <v>1.6613597980000001</v>
      </c>
      <c r="AM50" s="26">
        <v>0</v>
      </c>
      <c r="AO50" s="206" t="s">
        <v>45</v>
      </c>
      <c r="AP50" s="216">
        <v>42201</v>
      </c>
      <c r="AQ50" s="14" t="s">
        <v>145</v>
      </c>
      <c r="AR50" s="216">
        <v>16999</v>
      </c>
      <c r="AS50" s="14" t="s">
        <v>128</v>
      </c>
      <c r="AT50" s="14">
        <v>0</v>
      </c>
      <c r="AU50" s="14">
        <v>0</v>
      </c>
      <c r="AV50" s="207">
        <v>1.860618895</v>
      </c>
      <c r="AW50" s="26">
        <v>0</v>
      </c>
      <c r="AY50" s="206" t="s">
        <v>46</v>
      </c>
      <c r="AZ50" s="216">
        <v>42201</v>
      </c>
      <c r="BA50" s="14" t="s">
        <v>147</v>
      </c>
      <c r="BB50" s="216">
        <v>13347</v>
      </c>
      <c r="BC50" s="14" t="s">
        <v>118</v>
      </c>
      <c r="BD50" s="14">
        <v>0</v>
      </c>
      <c r="BE50" s="14">
        <v>0</v>
      </c>
      <c r="BF50" s="207">
        <v>1.5649999999999999</v>
      </c>
      <c r="BG50" s="26">
        <v>0</v>
      </c>
    </row>
    <row r="51" spans="1:59" x14ac:dyDescent="0.2">
      <c r="A51" s="206" t="s">
        <v>45</v>
      </c>
      <c r="B51" s="216">
        <v>42201</v>
      </c>
      <c r="C51" s="14" t="s">
        <v>99</v>
      </c>
      <c r="D51" s="216">
        <v>17364</v>
      </c>
      <c r="E51" s="14" t="s">
        <v>129</v>
      </c>
      <c r="F51" s="14">
        <v>0</v>
      </c>
      <c r="G51" s="14">
        <v>0</v>
      </c>
      <c r="H51" s="207">
        <v>1.7507860500000001</v>
      </c>
      <c r="I51" s="26">
        <v>0</v>
      </c>
      <c r="K51" s="206" t="s">
        <v>45</v>
      </c>
      <c r="L51" s="216">
        <v>42201</v>
      </c>
      <c r="M51" s="14" t="s">
        <v>136</v>
      </c>
      <c r="N51" s="216">
        <v>17364</v>
      </c>
      <c r="O51" s="14" t="s">
        <v>129</v>
      </c>
      <c r="P51" s="14">
        <v>0</v>
      </c>
      <c r="Q51" s="14">
        <v>0</v>
      </c>
      <c r="R51" s="207">
        <v>1.7919995280000001</v>
      </c>
      <c r="S51" s="26">
        <v>0</v>
      </c>
      <c r="U51" s="206" t="s">
        <v>45</v>
      </c>
      <c r="V51" s="216">
        <v>42201</v>
      </c>
      <c r="W51" s="14" t="s">
        <v>136</v>
      </c>
      <c r="X51" s="216">
        <v>17364</v>
      </c>
      <c r="Y51" s="14" t="s">
        <v>129</v>
      </c>
      <c r="Z51" s="14">
        <v>0</v>
      </c>
      <c r="AA51" s="14">
        <v>0</v>
      </c>
      <c r="AB51" s="207">
        <v>1.7919995280000001</v>
      </c>
      <c r="AC51" s="26">
        <v>0</v>
      </c>
      <c r="AE51" s="206" t="s">
        <v>45</v>
      </c>
      <c r="AF51" s="216">
        <v>42201</v>
      </c>
      <c r="AG51" s="14" t="s">
        <v>168</v>
      </c>
      <c r="AH51" s="216">
        <v>15538</v>
      </c>
      <c r="AI51" s="14" t="s">
        <v>124</v>
      </c>
      <c r="AJ51" s="14">
        <v>0</v>
      </c>
      <c r="AK51" s="14">
        <v>0</v>
      </c>
      <c r="AL51" s="207">
        <v>1.6650999500000001</v>
      </c>
      <c r="AM51" s="26">
        <v>0</v>
      </c>
      <c r="AO51" s="206" t="s">
        <v>45</v>
      </c>
      <c r="AP51" s="216">
        <v>42201</v>
      </c>
      <c r="AQ51" s="14" t="s">
        <v>145</v>
      </c>
      <c r="AR51" s="216">
        <v>17364</v>
      </c>
      <c r="AS51" s="14" t="s">
        <v>129</v>
      </c>
      <c r="AT51" s="14">
        <v>0</v>
      </c>
      <c r="AU51" s="14">
        <v>0</v>
      </c>
      <c r="AV51" s="207">
        <v>1.8624376629999999</v>
      </c>
      <c r="AW51" s="26">
        <v>0</v>
      </c>
      <c r="AY51" s="206" t="s">
        <v>46</v>
      </c>
      <c r="AZ51" s="216">
        <v>42201</v>
      </c>
      <c r="BA51" s="14" t="s">
        <v>147</v>
      </c>
      <c r="BB51" s="216">
        <v>13712</v>
      </c>
      <c r="BC51" s="14" t="s">
        <v>119</v>
      </c>
      <c r="BD51" s="14">
        <v>0</v>
      </c>
      <c r="BE51" s="14">
        <v>0</v>
      </c>
      <c r="BF51" s="207">
        <v>1.579</v>
      </c>
      <c r="BG51" s="26">
        <v>0</v>
      </c>
    </row>
    <row r="52" spans="1:59" x14ac:dyDescent="0.2">
      <c r="A52" s="206" t="s">
        <v>45</v>
      </c>
      <c r="B52" s="216">
        <v>42201</v>
      </c>
      <c r="C52" s="14" t="s">
        <v>99</v>
      </c>
      <c r="D52" s="216">
        <v>17730</v>
      </c>
      <c r="E52" s="14" t="s">
        <v>130</v>
      </c>
      <c r="F52" s="14">
        <v>0</v>
      </c>
      <c r="G52" s="14">
        <v>0</v>
      </c>
      <c r="H52" s="207">
        <v>1.754366512</v>
      </c>
      <c r="I52" s="26">
        <v>0</v>
      </c>
      <c r="K52" s="206" t="s">
        <v>45</v>
      </c>
      <c r="L52" s="216">
        <v>42201</v>
      </c>
      <c r="M52" s="14" t="s">
        <v>136</v>
      </c>
      <c r="N52" s="216">
        <v>17730</v>
      </c>
      <c r="O52" s="14" t="s">
        <v>130</v>
      </c>
      <c r="P52" s="14">
        <v>0</v>
      </c>
      <c r="Q52" s="14">
        <v>0</v>
      </c>
      <c r="R52" s="207">
        <v>1.7945558159999999</v>
      </c>
      <c r="S52" s="26">
        <v>0</v>
      </c>
      <c r="U52" s="206" t="s">
        <v>45</v>
      </c>
      <c r="V52" s="216">
        <v>42201</v>
      </c>
      <c r="W52" s="14" t="s">
        <v>136</v>
      </c>
      <c r="X52" s="216">
        <v>17730</v>
      </c>
      <c r="Y52" s="14" t="s">
        <v>130</v>
      </c>
      <c r="Z52" s="14">
        <v>0</v>
      </c>
      <c r="AA52" s="14">
        <v>0</v>
      </c>
      <c r="AB52" s="207">
        <v>1.7945558159999999</v>
      </c>
      <c r="AC52" s="26">
        <v>0</v>
      </c>
      <c r="AE52" s="206" t="s">
        <v>45</v>
      </c>
      <c r="AF52" s="216">
        <v>42201</v>
      </c>
      <c r="AG52" s="14" t="s">
        <v>168</v>
      </c>
      <c r="AH52" s="216">
        <v>15903</v>
      </c>
      <c r="AI52" s="14" t="s">
        <v>125</v>
      </c>
      <c r="AJ52" s="14">
        <v>0</v>
      </c>
      <c r="AK52" s="14">
        <v>0</v>
      </c>
      <c r="AL52" s="207">
        <v>1.668572264</v>
      </c>
      <c r="AM52" s="26">
        <v>0</v>
      </c>
      <c r="AO52" s="206" t="s">
        <v>45</v>
      </c>
      <c r="AP52" s="216">
        <v>42201</v>
      </c>
      <c r="AQ52" s="14" t="s">
        <v>145</v>
      </c>
      <c r="AR52" s="216">
        <v>17730</v>
      </c>
      <c r="AS52" s="14" t="s">
        <v>130</v>
      </c>
      <c r="AT52" s="14">
        <v>0</v>
      </c>
      <c r="AU52" s="14">
        <v>0</v>
      </c>
      <c r="AV52" s="207">
        <v>1.86434856</v>
      </c>
      <c r="AW52" s="26">
        <v>0</v>
      </c>
      <c r="AY52" s="206" t="s">
        <v>46</v>
      </c>
      <c r="AZ52" s="216">
        <v>42201</v>
      </c>
      <c r="BA52" s="14" t="s">
        <v>147</v>
      </c>
      <c r="BB52" s="216">
        <v>14077</v>
      </c>
      <c r="BC52" s="14" t="s">
        <v>120</v>
      </c>
      <c r="BD52" s="14">
        <v>0</v>
      </c>
      <c r="BE52" s="14">
        <v>0</v>
      </c>
      <c r="BF52" s="207">
        <v>1.59</v>
      </c>
      <c r="BG52" s="26">
        <v>0</v>
      </c>
    </row>
    <row r="53" spans="1:59" x14ac:dyDescent="0.2">
      <c r="A53" s="206" t="s">
        <v>45</v>
      </c>
      <c r="B53" s="216">
        <v>42201</v>
      </c>
      <c r="C53" s="14" t="s">
        <v>99</v>
      </c>
      <c r="D53" s="216">
        <v>18095</v>
      </c>
      <c r="E53" s="14" t="s">
        <v>131</v>
      </c>
      <c r="F53" s="14">
        <v>0</v>
      </c>
      <c r="G53" s="14">
        <v>0</v>
      </c>
      <c r="H53" s="207">
        <v>1.7575798929999999</v>
      </c>
      <c r="I53" s="26">
        <v>0</v>
      </c>
      <c r="K53" s="206" t="s">
        <v>45</v>
      </c>
      <c r="L53" s="216">
        <v>42201</v>
      </c>
      <c r="M53" s="14" t="s">
        <v>136</v>
      </c>
      <c r="N53" s="216">
        <v>18095</v>
      </c>
      <c r="O53" s="14" t="s">
        <v>131</v>
      </c>
      <c r="P53" s="14">
        <v>0</v>
      </c>
      <c r="Q53" s="14">
        <v>0</v>
      </c>
      <c r="R53" s="207">
        <v>1.7965903320000001</v>
      </c>
      <c r="S53" s="26">
        <v>0</v>
      </c>
      <c r="U53" s="206" t="s">
        <v>45</v>
      </c>
      <c r="V53" s="216">
        <v>42201</v>
      </c>
      <c r="W53" s="14" t="s">
        <v>136</v>
      </c>
      <c r="X53" s="216">
        <v>18095</v>
      </c>
      <c r="Y53" s="14" t="s">
        <v>131</v>
      </c>
      <c r="Z53" s="14">
        <v>0</v>
      </c>
      <c r="AA53" s="14">
        <v>0</v>
      </c>
      <c r="AB53" s="207">
        <v>1.7965903320000001</v>
      </c>
      <c r="AC53" s="26">
        <v>0</v>
      </c>
      <c r="AE53" s="206" t="s">
        <v>45</v>
      </c>
      <c r="AF53" s="216">
        <v>42201</v>
      </c>
      <c r="AG53" s="14" t="s">
        <v>168</v>
      </c>
      <c r="AH53" s="216">
        <v>16271</v>
      </c>
      <c r="AI53" s="14" t="s">
        <v>126</v>
      </c>
      <c r="AJ53" s="14">
        <v>0</v>
      </c>
      <c r="AK53" s="14">
        <v>0</v>
      </c>
      <c r="AL53" s="207">
        <v>1.6722231430000001</v>
      </c>
      <c r="AM53" s="26">
        <v>0</v>
      </c>
      <c r="AO53" s="206" t="s">
        <v>45</v>
      </c>
      <c r="AP53" s="216">
        <v>42201</v>
      </c>
      <c r="AQ53" s="14" t="s">
        <v>145</v>
      </c>
      <c r="AR53" s="216">
        <v>18095</v>
      </c>
      <c r="AS53" s="14" t="s">
        <v>131</v>
      </c>
      <c r="AT53" s="14">
        <v>0</v>
      </c>
      <c r="AU53" s="14">
        <v>0</v>
      </c>
      <c r="AV53" s="207">
        <v>1.8659217800000001</v>
      </c>
      <c r="AW53" s="26">
        <v>0</v>
      </c>
      <c r="AY53" s="206" t="s">
        <v>46</v>
      </c>
      <c r="AZ53" s="216">
        <v>42201</v>
      </c>
      <c r="BA53" s="14" t="s">
        <v>147</v>
      </c>
      <c r="BB53" s="216">
        <v>14444</v>
      </c>
      <c r="BC53" s="14" t="s">
        <v>121</v>
      </c>
      <c r="BD53" s="14">
        <v>0</v>
      </c>
      <c r="BE53" s="14">
        <v>0</v>
      </c>
      <c r="BF53" s="207">
        <v>1.6</v>
      </c>
      <c r="BG53" s="26">
        <v>0</v>
      </c>
    </row>
    <row r="54" spans="1:59" x14ac:dyDescent="0.2">
      <c r="A54" s="206" t="s">
        <v>45</v>
      </c>
      <c r="B54" s="216">
        <v>42201</v>
      </c>
      <c r="C54" s="14" t="s">
        <v>99</v>
      </c>
      <c r="D54" s="216">
        <v>18462</v>
      </c>
      <c r="E54" s="14" t="s">
        <v>181</v>
      </c>
      <c r="F54" s="14">
        <v>0</v>
      </c>
      <c r="G54" s="14">
        <v>0</v>
      </c>
      <c r="H54" s="207">
        <v>1.7603739490000001</v>
      </c>
      <c r="I54" s="26">
        <v>0</v>
      </c>
      <c r="K54" s="206" t="s">
        <v>45</v>
      </c>
      <c r="L54" s="216">
        <v>42201</v>
      </c>
      <c r="M54" s="14" t="s">
        <v>136</v>
      </c>
      <c r="N54" s="216">
        <v>18462</v>
      </c>
      <c r="O54" s="14" t="s">
        <v>181</v>
      </c>
      <c r="P54" s="14">
        <v>0</v>
      </c>
      <c r="Q54" s="14">
        <v>0</v>
      </c>
      <c r="R54" s="207">
        <v>1.798</v>
      </c>
      <c r="S54" s="26">
        <v>0</v>
      </c>
      <c r="U54" s="206" t="s">
        <v>45</v>
      </c>
      <c r="V54" s="216">
        <v>42201</v>
      </c>
      <c r="W54" s="14" t="s">
        <v>136</v>
      </c>
      <c r="X54" s="216">
        <v>18462</v>
      </c>
      <c r="Y54" s="14" t="s">
        <v>181</v>
      </c>
      <c r="Z54" s="14">
        <v>0</v>
      </c>
      <c r="AA54" s="14">
        <v>0</v>
      </c>
      <c r="AB54" s="207">
        <v>1.798</v>
      </c>
      <c r="AC54" s="26">
        <v>0</v>
      </c>
      <c r="AE54" s="206" t="s">
        <v>45</v>
      </c>
      <c r="AF54" s="216">
        <v>42201</v>
      </c>
      <c r="AG54" s="14" t="s">
        <v>168</v>
      </c>
      <c r="AH54" s="216">
        <v>16635</v>
      </c>
      <c r="AI54" s="14" t="s">
        <v>127</v>
      </c>
      <c r="AJ54" s="14">
        <v>0</v>
      </c>
      <c r="AK54" s="14">
        <v>0</v>
      </c>
      <c r="AL54" s="207">
        <v>1.6759999999999999</v>
      </c>
      <c r="AM54" s="26">
        <v>0</v>
      </c>
      <c r="AO54" s="206" t="s">
        <v>45</v>
      </c>
      <c r="AP54" s="216">
        <v>42201</v>
      </c>
      <c r="AQ54" s="14" t="s">
        <v>145</v>
      </c>
      <c r="AR54" s="216">
        <v>18462</v>
      </c>
      <c r="AS54" s="14" t="s">
        <v>181</v>
      </c>
      <c r="AT54" s="14">
        <v>0</v>
      </c>
      <c r="AU54" s="14">
        <v>0</v>
      </c>
      <c r="AV54" s="207">
        <v>1.8671164929999999</v>
      </c>
      <c r="AW54" s="26">
        <v>0</v>
      </c>
      <c r="AY54" s="206" t="s">
        <v>46</v>
      </c>
      <c r="AZ54" s="216">
        <v>42201</v>
      </c>
      <c r="BA54" s="14" t="s">
        <v>147</v>
      </c>
      <c r="BB54" s="216">
        <v>14808</v>
      </c>
      <c r="BC54" s="14" t="s">
        <v>122</v>
      </c>
      <c r="BD54" s="14">
        <v>0</v>
      </c>
      <c r="BE54" s="14">
        <v>0</v>
      </c>
      <c r="BF54" s="207">
        <v>1.6040000000000001</v>
      </c>
      <c r="BG54" s="26">
        <v>0</v>
      </c>
    </row>
    <row r="55" spans="1:59" x14ac:dyDescent="0.2">
      <c r="A55" s="206" t="s">
        <v>45</v>
      </c>
      <c r="B55" s="216">
        <v>42201</v>
      </c>
      <c r="C55" s="14" t="s">
        <v>99</v>
      </c>
      <c r="D55" s="216">
        <v>18826</v>
      </c>
      <c r="E55" s="14" t="s">
        <v>182</v>
      </c>
      <c r="F55" s="14">
        <v>0</v>
      </c>
      <c r="G55" s="14">
        <v>0</v>
      </c>
      <c r="H55" s="207">
        <v>1.762556432</v>
      </c>
      <c r="I55" s="26">
        <v>0</v>
      </c>
      <c r="K55" s="206" t="s">
        <v>45</v>
      </c>
      <c r="L55" s="216">
        <v>42201</v>
      </c>
      <c r="M55" s="14" t="s">
        <v>136</v>
      </c>
      <c r="N55" s="216">
        <v>18826</v>
      </c>
      <c r="O55" s="14" t="s">
        <v>182</v>
      </c>
      <c r="P55" s="14">
        <v>0</v>
      </c>
      <c r="Q55" s="14">
        <v>0</v>
      </c>
      <c r="R55" s="207">
        <v>1.7986508080000001</v>
      </c>
      <c r="S55" s="26">
        <v>0</v>
      </c>
      <c r="U55" s="206" t="s">
        <v>45</v>
      </c>
      <c r="V55" s="216">
        <v>42201</v>
      </c>
      <c r="W55" s="14" t="s">
        <v>136</v>
      </c>
      <c r="X55" s="216">
        <v>18826</v>
      </c>
      <c r="Y55" s="14" t="s">
        <v>182</v>
      </c>
      <c r="Z55" s="14">
        <v>0</v>
      </c>
      <c r="AA55" s="14">
        <v>0</v>
      </c>
      <c r="AB55" s="207">
        <v>1.7986508080000001</v>
      </c>
      <c r="AC55" s="26">
        <v>0</v>
      </c>
      <c r="AE55" s="206" t="s">
        <v>45</v>
      </c>
      <c r="AF55" s="216">
        <v>42201</v>
      </c>
      <c r="AG55" s="14" t="s">
        <v>168</v>
      </c>
      <c r="AH55" s="216">
        <v>16999</v>
      </c>
      <c r="AI55" s="14" t="s">
        <v>128</v>
      </c>
      <c r="AJ55" s="14">
        <v>0</v>
      </c>
      <c r="AK55" s="14">
        <v>0</v>
      </c>
      <c r="AL55" s="207">
        <v>1.680191996</v>
      </c>
      <c r="AM55" s="26">
        <v>0</v>
      </c>
      <c r="AO55" s="206" t="s">
        <v>45</v>
      </c>
      <c r="AP55" s="216">
        <v>42201</v>
      </c>
      <c r="AQ55" s="14" t="s">
        <v>145</v>
      </c>
      <c r="AR55" s="216">
        <v>18826</v>
      </c>
      <c r="AS55" s="14" t="s">
        <v>182</v>
      </c>
      <c r="AT55" s="14">
        <v>0</v>
      </c>
      <c r="AU55" s="14">
        <v>0</v>
      </c>
      <c r="AV55" s="207">
        <v>1.867777156</v>
      </c>
      <c r="AW55" s="26">
        <v>0</v>
      </c>
      <c r="AY55" s="206" t="s">
        <v>46</v>
      </c>
      <c r="AZ55" s="216">
        <v>42201</v>
      </c>
      <c r="BA55" s="14" t="s">
        <v>147</v>
      </c>
      <c r="BB55" s="216">
        <v>15173</v>
      </c>
      <c r="BC55" s="14" t="s">
        <v>123</v>
      </c>
      <c r="BD55" s="14">
        <v>0</v>
      </c>
      <c r="BE55" s="14">
        <v>0</v>
      </c>
      <c r="BF55" s="207">
        <v>1.609</v>
      </c>
      <c r="BG55" s="26">
        <v>0</v>
      </c>
    </row>
    <row r="56" spans="1:59" x14ac:dyDescent="0.2">
      <c r="A56" s="206" t="s">
        <v>45</v>
      </c>
      <c r="B56" s="216">
        <v>42201</v>
      </c>
      <c r="C56" s="14" t="s">
        <v>99</v>
      </c>
      <c r="D56" s="216">
        <v>19191</v>
      </c>
      <c r="E56" s="14" t="s">
        <v>183</v>
      </c>
      <c r="F56" s="14">
        <v>0</v>
      </c>
      <c r="G56" s="14">
        <v>0</v>
      </c>
      <c r="H56" s="207">
        <v>1.764109293</v>
      </c>
      <c r="I56" s="26">
        <v>0</v>
      </c>
      <c r="K56" s="206" t="s">
        <v>45</v>
      </c>
      <c r="L56" s="216">
        <v>42201</v>
      </c>
      <c r="M56" s="14" t="s">
        <v>136</v>
      </c>
      <c r="N56" s="216">
        <v>19191</v>
      </c>
      <c r="O56" s="14" t="s">
        <v>183</v>
      </c>
      <c r="P56" s="14">
        <v>0</v>
      </c>
      <c r="Q56" s="14">
        <v>0</v>
      </c>
      <c r="R56" s="207">
        <v>1.7988377170000001</v>
      </c>
      <c r="S56" s="26">
        <v>0</v>
      </c>
      <c r="U56" s="206" t="s">
        <v>45</v>
      </c>
      <c r="V56" s="216">
        <v>42201</v>
      </c>
      <c r="W56" s="14" t="s">
        <v>136</v>
      </c>
      <c r="X56" s="216">
        <v>19191</v>
      </c>
      <c r="Y56" s="14" t="s">
        <v>183</v>
      </c>
      <c r="Z56" s="14">
        <v>0</v>
      </c>
      <c r="AA56" s="14">
        <v>0</v>
      </c>
      <c r="AB56" s="207">
        <v>1.7988377170000001</v>
      </c>
      <c r="AC56" s="26">
        <v>0</v>
      </c>
      <c r="AE56" s="206" t="s">
        <v>45</v>
      </c>
      <c r="AF56" s="216">
        <v>42201</v>
      </c>
      <c r="AG56" s="14" t="s">
        <v>168</v>
      </c>
      <c r="AH56" s="216">
        <v>17364</v>
      </c>
      <c r="AI56" s="14" t="s">
        <v>129</v>
      </c>
      <c r="AJ56" s="14">
        <v>0</v>
      </c>
      <c r="AK56" s="14">
        <v>0</v>
      </c>
      <c r="AL56" s="207">
        <v>1.6846035669999999</v>
      </c>
      <c r="AM56" s="26">
        <v>0</v>
      </c>
      <c r="AO56" s="206" t="s">
        <v>45</v>
      </c>
      <c r="AP56" s="216">
        <v>42201</v>
      </c>
      <c r="AQ56" s="14" t="s">
        <v>145</v>
      </c>
      <c r="AR56" s="216">
        <v>19191</v>
      </c>
      <c r="AS56" s="14" t="s">
        <v>183</v>
      </c>
      <c r="AT56" s="14">
        <v>0</v>
      </c>
      <c r="AU56" s="14">
        <v>0</v>
      </c>
      <c r="AV56" s="207">
        <v>1.8678868280000001</v>
      </c>
      <c r="AW56" s="26">
        <v>0</v>
      </c>
      <c r="AY56" s="206" t="s">
        <v>46</v>
      </c>
      <c r="AZ56" s="216">
        <v>42201</v>
      </c>
      <c r="BA56" s="14" t="s">
        <v>147</v>
      </c>
      <c r="BB56" s="216">
        <v>15538</v>
      </c>
      <c r="BC56" s="14" t="s">
        <v>124</v>
      </c>
      <c r="BD56" s="14">
        <v>0</v>
      </c>
      <c r="BE56" s="14">
        <v>0</v>
      </c>
      <c r="BF56" s="207">
        <v>1.6140000000000001</v>
      </c>
      <c r="BG56" s="26">
        <v>0</v>
      </c>
    </row>
    <row r="57" spans="1:59" x14ac:dyDescent="0.2">
      <c r="A57" s="206" t="s">
        <v>45</v>
      </c>
      <c r="B57" s="216">
        <v>42201</v>
      </c>
      <c r="C57" s="14" t="s">
        <v>99</v>
      </c>
      <c r="D57" s="216">
        <v>19556</v>
      </c>
      <c r="E57" s="14" t="s">
        <v>184</v>
      </c>
      <c r="F57" s="14">
        <v>0</v>
      </c>
      <c r="G57" s="14">
        <v>0</v>
      </c>
      <c r="H57" s="207">
        <v>1.764721357</v>
      </c>
      <c r="I57" s="26">
        <v>0</v>
      </c>
      <c r="K57" s="206" t="s">
        <v>45</v>
      </c>
      <c r="L57" s="216">
        <v>42201</v>
      </c>
      <c r="M57" s="14" t="s">
        <v>136</v>
      </c>
      <c r="N57" s="216">
        <v>19556</v>
      </c>
      <c r="O57" s="14" t="s">
        <v>184</v>
      </c>
      <c r="P57" s="14">
        <v>0</v>
      </c>
      <c r="Q57" s="14">
        <v>0</v>
      </c>
      <c r="R57" s="207">
        <v>1.7986077359999999</v>
      </c>
      <c r="S57" s="26">
        <v>0</v>
      </c>
      <c r="U57" s="206" t="s">
        <v>45</v>
      </c>
      <c r="V57" s="216">
        <v>42201</v>
      </c>
      <c r="W57" s="14" t="s">
        <v>136</v>
      </c>
      <c r="X57" s="216">
        <v>19556</v>
      </c>
      <c r="Y57" s="14" t="s">
        <v>184</v>
      </c>
      <c r="Z57" s="14">
        <v>0</v>
      </c>
      <c r="AA57" s="14">
        <v>0</v>
      </c>
      <c r="AB57" s="207">
        <v>1.7986077359999999</v>
      </c>
      <c r="AC57" s="26">
        <v>0</v>
      </c>
      <c r="AE57" s="206" t="s">
        <v>45</v>
      </c>
      <c r="AF57" s="216">
        <v>42201</v>
      </c>
      <c r="AG57" s="14" t="s">
        <v>168</v>
      </c>
      <c r="AH57" s="216">
        <v>17730</v>
      </c>
      <c r="AI57" s="14" t="s">
        <v>130</v>
      </c>
      <c r="AJ57" s="14">
        <v>0</v>
      </c>
      <c r="AK57" s="14">
        <v>0</v>
      </c>
      <c r="AL57" s="207">
        <v>1.689080827</v>
      </c>
      <c r="AM57" s="26">
        <v>0</v>
      </c>
      <c r="AO57" s="206" t="s">
        <v>45</v>
      </c>
      <c r="AP57" s="216">
        <v>42201</v>
      </c>
      <c r="AQ57" s="14" t="s">
        <v>145</v>
      </c>
      <c r="AR57" s="216">
        <v>19556</v>
      </c>
      <c r="AS57" s="14" t="s">
        <v>184</v>
      </c>
      <c r="AT57" s="14">
        <v>0</v>
      </c>
      <c r="AU57" s="14">
        <v>0</v>
      </c>
      <c r="AV57" s="207">
        <v>1.867138757</v>
      </c>
      <c r="AW57" s="26">
        <v>0</v>
      </c>
      <c r="AY57" s="206" t="s">
        <v>46</v>
      </c>
      <c r="AZ57" s="216">
        <v>42201</v>
      </c>
      <c r="BA57" s="14" t="s">
        <v>147</v>
      </c>
      <c r="BB57" s="216">
        <v>15903</v>
      </c>
      <c r="BC57" s="14" t="s">
        <v>125</v>
      </c>
      <c r="BD57" s="14">
        <v>0</v>
      </c>
      <c r="BE57" s="14">
        <v>0</v>
      </c>
      <c r="BF57" s="207">
        <v>1.6180000000000001</v>
      </c>
      <c r="BG57" s="26">
        <v>0</v>
      </c>
    </row>
    <row r="58" spans="1:59" x14ac:dyDescent="0.2">
      <c r="A58" s="206" t="s">
        <v>45</v>
      </c>
      <c r="B58" s="216">
        <v>42201</v>
      </c>
      <c r="C58" s="14" t="s">
        <v>99</v>
      </c>
      <c r="D58" s="216">
        <v>19921</v>
      </c>
      <c r="E58" s="14" t="s">
        <v>185</v>
      </c>
      <c r="F58" s="14">
        <v>0</v>
      </c>
      <c r="G58" s="14">
        <v>0</v>
      </c>
      <c r="H58" s="207">
        <v>1.76438213</v>
      </c>
      <c r="I58" s="26">
        <v>0</v>
      </c>
      <c r="K58" s="206" t="s">
        <v>45</v>
      </c>
      <c r="L58" s="216">
        <v>42201</v>
      </c>
      <c r="M58" s="14" t="s">
        <v>136</v>
      </c>
      <c r="N58" s="216">
        <v>19921</v>
      </c>
      <c r="O58" s="14" t="s">
        <v>185</v>
      </c>
      <c r="P58" s="14">
        <v>0</v>
      </c>
      <c r="Q58" s="14">
        <v>0</v>
      </c>
      <c r="R58" s="207">
        <v>1.7982665980000001</v>
      </c>
      <c r="S58" s="26">
        <v>0</v>
      </c>
      <c r="U58" s="206" t="s">
        <v>45</v>
      </c>
      <c r="V58" s="216">
        <v>42201</v>
      </c>
      <c r="W58" s="14" t="s">
        <v>136</v>
      </c>
      <c r="X58" s="216">
        <v>19921</v>
      </c>
      <c r="Y58" s="14" t="s">
        <v>185</v>
      </c>
      <c r="Z58" s="14">
        <v>0</v>
      </c>
      <c r="AA58" s="14">
        <v>0</v>
      </c>
      <c r="AB58" s="207">
        <v>1.7982665980000001</v>
      </c>
      <c r="AC58" s="26">
        <v>0</v>
      </c>
      <c r="AE58" s="206" t="s">
        <v>45</v>
      </c>
      <c r="AF58" s="216">
        <v>42201</v>
      </c>
      <c r="AG58" s="14" t="s">
        <v>168</v>
      </c>
      <c r="AH58" s="216">
        <v>18095</v>
      </c>
      <c r="AI58" s="14" t="s">
        <v>131</v>
      </c>
      <c r="AJ58" s="14">
        <v>0</v>
      </c>
      <c r="AK58" s="14">
        <v>0</v>
      </c>
      <c r="AL58" s="207">
        <v>1.6931710529999999</v>
      </c>
      <c r="AM58" s="26">
        <v>0</v>
      </c>
      <c r="AO58" s="206" t="s">
        <v>45</v>
      </c>
      <c r="AP58" s="216">
        <v>42201</v>
      </c>
      <c r="AQ58" s="14" t="s">
        <v>145</v>
      </c>
      <c r="AR58" s="216">
        <v>19921</v>
      </c>
      <c r="AS58" s="14" t="s">
        <v>185</v>
      </c>
      <c r="AT58" s="14">
        <v>0</v>
      </c>
      <c r="AU58" s="14">
        <v>0</v>
      </c>
      <c r="AV58" s="207">
        <v>1.8655376029999999</v>
      </c>
      <c r="AW58" s="26">
        <v>0</v>
      </c>
      <c r="AY58" s="206" t="s">
        <v>46</v>
      </c>
      <c r="AZ58" s="216">
        <v>42201</v>
      </c>
      <c r="BA58" s="14" t="s">
        <v>147</v>
      </c>
      <c r="BB58" s="216">
        <v>16271</v>
      </c>
      <c r="BC58" s="14" t="s">
        <v>126</v>
      </c>
      <c r="BD58" s="14">
        <v>0</v>
      </c>
      <c r="BE58" s="14">
        <v>0</v>
      </c>
      <c r="BF58" s="207">
        <v>1.619</v>
      </c>
      <c r="BG58" s="26">
        <v>0</v>
      </c>
    </row>
    <row r="59" spans="1:59" x14ac:dyDescent="0.2">
      <c r="A59" s="206" t="s">
        <v>45</v>
      </c>
      <c r="B59" s="216">
        <v>42201</v>
      </c>
      <c r="C59" s="14" t="s">
        <v>99</v>
      </c>
      <c r="D59" s="216">
        <v>20286</v>
      </c>
      <c r="E59" s="14" t="s">
        <v>186</v>
      </c>
      <c r="F59" s="14">
        <v>0</v>
      </c>
      <c r="G59" s="14">
        <v>0</v>
      </c>
      <c r="H59" s="207">
        <v>1.7629999999999999</v>
      </c>
      <c r="I59" s="26">
        <v>0</v>
      </c>
      <c r="K59" s="206" t="s">
        <v>45</v>
      </c>
      <c r="L59" s="216">
        <v>42201</v>
      </c>
      <c r="M59" s="14" t="s">
        <v>136</v>
      </c>
      <c r="N59" s="216">
        <v>20286</v>
      </c>
      <c r="O59" s="14" t="s">
        <v>186</v>
      </c>
      <c r="P59" s="14">
        <v>0</v>
      </c>
      <c r="Q59" s="14">
        <v>0</v>
      </c>
      <c r="R59" s="207">
        <v>1.798</v>
      </c>
      <c r="S59" s="26">
        <v>0</v>
      </c>
      <c r="U59" s="206" t="s">
        <v>45</v>
      </c>
      <c r="V59" s="216">
        <v>42201</v>
      </c>
      <c r="W59" s="14" t="s">
        <v>136</v>
      </c>
      <c r="X59" s="216">
        <v>20286</v>
      </c>
      <c r="Y59" s="14" t="s">
        <v>186</v>
      </c>
      <c r="Z59" s="14">
        <v>0</v>
      </c>
      <c r="AA59" s="14">
        <v>0</v>
      </c>
      <c r="AB59" s="207">
        <v>1.798</v>
      </c>
      <c r="AC59" s="26">
        <v>0</v>
      </c>
      <c r="AE59" s="206" t="s">
        <v>45</v>
      </c>
      <c r="AF59" s="216">
        <v>42201</v>
      </c>
      <c r="AG59" s="14" t="s">
        <v>168</v>
      </c>
      <c r="AH59" s="216">
        <v>18462</v>
      </c>
      <c r="AI59" s="14" t="s">
        <v>181</v>
      </c>
      <c r="AJ59" s="14">
        <v>0</v>
      </c>
      <c r="AK59" s="14">
        <v>0</v>
      </c>
      <c r="AL59" s="207">
        <v>1.6968164859999999</v>
      </c>
      <c r="AM59" s="26">
        <v>0</v>
      </c>
      <c r="AO59" s="206" t="s">
        <v>45</v>
      </c>
      <c r="AP59" s="216">
        <v>42201</v>
      </c>
      <c r="AQ59" s="14" t="s">
        <v>145</v>
      </c>
      <c r="AR59" s="216">
        <v>20286</v>
      </c>
      <c r="AS59" s="14" t="s">
        <v>186</v>
      </c>
      <c r="AT59" s="14">
        <v>0</v>
      </c>
      <c r="AU59" s="14">
        <v>0</v>
      </c>
      <c r="AV59" s="207">
        <v>1.863</v>
      </c>
      <c r="AW59" s="26">
        <v>0</v>
      </c>
      <c r="AY59" s="206" t="s">
        <v>46</v>
      </c>
      <c r="AZ59" s="216">
        <v>42201</v>
      </c>
      <c r="BA59" s="14" t="s">
        <v>147</v>
      </c>
      <c r="BB59" s="216">
        <v>16635</v>
      </c>
      <c r="BC59" s="14" t="s">
        <v>127</v>
      </c>
      <c r="BD59" s="14">
        <v>0</v>
      </c>
      <c r="BE59" s="14">
        <v>0</v>
      </c>
      <c r="BF59" s="207">
        <v>1.6259999999999999</v>
      </c>
      <c r="BG59" s="26">
        <v>0</v>
      </c>
    </row>
    <row r="60" spans="1:59" x14ac:dyDescent="0.2">
      <c r="A60" s="206" t="s">
        <v>45</v>
      </c>
      <c r="B60" s="216">
        <v>42201</v>
      </c>
      <c r="C60" s="14" t="s">
        <v>99</v>
      </c>
      <c r="D60" s="216">
        <v>23939</v>
      </c>
      <c r="E60" s="14" t="s">
        <v>187</v>
      </c>
      <c r="F60" s="14">
        <v>0</v>
      </c>
      <c r="G60" s="14">
        <v>0</v>
      </c>
      <c r="H60" s="207">
        <v>1.724</v>
      </c>
      <c r="I60" s="26">
        <v>0</v>
      </c>
      <c r="K60" s="206" t="s">
        <v>45</v>
      </c>
      <c r="L60" s="216">
        <v>42201</v>
      </c>
      <c r="M60" s="14" t="s">
        <v>136</v>
      </c>
      <c r="N60" s="216">
        <v>23939</v>
      </c>
      <c r="O60" s="14" t="s">
        <v>187</v>
      </c>
      <c r="P60" s="14">
        <v>0</v>
      </c>
      <c r="Q60" s="14">
        <v>0</v>
      </c>
      <c r="R60" s="207">
        <v>1.7549999999999999</v>
      </c>
      <c r="S60" s="26">
        <v>0</v>
      </c>
      <c r="U60" s="206" t="s">
        <v>45</v>
      </c>
      <c r="V60" s="216">
        <v>42201</v>
      </c>
      <c r="W60" s="14" t="s">
        <v>136</v>
      </c>
      <c r="X60" s="216">
        <v>23939</v>
      </c>
      <c r="Y60" s="14" t="s">
        <v>187</v>
      </c>
      <c r="Z60" s="14">
        <v>0</v>
      </c>
      <c r="AA60" s="14">
        <v>0</v>
      </c>
      <c r="AB60" s="207">
        <v>1.7549999999999999</v>
      </c>
      <c r="AC60" s="26">
        <v>0</v>
      </c>
      <c r="AE60" s="206" t="s">
        <v>45</v>
      </c>
      <c r="AF60" s="216">
        <v>42201</v>
      </c>
      <c r="AG60" s="14" t="s">
        <v>168</v>
      </c>
      <c r="AH60" s="216">
        <v>18826</v>
      </c>
      <c r="AI60" s="14" t="s">
        <v>182</v>
      </c>
      <c r="AJ60" s="14">
        <v>0</v>
      </c>
      <c r="AK60" s="14">
        <v>0</v>
      </c>
      <c r="AL60" s="207">
        <v>1.699806097</v>
      </c>
      <c r="AM60" s="26">
        <v>0</v>
      </c>
      <c r="AO60" s="206" t="s">
        <v>45</v>
      </c>
      <c r="AP60" s="216">
        <v>42201</v>
      </c>
      <c r="AQ60" s="14" t="s">
        <v>145</v>
      </c>
      <c r="AR60" s="216">
        <v>23939</v>
      </c>
      <c r="AS60" s="14" t="s">
        <v>187</v>
      </c>
      <c r="AT60" s="14">
        <v>0</v>
      </c>
      <c r="AU60" s="14">
        <v>0</v>
      </c>
      <c r="AV60" s="207">
        <v>1.8160000000000001</v>
      </c>
      <c r="AW60" s="26">
        <v>0</v>
      </c>
      <c r="AY60" s="206" t="s">
        <v>46</v>
      </c>
      <c r="AZ60" s="216">
        <v>42201</v>
      </c>
      <c r="BA60" s="14" t="s">
        <v>147</v>
      </c>
      <c r="BB60" s="216">
        <v>18462</v>
      </c>
      <c r="BC60" s="14" t="s">
        <v>181</v>
      </c>
      <c r="BD60" s="14">
        <v>0</v>
      </c>
      <c r="BE60" s="14">
        <v>0</v>
      </c>
      <c r="BF60" s="207">
        <v>1.65</v>
      </c>
      <c r="BG60" s="26">
        <v>0</v>
      </c>
    </row>
    <row r="61" spans="1:59" x14ac:dyDescent="0.2">
      <c r="A61" s="206" t="s">
        <v>45</v>
      </c>
      <c r="B61" s="216">
        <v>42201</v>
      </c>
      <c r="C61" s="14" t="s">
        <v>99</v>
      </c>
      <c r="D61" s="216">
        <v>27591</v>
      </c>
      <c r="E61" s="14" t="s">
        <v>188</v>
      </c>
      <c r="F61" s="14">
        <v>0</v>
      </c>
      <c r="G61" s="14">
        <v>0</v>
      </c>
      <c r="H61" s="207">
        <v>1.712</v>
      </c>
      <c r="I61" s="26">
        <v>0</v>
      </c>
      <c r="K61" s="206" t="s">
        <v>45</v>
      </c>
      <c r="L61" s="216">
        <v>42201</v>
      </c>
      <c r="M61" s="14" t="s">
        <v>136</v>
      </c>
      <c r="N61" s="216">
        <v>27591</v>
      </c>
      <c r="O61" s="14" t="s">
        <v>188</v>
      </c>
      <c r="P61" s="14">
        <v>0</v>
      </c>
      <c r="Q61" s="14">
        <v>0</v>
      </c>
      <c r="R61" s="207">
        <v>1.74</v>
      </c>
      <c r="S61" s="26">
        <v>0</v>
      </c>
      <c r="U61" s="206" t="s">
        <v>45</v>
      </c>
      <c r="V61" s="216">
        <v>42201</v>
      </c>
      <c r="W61" s="14" t="s">
        <v>136</v>
      </c>
      <c r="X61" s="216">
        <v>27591</v>
      </c>
      <c r="Y61" s="14" t="s">
        <v>188</v>
      </c>
      <c r="Z61" s="14">
        <v>0</v>
      </c>
      <c r="AA61" s="14">
        <v>0</v>
      </c>
      <c r="AB61" s="207">
        <v>1.74</v>
      </c>
      <c r="AC61" s="26">
        <v>0</v>
      </c>
      <c r="AE61" s="206" t="s">
        <v>45</v>
      </c>
      <c r="AF61" s="216">
        <v>42201</v>
      </c>
      <c r="AG61" s="14" t="s">
        <v>168</v>
      </c>
      <c r="AH61" s="216">
        <v>19191</v>
      </c>
      <c r="AI61" s="14" t="s">
        <v>183</v>
      </c>
      <c r="AJ61" s="14">
        <v>0</v>
      </c>
      <c r="AK61" s="14">
        <v>0</v>
      </c>
      <c r="AL61" s="207">
        <v>1.702121642</v>
      </c>
      <c r="AM61" s="26">
        <v>0</v>
      </c>
      <c r="AO61" s="206" t="s">
        <v>45</v>
      </c>
      <c r="AP61" s="216">
        <v>42201</v>
      </c>
      <c r="AQ61" s="14" t="s">
        <v>145</v>
      </c>
      <c r="AR61" s="216">
        <v>27591</v>
      </c>
      <c r="AS61" s="14" t="s">
        <v>188</v>
      </c>
      <c r="AT61" s="14">
        <v>0</v>
      </c>
      <c r="AU61" s="14">
        <v>0</v>
      </c>
      <c r="AV61" s="207">
        <v>1.7969999999999999</v>
      </c>
      <c r="AW61" s="26">
        <v>0</v>
      </c>
      <c r="AY61" s="206" t="s">
        <v>46</v>
      </c>
      <c r="AZ61" s="216">
        <v>42201</v>
      </c>
      <c r="BA61" s="14" t="s">
        <v>147</v>
      </c>
      <c r="BB61" s="216">
        <v>20286</v>
      </c>
      <c r="BC61" s="14" t="s">
        <v>186</v>
      </c>
      <c r="BD61" s="14">
        <v>0</v>
      </c>
      <c r="BE61" s="14">
        <v>0</v>
      </c>
      <c r="BF61" s="207">
        <v>1.657</v>
      </c>
      <c r="BG61" s="26">
        <v>0</v>
      </c>
    </row>
    <row r="62" spans="1:59" x14ac:dyDescent="0.2">
      <c r="A62" s="206"/>
      <c r="B62" s="216"/>
      <c r="C62" s="14"/>
      <c r="D62" s="216"/>
      <c r="E62" s="14"/>
      <c r="F62" s="14"/>
      <c r="G62" s="14"/>
      <c r="H62" s="207"/>
      <c r="I62" s="26"/>
      <c r="K62" s="206"/>
      <c r="L62" s="216"/>
      <c r="M62" s="14"/>
      <c r="N62" s="216"/>
      <c r="O62" s="14"/>
      <c r="P62" s="14"/>
      <c r="Q62" s="14"/>
      <c r="R62" s="207"/>
      <c r="S62" s="26"/>
      <c r="U62" s="206"/>
      <c r="V62" s="216"/>
      <c r="W62" s="14"/>
      <c r="X62" s="216"/>
      <c r="Y62" s="14"/>
      <c r="Z62" s="14"/>
      <c r="AA62" s="14"/>
      <c r="AB62" s="207"/>
      <c r="AC62" s="26"/>
      <c r="AE62" s="206" t="s">
        <v>45</v>
      </c>
      <c r="AF62" s="216">
        <v>42201</v>
      </c>
      <c r="AG62" s="14" t="s">
        <v>168</v>
      </c>
      <c r="AH62" s="216">
        <v>19556</v>
      </c>
      <c r="AI62" s="14" t="s">
        <v>184</v>
      </c>
      <c r="AJ62" s="14">
        <v>0</v>
      </c>
      <c r="AK62" s="14">
        <v>0</v>
      </c>
      <c r="AL62" s="207">
        <v>1.7034509179999999</v>
      </c>
      <c r="AM62" s="26">
        <v>0</v>
      </c>
      <c r="AO62" s="206"/>
      <c r="AP62" s="216"/>
      <c r="AQ62" s="14"/>
      <c r="AR62" s="216"/>
      <c r="AS62" s="14"/>
      <c r="AT62" s="14"/>
      <c r="AU62" s="14"/>
      <c r="AV62" s="207"/>
      <c r="AW62" s="26"/>
      <c r="AY62" s="206" t="s">
        <v>46</v>
      </c>
      <c r="AZ62" s="216">
        <v>42201</v>
      </c>
      <c r="BA62" s="14" t="s">
        <v>147</v>
      </c>
      <c r="BB62" s="216">
        <v>23939</v>
      </c>
      <c r="BC62" s="14" t="s">
        <v>187</v>
      </c>
      <c r="BD62" s="14">
        <v>0</v>
      </c>
      <c r="BE62" s="14">
        <v>0</v>
      </c>
      <c r="BF62" s="207">
        <v>1.629</v>
      </c>
      <c r="BG62" s="26">
        <v>0</v>
      </c>
    </row>
    <row r="63" spans="1:59" x14ac:dyDescent="0.2">
      <c r="A63" s="206"/>
      <c r="B63" s="216"/>
      <c r="C63" s="14"/>
      <c r="D63" s="216"/>
      <c r="E63" s="14"/>
      <c r="F63" s="14"/>
      <c r="G63" s="14"/>
      <c r="H63" s="207"/>
      <c r="I63" s="26"/>
      <c r="K63" s="206"/>
      <c r="L63" s="216"/>
      <c r="M63" s="14"/>
      <c r="N63" s="216"/>
      <c r="O63" s="14"/>
      <c r="P63" s="14"/>
      <c r="Q63" s="14"/>
      <c r="R63" s="207"/>
      <c r="S63" s="26"/>
      <c r="U63" s="206"/>
      <c r="V63" s="216"/>
      <c r="W63" s="14"/>
      <c r="X63" s="216"/>
      <c r="Y63" s="14"/>
      <c r="Z63" s="14"/>
      <c r="AA63" s="14"/>
      <c r="AB63" s="207"/>
      <c r="AC63" s="26"/>
      <c r="AE63" s="206" t="s">
        <v>45</v>
      </c>
      <c r="AF63" s="216">
        <v>42201</v>
      </c>
      <c r="AG63" s="14" t="s">
        <v>168</v>
      </c>
      <c r="AH63" s="216">
        <v>19921</v>
      </c>
      <c r="AI63" s="14" t="s">
        <v>185</v>
      </c>
      <c r="AJ63" s="14">
        <v>0</v>
      </c>
      <c r="AK63" s="14">
        <v>0</v>
      </c>
      <c r="AL63" s="207">
        <v>1.703775547</v>
      </c>
      <c r="AM63" s="26">
        <v>0</v>
      </c>
      <c r="AO63" s="206"/>
      <c r="AP63" s="216"/>
      <c r="AQ63" s="14"/>
      <c r="AR63" s="216"/>
      <c r="AS63" s="14"/>
      <c r="AT63" s="14"/>
      <c r="AU63" s="14"/>
      <c r="AV63" s="207"/>
      <c r="AW63" s="26"/>
      <c r="AY63" s="206" t="s">
        <v>46</v>
      </c>
      <c r="AZ63" s="216">
        <v>42201</v>
      </c>
      <c r="BA63" s="14" t="s">
        <v>147</v>
      </c>
      <c r="BB63" s="216">
        <v>27591</v>
      </c>
      <c r="BC63" s="14" t="s">
        <v>188</v>
      </c>
      <c r="BD63" s="14">
        <v>0</v>
      </c>
      <c r="BE63" s="14">
        <v>0</v>
      </c>
      <c r="BF63" s="207">
        <v>1.623</v>
      </c>
      <c r="BG63" s="26">
        <v>0</v>
      </c>
    </row>
    <row r="64" spans="1:59" x14ac:dyDescent="0.2">
      <c r="A64" s="206"/>
      <c r="B64" s="216"/>
      <c r="C64" s="14"/>
      <c r="D64" s="216"/>
      <c r="E64" s="14"/>
      <c r="F64" s="14"/>
      <c r="G64" s="14"/>
      <c r="H64" s="207"/>
      <c r="I64" s="26"/>
      <c r="K64" s="206"/>
      <c r="L64" s="216"/>
      <c r="M64" s="14"/>
      <c r="N64" s="216"/>
      <c r="O64" s="14"/>
      <c r="P64" s="14"/>
      <c r="Q64" s="14"/>
      <c r="R64" s="207"/>
      <c r="S64" s="26"/>
      <c r="U64" s="206"/>
      <c r="V64" s="216"/>
      <c r="W64" s="14"/>
      <c r="X64" s="216"/>
      <c r="Y64" s="14"/>
      <c r="Z64" s="14"/>
      <c r="AA64" s="14"/>
      <c r="AB64" s="207"/>
      <c r="AC64" s="26"/>
      <c r="AE64" s="206" t="s">
        <v>45</v>
      </c>
      <c r="AF64" s="216">
        <v>42201</v>
      </c>
      <c r="AG64" s="14" t="s">
        <v>168</v>
      </c>
      <c r="AH64" s="216">
        <v>20286</v>
      </c>
      <c r="AI64" s="14" t="s">
        <v>186</v>
      </c>
      <c r="AJ64" s="14">
        <v>0</v>
      </c>
      <c r="AK64" s="14">
        <v>0</v>
      </c>
      <c r="AL64" s="207">
        <v>1.7030000000000001</v>
      </c>
      <c r="AM64" s="26">
        <v>0</v>
      </c>
      <c r="AO64" s="206"/>
      <c r="AP64" s="216"/>
      <c r="AQ64" s="14"/>
      <c r="AR64" s="216"/>
      <c r="AS64" s="14"/>
      <c r="AT64" s="14"/>
      <c r="AU64" s="14"/>
      <c r="AV64" s="207"/>
      <c r="AW64" s="26"/>
      <c r="AY64" s="206"/>
      <c r="AZ64" s="216"/>
      <c r="BA64" s="14"/>
      <c r="BB64" s="216"/>
      <c r="BC64" s="14"/>
      <c r="BD64" s="14"/>
      <c r="BE64" s="14"/>
      <c r="BF64" s="207"/>
      <c r="BG64" s="26"/>
    </row>
    <row r="65" spans="1:59" x14ac:dyDescent="0.2">
      <c r="A65" s="206"/>
      <c r="B65" s="216"/>
      <c r="C65" s="14"/>
      <c r="D65" s="216"/>
      <c r="E65" s="14"/>
      <c r="F65" s="14"/>
      <c r="G65" s="14"/>
      <c r="H65" s="207"/>
      <c r="I65" s="26"/>
      <c r="K65" s="206"/>
      <c r="L65" s="216"/>
      <c r="M65" s="14"/>
      <c r="N65" s="216"/>
      <c r="O65" s="14"/>
      <c r="P65" s="14"/>
      <c r="Q65" s="14"/>
      <c r="R65" s="207"/>
      <c r="S65" s="26"/>
      <c r="U65" s="206"/>
      <c r="V65" s="216"/>
      <c r="W65" s="14"/>
      <c r="X65" s="216"/>
      <c r="Y65" s="14"/>
      <c r="Z65" s="14"/>
      <c r="AA65" s="14"/>
      <c r="AB65" s="207"/>
      <c r="AC65" s="26"/>
      <c r="AE65" s="206" t="s">
        <v>45</v>
      </c>
      <c r="AF65" s="216">
        <v>42201</v>
      </c>
      <c r="AG65" s="14" t="s">
        <v>168</v>
      </c>
      <c r="AH65" s="216">
        <v>23939</v>
      </c>
      <c r="AI65" s="14" t="s">
        <v>187</v>
      </c>
      <c r="AJ65" s="14">
        <v>0</v>
      </c>
      <c r="AK65" s="14">
        <v>0</v>
      </c>
      <c r="AL65" s="207">
        <v>1.6679999999999999</v>
      </c>
      <c r="AM65" s="26">
        <v>0</v>
      </c>
      <c r="AO65" s="206"/>
      <c r="AP65" s="216"/>
      <c r="AQ65" s="14"/>
      <c r="AR65" s="216"/>
      <c r="AS65" s="14"/>
      <c r="AT65" s="14"/>
      <c r="AU65" s="14"/>
      <c r="AV65" s="207"/>
      <c r="AW65" s="26"/>
      <c r="AY65" s="206"/>
      <c r="AZ65" s="216"/>
      <c r="BA65" s="14"/>
      <c r="BB65" s="216"/>
      <c r="BC65" s="14"/>
      <c r="BD65" s="14"/>
      <c r="BE65" s="14"/>
      <c r="BF65" s="207"/>
      <c r="BG65" s="26"/>
    </row>
    <row r="66" spans="1:59" x14ac:dyDescent="0.2">
      <c r="A66" s="206"/>
      <c r="B66" s="216"/>
      <c r="C66" s="14"/>
      <c r="D66" s="216"/>
      <c r="E66" s="14"/>
      <c r="F66" s="14"/>
      <c r="G66" s="14"/>
      <c r="H66" s="207"/>
      <c r="I66" s="26"/>
      <c r="K66" s="206"/>
      <c r="L66" s="216"/>
      <c r="M66" s="14"/>
      <c r="N66" s="216"/>
      <c r="O66" s="14"/>
      <c r="P66" s="14"/>
      <c r="Q66" s="14"/>
      <c r="R66" s="207"/>
      <c r="S66" s="26"/>
      <c r="U66" s="206"/>
      <c r="V66" s="216"/>
      <c r="W66" s="14"/>
      <c r="X66" s="216"/>
      <c r="Y66" s="14"/>
      <c r="Z66" s="14"/>
      <c r="AA66" s="14"/>
      <c r="AB66" s="207"/>
      <c r="AC66" s="26"/>
      <c r="AE66" s="206" t="s">
        <v>45</v>
      </c>
      <c r="AF66" s="216">
        <v>42201</v>
      </c>
      <c r="AG66" s="14" t="s">
        <v>168</v>
      </c>
      <c r="AH66" s="216">
        <v>27591</v>
      </c>
      <c r="AI66" s="14" t="s">
        <v>188</v>
      </c>
      <c r="AJ66" s="14">
        <v>0</v>
      </c>
      <c r="AK66" s="14">
        <v>0</v>
      </c>
      <c r="AL66" s="207">
        <v>1.659</v>
      </c>
      <c r="AM66" s="26">
        <v>0</v>
      </c>
      <c r="AO66" s="206"/>
      <c r="AP66" s="216"/>
      <c r="AQ66" s="14"/>
      <c r="AR66" s="216"/>
      <c r="AS66" s="14"/>
      <c r="AT66" s="14"/>
      <c r="AU66" s="14"/>
      <c r="AV66" s="207"/>
      <c r="AW66" s="26"/>
      <c r="AY66" s="206"/>
      <c r="AZ66" s="216"/>
      <c r="BA66" s="14"/>
      <c r="BB66" s="216"/>
      <c r="BC66" s="14"/>
      <c r="BD66" s="14"/>
      <c r="BE66" s="14"/>
      <c r="BF66" s="207"/>
      <c r="BG66" s="26"/>
    </row>
    <row r="67" spans="1:59" x14ac:dyDescent="0.2">
      <c r="A67" s="206"/>
      <c r="B67" s="216"/>
      <c r="C67" s="14"/>
      <c r="D67" s="216"/>
      <c r="E67" s="14"/>
      <c r="F67" s="14"/>
      <c r="G67" s="14"/>
      <c r="H67" s="207"/>
      <c r="I67" s="26"/>
      <c r="K67" s="206"/>
      <c r="L67" s="216"/>
      <c r="M67" s="14"/>
      <c r="N67" s="216"/>
      <c r="O67" s="14"/>
      <c r="P67" s="14"/>
      <c r="Q67" s="14"/>
      <c r="R67" s="207"/>
      <c r="S67" s="26"/>
      <c r="U67" s="206"/>
      <c r="V67" s="216"/>
      <c r="W67" s="14"/>
      <c r="X67" s="216"/>
      <c r="Y67" s="14"/>
      <c r="Z67" s="14"/>
      <c r="AA67" s="14"/>
      <c r="AB67" s="207"/>
      <c r="AC67" s="26"/>
      <c r="AE67" s="206"/>
      <c r="AF67" s="216"/>
      <c r="AG67" s="14"/>
      <c r="AH67" s="216"/>
      <c r="AI67" s="14"/>
      <c r="AJ67" s="14"/>
      <c r="AK67" s="14"/>
      <c r="AL67" s="207"/>
      <c r="AM67" s="26"/>
      <c r="AO67" s="206"/>
      <c r="AP67" s="216"/>
      <c r="AQ67" s="14"/>
      <c r="AR67" s="216"/>
      <c r="AS67" s="14"/>
      <c r="AT67" s="14"/>
      <c r="AU67" s="14"/>
      <c r="AV67" s="207"/>
      <c r="AW67" s="26"/>
      <c r="AY67" s="206"/>
      <c r="AZ67" s="216"/>
      <c r="BA67" s="14"/>
      <c r="BB67" s="216"/>
      <c r="BC67" s="14"/>
      <c r="BD67" s="14"/>
      <c r="BE67" s="14"/>
      <c r="BF67" s="207"/>
      <c r="BG67" s="26"/>
    </row>
    <row r="68" spans="1:59" x14ac:dyDescent="0.2">
      <c r="A68" s="206"/>
      <c r="B68" s="216"/>
      <c r="C68" s="14"/>
      <c r="D68" s="216"/>
      <c r="E68" s="14"/>
      <c r="F68" s="14"/>
      <c r="G68" s="14"/>
      <c r="H68" s="207"/>
      <c r="I68" s="26"/>
      <c r="K68" s="206"/>
      <c r="L68" s="216"/>
      <c r="M68" s="14"/>
      <c r="N68" s="216"/>
      <c r="O68" s="14"/>
      <c r="P68" s="14"/>
      <c r="Q68" s="14"/>
      <c r="R68" s="207"/>
      <c r="S68" s="26"/>
      <c r="U68" s="206"/>
      <c r="V68" s="216"/>
      <c r="W68" s="14"/>
      <c r="X68" s="216"/>
      <c r="Y68" s="14"/>
      <c r="Z68" s="14"/>
      <c r="AA68" s="14"/>
      <c r="AB68" s="207"/>
      <c r="AC68" s="26"/>
      <c r="AE68" s="206"/>
      <c r="AF68" s="216"/>
      <c r="AG68" s="14"/>
      <c r="AH68" s="216"/>
      <c r="AI68" s="14"/>
      <c r="AJ68" s="14"/>
      <c r="AK68" s="14"/>
      <c r="AL68" s="207"/>
      <c r="AM68" s="26"/>
      <c r="AO68" s="206"/>
      <c r="AP68" s="216"/>
      <c r="AQ68" s="14"/>
      <c r="AR68" s="216"/>
      <c r="AS68" s="14"/>
      <c r="AT68" s="14"/>
      <c r="AU68" s="14"/>
      <c r="AV68" s="207"/>
      <c r="AW68" s="26"/>
      <c r="AY68" s="206"/>
      <c r="AZ68" s="216"/>
      <c r="BA68" s="14"/>
      <c r="BB68" s="216"/>
      <c r="BC68" s="14"/>
      <c r="BD68" s="14"/>
      <c r="BE68" s="14"/>
      <c r="BF68" s="207"/>
      <c r="BG68" s="26"/>
    </row>
    <row r="69" spans="1:59" x14ac:dyDescent="0.2">
      <c r="A69" s="206"/>
      <c r="B69" s="216"/>
      <c r="C69" s="14"/>
      <c r="D69" s="216"/>
      <c r="E69" s="14"/>
      <c r="F69" s="14"/>
      <c r="G69" s="14"/>
      <c r="H69" s="207"/>
      <c r="I69" s="26"/>
      <c r="K69" s="206"/>
      <c r="L69" s="216"/>
      <c r="M69" s="14"/>
      <c r="N69" s="216"/>
      <c r="O69" s="14"/>
      <c r="P69" s="14"/>
      <c r="Q69" s="14"/>
      <c r="R69" s="207"/>
      <c r="S69" s="26"/>
      <c r="U69" s="206"/>
      <c r="V69" s="216"/>
      <c r="W69" s="14"/>
      <c r="X69" s="216"/>
      <c r="Y69" s="14"/>
      <c r="Z69" s="14"/>
      <c r="AA69" s="14"/>
      <c r="AB69" s="207"/>
      <c r="AC69" s="26"/>
      <c r="AE69" s="206"/>
      <c r="AF69" s="216"/>
      <c r="AG69" s="14"/>
      <c r="AH69" s="216"/>
      <c r="AI69" s="14"/>
      <c r="AJ69" s="14"/>
      <c r="AK69" s="14"/>
      <c r="AL69" s="207"/>
      <c r="AM69" s="26"/>
      <c r="AO69" s="206"/>
      <c r="AP69" s="216"/>
      <c r="AQ69" s="14"/>
      <c r="AR69" s="216"/>
      <c r="AS69" s="14"/>
      <c r="AT69" s="14"/>
      <c r="AU69" s="14"/>
      <c r="AV69" s="207"/>
      <c r="AW69" s="26"/>
      <c r="AY69" s="206"/>
      <c r="AZ69" s="216"/>
      <c r="BA69" s="14"/>
      <c r="BB69" s="216"/>
      <c r="BC69" s="14"/>
      <c r="BD69" s="14"/>
      <c r="BE69" s="14"/>
      <c r="BF69" s="207"/>
      <c r="BG69" s="26"/>
    </row>
    <row r="70" spans="1:59" x14ac:dyDescent="0.2">
      <c r="A70" s="206"/>
      <c r="B70" s="216"/>
      <c r="C70" s="14"/>
      <c r="D70" s="216"/>
      <c r="E70" s="14"/>
      <c r="F70" s="14"/>
      <c r="G70" s="14"/>
      <c r="H70" s="207"/>
      <c r="I70" s="26"/>
      <c r="K70" s="206"/>
      <c r="L70" s="216"/>
      <c r="M70" s="14"/>
      <c r="N70" s="216"/>
      <c r="O70" s="14"/>
      <c r="P70" s="14"/>
      <c r="Q70" s="14"/>
      <c r="R70" s="207"/>
      <c r="S70" s="26"/>
      <c r="U70" s="206"/>
      <c r="V70" s="216"/>
      <c r="W70" s="14"/>
      <c r="X70" s="216"/>
      <c r="Y70" s="14"/>
      <c r="Z70" s="14"/>
      <c r="AA70" s="14"/>
      <c r="AB70" s="207"/>
      <c r="AC70" s="26"/>
      <c r="AE70" s="206"/>
      <c r="AF70" s="216"/>
      <c r="AG70" s="14"/>
      <c r="AH70" s="216"/>
      <c r="AI70" s="14"/>
      <c r="AJ70" s="14"/>
      <c r="AK70" s="14"/>
      <c r="AL70" s="207"/>
      <c r="AM70" s="26"/>
      <c r="AO70" s="206"/>
      <c r="AP70" s="216"/>
      <c r="AQ70" s="14"/>
      <c r="AR70" s="216"/>
      <c r="AS70" s="14"/>
      <c r="AT70" s="14"/>
      <c r="AU70" s="14"/>
      <c r="AV70" s="207"/>
      <c r="AW70" s="26"/>
      <c r="AY70" s="206"/>
      <c r="AZ70" s="216"/>
      <c r="BA70" s="14"/>
      <c r="BB70" s="216"/>
      <c r="BC70" s="14"/>
      <c r="BD70" s="14"/>
      <c r="BE70" s="14"/>
      <c r="BF70" s="207"/>
      <c r="BG70" s="26"/>
    </row>
    <row r="71" spans="1:59" x14ac:dyDescent="0.2">
      <c r="A71" s="206"/>
      <c r="B71" s="216"/>
      <c r="C71" s="14"/>
      <c r="D71" s="216"/>
      <c r="E71" s="14"/>
      <c r="F71" s="14"/>
      <c r="G71" s="14"/>
      <c r="H71" s="207"/>
      <c r="I71" s="26"/>
      <c r="K71" s="206"/>
      <c r="L71" s="216"/>
      <c r="M71" s="14"/>
      <c r="N71" s="216"/>
      <c r="O71" s="14"/>
      <c r="P71" s="14"/>
      <c r="Q71" s="14"/>
      <c r="R71" s="207"/>
      <c r="S71" s="26"/>
      <c r="U71" s="206"/>
      <c r="V71" s="216"/>
      <c r="W71" s="14"/>
      <c r="X71" s="216"/>
      <c r="Y71" s="14"/>
      <c r="Z71" s="14"/>
      <c r="AA71" s="14"/>
      <c r="AB71" s="207"/>
      <c r="AC71" s="26"/>
      <c r="AE71" s="206"/>
      <c r="AF71" s="216"/>
      <c r="AG71" s="14"/>
      <c r="AH71" s="216"/>
      <c r="AI71" s="14"/>
      <c r="AJ71" s="14"/>
      <c r="AK71" s="14"/>
      <c r="AL71" s="207"/>
      <c r="AM71" s="26"/>
      <c r="AO71" s="206"/>
      <c r="AP71" s="216"/>
      <c r="AQ71" s="14"/>
      <c r="AR71" s="216"/>
      <c r="AS71" s="14"/>
      <c r="AT71" s="14"/>
      <c r="AU71" s="14"/>
      <c r="AV71" s="207"/>
      <c r="AW71" s="26"/>
      <c r="AY71" s="206"/>
      <c r="AZ71" s="216"/>
      <c r="BA71" s="14"/>
      <c r="BB71" s="216"/>
      <c r="BC71" s="14"/>
      <c r="BD71" s="14"/>
      <c r="BE71" s="14"/>
      <c r="BF71" s="207"/>
      <c r="BG71" s="26"/>
    </row>
    <row r="72" spans="1:59" x14ac:dyDescent="0.2">
      <c r="A72" s="206"/>
      <c r="B72" s="216"/>
      <c r="C72" s="14"/>
      <c r="D72" s="216"/>
      <c r="E72" s="14"/>
      <c r="F72" s="14"/>
      <c r="G72" s="14"/>
      <c r="H72" s="207"/>
      <c r="I72" s="26"/>
      <c r="K72" s="206"/>
      <c r="L72" s="216"/>
      <c r="M72" s="14"/>
      <c r="N72" s="216"/>
      <c r="O72" s="14"/>
      <c r="P72" s="14"/>
      <c r="Q72" s="14"/>
      <c r="R72" s="207"/>
      <c r="S72" s="26"/>
      <c r="U72" s="206"/>
      <c r="V72" s="216"/>
      <c r="W72" s="14"/>
      <c r="X72" s="216"/>
      <c r="Y72" s="14"/>
      <c r="Z72" s="14"/>
      <c r="AA72" s="14"/>
      <c r="AB72" s="207"/>
      <c r="AC72" s="26"/>
      <c r="AE72" s="206"/>
      <c r="AF72" s="216"/>
      <c r="AG72" s="14"/>
      <c r="AH72" s="216"/>
      <c r="AI72" s="14"/>
      <c r="AJ72" s="14"/>
      <c r="AK72" s="14"/>
      <c r="AL72" s="207"/>
      <c r="AM72" s="26"/>
      <c r="AO72" s="206"/>
      <c r="AP72" s="216"/>
      <c r="AQ72" s="14"/>
      <c r="AR72" s="216"/>
      <c r="AS72" s="14"/>
      <c r="AT72" s="14"/>
      <c r="AU72" s="14"/>
      <c r="AV72" s="207"/>
      <c r="AW72" s="26"/>
      <c r="AY72" s="206"/>
      <c r="AZ72" s="216"/>
      <c r="BA72" s="14"/>
      <c r="BB72" s="216"/>
      <c r="BC72" s="14"/>
      <c r="BD72" s="14"/>
      <c r="BE72" s="14"/>
      <c r="BF72" s="207"/>
      <c r="BG72" s="26"/>
    </row>
    <row r="73" spans="1:59" x14ac:dyDescent="0.2">
      <c r="A73" s="206"/>
      <c r="B73" s="216"/>
      <c r="C73" s="14"/>
      <c r="D73" s="216"/>
      <c r="E73" s="14"/>
      <c r="F73" s="14"/>
      <c r="G73" s="14"/>
      <c r="H73" s="207"/>
      <c r="I73" s="26"/>
      <c r="K73" s="206"/>
      <c r="L73" s="216"/>
      <c r="M73" s="14"/>
      <c r="N73" s="216"/>
      <c r="O73" s="14"/>
      <c r="P73" s="14"/>
      <c r="Q73" s="14"/>
      <c r="R73" s="207"/>
      <c r="S73" s="26"/>
      <c r="U73" s="206"/>
      <c r="V73" s="216"/>
      <c r="W73" s="14"/>
      <c r="X73" s="216"/>
      <c r="Y73" s="14"/>
      <c r="Z73" s="14"/>
      <c r="AA73" s="14"/>
      <c r="AB73" s="207"/>
      <c r="AC73" s="26"/>
      <c r="AE73" s="206"/>
      <c r="AF73" s="216"/>
      <c r="AG73" s="14"/>
      <c r="AH73" s="216"/>
      <c r="AI73" s="14"/>
      <c r="AJ73" s="14"/>
      <c r="AK73" s="14"/>
      <c r="AL73" s="207"/>
      <c r="AM73" s="26"/>
      <c r="AO73" s="206"/>
      <c r="AP73" s="216"/>
      <c r="AQ73" s="14"/>
      <c r="AR73" s="216"/>
      <c r="AS73" s="14"/>
      <c r="AT73" s="14"/>
      <c r="AU73" s="14"/>
      <c r="AV73" s="207"/>
      <c r="AW73" s="26"/>
      <c r="AY73" s="206"/>
      <c r="AZ73" s="216"/>
      <c r="BA73" s="14"/>
      <c r="BB73" s="216"/>
      <c r="BC73" s="14"/>
      <c r="BD73" s="14"/>
      <c r="BE73" s="14"/>
      <c r="BF73" s="207"/>
      <c r="BG73" s="26"/>
    </row>
    <row r="74" spans="1:59" ht="12" thickBot="1" x14ac:dyDescent="0.25">
      <c r="A74" s="213"/>
      <c r="B74" s="217"/>
      <c r="C74" s="17"/>
      <c r="D74" s="217"/>
      <c r="E74" s="17"/>
      <c r="F74" s="17"/>
      <c r="G74" s="17"/>
      <c r="H74" s="214"/>
      <c r="I74" s="27"/>
      <c r="K74" s="213"/>
      <c r="L74" s="217"/>
      <c r="M74" s="17"/>
      <c r="N74" s="217"/>
      <c r="O74" s="17"/>
      <c r="P74" s="17"/>
      <c r="Q74" s="17"/>
      <c r="R74" s="214"/>
      <c r="S74" s="27"/>
      <c r="U74" s="213"/>
      <c r="V74" s="217"/>
      <c r="W74" s="17"/>
      <c r="X74" s="217"/>
      <c r="Y74" s="17"/>
      <c r="Z74" s="17"/>
      <c r="AA74" s="17"/>
      <c r="AB74" s="214"/>
      <c r="AC74" s="27"/>
      <c r="AE74" s="213"/>
      <c r="AF74" s="217"/>
      <c r="AG74" s="17"/>
      <c r="AH74" s="217"/>
      <c r="AI74" s="17"/>
      <c r="AJ74" s="17"/>
      <c r="AK74" s="17"/>
      <c r="AL74" s="214"/>
      <c r="AM74" s="27"/>
      <c r="AO74" s="213"/>
      <c r="AP74" s="217"/>
      <c r="AQ74" s="17"/>
      <c r="AR74" s="217"/>
      <c r="AS74" s="17"/>
      <c r="AT74" s="17"/>
      <c r="AU74" s="17"/>
      <c r="AV74" s="214"/>
      <c r="AW74" s="27"/>
      <c r="AY74" s="213"/>
      <c r="AZ74" s="217"/>
      <c r="BA74" s="17"/>
      <c r="BB74" s="217"/>
      <c r="BC74" s="17"/>
      <c r="BD74" s="17"/>
      <c r="BE74" s="17"/>
      <c r="BF74" s="214"/>
      <c r="BG74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GeneralSettings</vt:lpstr>
      <vt:lpstr>EURSTD</vt:lpstr>
      <vt:lpstr>EUR3M</vt:lpstr>
      <vt:lpstr>EUR6M</vt:lpstr>
      <vt:lpstr>EUR1Y</vt:lpstr>
      <vt:lpstr>EUR1M</vt:lpstr>
      <vt:lpstr>EURON</vt:lpstr>
      <vt:lpstr>Euribor</vt:lpstr>
      <vt:lpstr>PastedValue</vt:lpstr>
      <vt:lpstr>Calendar</vt:lpstr>
      <vt:lpstr>Currency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Euribor!FamilyName</vt:lpstr>
      <vt:lpstr>ObjectOverwrite</vt:lpstr>
      <vt:lpstr>Permanent</vt:lpstr>
      <vt:lpstr>Settlementdate</vt:lpstr>
      <vt:lpstr>Trigger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2014-09-18T08:07:51Z</dcterms:created>
  <dcterms:modified xsi:type="dcterms:W3CDTF">2015-07-15T16:38:48Z</dcterms:modified>
</cp:coreProperties>
</file>