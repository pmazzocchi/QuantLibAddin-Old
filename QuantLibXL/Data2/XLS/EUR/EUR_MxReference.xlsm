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610"/>
  </bookViews>
  <sheets>
    <sheet name="GeneralSettings" sheetId="1" r:id="rId1"/>
    <sheet name="EURSTD" sheetId="2" r:id="rId2"/>
    <sheet name="EUR3M" sheetId="10" r:id="rId3"/>
    <sheet name="EUR6M" sheetId="11" r:id="rId4"/>
    <sheet name="EUR1Y" sheetId="13" r:id="rId5"/>
    <sheet name="EUR1M" sheetId="12" r:id="rId6"/>
    <sheet name="EURON" sheetId="14" r:id="rId7"/>
    <sheet name="Euribor" sheetId="16" r:id="rId8"/>
    <sheet name="PastedValue" sheetId="8" r:id="rId9"/>
  </sheets>
  <definedNames>
    <definedName name="Calendar">GeneralSettings!$D$5</definedName>
    <definedName name="Currency">GeneralSettings!$D$4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GeneralSettings!$D$9</definedName>
    <definedName name="Evaluationdate">GeneralSettings!$D$2</definedName>
    <definedName name="FamilyName" localSheetId="7">Euribor!$I$2</definedName>
    <definedName name="ObjectOverwrite">GeneralSettings!$D$7</definedName>
    <definedName name="Permanent">GeneralSettings!$D$6</definedName>
    <definedName name="Settlementdate">GeneralSettings!$D$3</definedName>
    <definedName name="Trigger">GeneralSettings!$D$8</definedName>
    <definedName name="YieldCurve_1M">GeneralSettings!$I$26</definedName>
    <definedName name="YieldCurve_1Y">GeneralSettings!$D$40</definedName>
    <definedName name="YieldCurve_3M">GeneralSettings!$I$12</definedName>
    <definedName name="YieldCurve_6M">GeneralSettings!$D$26</definedName>
    <definedName name="YieldCurve_ON">GeneralSettings!$I$40</definedName>
    <definedName name="YieldCurve_STD">GeneralSettings!$D$12</definedName>
  </definedNames>
  <calcPr calcId="145621"/>
</workbook>
</file>

<file path=xl/calcChain.xml><?xml version="1.0" encoding="utf-8"?>
<calcChain xmlns="http://schemas.openxmlformats.org/spreadsheetml/2006/main">
  <c r="D3" i="16" l="1"/>
  <c r="D5" i="16"/>
  <c r="D6" i="16"/>
  <c r="D7" i="16"/>
  <c r="D8" i="16"/>
  <c r="D4" i="16"/>
  <c r="O6" i="16" l="1"/>
  <c r="O7" i="16"/>
  <c r="O8" i="16"/>
  <c r="O5" i="16"/>
  <c r="Q8" i="16"/>
  <c r="Q7" i="16"/>
  <c r="Q6" i="16"/>
  <c r="Q5" i="16"/>
  <c r="Q4" i="16"/>
  <c r="P4" i="16"/>
  <c r="P6" i="16"/>
  <c r="P7" i="16"/>
  <c r="P8" i="16"/>
  <c r="P5" i="16"/>
  <c r="R4" i="16"/>
  <c r="R6" i="16"/>
  <c r="D2" i="1"/>
  <c r="R8" i="16"/>
  <c r="R7" i="16"/>
  <c r="R5" i="16"/>
  <c r="D15" i="16" l="1"/>
  <c r="C22" i="1"/>
  <c r="H36" i="1"/>
  <c r="H22" i="1"/>
  <c r="C36" i="1"/>
  <c r="C50" i="1"/>
  <c r="H50" i="1"/>
  <c r="H8" i="16"/>
  <c r="H7" i="16"/>
  <c r="H6" i="16"/>
  <c r="H5" i="16"/>
  <c r="E3" i="16"/>
  <c r="E6" i="16"/>
  <c r="E7" i="16"/>
  <c r="E8" i="16"/>
  <c r="E4" i="16"/>
  <c r="E5" i="16"/>
  <c r="F4" i="16"/>
  <c r="D3" i="1"/>
  <c r="D16" i="16" l="1"/>
  <c r="D14" i="16"/>
  <c r="L72" i="12"/>
  <c r="L73" i="12"/>
  <c r="L74" i="12"/>
  <c r="L75" i="12"/>
  <c r="L76" i="12"/>
  <c r="L77" i="12"/>
  <c r="L78" i="12"/>
  <c r="L79" i="12"/>
  <c r="L80" i="12"/>
  <c r="L81" i="12"/>
  <c r="L82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19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B3" i="12" a="1"/>
  <c r="D22" i="12" a="1"/>
  <c r="H22" i="12" a="1"/>
  <c r="H3" i="12" a="1"/>
  <c r="F5" i="16"/>
  <c r="F7" i="16"/>
  <c r="F8" i="16"/>
  <c r="I7" i="16"/>
  <c r="K7" i="16" s="1"/>
  <c r="I5" i="16"/>
  <c r="K5" i="16" s="1"/>
  <c r="F3" i="16"/>
  <c r="I4" i="16"/>
  <c r="K4" i="16" s="1"/>
  <c r="I8" i="16"/>
  <c r="K8" i="16" s="1"/>
  <c r="I6" i="16"/>
  <c r="K6" i="16" s="1"/>
  <c r="F6" i="16"/>
  <c r="G13" i="16"/>
  <c r="T4" i="16" l="1"/>
  <c r="T8" i="16"/>
  <c r="T6" i="16"/>
  <c r="T7" i="16"/>
  <c r="T5" i="16"/>
  <c r="H29" i="12"/>
  <c r="H37" i="12"/>
  <c r="H45" i="12"/>
  <c r="H53" i="12"/>
  <c r="H61" i="12"/>
  <c r="H69" i="12"/>
  <c r="H77" i="12"/>
  <c r="H85" i="12"/>
  <c r="H22" i="12"/>
  <c r="H30" i="12"/>
  <c r="H38" i="12"/>
  <c r="H46" i="12"/>
  <c r="H54" i="12"/>
  <c r="H62" i="12"/>
  <c r="H70" i="12"/>
  <c r="H78" i="12"/>
  <c r="H23" i="12"/>
  <c r="H31" i="12"/>
  <c r="H39" i="12"/>
  <c r="H47" i="12"/>
  <c r="H55" i="12"/>
  <c r="H63" i="12"/>
  <c r="H71" i="12"/>
  <c r="H79" i="12"/>
  <c r="H24" i="12"/>
  <c r="H32" i="12"/>
  <c r="H40" i="12"/>
  <c r="H48" i="12"/>
  <c r="H56" i="12"/>
  <c r="H64" i="12"/>
  <c r="H72" i="12"/>
  <c r="H80" i="12"/>
  <c r="H25" i="12"/>
  <c r="H33" i="12"/>
  <c r="H41" i="12"/>
  <c r="H49" i="12"/>
  <c r="H57" i="12"/>
  <c r="H65" i="12"/>
  <c r="H73" i="12"/>
  <c r="H81" i="12"/>
  <c r="H26" i="12"/>
  <c r="H34" i="12"/>
  <c r="H42" i="12"/>
  <c r="H50" i="12"/>
  <c r="H58" i="12"/>
  <c r="H66" i="12"/>
  <c r="H74" i="12"/>
  <c r="H82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D29" i="12"/>
  <c r="M26" i="12" s="1"/>
  <c r="D37" i="12"/>
  <c r="M34" i="12" s="1"/>
  <c r="D45" i="12"/>
  <c r="M42" i="12" s="1"/>
  <c r="D53" i="12"/>
  <c r="M50" i="12" s="1"/>
  <c r="D61" i="12"/>
  <c r="M58" i="12" s="1"/>
  <c r="D69" i="12"/>
  <c r="M66" i="12" s="1"/>
  <c r="D77" i="12"/>
  <c r="M74" i="12" s="1"/>
  <c r="D85" i="12"/>
  <c r="M82" i="12" s="1"/>
  <c r="D22" i="12"/>
  <c r="M19" i="12" s="1"/>
  <c r="D30" i="12"/>
  <c r="M27" i="12" s="1"/>
  <c r="D38" i="12"/>
  <c r="M35" i="12" s="1"/>
  <c r="D46" i="12"/>
  <c r="M43" i="12" s="1"/>
  <c r="D54" i="12"/>
  <c r="M51" i="12" s="1"/>
  <c r="D62" i="12"/>
  <c r="M59" i="12" s="1"/>
  <c r="D70" i="12"/>
  <c r="M67" i="12" s="1"/>
  <c r="D78" i="12"/>
  <c r="M75" i="12" s="1"/>
  <c r="D23" i="12"/>
  <c r="M20" i="12" s="1"/>
  <c r="D31" i="12"/>
  <c r="M28" i="12" s="1"/>
  <c r="D39" i="12"/>
  <c r="M36" i="12" s="1"/>
  <c r="D47" i="12"/>
  <c r="M44" i="12" s="1"/>
  <c r="D55" i="12"/>
  <c r="M52" i="12" s="1"/>
  <c r="D63" i="12"/>
  <c r="M60" i="12" s="1"/>
  <c r="D71" i="12"/>
  <c r="M68" i="12" s="1"/>
  <c r="D79" i="12"/>
  <c r="M76" i="12" s="1"/>
  <c r="D24" i="12"/>
  <c r="M21" i="12" s="1"/>
  <c r="D32" i="12"/>
  <c r="M29" i="12" s="1"/>
  <c r="D40" i="12"/>
  <c r="M37" i="12" s="1"/>
  <c r="D48" i="12"/>
  <c r="M45" i="12" s="1"/>
  <c r="D56" i="12"/>
  <c r="M53" i="12" s="1"/>
  <c r="D64" i="12"/>
  <c r="M61" i="12" s="1"/>
  <c r="D72" i="12"/>
  <c r="M69" i="12" s="1"/>
  <c r="D80" i="12"/>
  <c r="M77" i="12" s="1"/>
  <c r="D25" i="12"/>
  <c r="M22" i="12" s="1"/>
  <c r="D33" i="12"/>
  <c r="M30" i="12" s="1"/>
  <c r="D41" i="12"/>
  <c r="M38" i="12" s="1"/>
  <c r="D49" i="12"/>
  <c r="M46" i="12" s="1"/>
  <c r="D57" i="12"/>
  <c r="M54" i="12" s="1"/>
  <c r="D65" i="12"/>
  <c r="M62" i="12" s="1"/>
  <c r="D73" i="12"/>
  <c r="M70" i="12" s="1"/>
  <c r="D81" i="12"/>
  <c r="M78" i="12" s="1"/>
  <c r="D26" i="12"/>
  <c r="M23" i="12" s="1"/>
  <c r="D34" i="12"/>
  <c r="M31" i="12" s="1"/>
  <c r="D42" i="12"/>
  <c r="M39" i="12" s="1"/>
  <c r="D50" i="12"/>
  <c r="M47" i="12" s="1"/>
  <c r="D58" i="12"/>
  <c r="M55" i="12" s="1"/>
  <c r="D66" i="12"/>
  <c r="M63" i="12" s="1"/>
  <c r="D74" i="12"/>
  <c r="M71" i="12" s="1"/>
  <c r="D82" i="12"/>
  <c r="M79" i="12" s="1"/>
  <c r="D27" i="12"/>
  <c r="M24" i="12" s="1"/>
  <c r="D35" i="12"/>
  <c r="M32" i="12" s="1"/>
  <c r="D43" i="12"/>
  <c r="M40" i="12" s="1"/>
  <c r="D51" i="12"/>
  <c r="M48" i="12" s="1"/>
  <c r="D59" i="12"/>
  <c r="M56" i="12" s="1"/>
  <c r="D67" i="12"/>
  <c r="M64" i="12" s="1"/>
  <c r="D75" i="12"/>
  <c r="M72" i="12" s="1"/>
  <c r="D83" i="12"/>
  <c r="M80" i="12" s="1"/>
  <c r="D28" i="12"/>
  <c r="M25" i="12" s="1"/>
  <c r="D36" i="12"/>
  <c r="M33" i="12" s="1"/>
  <c r="D44" i="12"/>
  <c r="M41" i="12" s="1"/>
  <c r="D52" i="12"/>
  <c r="M49" i="12" s="1"/>
  <c r="D60" i="12"/>
  <c r="M57" i="12" s="1"/>
  <c r="D68" i="12"/>
  <c r="M65" i="12" s="1"/>
  <c r="D76" i="12"/>
  <c r="M73" i="12" s="1"/>
  <c r="D84" i="12"/>
  <c r="M81" i="12" s="1"/>
  <c r="H10" i="12"/>
  <c r="H18" i="12"/>
  <c r="H3" i="12"/>
  <c r="H11" i="12"/>
  <c r="H4" i="12"/>
  <c r="H12" i="12"/>
  <c r="H5" i="12"/>
  <c r="H13" i="12"/>
  <c r="H6" i="12"/>
  <c r="H14" i="12"/>
  <c r="H7" i="12"/>
  <c r="H15" i="12"/>
  <c r="H8" i="12"/>
  <c r="H16" i="12"/>
  <c r="H9" i="12"/>
  <c r="H17" i="12"/>
  <c r="B10" i="12"/>
  <c r="B18" i="12"/>
  <c r="B3" i="12"/>
  <c r="B11" i="12"/>
  <c r="B4" i="12"/>
  <c r="B12" i="12"/>
  <c r="B5" i="12"/>
  <c r="B13" i="12"/>
  <c r="B6" i="12"/>
  <c r="B14" i="12"/>
  <c r="B7" i="12"/>
  <c r="B15" i="12"/>
  <c r="B8" i="12"/>
  <c r="B16" i="12"/>
  <c r="B9" i="12"/>
  <c r="B17" i="12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I85" i="12"/>
  <c r="I80" i="12"/>
  <c r="I81" i="12"/>
  <c r="I82" i="12"/>
  <c r="I83" i="12"/>
  <c r="I84" i="12"/>
  <c r="B3" i="14" a="1"/>
  <c r="H3" i="14" a="1"/>
  <c r="S6" i="16"/>
  <c r="U4" i="16"/>
  <c r="U8" i="16"/>
  <c r="J4" i="16"/>
  <c r="L4" i="16" s="1"/>
  <c r="J7" i="16"/>
  <c r="L7" i="16" s="1"/>
  <c r="J8" i="16"/>
  <c r="L8" i="16" s="1"/>
  <c r="U6" i="16"/>
  <c r="J6" i="16"/>
  <c r="L6" i="16" s="1"/>
  <c r="U5" i="16"/>
  <c r="S8" i="16"/>
  <c r="J5" i="16"/>
  <c r="L5" i="16" s="1"/>
  <c r="S7" i="16"/>
  <c r="U7" i="16"/>
  <c r="H10" i="14" l="1"/>
  <c r="H18" i="14"/>
  <c r="H26" i="14"/>
  <c r="H34" i="14"/>
  <c r="H42" i="14"/>
  <c r="H50" i="14"/>
  <c r="H58" i="14"/>
  <c r="H66" i="14"/>
  <c r="H3" i="14"/>
  <c r="H11" i="14"/>
  <c r="H19" i="14"/>
  <c r="H27" i="14"/>
  <c r="H35" i="14"/>
  <c r="H43" i="14"/>
  <c r="H51" i="14"/>
  <c r="H59" i="14"/>
  <c r="H67" i="14"/>
  <c r="H4" i="14"/>
  <c r="H12" i="14"/>
  <c r="H20" i="14"/>
  <c r="H28" i="14"/>
  <c r="H36" i="14"/>
  <c r="H44" i="14"/>
  <c r="H52" i="14"/>
  <c r="H60" i="14"/>
  <c r="H68" i="14"/>
  <c r="H5" i="14"/>
  <c r="H13" i="14"/>
  <c r="H21" i="14"/>
  <c r="H29" i="14"/>
  <c r="H37" i="14"/>
  <c r="H45" i="14"/>
  <c r="H53" i="14"/>
  <c r="H61" i="14"/>
  <c r="H69" i="14"/>
  <c r="H6" i="14"/>
  <c r="H14" i="14"/>
  <c r="H22" i="14"/>
  <c r="H30" i="14"/>
  <c r="H38" i="14"/>
  <c r="H46" i="14"/>
  <c r="H54" i="14"/>
  <c r="H62" i="14"/>
  <c r="H70" i="14"/>
  <c r="H7" i="14"/>
  <c r="H15" i="14"/>
  <c r="H23" i="14"/>
  <c r="H31" i="14"/>
  <c r="H39" i="14"/>
  <c r="H47" i="14"/>
  <c r="H55" i="14"/>
  <c r="H63" i="14"/>
  <c r="H71" i="14"/>
  <c r="H8" i="14"/>
  <c r="H16" i="14"/>
  <c r="H24" i="14"/>
  <c r="H32" i="14"/>
  <c r="H40" i="14"/>
  <c r="H48" i="14"/>
  <c r="H56" i="14"/>
  <c r="H64" i="14"/>
  <c r="H9" i="14"/>
  <c r="H17" i="14"/>
  <c r="H25" i="14"/>
  <c r="H33" i="14"/>
  <c r="H41" i="14"/>
  <c r="H49" i="14"/>
  <c r="H57" i="14"/>
  <c r="H65" i="14"/>
  <c r="B10" i="14"/>
  <c r="B18" i="14"/>
  <c r="C18" i="14" s="1"/>
  <c r="F18" i="14" s="1"/>
  <c r="B26" i="14"/>
  <c r="C26" i="14" s="1"/>
  <c r="F26" i="14" s="1"/>
  <c r="B34" i="14"/>
  <c r="C34" i="14" s="1"/>
  <c r="F34" i="14" s="1"/>
  <c r="B42" i="14"/>
  <c r="C42" i="14" s="1"/>
  <c r="F42" i="14" s="1"/>
  <c r="B50" i="14"/>
  <c r="C50" i="14" s="1"/>
  <c r="F50" i="14" s="1"/>
  <c r="B58" i="14"/>
  <c r="C58" i="14" s="1"/>
  <c r="F58" i="14" s="1"/>
  <c r="B66" i="14"/>
  <c r="C66" i="14" s="1"/>
  <c r="F66" i="14" s="1"/>
  <c r="B3" i="14"/>
  <c r="B11" i="14"/>
  <c r="B19" i="14"/>
  <c r="C19" i="14" s="1"/>
  <c r="F19" i="14" s="1"/>
  <c r="B27" i="14"/>
  <c r="C27" i="14" s="1"/>
  <c r="F27" i="14" s="1"/>
  <c r="B35" i="14"/>
  <c r="C35" i="14" s="1"/>
  <c r="F35" i="14" s="1"/>
  <c r="B43" i="14"/>
  <c r="C43" i="14" s="1"/>
  <c r="F43" i="14" s="1"/>
  <c r="B51" i="14"/>
  <c r="C51" i="14" s="1"/>
  <c r="F51" i="14" s="1"/>
  <c r="B59" i="14"/>
  <c r="C59" i="14" s="1"/>
  <c r="F59" i="14" s="1"/>
  <c r="B67" i="14"/>
  <c r="C67" i="14" s="1"/>
  <c r="F67" i="14" s="1"/>
  <c r="B4" i="14"/>
  <c r="B12" i="14"/>
  <c r="B20" i="14"/>
  <c r="C20" i="14" s="1"/>
  <c r="F20" i="14" s="1"/>
  <c r="B28" i="14"/>
  <c r="C28" i="14" s="1"/>
  <c r="F28" i="14" s="1"/>
  <c r="B36" i="14"/>
  <c r="C36" i="14" s="1"/>
  <c r="F36" i="14" s="1"/>
  <c r="B44" i="14"/>
  <c r="C44" i="14" s="1"/>
  <c r="F44" i="14" s="1"/>
  <c r="B52" i="14"/>
  <c r="C52" i="14" s="1"/>
  <c r="F52" i="14" s="1"/>
  <c r="B60" i="14"/>
  <c r="C60" i="14" s="1"/>
  <c r="F60" i="14" s="1"/>
  <c r="B68" i="14"/>
  <c r="C68" i="14" s="1"/>
  <c r="F68" i="14" s="1"/>
  <c r="B5" i="14"/>
  <c r="B16" i="14"/>
  <c r="B30" i="14"/>
  <c r="C30" i="14" s="1"/>
  <c r="F30" i="14" s="1"/>
  <c r="B41" i="14"/>
  <c r="C41" i="14" s="1"/>
  <c r="F41" i="14" s="1"/>
  <c r="B55" i="14"/>
  <c r="C55" i="14" s="1"/>
  <c r="F55" i="14" s="1"/>
  <c r="B69" i="14"/>
  <c r="C69" i="14" s="1"/>
  <c r="F69" i="14" s="1"/>
  <c r="B6" i="14"/>
  <c r="B17" i="14"/>
  <c r="B31" i="14"/>
  <c r="C31" i="14" s="1"/>
  <c r="F31" i="14" s="1"/>
  <c r="B45" i="14"/>
  <c r="C45" i="14" s="1"/>
  <c r="F45" i="14" s="1"/>
  <c r="B56" i="14"/>
  <c r="C56" i="14" s="1"/>
  <c r="F56" i="14" s="1"/>
  <c r="B70" i="14"/>
  <c r="C70" i="14" s="1"/>
  <c r="F70" i="14" s="1"/>
  <c r="B7" i="14"/>
  <c r="B21" i="14"/>
  <c r="C21" i="14" s="1"/>
  <c r="F21" i="14" s="1"/>
  <c r="B32" i="14"/>
  <c r="C32" i="14" s="1"/>
  <c r="F32" i="14" s="1"/>
  <c r="B46" i="14"/>
  <c r="C46" i="14" s="1"/>
  <c r="F46" i="14" s="1"/>
  <c r="B57" i="14"/>
  <c r="C57" i="14" s="1"/>
  <c r="F57" i="14" s="1"/>
  <c r="B71" i="14"/>
  <c r="C71" i="14" s="1"/>
  <c r="F71" i="14" s="1"/>
  <c r="B8" i="14"/>
  <c r="B22" i="14"/>
  <c r="C22" i="14" s="1"/>
  <c r="F22" i="14" s="1"/>
  <c r="B33" i="14"/>
  <c r="C33" i="14" s="1"/>
  <c r="F33" i="14" s="1"/>
  <c r="B47" i="14"/>
  <c r="C47" i="14" s="1"/>
  <c r="F47" i="14" s="1"/>
  <c r="B61" i="14"/>
  <c r="C61" i="14" s="1"/>
  <c r="F61" i="14" s="1"/>
  <c r="B9" i="14"/>
  <c r="B23" i="14"/>
  <c r="C23" i="14" s="1"/>
  <c r="F23" i="14" s="1"/>
  <c r="B37" i="14"/>
  <c r="C37" i="14" s="1"/>
  <c r="F37" i="14" s="1"/>
  <c r="B48" i="14"/>
  <c r="C48" i="14" s="1"/>
  <c r="F48" i="14" s="1"/>
  <c r="B62" i="14"/>
  <c r="C62" i="14" s="1"/>
  <c r="F62" i="14" s="1"/>
  <c r="B13" i="14"/>
  <c r="B24" i="14"/>
  <c r="C24" i="14" s="1"/>
  <c r="F24" i="14" s="1"/>
  <c r="B38" i="14"/>
  <c r="C38" i="14" s="1"/>
  <c r="F38" i="14" s="1"/>
  <c r="B49" i="14"/>
  <c r="C49" i="14" s="1"/>
  <c r="F49" i="14" s="1"/>
  <c r="B63" i="14"/>
  <c r="C63" i="14" s="1"/>
  <c r="F63" i="14" s="1"/>
  <c r="B14" i="14"/>
  <c r="B25" i="14"/>
  <c r="C25" i="14" s="1"/>
  <c r="F25" i="14" s="1"/>
  <c r="B39" i="14"/>
  <c r="C39" i="14" s="1"/>
  <c r="F39" i="14" s="1"/>
  <c r="B53" i="14"/>
  <c r="C53" i="14" s="1"/>
  <c r="F53" i="14" s="1"/>
  <c r="B64" i="14"/>
  <c r="C64" i="14" s="1"/>
  <c r="F64" i="14" s="1"/>
  <c r="B15" i="14"/>
  <c r="B29" i="14"/>
  <c r="C29" i="14" s="1"/>
  <c r="F29" i="14" s="1"/>
  <c r="B40" i="14"/>
  <c r="C40" i="14" s="1"/>
  <c r="F40" i="14" s="1"/>
  <c r="B54" i="14"/>
  <c r="C54" i="14" s="1"/>
  <c r="F54" i="14" s="1"/>
  <c r="B65" i="14"/>
  <c r="C65" i="14" s="1"/>
  <c r="F65" i="14" s="1"/>
  <c r="S4" i="16"/>
  <c r="H32" i="13" a="1"/>
  <c r="D32" i="13" a="1"/>
  <c r="C21" i="13" a="1"/>
  <c r="H3" i="13" a="1"/>
  <c r="G21" i="13" a="1"/>
  <c r="I67" i="14"/>
  <c r="I69" i="14"/>
  <c r="S5" i="16"/>
  <c r="I30" i="13"/>
  <c r="V8" i="16"/>
  <c r="V6" i="16"/>
  <c r="V7" i="16"/>
  <c r="W8" i="16" l="1"/>
  <c r="Y8" i="16" s="1"/>
  <c r="W6" i="16"/>
  <c r="Y6" i="16" s="1"/>
  <c r="W7" i="16"/>
  <c r="Y7" i="16" s="1"/>
  <c r="N67" i="14"/>
  <c r="N69" i="14"/>
  <c r="E38" i="14"/>
  <c r="M38" i="14"/>
  <c r="E21" i="14"/>
  <c r="M21" i="14"/>
  <c r="M42" i="14"/>
  <c r="E42" i="14"/>
  <c r="E32" i="14"/>
  <c r="M32" i="14"/>
  <c r="E47" i="14"/>
  <c r="M47" i="14"/>
  <c r="M52" i="14"/>
  <c r="E52" i="14"/>
  <c r="E33" i="14"/>
  <c r="M33" i="14"/>
  <c r="E51" i="14"/>
  <c r="M51" i="14"/>
  <c r="E41" i="14"/>
  <c r="M41" i="14"/>
  <c r="E50" i="14"/>
  <c r="M50" i="14"/>
  <c r="E25" i="14"/>
  <c r="M25" i="14"/>
  <c r="E56" i="14"/>
  <c r="M56" i="14"/>
  <c r="M28" i="14"/>
  <c r="E28" i="14"/>
  <c r="E54" i="14"/>
  <c r="M54" i="14"/>
  <c r="E37" i="14"/>
  <c r="M37" i="14"/>
  <c r="M71" i="14"/>
  <c r="E71" i="14"/>
  <c r="E45" i="14"/>
  <c r="M45" i="14"/>
  <c r="M20" i="14"/>
  <c r="E20" i="14"/>
  <c r="E27" i="14"/>
  <c r="M27" i="14"/>
  <c r="E34" i="14"/>
  <c r="M34" i="14"/>
  <c r="E61" i="14"/>
  <c r="M61" i="14"/>
  <c r="E67" i="14"/>
  <c r="M67" i="14"/>
  <c r="E64" i="14"/>
  <c r="M64" i="14"/>
  <c r="E69" i="14"/>
  <c r="M69" i="14"/>
  <c r="M66" i="14"/>
  <c r="E66" i="14"/>
  <c r="M55" i="14"/>
  <c r="E55" i="14"/>
  <c r="E58" i="14"/>
  <c r="M58" i="14"/>
  <c r="M39" i="14"/>
  <c r="E39" i="14"/>
  <c r="E22" i="14"/>
  <c r="M22" i="14"/>
  <c r="M36" i="14"/>
  <c r="E36" i="14"/>
  <c r="E48" i="14"/>
  <c r="M48" i="14"/>
  <c r="E35" i="14"/>
  <c r="M35" i="14"/>
  <c r="M63" i="14"/>
  <c r="E63" i="14"/>
  <c r="M23" i="14"/>
  <c r="E23" i="14"/>
  <c r="E57" i="14"/>
  <c r="M57" i="14"/>
  <c r="E31" i="14"/>
  <c r="M31" i="14"/>
  <c r="E19" i="14"/>
  <c r="M19" i="14"/>
  <c r="E26" i="14"/>
  <c r="M26" i="14"/>
  <c r="M60" i="14"/>
  <c r="E60" i="14"/>
  <c r="E24" i="14"/>
  <c r="M24" i="14"/>
  <c r="E59" i="14"/>
  <c r="M59" i="14"/>
  <c r="E53" i="14"/>
  <c r="M53" i="14"/>
  <c r="M44" i="14"/>
  <c r="E44" i="14"/>
  <c r="E62" i="14"/>
  <c r="M62" i="14"/>
  <c r="E70" i="14"/>
  <c r="M70" i="14"/>
  <c r="E43" i="14"/>
  <c r="M43" i="14"/>
  <c r="E65" i="14"/>
  <c r="M65" i="14"/>
  <c r="E30" i="14"/>
  <c r="M30" i="14"/>
  <c r="E40" i="14"/>
  <c r="M40" i="14"/>
  <c r="E29" i="14"/>
  <c r="M29" i="14"/>
  <c r="E49" i="14"/>
  <c r="M49" i="14"/>
  <c r="E46" i="14"/>
  <c r="M46" i="14"/>
  <c r="M68" i="14"/>
  <c r="E68" i="14"/>
  <c r="E18" i="14"/>
  <c r="M18" i="14"/>
  <c r="J69" i="14"/>
  <c r="O69" i="14" s="1"/>
  <c r="D24" i="14"/>
  <c r="D21" i="14"/>
  <c r="D69" i="14"/>
  <c r="D59" i="14"/>
  <c r="D53" i="14"/>
  <c r="D44" i="14"/>
  <c r="D51" i="14"/>
  <c r="D39" i="14"/>
  <c r="D22" i="14"/>
  <c r="D41" i="14"/>
  <c r="D43" i="14"/>
  <c r="D25" i="14"/>
  <c r="D56" i="14"/>
  <c r="D28" i="14"/>
  <c r="D54" i="14"/>
  <c r="D71" i="14"/>
  <c r="D64" i="14"/>
  <c r="D47" i="14"/>
  <c r="D52" i="14"/>
  <c r="D66" i="14"/>
  <c r="D33" i="14"/>
  <c r="D55" i="14"/>
  <c r="D58" i="14"/>
  <c r="D62" i="14"/>
  <c r="D70" i="14"/>
  <c r="D36" i="14"/>
  <c r="D50" i="14"/>
  <c r="D65" i="14"/>
  <c r="D48" i="14"/>
  <c r="D30" i="14"/>
  <c r="D35" i="14"/>
  <c r="D42" i="14"/>
  <c r="D37" i="14"/>
  <c r="D45" i="14"/>
  <c r="D20" i="14"/>
  <c r="D27" i="14"/>
  <c r="D34" i="14"/>
  <c r="D40" i="14"/>
  <c r="D63" i="14"/>
  <c r="D23" i="14"/>
  <c r="D57" i="14"/>
  <c r="D31" i="14"/>
  <c r="D19" i="14"/>
  <c r="D26" i="14"/>
  <c r="D29" i="14"/>
  <c r="D49" i="14"/>
  <c r="D46" i="14"/>
  <c r="D68" i="14"/>
  <c r="D18" i="14"/>
  <c r="D38" i="14"/>
  <c r="D61" i="14"/>
  <c r="D32" i="14"/>
  <c r="D60" i="14"/>
  <c r="D67" i="14"/>
  <c r="J67" i="14"/>
  <c r="O67" i="14" s="1"/>
  <c r="H39" i="13"/>
  <c r="H47" i="13"/>
  <c r="H55" i="13"/>
  <c r="H63" i="13"/>
  <c r="H71" i="13"/>
  <c r="H32" i="13"/>
  <c r="H40" i="13"/>
  <c r="H48" i="13"/>
  <c r="H56" i="13"/>
  <c r="H64" i="13"/>
  <c r="H72" i="13"/>
  <c r="H33" i="13"/>
  <c r="H41" i="13"/>
  <c r="H49" i="13"/>
  <c r="H57" i="13"/>
  <c r="H65" i="13"/>
  <c r="H73" i="13"/>
  <c r="H34" i="13"/>
  <c r="H42" i="13"/>
  <c r="H50" i="13"/>
  <c r="H58" i="13"/>
  <c r="H66" i="13"/>
  <c r="H74" i="13"/>
  <c r="H35" i="13"/>
  <c r="H43" i="13"/>
  <c r="H51" i="13"/>
  <c r="H59" i="13"/>
  <c r="H67" i="13"/>
  <c r="H75" i="13"/>
  <c r="H36" i="13"/>
  <c r="H44" i="13"/>
  <c r="H52" i="13"/>
  <c r="H60" i="13"/>
  <c r="H68" i="13"/>
  <c r="H76" i="13"/>
  <c r="H37" i="13"/>
  <c r="H45" i="13"/>
  <c r="H53" i="13"/>
  <c r="H61" i="13"/>
  <c r="H69" i="13"/>
  <c r="H38" i="13"/>
  <c r="H46" i="13"/>
  <c r="H54" i="13"/>
  <c r="H62" i="13"/>
  <c r="H70" i="13"/>
  <c r="D39" i="13"/>
  <c r="D47" i="13"/>
  <c r="D55" i="13"/>
  <c r="D63" i="13"/>
  <c r="D71" i="13"/>
  <c r="D32" i="13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38" i="13"/>
  <c r="D46" i="13"/>
  <c r="D54" i="13"/>
  <c r="D62" i="13"/>
  <c r="D70" i="13"/>
  <c r="G28" i="13"/>
  <c r="G21" i="13"/>
  <c r="G22" i="13"/>
  <c r="G23" i="13"/>
  <c r="G24" i="13"/>
  <c r="G25" i="13"/>
  <c r="G26" i="13"/>
  <c r="G27" i="13"/>
  <c r="C28" i="13"/>
  <c r="C21" i="13"/>
  <c r="C22" i="13"/>
  <c r="C23" i="13"/>
  <c r="C24" i="13"/>
  <c r="C25" i="13"/>
  <c r="C26" i="13"/>
  <c r="C27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L3" i="14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3" i="13"/>
  <c r="L3" i="12"/>
  <c r="V4" i="16"/>
  <c r="I48" i="13"/>
  <c r="I65" i="13"/>
  <c r="I35" i="13"/>
  <c r="I52" i="13"/>
  <c r="I69" i="13"/>
  <c r="D26" i="13"/>
  <c r="I39" i="13"/>
  <c r="I56" i="13"/>
  <c r="I73" i="13"/>
  <c r="I43" i="13"/>
  <c r="I60" i="13"/>
  <c r="I38" i="13"/>
  <c r="I26" i="13"/>
  <c r="D22" i="13"/>
  <c r="D28" i="13"/>
  <c r="D24" i="13"/>
  <c r="I76" i="13"/>
  <c r="D25" i="13"/>
  <c r="I25" i="13" s="1"/>
  <c r="I63" i="13"/>
  <c r="I50" i="13"/>
  <c r="I62" i="13"/>
  <c r="I71" i="13"/>
  <c r="I41" i="13"/>
  <c r="I75" i="13"/>
  <c r="I45" i="13"/>
  <c r="I70" i="13"/>
  <c r="I22" i="13"/>
  <c r="D21" i="13"/>
  <c r="I21" i="13" s="1"/>
  <c r="I66" i="13"/>
  <c r="I40" i="13"/>
  <c r="I74" i="13"/>
  <c r="I61" i="13"/>
  <c r="I24" i="13"/>
  <c r="I42" i="13"/>
  <c r="I37" i="13"/>
  <c r="I58" i="13"/>
  <c r="I32" i="13"/>
  <c r="I36" i="13"/>
  <c r="I57" i="13"/>
  <c r="I44" i="13"/>
  <c r="D27" i="13"/>
  <c r="I47" i="13"/>
  <c r="I64" i="13"/>
  <c r="I34" i="13"/>
  <c r="I51" i="13"/>
  <c r="I68" i="13"/>
  <c r="I46" i="13"/>
  <c r="I27" i="13"/>
  <c r="I55" i="13"/>
  <c r="I72" i="13"/>
  <c r="I59" i="13"/>
  <c r="I54" i="13"/>
  <c r="I28" i="13"/>
  <c r="I33" i="13"/>
  <c r="I67" i="13"/>
  <c r="D23" i="13"/>
  <c r="I23" i="13" s="1"/>
  <c r="I49" i="13"/>
  <c r="I53" i="13"/>
  <c r="B3" i="13" a="1"/>
  <c r="I24" i="14"/>
  <c r="I35" i="14"/>
  <c r="I70" i="14"/>
  <c r="X8" i="16"/>
  <c r="I53" i="14"/>
  <c r="I52" i="14"/>
  <c r="I56" i="14"/>
  <c r="I47" i="14"/>
  <c r="I21" i="14"/>
  <c r="I26" i="14"/>
  <c r="I20" i="14"/>
  <c r="I34" i="14"/>
  <c r="I43" i="14"/>
  <c r="I37" i="14"/>
  <c r="I27" i="14"/>
  <c r="I19" i="14"/>
  <c r="I50" i="14"/>
  <c r="I57" i="14"/>
  <c r="I23" i="14"/>
  <c r="I55" i="14"/>
  <c r="I30" i="14"/>
  <c r="I36" i="14"/>
  <c r="I29" i="14"/>
  <c r="I49" i="14"/>
  <c r="I33" i="14"/>
  <c r="I64" i="14"/>
  <c r="I65" i="14"/>
  <c r="I45" i="14"/>
  <c r="I63" i="14"/>
  <c r="I25" i="14"/>
  <c r="I20" i="12"/>
  <c r="I41" i="14"/>
  <c r="I60" i="14"/>
  <c r="I22" i="14"/>
  <c r="V5" i="16"/>
  <c r="I59" i="14"/>
  <c r="I48" i="14"/>
  <c r="I44" i="14"/>
  <c r="X7" i="16"/>
  <c r="I42" i="14"/>
  <c r="I46" i="14"/>
  <c r="I66" i="14"/>
  <c r="I28" i="14"/>
  <c r="I38" i="14"/>
  <c r="I61" i="14"/>
  <c r="I40" i="14"/>
  <c r="I32" i="14"/>
  <c r="I54" i="14"/>
  <c r="I58" i="14"/>
  <c r="I62" i="14"/>
  <c r="I39" i="14"/>
  <c r="I51" i="14"/>
  <c r="I71" i="14"/>
  <c r="X6" i="16"/>
  <c r="I31" i="14"/>
  <c r="I18" i="14"/>
  <c r="I68" i="14"/>
  <c r="I22" i="12"/>
  <c r="I38" i="12"/>
  <c r="I54" i="12"/>
  <c r="I70" i="12"/>
  <c r="I23" i="12"/>
  <c r="I39" i="12"/>
  <c r="I55" i="12"/>
  <c r="I79" i="12"/>
  <c r="I32" i="12"/>
  <c r="I72" i="12"/>
  <c r="I30" i="12"/>
  <c r="I46" i="12"/>
  <c r="I62" i="12"/>
  <c r="I78" i="12"/>
  <c r="I31" i="12"/>
  <c r="I47" i="12"/>
  <c r="I63" i="12"/>
  <c r="I71" i="12"/>
  <c r="I24" i="12"/>
  <c r="I40" i="12"/>
  <c r="I48" i="12"/>
  <c r="I56" i="12"/>
  <c r="I64" i="12"/>
  <c r="I25" i="12"/>
  <c r="I33" i="12"/>
  <c r="I41" i="12"/>
  <c r="I49" i="12"/>
  <c r="I57" i="12"/>
  <c r="I65" i="12"/>
  <c r="I73" i="12"/>
  <c r="I26" i="12"/>
  <c r="I34" i="12"/>
  <c r="I42" i="12"/>
  <c r="I50" i="12"/>
  <c r="I58" i="12"/>
  <c r="I66" i="12"/>
  <c r="I74" i="12"/>
  <c r="I27" i="12"/>
  <c r="I35" i="12"/>
  <c r="I43" i="12"/>
  <c r="I51" i="12"/>
  <c r="I59" i="12"/>
  <c r="I67" i="12"/>
  <c r="I75" i="12"/>
  <c r="I28" i="12"/>
  <c r="I36" i="12"/>
  <c r="I44" i="12"/>
  <c r="I52" i="12"/>
  <c r="I60" i="12"/>
  <c r="I68" i="12"/>
  <c r="I76" i="12"/>
  <c r="I29" i="12"/>
  <c r="I37" i="12"/>
  <c r="I45" i="12"/>
  <c r="I53" i="12"/>
  <c r="I61" i="12"/>
  <c r="I69" i="12"/>
  <c r="I77" i="12"/>
  <c r="J53" i="13" l="1"/>
  <c r="J49" i="13"/>
  <c r="J67" i="13"/>
  <c r="J33" i="13"/>
  <c r="J28" i="13"/>
  <c r="J54" i="13"/>
  <c r="J59" i="13"/>
  <c r="J72" i="13"/>
  <c r="J55" i="13"/>
  <c r="J27" i="13"/>
  <c r="J46" i="13"/>
  <c r="J68" i="13"/>
  <c r="J51" i="13"/>
  <c r="J34" i="13"/>
  <c r="J64" i="13"/>
  <c r="J47" i="13"/>
  <c r="J44" i="13"/>
  <c r="J57" i="13"/>
  <c r="J23" i="13"/>
  <c r="J36" i="13"/>
  <c r="J32" i="13"/>
  <c r="J58" i="13"/>
  <c r="J37" i="13"/>
  <c r="J42" i="13"/>
  <c r="J24" i="13"/>
  <c r="J61" i="13"/>
  <c r="J74" i="13"/>
  <c r="J40" i="13"/>
  <c r="J66" i="13"/>
  <c r="J22" i="13"/>
  <c r="J70" i="13"/>
  <c r="J45" i="13"/>
  <c r="J75" i="13"/>
  <c r="J41" i="13"/>
  <c r="J71" i="13"/>
  <c r="J21" i="13"/>
  <c r="J62" i="13"/>
  <c r="J50" i="13"/>
  <c r="J63" i="13"/>
  <c r="J76" i="13"/>
  <c r="J26" i="13"/>
  <c r="J38" i="13"/>
  <c r="J60" i="13"/>
  <c r="J43" i="13"/>
  <c r="J73" i="13"/>
  <c r="J56" i="13"/>
  <c r="J39" i="13"/>
  <c r="J25" i="13"/>
  <c r="J69" i="13"/>
  <c r="J52" i="13"/>
  <c r="J35" i="13"/>
  <c r="J65" i="13"/>
  <c r="J48" i="13"/>
  <c r="J80" i="12"/>
  <c r="O77" i="12" s="1"/>
  <c r="N77" i="12"/>
  <c r="J85" i="12"/>
  <c r="O82" i="12" s="1"/>
  <c r="N82" i="12"/>
  <c r="N81" i="12"/>
  <c r="J84" i="12"/>
  <c r="O81" i="12" s="1"/>
  <c r="J82" i="12"/>
  <c r="O79" i="12" s="1"/>
  <c r="N79" i="12"/>
  <c r="N80" i="12"/>
  <c r="J83" i="12"/>
  <c r="O80" i="12" s="1"/>
  <c r="J81" i="12"/>
  <c r="O78" i="12" s="1"/>
  <c r="N78" i="12"/>
  <c r="N65" i="14"/>
  <c r="J65" i="14"/>
  <c r="O65" i="14" s="1"/>
  <c r="J71" i="14"/>
  <c r="O71" i="14" s="1"/>
  <c r="N71" i="14"/>
  <c r="N70" i="14"/>
  <c r="J70" i="14"/>
  <c r="O70" i="14" s="1"/>
  <c r="N68" i="14"/>
  <c r="J68" i="14"/>
  <c r="O68" i="14" s="1"/>
  <c r="N66" i="14"/>
  <c r="J66" i="14"/>
  <c r="O66" i="14" s="1"/>
  <c r="W5" i="16"/>
  <c r="Y5" i="16" s="1"/>
  <c r="W4" i="16"/>
  <c r="Y4" i="16" s="1"/>
  <c r="N74" i="12"/>
  <c r="J77" i="12"/>
  <c r="O74" i="12" s="1"/>
  <c r="N65" i="12"/>
  <c r="J68" i="12"/>
  <c r="O65" i="12" s="1"/>
  <c r="N69" i="12"/>
  <c r="J72" i="12"/>
  <c r="O69" i="12" s="1"/>
  <c r="N64" i="12"/>
  <c r="J67" i="12"/>
  <c r="O64" i="12" s="1"/>
  <c r="N70" i="12"/>
  <c r="J73" i="12"/>
  <c r="O70" i="12" s="1"/>
  <c r="N67" i="12"/>
  <c r="J70" i="12"/>
  <c r="O67" i="12" s="1"/>
  <c r="N71" i="12"/>
  <c r="J74" i="12"/>
  <c r="O71" i="12" s="1"/>
  <c r="N75" i="12"/>
  <c r="J78" i="12"/>
  <c r="O75" i="12" s="1"/>
  <c r="N73" i="12"/>
  <c r="J76" i="12"/>
  <c r="O73" i="12" s="1"/>
  <c r="N68" i="12"/>
  <c r="J71" i="12"/>
  <c r="O68" i="12" s="1"/>
  <c r="N72" i="12"/>
  <c r="J75" i="12"/>
  <c r="O72" i="12" s="1"/>
  <c r="N76" i="12"/>
  <c r="J79" i="12"/>
  <c r="O76" i="12" s="1"/>
  <c r="N66" i="12"/>
  <c r="J69" i="12"/>
  <c r="O66" i="12" s="1"/>
  <c r="N40" i="14"/>
  <c r="N47" i="14"/>
  <c r="N45" i="14"/>
  <c r="N64" i="14"/>
  <c r="N56" i="14"/>
  <c r="N51" i="14"/>
  <c r="N60" i="14"/>
  <c r="N49" i="14"/>
  <c r="N34" i="14"/>
  <c r="N21" i="14"/>
  <c r="N32" i="14"/>
  <c r="N44" i="14"/>
  <c r="N29" i="14"/>
  <c r="N27" i="14"/>
  <c r="N54" i="14"/>
  <c r="N41" i="14"/>
  <c r="N38" i="14"/>
  <c r="N58" i="14"/>
  <c r="N22" i="14"/>
  <c r="N46" i="14"/>
  <c r="N30" i="14"/>
  <c r="N55" i="14"/>
  <c r="N39" i="14"/>
  <c r="N19" i="14"/>
  <c r="N48" i="14"/>
  <c r="N18" i="14"/>
  <c r="N57" i="14"/>
  <c r="N43" i="14"/>
  <c r="N23" i="14"/>
  <c r="N20" i="14"/>
  <c r="N42" i="14"/>
  <c r="N62" i="14"/>
  <c r="N53" i="14"/>
  <c r="N26" i="14"/>
  <c r="N36" i="14"/>
  <c r="N25" i="14"/>
  <c r="N31" i="14"/>
  <c r="N37" i="14"/>
  <c r="N33" i="14"/>
  <c r="N24" i="14"/>
  <c r="N61" i="14"/>
  <c r="N63" i="14"/>
  <c r="N35" i="14"/>
  <c r="N50" i="14"/>
  <c r="N52" i="14"/>
  <c r="N28" i="14"/>
  <c r="N59" i="14"/>
  <c r="J57" i="14"/>
  <c r="O57" i="14" s="1"/>
  <c r="J59" i="14"/>
  <c r="O59" i="14" s="1"/>
  <c r="J46" i="14"/>
  <c r="O46" i="14" s="1"/>
  <c r="J37" i="14"/>
  <c r="O37" i="14" s="1"/>
  <c r="J55" i="14"/>
  <c r="O55" i="14" s="1"/>
  <c r="J51" i="14"/>
  <c r="O51" i="14" s="1"/>
  <c r="J40" i="14"/>
  <c r="O40" i="14" s="1"/>
  <c r="J30" i="14"/>
  <c r="O30" i="14" s="1"/>
  <c r="J52" i="14"/>
  <c r="O52" i="14" s="1"/>
  <c r="J26" i="14"/>
  <c r="O26" i="14" s="1"/>
  <c r="J47" i="14"/>
  <c r="O47" i="14" s="1"/>
  <c r="J42" i="14"/>
  <c r="O42" i="14" s="1"/>
  <c r="J62" i="14"/>
  <c r="O62" i="14" s="1"/>
  <c r="J32" i="14"/>
  <c r="O32" i="14" s="1"/>
  <c r="J45" i="14"/>
  <c r="O45" i="14" s="1"/>
  <c r="J22" i="14"/>
  <c r="O22" i="14" s="1"/>
  <c r="J18" i="14"/>
  <c r="O18" i="14" s="1"/>
  <c r="J20" i="14"/>
  <c r="O20" i="14" s="1"/>
  <c r="J41" i="14"/>
  <c r="O41" i="14" s="1"/>
  <c r="J24" i="14"/>
  <c r="O24" i="14" s="1"/>
  <c r="J50" i="14"/>
  <c r="O50" i="14" s="1"/>
  <c r="J61" i="14"/>
  <c r="O61" i="14" s="1"/>
  <c r="J48" i="14"/>
  <c r="O48" i="14" s="1"/>
  <c r="J56" i="14"/>
  <c r="O56" i="14" s="1"/>
  <c r="J38" i="14"/>
  <c r="O38" i="14" s="1"/>
  <c r="J49" i="14"/>
  <c r="O49" i="14" s="1"/>
  <c r="J23" i="14"/>
  <c r="O23" i="14" s="1"/>
  <c r="J34" i="14"/>
  <c r="O34" i="14" s="1"/>
  <c r="J25" i="14"/>
  <c r="O25" i="14" s="1"/>
  <c r="J60" i="14"/>
  <c r="O60" i="14" s="1"/>
  <c r="J19" i="14"/>
  <c r="O19" i="14" s="1"/>
  <c r="J33" i="14"/>
  <c r="O33" i="14" s="1"/>
  <c r="J54" i="14"/>
  <c r="O54" i="14" s="1"/>
  <c r="J44" i="14"/>
  <c r="O44" i="14" s="1"/>
  <c r="J63" i="14"/>
  <c r="O63" i="14" s="1"/>
  <c r="J35" i="14"/>
  <c r="O35" i="14" s="1"/>
  <c r="J64" i="14"/>
  <c r="O64" i="14" s="1"/>
  <c r="J29" i="14"/>
  <c r="O29" i="14" s="1"/>
  <c r="J31" i="14"/>
  <c r="O31" i="14" s="1"/>
  <c r="J27" i="14"/>
  <c r="O27" i="14" s="1"/>
  <c r="J36" i="14"/>
  <c r="O36" i="14" s="1"/>
  <c r="J43" i="14"/>
  <c r="O43" i="14" s="1"/>
  <c r="J39" i="14"/>
  <c r="O39" i="14" s="1"/>
  <c r="J58" i="14"/>
  <c r="O58" i="14" s="1"/>
  <c r="J28" i="14"/>
  <c r="O28" i="14" s="1"/>
  <c r="J53" i="14"/>
  <c r="O53" i="14" s="1"/>
  <c r="J21" i="14"/>
  <c r="O21" i="14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B8" i="13"/>
  <c r="C8" i="13" s="1"/>
  <c r="B16" i="13"/>
  <c r="C16" i="13" s="1"/>
  <c r="B9" i="13"/>
  <c r="C9" i="13" s="1"/>
  <c r="B17" i="13"/>
  <c r="C17" i="13" s="1"/>
  <c r="C16" i="14"/>
  <c r="F16" i="14" s="1"/>
  <c r="C8" i="14"/>
  <c r="F8" i="14" s="1"/>
  <c r="C11" i="14"/>
  <c r="F11" i="14" s="1"/>
  <c r="C10" i="14"/>
  <c r="F10" i="14" s="1"/>
  <c r="C6" i="14"/>
  <c r="F6" i="14" s="1"/>
  <c r="C4" i="14"/>
  <c r="F4" i="14" s="1"/>
  <c r="C17" i="14"/>
  <c r="F17" i="14" s="1"/>
  <c r="C5" i="14"/>
  <c r="F5" i="14" s="1"/>
  <c r="C15" i="14"/>
  <c r="F15" i="14" s="1"/>
  <c r="C13" i="14"/>
  <c r="F13" i="14" s="1"/>
  <c r="C12" i="14"/>
  <c r="F12" i="14" s="1"/>
  <c r="C9" i="14"/>
  <c r="F9" i="14" s="1"/>
  <c r="C7" i="14"/>
  <c r="F7" i="14" s="1"/>
  <c r="C14" i="14"/>
  <c r="F14" i="14" s="1"/>
  <c r="C3" i="14"/>
  <c r="B26" i="13"/>
  <c r="B27" i="13"/>
  <c r="B25" i="13"/>
  <c r="B24" i="13"/>
  <c r="B28" i="13"/>
  <c r="B22" i="13"/>
  <c r="B21" i="13"/>
  <c r="B23" i="13"/>
  <c r="M65" i="13"/>
  <c r="M57" i="13"/>
  <c r="M49" i="13"/>
  <c r="M41" i="13"/>
  <c r="M33" i="13"/>
  <c r="M67" i="13"/>
  <c r="M58" i="13"/>
  <c r="M48" i="13"/>
  <c r="M39" i="13"/>
  <c r="M30" i="13"/>
  <c r="M56" i="13"/>
  <c r="M38" i="13"/>
  <c r="M29" i="13"/>
  <c r="M66" i="13"/>
  <c r="M47" i="13"/>
  <c r="M71" i="13"/>
  <c r="M60" i="13"/>
  <c r="M46" i="13"/>
  <c r="M35" i="13"/>
  <c r="M69" i="13"/>
  <c r="M55" i="13"/>
  <c r="M44" i="13"/>
  <c r="M32" i="13"/>
  <c r="M43" i="13"/>
  <c r="M53" i="13"/>
  <c r="M70" i="13"/>
  <c r="M59" i="13"/>
  <c r="M45" i="13"/>
  <c r="M34" i="13"/>
  <c r="M68" i="13"/>
  <c r="M54" i="13"/>
  <c r="M31" i="13"/>
  <c r="M52" i="13"/>
  <c r="M27" i="13"/>
  <c r="M51" i="13"/>
  <c r="M50" i="13"/>
  <c r="M64" i="13"/>
  <c r="M40" i="13"/>
  <c r="M36" i="13"/>
  <c r="M42" i="13"/>
  <c r="M63" i="13"/>
  <c r="M37" i="13"/>
  <c r="M62" i="13"/>
  <c r="M61" i="13"/>
  <c r="M28" i="13"/>
  <c r="C16" i="12"/>
  <c r="C8" i="12"/>
  <c r="C11" i="12"/>
  <c r="C10" i="12"/>
  <c r="C14" i="12"/>
  <c r="C3" i="12"/>
  <c r="C13" i="12"/>
  <c r="C12" i="12"/>
  <c r="C5" i="12"/>
  <c r="C4" i="12"/>
  <c r="C18" i="12"/>
  <c r="C17" i="12"/>
  <c r="C15" i="12"/>
  <c r="C9" i="12"/>
  <c r="C7" i="12"/>
  <c r="C6" i="12"/>
  <c r="C15" i="13"/>
  <c r="X5" i="16"/>
  <c r="X4" i="16"/>
  <c r="E17" i="13" l="1"/>
  <c r="F17" i="13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W2" i="16"/>
  <c r="N34" i="12"/>
  <c r="N44" i="12"/>
  <c r="N53" i="12"/>
  <c r="N59" i="12"/>
  <c r="N42" i="12"/>
  <c r="N45" i="12"/>
  <c r="N48" i="12"/>
  <c r="N46" i="12"/>
  <c r="N50" i="12"/>
  <c r="N24" i="12"/>
  <c r="N27" i="12"/>
  <c r="N22" i="12"/>
  <c r="N40" i="12"/>
  <c r="N62" i="12"/>
  <c r="N55" i="12"/>
  <c r="N37" i="12"/>
  <c r="N49" i="12"/>
  <c r="N61" i="12"/>
  <c r="N21" i="12"/>
  <c r="N58" i="12"/>
  <c r="N28" i="12"/>
  <c r="N47" i="12"/>
  <c r="N43" i="12"/>
  <c r="N26" i="12"/>
  <c r="N63" i="12"/>
  <c r="N60" i="12"/>
  <c r="N31" i="12"/>
  <c r="N52" i="12"/>
  <c r="N30" i="12"/>
  <c r="N51" i="12"/>
  <c r="N32" i="12"/>
  <c r="N56" i="12"/>
  <c r="N41" i="12"/>
  <c r="N23" i="12"/>
  <c r="N39" i="12"/>
  <c r="N57" i="12"/>
  <c r="N25" i="12"/>
  <c r="N33" i="12"/>
  <c r="N19" i="12"/>
  <c r="N35" i="12"/>
  <c r="N38" i="12"/>
  <c r="N29" i="12"/>
  <c r="N36" i="12"/>
  <c r="N20" i="12"/>
  <c r="N54" i="12"/>
  <c r="E3" i="14"/>
  <c r="F3" i="14"/>
  <c r="E8" i="14"/>
  <c r="M8" i="14"/>
  <c r="E16" i="14"/>
  <c r="M16" i="14"/>
  <c r="E14" i="14"/>
  <c r="M14" i="14"/>
  <c r="M7" i="14"/>
  <c r="E7" i="14"/>
  <c r="M13" i="14"/>
  <c r="E13" i="14"/>
  <c r="M15" i="14"/>
  <c r="E15" i="14"/>
  <c r="M5" i="14"/>
  <c r="E5" i="14"/>
  <c r="E17" i="14"/>
  <c r="M17" i="14"/>
  <c r="M4" i="14"/>
  <c r="E4" i="14"/>
  <c r="M6" i="14"/>
  <c r="E6" i="14"/>
  <c r="E9" i="14"/>
  <c r="M9" i="14"/>
  <c r="M10" i="14"/>
  <c r="E10" i="14"/>
  <c r="M12" i="14"/>
  <c r="E12" i="14"/>
  <c r="E11" i="14"/>
  <c r="M11" i="14"/>
  <c r="D6" i="14"/>
  <c r="D9" i="14"/>
  <c r="D11" i="14"/>
  <c r="D8" i="14"/>
  <c r="D16" i="14"/>
  <c r="D7" i="14"/>
  <c r="D12" i="14"/>
  <c r="D10" i="14"/>
  <c r="D13" i="14"/>
  <c r="D15" i="14"/>
  <c r="D5" i="14"/>
  <c r="D3" i="14"/>
  <c r="M3" i="14"/>
  <c r="D17" i="14"/>
  <c r="D14" i="14"/>
  <c r="D4" i="14"/>
  <c r="O54" i="13"/>
  <c r="N54" i="13"/>
  <c r="O27" i="13"/>
  <c r="N27" i="13"/>
  <c r="M21" i="13"/>
  <c r="N68" i="13"/>
  <c r="O68" i="13"/>
  <c r="O31" i="13"/>
  <c r="N31" i="13"/>
  <c r="O70" i="13"/>
  <c r="N70" i="13"/>
  <c r="N60" i="13"/>
  <c r="O60" i="13"/>
  <c r="N47" i="13"/>
  <c r="O47" i="13"/>
  <c r="M23" i="13"/>
  <c r="O53" i="13"/>
  <c r="N53" i="13"/>
  <c r="O69" i="13"/>
  <c r="N69" i="13"/>
  <c r="N44" i="13"/>
  <c r="O44" i="13"/>
  <c r="O38" i="13"/>
  <c r="N38" i="13"/>
  <c r="N57" i="13"/>
  <c r="O57" i="13"/>
  <c r="M25" i="13"/>
  <c r="N28" i="13"/>
  <c r="O28" i="13"/>
  <c r="O45" i="13"/>
  <c r="N45" i="13"/>
  <c r="N33" i="13"/>
  <c r="O33" i="13"/>
  <c r="N65" i="13"/>
  <c r="O65" i="13"/>
  <c r="O66" i="13"/>
  <c r="N66" i="13"/>
  <c r="M24" i="13"/>
  <c r="N58" i="13"/>
  <c r="O58" i="13"/>
  <c r="N34" i="13"/>
  <c r="O34" i="13"/>
  <c r="O29" i="13"/>
  <c r="N29" i="13"/>
  <c r="O35" i="13"/>
  <c r="N35" i="13"/>
  <c r="M19" i="13"/>
  <c r="N42" i="13"/>
  <c r="O42" i="13"/>
  <c r="N63" i="13"/>
  <c r="O63" i="13"/>
  <c r="N46" i="13"/>
  <c r="O46" i="13"/>
  <c r="O71" i="13"/>
  <c r="N71" i="13"/>
  <c r="N56" i="13"/>
  <c r="O56" i="13"/>
  <c r="O43" i="13"/>
  <c r="N43" i="13"/>
  <c r="M20" i="13"/>
  <c r="N40" i="13"/>
  <c r="O40" i="13"/>
  <c r="O32" i="13"/>
  <c r="N32" i="13"/>
  <c r="N36" i="13"/>
  <c r="O36" i="13"/>
  <c r="O37" i="13"/>
  <c r="N37" i="13"/>
  <c r="N30" i="13"/>
  <c r="O30" i="13"/>
  <c r="O51" i="13"/>
  <c r="N51" i="13"/>
  <c r="M26" i="13"/>
  <c r="N41" i="13"/>
  <c r="O41" i="13"/>
  <c r="N64" i="13"/>
  <c r="O64" i="13"/>
  <c r="N49" i="13"/>
  <c r="O49" i="13"/>
  <c r="N50" i="13"/>
  <c r="O50" i="13"/>
  <c r="N39" i="13"/>
  <c r="O39" i="13"/>
  <c r="O59" i="13"/>
  <c r="N59" i="13"/>
  <c r="M22" i="13"/>
  <c r="N52" i="13"/>
  <c r="O52" i="13"/>
  <c r="O55" i="13"/>
  <c r="N55" i="13"/>
  <c r="O61" i="13"/>
  <c r="N61" i="13"/>
  <c r="N62" i="13"/>
  <c r="O62" i="13"/>
  <c r="N48" i="13"/>
  <c r="O48" i="13"/>
  <c r="O67" i="13"/>
  <c r="N67" i="13"/>
  <c r="M5" i="13"/>
  <c r="D5" i="13"/>
  <c r="D18" i="13"/>
  <c r="M18" i="13"/>
  <c r="M13" i="13"/>
  <c r="D13" i="13"/>
  <c r="M3" i="13"/>
  <c r="D3" i="13"/>
  <c r="M11" i="13"/>
  <c r="D11" i="13"/>
  <c r="D15" i="13"/>
  <c r="M15" i="13"/>
  <c r="M9" i="13"/>
  <c r="D9" i="13"/>
  <c r="D6" i="13"/>
  <c r="M6" i="13"/>
  <c r="D12" i="13"/>
  <c r="M12" i="13"/>
  <c r="D10" i="13"/>
  <c r="M10" i="13"/>
  <c r="M8" i="13"/>
  <c r="D8" i="13"/>
  <c r="M16" i="13"/>
  <c r="D16" i="13"/>
  <c r="D17" i="13"/>
  <c r="M17" i="13"/>
  <c r="M14" i="13"/>
  <c r="D14" i="13"/>
  <c r="M7" i="13"/>
  <c r="D7" i="13"/>
  <c r="D4" i="13"/>
  <c r="M4" i="13"/>
  <c r="J51" i="12"/>
  <c r="O48" i="12" s="1"/>
  <c r="J46" i="12"/>
  <c r="O43" i="12" s="1"/>
  <c r="J65" i="12"/>
  <c r="O62" i="12" s="1"/>
  <c r="J52" i="12"/>
  <c r="O49" i="12" s="1"/>
  <c r="J48" i="12"/>
  <c r="O45" i="12" s="1"/>
  <c r="J47" i="12"/>
  <c r="O44" i="12" s="1"/>
  <c r="J34" i="12"/>
  <c r="O31" i="12" s="1"/>
  <c r="J41" i="12"/>
  <c r="O38" i="12" s="1"/>
  <c r="J58" i="12"/>
  <c r="O55" i="12" s="1"/>
  <c r="J53" i="12"/>
  <c r="O50" i="12" s="1"/>
  <c r="J66" i="12"/>
  <c r="O63" i="12" s="1"/>
  <c r="J60" i="12"/>
  <c r="O57" i="12" s="1"/>
  <c r="J55" i="12"/>
  <c r="O52" i="12" s="1"/>
  <c r="J27" i="12"/>
  <c r="O24" i="12" s="1"/>
  <c r="J61" i="12"/>
  <c r="O58" i="12" s="1"/>
  <c r="J24" i="12"/>
  <c r="O21" i="12" s="1"/>
  <c r="J35" i="12"/>
  <c r="O32" i="12" s="1"/>
  <c r="J31" i="12"/>
  <c r="O28" i="12" s="1"/>
  <c r="J39" i="12"/>
  <c r="O36" i="12" s="1"/>
  <c r="J22" i="12"/>
  <c r="O19" i="12" s="1"/>
  <c r="J40" i="12"/>
  <c r="O37" i="12" s="1"/>
  <c r="J50" i="12"/>
  <c r="O47" i="12" s="1"/>
  <c r="J63" i="12"/>
  <c r="O60" i="12" s="1"/>
  <c r="J43" i="12"/>
  <c r="O40" i="12" s="1"/>
  <c r="J49" i="12"/>
  <c r="O46" i="12" s="1"/>
  <c r="J30" i="12"/>
  <c r="O27" i="12" s="1"/>
  <c r="J42" i="12"/>
  <c r="O39" i="12" s="1"/>
  <c r="J26" i="12"/>
  <c r="O23" i="12" s="1"/>
  <c r="J29" i="12"/>
  <c r="O26" i="12" s="1"/>
  <c r="J44" i="12"/>
  <c r="O41" i="12" s="1"/>
  <c r="J33" i="12"/>
  <c r="O30" i="12" s="1"/>
  <c r="J56" i="12"/>
  <c r="O53" i="12" s="1"/>
  <c r="J36" i="12"/>
  <c r="O33" i="12" s="1"/>
  <c r="J37" i="12"/>
  <c r="O34" i="12" s="1"/>
  <c r="J54" i="12"/>
  <c r="O51" i="12" s="1"/>
  <c r="J23" i="12"/>
  <c r="O20" i="12" s="1"/>
  <c r="J25" i="12"/>
  <c r="O22" i="12" s="1"/>
  <c r="J45" i="12"/>
  <c r="O42" i="12" s="1"/>
  <c r="J62" i="12"/>
  <c r="O59" i="12" s="1"/>
  <c r="J64" i="12"/>
  <c r="O61" i="12" s="1"/>
  <c r="J32" i="12"/>
  <c r="O29" i="12" s="1"/>
  <c r="J28" i="12"/>
  <c r="O25" i="12" s="1"/>
  <c r="J57" i="12"/>
  <c r="O54" i="12" s="1"/>
  <c r="J59" i="12"/>
  <c r="O56" i="12" s="1"/>
  <c r="J38" i="12"/>
  <c r="O35" i="12" s="1"/>
  <c r="F8" i="12"/>
  <c r="D8" i="12"/>
  <c r="M8" i="12"/>
  <c r="E8" i="12"/>
  <c r="M7" i="12"/>
  <c r="F7" i="12"/>
  <c r="E7" i="12"/>
  <c r="D7" i="12"/>
  <c r="F11" i="12"/>
  <c r="D11" i="12"/>
  <c r="E11" i="12"/>
  <c r="M11" i="12"/>
  <c r="E4" i="12"/>
  <c r="D4" i="12"/>
  <c r="M4" i="12"/>
  <c r="F4" i="12"/>
  <c r="E5" i="12"/>
  <c r="M5" i="12"/>
  <c r="F5" i="12"/>
  <c r="D5" i="12"/>
  <c r="F12" i="12"/>
  <c r="M12" i="12"/>
  <c r="E12" i="12"/>
  <c r="D12" i="12"/>
  <c r="E13" i="12"/>
  <c r="M13" i="12"/>
  <c r="D13" i="12"/>
  <c r="F13" i="12"/>
  <c r="M9" i="12"/>
  <c r="E9" i="12"/>
  <c r="D9" i="12"/>
  <c r="F9" i="12"/>
  <c r="D3" i="12"/>
  <c r="F3" i="12"/>
  <c r="M3" i="12"/>
  <c r="E3" i="12"/>
  <c r="D15" i="12"/>
  <c r="M15" i="12"/>
  <c r="F15" i="12"/>
  <c r="E15" i="12"/>
  <c r="M14" i="12"/>
  <c r="F14" i="12"/>
  <c r="E14" i="12"/>
  <c r="D14" i="12"/>
  <c r="D18" i="12"/>
  <c r="M18" i="12"/>
  <c r="F18" i="12"/>
  <c r="E18" i="12"/>
  <c r="F16" i="12"/>
  <c r="M16" i="12"/>
  <c r="E16" i="12"/>
  <c r="D16" i="12"/>
  <c r="F6" i="12"/>
  <c r="E6" i="12"/>
  <c r="D6" i="12"/>
  <c r="M6" i="12"/>
  <c r="E17" i="12"/>
  <c r="D17" i="12"/>
  <c r="M17" i="12"/>
  <c r="F17" i="12"/>
  <c r="D10" i="12"/>
  <c r="E10" i="12"/>
  <c r="M10" i="12"/>
  <c r="F10" i="12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27" i="2"/>
  <c r="L20" i="2"/>
  <c r="L21" i="2"/>
  <c r="L22" i="2"/>
  <c r="L23" i="2"/>
  <c r="L24" i="2"/>
  <c r="L25" i="2"/>
  <c r="L26" i="2"/>
  <c r="L19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3" i="2"/>
  <c r="C21" i="11" a="1"/>
  <c r="B3" i="11" a="1"/>
  <c r="D32" i="11" a="1"/>
  <c r="H32" i="11" a="1"/>
  <c r="G21" i="11" a="1"/>
  <c r="H3" i="11" a="1"/>
  <c r="G21" i="10" a="1"/>
  <c r="H3" i="10" a="1"/>
  <c r="H32" i="10" a="1"/>
  <c r="B3" i="10" a="1"/>
  <c r="C21" i="10" a="1"/>
  <c r="D32" i="10" a="1"/>
  <c r="D32" i="2" a="1"/>
  <c r="B3" i="2" a="1"/>
  <c r="C21" i="2" a="1"/>
  <c r="H3" i="2" a="1"/>
  <c r="H32" i="2" a="1"/>
  <c r="G21" i="2" a="1"/>
  <c r="I3" i="12"/>
  <c r="I8" i="14"/>
  <c r="I6" i="13"/>
  <c r="I30" i="10"/>
  <c r="I17" i="12"/>
  <c r="I9" i="13"/>
  <c r="I12" i="12"/>
  <c r="I5" i="12"/>
  <c r="I4" i="14"/>
  <c r="I15" i="12"/>
  <c r="I12" i="13"/>
  <c r="I5" i="14"/>
  <c r="I9" i="12"/>
  <c r="I7" i="13"/>
  <c r="I15" i="14"/>
  <c r="I3" i="13"/>
  <c r="I3" i="14"/>
  <c r="I7" i="14"/>
  <c r="I14" i="14"/>
  <c r="I18" i="12"/>
  <c r="I14" i="12"/>
  <c r="I30" i="11"/>
  <c r="I9" i="14"/>
  <c r="I13" i="12"/>
  <c r="I17" i="13"/>
  <c r="I8" i="13"/>
  <c r="I16" i="13"/>
  <c r="I11" i="14"/>
  <c r="I16" i="12"/>
  <c r="I8" i="12"/>
  <c r="I11" i="13"/>
  <c r="I13" i="13"/>
  <c r="I6" i="14"/>
  <c r="I4" i="13"/>
  <c r="I5" i="13"/>
  <c r="I13" i="14"/>
  <c r="I11" i="12"/>
  <c r="I12" i="14"/>
  <c r="I10" i="14"/>
  <c r="I18" i="13"/>
  <c r="I16" i="14"/>
  <c r="I10" i="13"/>
  <c r="I7" i="12"/>
  <c r="I6" i="12"/>
  <c r="I17" i="14"/>
  <c r="I15" i="13"/>
  <c r="I4" i="12"/>
  <c r="I14" i="13"/>
  <c r="I10" i="12"/>
  <c r="N15" i="14" l="1"/>
  <c r="N17" i="14"/>
  <c r="N16" i="14"/>
  <c r="N14" i="14"/>
  <c r="N4" i="14"/>
  <c r="N12" i="14"/>
  <c r="N10" i="14"/>
  <c r="N5" i="14"/>
  <c r="N9" i="14"/>
  <c r="N6" i="14"/>
  <c r="N8" i="14"/>
  <c r="N13" i="14"/>
  <c r="N7" i="14"/>
  <c r="N11" i="14"/>
  <c r="N21" i="13"/>
  <c r="O21" i="13"/>
  <c r="O19" i="13"/>
  <c r="N19" i="13"/>
  <c r="O26" i="13"/>
  <c r="N26" i="13"/>
  <c r="O25" i="13"/>
  <c r="N25" i="13"/>
  <c r="N24" i="13"/>
  <c r="O24" i="13"/>
  <c r="N23" i="13"/>
  <c r="O23" i="13"/>
  <c r="N22" i="13"/>
  <c r="O22" i="13"/>
  <c r="O20" i="13"/>
  <c r="N20" i="13"/>
  <c r="J3" i="14"/>
  <c r="O3" i="14" s="1"/>
  <c r="N3" i="14"/>
  <c r="J15" i="14"/>
  <c r="O15" i="14" s="1"/>
  <c r="J16" i="14"/>
  <c r="O16" i="14" s="1"/>
  <c r="J17" i="14"/>
  <c r="O17" i="14" s="1"/>
  <c r="J10" i="14"/>
  <c r="O10" i="14" s="1"/>
  <c r="J5" i="14"/>
  <c r="O5" i="14" s="1"/>
  <c r="J13" i="14"/>
  <c r="O13" i="14" s="1"/>
  <c r="J8" i="14"/>
  <c r="O8" i="14" s="1"/>
  <c r="J11" i="14"/>
  <c r="O11" i="14" s="1"/>
  <c r="J9" i="14"/>
  <c r="O9" i="14" s="1"/>
  <c r="J4" i="14"/>
  <c r="O4" i="14" s="1"/>
  <c r="J6" i="14"/>
  <c r="O6" i="14" s="1"/>
  <c r="J14" i="14"/>
  <c r="O14" i="14" s="1"/>
  <c r="J12" i="14"/>
  <c r="O12" i="14" s="1"/>
  <c r="J7" i="14"/>
  <c r="O7" i="14" s="1"/>
  <c r="O14" i="13"/>
  <c r="N14" i="13"/>
  <c r="O5" i="13"/>
  <c r="N5" i="13"/>
  <c r="N15" i="13"/>
  <c r="O15" i="13"/>
  <c r="N16" i="13"/>
  <c r="O16" i="13"/>
  <c r="N17" i="13"/>
  <c r="O17" i="13"/>
  <c r="N11" i="13"/>
  <c r="O11" i="13"/>
  <c r="N13" i="13"/>
  <c r="O13" i="13"/>
  <c r="O12" i="13"/>
  <c r="N12" i="13"/>
  <c r="N10" i="13"/>
  <c r="O10" i="13"/>
  <c r="O6" i="13"/>
  <c r="N6" i="13"/>
  <c r="O3" i="13"/>
  <c r="N3" i="13"/>
  <c r="O4" i="13"/>
  <c r="N4" i="13"/>
  <c r="N7" i="13"/>
  <c r="O7" i="13"/>
  <c r="N8" i="13"/>
  <c r="O8" i="13"/>
  <c r="O9" i="13"/>
  <c r="N9" i="13"/>
  <c r="O18" i="13"/>
  <c r="N18" i="13"/>
  <c r="J7" i="12"/>
  <c r="O7" i="12" s="1"/>
  <c r="N7" i="12"/>
  <c r="J9" i="12"/>
  <c r="O9" i="12" s="1"/>
  <c r="N9" i="12"/>
  <c r="N8" i="12"/>
  <c r="J8" i="12"/>
  <c r="O8" i="12" s="1"/>
  <c r="J14" i="12"/>
  <c r="O14" i="12" s="1"/>
  <c r="N14" i="12"/>
  <c r="J11" i="12"/>
  <c r="O11" i="12" s="1"/>
  <c r="N11" i="12"/>
  <c r="J6" i="12"/>
  <c r="O6" i="12" s="1"/>
  <c r="N6" i="12"/>
  <c r="N13" i="12"/>
  <c r="J13" i="12"/>
  <c r="O13" i="12" s="1"/>
  <c r="N16" i="12"/>
  <c r="J16" i="12"/>
  <c r="O16" i="12" s="1"/>
  <c r="J3" i="12"/>
  <c r="O3" i="12" s="1"/>
  <c r="N3" i="12"/>
  <c r="J10" i="12"/>
  <c r="O10" i="12" s="1"/>
  <c r="N10" i="12"/>
  <c r="N15" i="12"/>
  <c r="J15" i="12"/>
  <c r="O15" i="12" s="1"/>
  <c r="N12" i="12"/>
  <c r="J12" i="12"/>
  <c r="O12" i="12" s="1"/>
  <c r="J18" i="12"/>
  <c r="O18" i="12" s="1"/>
  <c r="N18" i="12"/>
  <c r="J4" i="12"/>
  <c r="O4" i="12" s="1"/>
  <c r="N4" i="12"/>
  <c r="J17" i="12"/>
  <c r="O17" i="12" s="1"/>
  <c r="N17" i="12"/>
  <c r="N5" i="12"/>
  <c r="J5" i="12"/>
  <c r="O5" i="12" s="1"/>
  <c r="H39" i="11"/>
  <c r="H47" i="11"/>
  <c r="H55" i="11"/>
  <c r="H63" i="11"/>
  <c r="H71" i="11"/>
  <c r="H32" i="11"/>
  <c r="H40" i="11"/>
  <c r="H48" i="11"/>
  <c r="H56" i="11"/>
  <c r="H64" i="11"/>
  <c r="H72" i="11"/>
  <c r="H33" i="11"/>
  <c r="H41" i="11"/>
  <c r="H49" i="11"/>
  <c r="H57" i="11"/>
  <c r="H65" i="11"/>
  <c r="H73" i="11"/>
  <c r="H34" i="11"/>
  <c r="H42" i="11"/>
  <c r="H50" i="11"/>
  <c r="H58" i="11"/>
  <c r="H66" i="11"/>
  <c r="H74" i="11"/>
  <c r="H35" i="11"/>
  <c r="H43" i="11"/>
  <c r="H51" i="11"/>
  <c r="H59" i="11"/>
  <c r="H67" i="11"/>
  <c r="H75" i="11"/>
  <c r="H36" i="11"/>
  <c r="H44" i="11"/>
  <c r="H52" i="11"/>
  <c r="H60" i="11"/>
  <c r="H68" i="11"/>
  <c r="H76" i="11"/>
  <c r="H37" i="11"/>
  <c r="H45" i="11"/>
  <c r="H53" i="11"/>
  <c r="H61" i="11"/>
  <c r="H69" i="11"/>
  <c r="H38" i="11"/>
  <c r="H46" i="11"/>
  <c r="H54" i="11"/>
  <c r="H62" i="11"/>
  <c r="H70" i="11"/>
  <c r="D39" i="11"/>
  <c r="M34" i="11" s="1"/>
  <c r="D47" i="11"/>
  <c r="M42" i="11" s="1"/>
  <c r="D55" i="11"/>
  <c r="M50" i="11" s="1"/>
  <c r="D63" i="11"/>
  <c r="M58" i="11" s="1"/>
  <c r="D71" i="11"/>
  <c r="M66" i="11" s="1"/>
  <c r="D32" i="11"/>
  <c r="M27" i="11" s="1"/>
  <c r="D40" i="11"/>
  <c r="M35" i="11" s="1"/>
  <c r="D48" i="11"/>
  <c r="M43" i="11" s="1"/>
  <c r="D56" i="11"/>
  <c r="M51" i="11" s="1"/>
  <c r="D64" i="11"/>
  <c r="M59" i="11" s="1"/>
  <c r="D72" i="11"/>
  <c r="M67" i="11" s="1"/>
  <c r="D33" i="11"/>
  <c r="M28" i="11" s="1"/>
  <c r="D41" i="11"/>
  <c r="M36" i="11" s="1"/>
  <c r="D49" i="11"/>
  <c r="M44" i="11" s="1"/>
  <c r="D57" i="11"/>
  <c r="M52" i="11" s="1"/>
  <c r="D65" i="11"/>
  <c r="M60" i="11" s="1"/>
  <c r="D73" i="11"/>
  <c r="M68" i="11" s="1"/>
  <c r="D34" i="11"/>
  <c r="M29" i="11" s="1"/>
  <c r="D42" i="11"/>
  <c r="M37" i="11" s="1"/>
  <c r="D50" i="11"/>
  <c r="M45" i="11" s="1"/>
  <c r="D58" i="11"/>
  <c r="M53" i="11" s="1"/>
  <c r="D66" i="11"/>
  <c r="M61" i="11" s="1"/>
  <c r="D74" i="11"/>
  <c r="M69" i="11" s="1"/>
  <c r="D35" i="11"/>
  <c r="M30" i="11" s="1"/>
  <c r="D43" i="11"/>
  <c r="M38" i="11" s="1"/>
  <c r="D51" i="11"/>
  <c r="M46" i="11" s="1"/>
  <c r="D59" i="11"/>
  <c r="M54" i="11" s="1"/>
  <c r="D67" i="11"/>
  <c r="M62" i="11" s="1"/>
  <c r="D75" i="11"/>
  <c r="M70" i="11" s="1"/>
  <c r="D36" i="11"/>
  <c r="M31" i="11" s="1"/>
  <c r="D44" i="11"/>
  <c r="M39" i="11" s="1"/>
  <c r="D52" i="11"/>
  <c r="M47" i="11" s="1"/>
  <c r="D60" i="11"/>
  <c r="M55" i="11" s="1"/>
  <c r="D68" i="11"/>
  <c r="M63" i="11" s="1"/>
  <c r="D76" i="11"/>
  <c r="M71" i="11" s="1"/>
  <c r="D37" i="11"/>
  <c r="M32" i="11" s="1"/>
  <c r="D45" i="11"/>
  <c r="M40" i="11" s="1"/>
  <c r="D53" i="11"/>
  <c r="M48" i="11" s="1"/>
  <c r="D61" i="11"/>
  <c r="M56" i="11" s="1"/>
  <c r="D69" i="11"/>
  <c r="M64" i="11" s="1"/>
  <c r="D38" i="11"/>
  <c r="M33" i="11" s="1"/>
  <c r="D46" i="11"/>
  <c r="M41" i="11" s="1"/>
  <c r="D54" i="11"/>
  <c r="M49" i="11" s="1"/>
  <c r="D62" i="11"/>
  <c r="M57" i="11" s="1"/>
  <c r="D70" i="11"/>
  <c r="M65" i="11" s="1"/>
  <c r="G28" i="11"/>
  <c r="G21" i="11"/>
  <c r="G22" i="11"/>
  <c r="G23" i="11"/>
  <c r="G24" i="11"/>
  <c r="G25" i="11"/>
  <c r="G26" i="11"/>
  <c r="G27" i="11"/>
  <c r="C28" i="11"/>
  <c r="C21" i="11"/>
  <c r="B21" i="11" s="1"/>
  <c r="C22" i="11"/>
  <c r="C23" i="11"/>
  <c r="C24" i="11"/>
  <c r="C25" i="11"/>
  <c r="C26" i="11"/>
  <c r="C27" i="11"/>
  <c r="H10" i="11"/>
  <c r="J10" i="11" s="1"/>
  <c r="H18" i="11"/>
  <c r="J18" i="11" s="1"/>
  <c r="H3" i="11"/>
  <c r="J3" i="11" s="1"/>
  <c r="H11" i="11"/>
  <c r="J11" i="11" s="1"/>
  <c r="H4" i="11"/>
  <c r="J4" i="11" s="1"/>
  <c r="H12" i="11"/>
  <c r="J12" i="11" s="1"/>
  <c r="H5" i="11"/>
  <c r="J5" i="11" s="1"/>
  <c r="H13" i="11"/>
  <c r="J13" i="11" s="1"/>
  <c r="H6" i="11"/>
  <c r="J6" i="11" s="1"/>
  <c r="H14" i="11"/>
  <c r="J14" i="11" s="1"/>
  <c r="H7" i="11"/>
  <c r="J7" i="11" s="1"/>
  <c r="H15" i="11"/>
  <c r="J15" i="11" s="1"/>
  <c r="H8" i="11"/>
  <c r="J8" i="11" s="1"/>
  <c r="H16" i="11"/>
  <c r="J16" i="11" s="1"/>
  <c r="H9" i="11"/>
  <c r="J9" i="11" s="1"/>
  <c r="H17" i="11"/>
  <c r="J17" i="11" s="1"/>
  <c r="B3" i="11"/>
  <c r="C3" i="11" s="1"/>
  <c r="B11" i="11"/>
  <c r="C11" i="11" s="1"/>
  <c r="M11" i="11" s="1"/>
  <c r="B4" i="11"/>
  <c r="C4" i="11" s="1"/>
  <c r="B12" i="11"/>
  <c r="B5" i="11"/>
  <c r="B13" i="11"/>
  <c r="B6" i="11"/>
  <c r="B14" i="11"/>
  <c r="B7" i="11"/>
  <c r="B15" i="11"/>
  <c r="B8" i="11"/>
  <c r="B16" i="11"/>
  <c r="B9" i="11"/>
  <c r="B17" i="11"/>
  <c r="C17" i="11" s="1"/>
  <c r="B10" i="11"/>
  <c r="B18" i="11"/>
  <c r="B28" i="11"/>
  <c r="H39" i="10"/>
  <c r="H47" i="10"/>
  <c r="H55" i="10"/>
  <c r="H63" i="10"/>
  <c r="H71" i="10"/>
  <c r="H32" i="10"/>
  <c r="H40" i="10"/>
  <c r="H48" i="10"/>
  <c r="H56" i="10"/>
  <c r="H64" i="10"/>
  <c r="H72" i="10"/>
  <c r="H33" i="10"/>
  <c r="H41" i="10"/>
  <c r="H49" i="10"/>
  <c r="H57" i="10"/>
  <c r="H65" i="10"/>
  <c r="H73" i="10"/>
  <c r="H34" i="10"/>
  <c r="H42" i="10"/>
  <c r="H50" i="10"/>
  <c r="H58" i="10"/>
  <c r="H66" i="10"/>
  <c r="H74" i="10"/>
  <c r="H35" i="10"/>
  <c r="H43" i="10"/>
  <c r="H51" i="10"/>
  <c r="H59" i="10"/>
  <c r="H67" i="10"/>
  <c r="H75" i="10"/>
  <c r="H36" i="10"/>
  <c r="H44" i="10"/>
  <c r="H52" i="10"/>
  <c r="H60" i="10"/>
  <c r="H68" i="10"/>
  <c r="H76" i="10"/>
  <c r="H37" i="10"/>
  <c r="H45" i="10"/>
  <c r="H53" i="10"/>
  <c r="H61" i="10"/>
  <c r="H69" i="10"/>
  <c r="H38" i="10"/>
  <c r="H46" i="10"/>
  <c r="H54" i="10"/>
  <c r="H62" i="10"/>
  <c r="H70" i="10"/>
  <c r="D39" i="10"/>
  <c r="M34" i="10" s="1"/>
  <c r="D47" i="10"/>
  <c r="M42" i="10" s="1"/>
  <c r="D55" i="10"/>
  <c r="M50" i="10" s="1"/>
  <c r="D63" i="10"/>
  <c r="M58" i="10" s="1"/>
  <c r="D71" i="10"/>
  <c r="M66" i="10" s="1"/>
  <c r="D32" i="10"/>
  <c r="M27" i="10" s="1"/>
  <c r="D40" i="10"/>
  <c r="M35" i="10" s="1"/>
  <c r="D48" i="10"/>
  <c r="M43" i="10" s="1"/>
  <c r="D56" i="10"/>
  <c r="M51" i="10" s="1"/>
  <c r="D64" i="10"/>
  <c r="M59" i="10" s="1"/>
  <c r="D72" i="10"/>
  <c r="M67" i="10" s="1"/>
  <c r="D33" i="10"/>
  <c r="M28" i="10" s="1"/>
  <c r="D41" i="10"/>
  <c r="M36" i="10" s="1"/>
  <c r="D49" i="10"/>
  <c r="M44" i="10" s="1"/>
  <c r="D57" i="10"/>
  <c r="M52" i="10" s="1"/>
  <c r="D65" i="10"/>
  <c r="M60" i="10" s="1"/>
  <c r="D73" i="10"/>
  <c r="M68" i="10" s="1"/>
  <c r="D34" i="10"/>
  <c r="M29" i="10" s="1"/>
  <c r="D42" i="10"/>
  <c r="M37" i="10" s="1"/>
  <c r="D50" i="10"/>
  <c r="M45" i="10" s="1"/>
  <c r="D58" i="10"/>
  <c r="M53" i="10" s="1"/>
  <c r="D66" i="10"/>
  <c r="M61" i="10" s="1"/>
  <c r="D74" i="10"/>
  <c r="M69" i="10" s="1"/>
  <c r="D35" i="10"/>
  <c r="M30" i="10" s="1"/>
  <c r="D43" i="10"/>
  <c r="M38" i="10" s="1"/>
  <c r="D51" i="10"/>
  <c r="M46" i="10" s="1"/>
  <c r="D59" i="10"/>
  <c r="M54" i="10" s="1"/>
  <c r="D67" i="10"/>
  <c r="M62" i="10" s="1"/>
  <c r="D75" i="10"/>
  <c r="M70" i="10" s="1"/>
  <c r="D36" i="10"/>
  <c r="M31" i="10" s="1"/>
  <c r="D44" i="10"/>
  <c r="M39" i="10" s="1"/>
  <c r="D52" i="10"/>
  <c r="M47" i="10" s="1"/>
  <c r="D60" i="10"/>
  <c r="M55" i="10" s="1"/>
  <c r="D68" i="10"/>
  <c r="M63" i="10" s="1"/>
  <c r="D76" i="10"/>
  <c r="M71" i="10" s="1"/>
  <c r="D37" i="10"/>
  <c r="M32" i="10" s="1"/>
  <c r="D45" i="10"/>
  <c r="M40" i="10" s="1"/>
  <c r="D53" i="10"/>
  <c r="M48" i="10" s="1"/>
  <c r="D61" i="10"/>
  <c r="M56" i="10" s="1"/>
  <c r="D69" i="10"/>
  <c r="M64" i="10" s="1"/>
  <c r="D38" i="10"/>
  <c r="M33" i="10" s="1"/>
  <c r="D46" i="10"/>
  <c r="M41" i="10" s="1"/>
  <c r="D54" i="10"/>
  <c r="M49" i="10" s="1"/>
  <c r="D62" i="10"/>
  <c r="M57" i="10" s="1"/>
  <c r="D70" i="10"/>
  <c r="M65" i="10" s="1"/>
  <c r="G28" i="10"/>
  <c r="G21" i="10"/>
  <c r="G22" i="10"/>
  <c r="G23" i="10"/>
  <c r="G24" i="10"/>
  <c r="G25" i="10"/>
  <c r="G26" i="10"/>
  <c r="G27" i="10"/>
  <c r="C28" i="10"/>
  <c r="C21" i="10"/>
  <c r="C22" i="10"/>
  <c r="C23" i="10"/>
  <c r="C24" i="10"/>
  <c r="C25" i="10"/>
  <c r="C26" i="10"/>
  <c r="C27" i="10"/>
  <c r="H10" i="10"/>
  <c r="J10" i="10" s="1"/>
  <c r="H18" i="10"/>
  <c r="J18" i="10" s="1"/>
  <c r="H3" i="10"/>
  <c r="J3" i="10" s="1"/>
  <c r="H11" i="10"/>
  <c r="J11" i="10" s="1"/>
  <c r="H4" i="10"/>
  <c r="J4" i="10" s="1"/>
  <c r="H12" i="10"/>
  <c r="J12" i="10" s="1"/>
  <c r="H5" i="10"/>
  <c r="J5" i="10" s="1"/>
  <c r="H13" i="10"/>
  <c r="J13" i="10" s="1"/>
  <c r="H6" i="10"/>
  <c r="J6" i="10" s="1"/>
  <c r="H14" i="10"/>
  <c r="J14" i="10" s="1"/>
  <c r="H7" i="10"/>
  <c r="J7" i="10" s="1"/>
  <c r="H15" i="10"/>
  <c r="J15" i="10" s="1"/>
  <c r="H8" i="10"/>
  <c r="J8" i="10" s="1"/>
  <c r="H16" i="10"/>
  <c r="J16" i="10" s="1"/>
  <c r="H9" i="10"/>
  <c r="J9" i="10" s="1"/>
  <c r="H17" i="10"/>
  <c r="J17" i="10" s="1"/>
  <c r="B10" i="10"/>
  <c r="B18" i="10"/>
  <c r="B3" i="10"/>
  <c r="B11" i="10"/>
  <c r="B4" i="10"/>
  <c r="B12" i="10"/>
  <c r="B5" i="10"/>
  <c r="B13" i="10"/>
  <c r="B6" i="10"/>
  <c r="B14" i="10"/>
  <c r="B7" i="10"/>
  <c r="B15" i="10"/>
  <c r="B8" i="10"/>
  <c r="B16" i="10"/>
  <c r="B9" i="10"/>
  <c r="B17" i="10"/>
  <c r="C17" i="10" s="1"/>
  <c r="H39" i="2"/>
  <c r="J39" i="2" s="1"/>
  <c r="H47" i="2"/>
  <c r="J47" i="2" s="1"/>
  <c r="H55" i="2"/>
  <c r="J55" i="2" s="1"/>
  <c r="H63" i="2"/>
  <c r="J63" i="2" s="1"/>
  <c r="H71" i="2"/>
  <c r="J71" i="2" s="1"/>
  <c r="H32" i="2"/>
  <c r="J32" i="2" s="1"/>
  <c r="H40" i="2"/>
  <c r="J40" i="2" s="1"/>
  <c r="H48" i="2"/>
  <c r="J48" i="2" s="1"/>
  <c r="H56" i="2"/>
  <c r="J56" i="2" s="1"/>
  <c r="H64" i="2"/>
  <c r="J64" i="2" s="1"/>
  <c r="H72" i="2"/>
  <c r="H33" i="2"/>
  <c r="J33" i="2" s="1"/>
  <c r="H41" i="2"/>
  <c r="J41" i="2" s="1"/>
  <c r="H49" i="2"/>
  <c r="J49" i="2" s="1"/>
  <c r="H57" i="2"/>
  <c r="J57" i="2" s="1"/>
  <c r="H65" i="2"/>
  <c r="J65" i="2" s="1"/>
  <c r="H73" i="2"/>
  <c r="H34" i="2"/>
  <c r="J34" i="2" s="1"/>
  <c r="H42" i="2"/>
  <c r="J42" i="2" s="1"/>
  <c r="H50" i="2"/>
  <c r="J50" i="2" s="1"/>
  <c r="H58" i="2"/>
  <c r="J58" i="2" s="1"/>
  <c r="H66" i="2"/>
  <c r="J66" i="2" s="1"/>
  <c r="H74" i="2"/>
  <c r="H35" i="2"/>
  <c r="J35" i="2" s="1"/>
  <c r="H43" i="2"/>
  <c r="J43" i="2" s="1"/>
  <c r="H51" i="2"/>
  <c r="J51" i="2" s="1"/>
  <c r="H59" i="2"/>
  <c r="J59" i="2" s="1"/>
  <c r="H67" i="2"/>
  <c r="J67" i="2" s="1"/>
  <c r="H75" i="2"/>
  <c r="H36" i="2"/>
  <c r="J36" i="2" s="1"/>
  <c r="H44" i="2"/>
  <c r="J44" i="2" s="1"/>
  <c r="H52" i="2"/>
  <c r="J52" i="2" s="1"/>
  <c r="H60" i="2"/>
  <c r="J60" i="2" s="1"/>
  <c r="H68" i="2"/>
  <c r="J68" i="2" s="1"/>
  <c r="H76" i="2"/>
  <c r="H37" i="2"/>
  <c r="J37" i="2" s="1"/>
  <c r="H45" i="2"/>
  <c r="J45" i="2" s="1"/>
  <c r="H53" i="2"/>
  <c r="J53" i="2" s="1"/>
  <c r="H61" i="2"/>
  <c r="J61" i="2" s="1"/>
  <c r="H69" i="2"/>
  <c r="J69" i="2" s="1"/>
  <c r="H38" i="2"/>
  <c r="J38" i="2" s="1"/>
  <c r="H46" i="2"/>
  <c r="J46" i="2" s="1"/>
  <c r="H54" i="2"/>
  <c r="J54" i="2" s="1"/>
  <c r="H62" i="2"/>
  <c r="J62" i="2" s="1"/>
  <c r="H70" i="2"/>
  <c r="J70" i="2" s="1"/>
  <c r="D39" i="2"/>
  <c r="M34" i="2" s="1"/>
  <c r="D47" i="2"/>
  <c r="M42" i="2" s="1"/>
  <c r="D55" i="2"/>
  <c r="M50" i="2" s="1"/>
  <c r="D63" i="2"/>
  <c r="M58" i="2" s="1"/>
  <c r="D71" i="2"/>
  <c r="M66" i="2" s="1"/>
  <c r="D32" i="2"/>
  <c r="M27" i="2" s="1"/>
  <c r="D40" i="2"/>
  <c r="M35" i="2" s="1"/>
  <c r="D48" i="2"/>
  <c r="M43" i="2" s="1"/>
  <c r="D56" i="2"/>
  <c r="M51" i="2" s="1"/>
  <c r="D64" i="2"/>
  <c r="M59" i="2" s="1"/>
  <c r="D72" i="2"/>
  <c r="M67" i="2" s="1"/>
  <c r="D33" i="2"/>
  <c r="M28" i="2" s="1"/>
  <c r="D41" i="2"/>
  <c r="M36" i="2" s="1"/>
  <c r="D49" i="2"/>
  <c r="M44" i="2" s="1"/>
  <c r="D57" i="2"/>
  <c r="M52" i="2" s="1"/>
  <c r="D65" i="2"/>
  <c r="M60" i="2" s="1"/>
  <c r="D73" i="2"/>
  <c r="M68" i="2" s="1"/>
  <c r="D34" i="2"/>
  <c r="M29" i="2" s="1"/>
  <c r="D42" i="2"/>
  <c r="M37" i="2" s="1"/>
  <c r="D50" i="2"/>
  <c r="M45" i="2" s="1"/>
  <c r="D58" i="2"/>
  <c r="M53" i="2" s="1"/>
  <c r="D66" i="2"/>
  <c r="M61" i="2" s="1"/>
  <c r="D74" i="2"/>
  <c r="M69" i="2" s="1"/>
  <c r="D35" i="2"/>
  <c r="M30" i="2" s="1"/>
  <c r="D43" i="2"/>
  <c r="M38" i="2" s="1"/>
  <c r="D51" i="2"/>
  <c r="M46" i="2" s="1"/>
  <c r="D59" i="2"/>
  <c r="M54" i="2" s="1"/>
  <c r="D67" i="2"/>
  <c r="M62" i="2" s="1"/>
  <c r="D75" i="2"/>
  <c r="M70" i="2" s="1"/>
  <c r="D36" i="2"/>
  <c r="M31" i="2" s="1"/>
  <c r="D44" i="2"/>
  <c r="M39" i="2" s="1"/>
  <c r="D52" i="2"/>
  <c r="M47" i="2" s="1"/>
  <c r="D60" i="2"/>
  <c r="M55" i="2" s="1"/>
  <c r="D68" i="2"/>
  <c r="M63" i="2" s="1"/>
  <c r="D76" i="2"/>
  <c r="M71" i="2" s="1"/>
  <c r="D37" i="2"/>
  <c r="M32" i="2" s="1"/>
  <c r="D45" i="2"/>
  <c r="M40" i="2" s="1"/>
  <c r="D53" i="2"/>
  <c r="M48" i="2" s="1"/>
  <c r="D61" i="2"/>
  <c r="M56" i="2" s="1"/>
  <c r="D69" i="2"/>
  <c r="M64" i="2" s="1"/>
  <c r="D38" i="2"/>
  <c r="M33" i="2" s="1"/>
  <c r="D46" i="2"/>
  <c r="M41" i="2" s="1"/>
  <c r="D54" i="2"/>
  <c r="M49" i="2" s="1"/>
  <c r="D62" i="2"/>
  <c r="M57" i="2" s="1"/>
  <c r="D70" i="2"/>
  <c r="M65" i="2" s="1"/>
  <c r="G28" i="2"/>
  <c r="G21" i="2"/>
  <c r="G22" i="2"/>
  <c r="G23" i="2"/>
  <c r="G24" i="2"/>
  <c r="G25" i="2"/>
  <c r="G26" i="2"/>
  <c r="G27" i="2"/>
  <c r="C28" i="2"/>
  <c r="B28" i="2" s="1"/>
  <c r="C21" i="2"/>
  <c r="C22" i="2"/>
  <c r="C23" i="2"/>
  <c r="C24" i="2"/>
  <c r="C25" i="2"/>
  <c r="C26" i="2"/>
  <c r="C27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7" i="2" s="1"/>
  <c r="C16" i="2"/>
  <c r="I75" i="2"/>
  <c r="I74" i="2"/>
  <c r="I73" i="2"/>
  <c r="I72" i="2"/>
  <c r="I76" i="2"/>
  <c r="I48" i="10"/>
  <c r="I65" i="10"/>
  <c r="I35" i="10"/>
  <c r="I52" i="10"/>
  <c r="I69" i="10"/>
  <c r="I39" i="10"/>
  <c r="I56" i="10"/>
  <c r="I73" i="10"/>
  <c r="I43" i="10"/>
  <c r="I60" i="10"/>
  <c r="I38" i="10"/>
  <c r="I47" i="10"/>
  <c r="I64" i="10"/>
  <c r="I34" i="10"/>
  <c r="I51" i="10"/>
  <c r="I68" i="10"/>
  <c r="I46" i="10"/>
  <c r="I55" i="10"/>
  <c r="I72" i="10"/>
  <c r="I42" i="10"/>
  <c r="I59" i="10"/>
  <c r="I76" i="10"/>
  <c r="I54" i="10"/>
  <c r="I33" i="10"/>
  <c r="I50" i="10"/>
  <c r="I37" i="10"/>
  <c r="I71" i="10"/>
  <c r="I41" i="10"/>
  <c r="I58" i="10"/>
  <c r="I75" i="10"/>
  <c r="I45" i="10"/>
  <c r="I70" i="10"/>
  <c r="I32" i="10"/>
  <c r="I49" i="10"/>
  <c r="I66" i="10"/>
  <c r="I53" i="10"/>
  <c r="I40" i="10"/>
  <c r="I57" i="10"/>
  <c r="I74" i="10"/>
  <c r="I44" i="10"/>
  <c r="I61" i="10"/>
  <c r="I63" i="10"/>
  <c r="I67" i="10"/>
  <c r="I62" i="10"/>
  <c r="I36" i="10"/>
  <c r="P3" i="12" a="1"/>
  <c r="Q3" i="12" a="1"/>
  <c r="R3" i="12" a="1"/>
  <c r="I55" i="11"/>
  <c r="I72" i="11"/>
  <c r="I42" i="11"/>
  <c r="I59" i="11"/>
  <c r="I76" i="11"/>
  <c r="I54" i="11"/>
  <c r="I63" i="11"/>
  <c r="I33" i="11"/>
  <c r="I50" i="11"/>
  <c r="I67" i="11"/>
  <c r="I37" i="11"/>
  <c r="I62" i="11"/>
  <c r="I71" i="11"/>
  <c r="I41" i="11"/>
  <c r="I58" i="11"/>
  <c r="I75" i="11"/>
  <c r="I45" i="11"/>
  <c r="I70" i="11"/>
  <c r="I32" i="11"/>
  <c r="I49" i="11"/>
  <c r="I66" i="11"/>
  <c r="I36" i="11"/>
  <c r="I53" i="11"/>
  <c r="I40" i="11"/>
  <c r="I57" i="11"/>
  <c r="I74" i="11"/>
  <c r="I44" i="11"/>
  <c r="I61" i="11"/>
  <c r="I48" i="11"/>
  <c r="I35" i="11"/>
  <c r="I52" i="11"/>
  <c r="I69" i="11"/>
  <c r="I39" i="11"/>
  <c r="I56" i="11"/>
  <c r="I73" i="11"/>
  <c r="I43" i="11"/>
  <c r="I60" i="11"/>
  <c r="I38" i="11"/>
  <c r="I47" i="11"/>
  <c r="I64" i="11"/>
  <c r="I34" i="11"/>
  <c r="I51" i="11"/>
  <c r="I68" i="11"/>
  <c r="I46" i="11"/>
  <c r="I65" i="11"/>
  <c r="D24" i="11"/>
  <c r="D27" i="11"/>
  <c r="D22" i="11"/>
  <c r="I22" i="11" s="1"/>
  <c r="I24" i="11"/>
  <c r="D26" i="11"/>
  <c r="I26" i="11"/>
  <c r="I27" i="11"/>
  <c r="D28" i="11"/>
  <c r="I28" i="11" s="1"/>
  <c r="D21" i="11"/>
  <c r="I21" i="11" s="1"/>
  <c r="D25" i="11"/>
  <c r="I25" i="11" s="1"/>
  <c r="D23" i="11"/>
  <c r="I23" i="11" s="1"/>
  <c r="D24" i="10"/>
  <c r="D22" i="10"/>
  <c r="D23" i="10"/>
  <c r="D26" i="10"/>
  <c r="I26" i="10" s="1"/>
  <c r="I22" i="10"/>
  <c r="D27" i="10"/>
  <c r="I27" i="10" s="1"/>
  <c r="I23" i="10"/>
  <c r="D28" i="10"/>
  <c r="I28" i="10" s="1"/>
  <c r="I24" i="10"/>
  <c r="D25" i="10"/>
  <c r="I25" i="10" s="1"/>
  <c r="D21" i="10"/>
  <c r="I21" i="10" s="1"/>
  <c r="D23" i="2"/>
  <c r="I23" i="2" s="1"/>
  <c r="D21" i="2"/>
  <c r="D26" i="2"/>
  <c r="D27" i="2"/>
  <c r="I27" i="2" s="1"/>
  <c r="D22" i="2"/>
  <c r="I26" i="2"/>
  <c r="D28" i="2"/>
  <c r="I28" i="2" s="1"/>
  <c r="D24" i="2"/>
  <c r="I24" i="2" s="1"/>
  <c r="D25" i="2"/>
  <c r="I25" i="2" s="1"/>
  <c r="I21" i="2"/>
  <c r="I22" i="2"/>
  <c r="C15" i="2"/>
  <c r="R10" i="12" l="1"/>
  <c r="R33" i="12"/>
  <c r="R40" i="12"/>
  <c r="R58" i="12"/>
  <c r="R29" i="12"/>
  <c r="R71" i="12"/>
  <c r="R35" i="12"/>
  <c r="R23" i="12"/>
  <c r="R15" i="12"/>
  <c r="R11" i="12"/>
  <c r="R60" i="12"/>
  <c r="R4" i="12"/>
  <c r="R59" i="12"/>
  <c r="R30" i="12"/>
  <c r="R9" i="12"/>
  <c r="R36" i="12"/>
  <c r="R34" i="12"/>
  <c r="R44" i="12"/>
  <c r="R14" i="12"/>
  <c r="R68" i="12"/>
  <c r="R61" i="12"/>
  <c r="R24" i="12"/>
  <c r="R3" i="12"/>
  <c r="R18" i="12"/>
  <c r="R41" i="12"/>
  <c r="R12" i="12"/>
  <c r="R38" i="12"/>
  <c r="R17" i="12"/>
  <c r="R69" i="12"/>
  <c r="R65" i="12"/>
  <c r="R57" i="12"/>
  <c r="R67" i="12"/>
  <c r="R50" i="12"/>
  <c r="R21" i="12"/>
  <c r="R63" i="12"/>
  <c r="R27" i="12"/>
  <c r="R16" i="12"/>
  <c r="R70" i="12"/>
  <c r="R51" i="12"/>
  <c r="R53" i="12"/>
  <c r="R13" i="12"/>
  <c r="R55" i="12"/>
  <c r="R19" i="12"/>
  <c r="R45" i="12"/>
  <c r="R6" i="12"/>
  <c r="R7" i="12"/>
  <c r="R48" i="12"/>
  <c r="R46" i="12"/>
  <c r="R22" i="12"/>
  <c r="R64" i="12"/>
  <c r="R28" i="12"/>
  <c r="R8" i="12"/>
  <c r="R49" i="12"/>
  <c r="R39" i="12"/>
  <c r="R37" i="12"/>
  <c r="R32" i="12"/>
  <c r="R62" i="12"/>
  <c r="R54" i="12"/>
  <c r="R25" i="12"/>
  <c r="R47" i="12"/>
  <c r="R26" i="12"/>
  <c r="R31" i="12"/>
  <c r="R42" i="12"/>
  <c r="R56" i="12"/>
  <c r="R5" i="12"/>
  <c r="R43" i="12"/>
  <c r="R66" i="12"/>
  <c r="R20" i="12"/>
  <c r="R52" i="12"/>
  <c r="Q64" i="12"/>
  <c r="Q9" i="12"/>
  <c r="Q26" i="12"/>
  <c r="Q11" i="12"/>
  <c r="Q44" i="12"/>
  <c r="Q61" i="12"/>
  <c r="Q68" i="12"/>
  <c r="Q23" i="12"/>
  <c r="Q28" i="12"/>
  <c r="Q36" i="12"/>
  <c r="Q4" i="12"/>
  <c r="Q37" i="12"/>
  <c r="Q54" i="12"/>
  <c r="Q41" i="12"/>
  <c r="Q67" i="12"/>
  <c r="Q6" i="12"/>
  <c r="Q33" i="12"/>
  <c r="Q65" i="12"/>
  <c r="Q10" i="12"/>
  <c r="Q3" i="12"/>
  <c r="Q20" i="12"/>
  <c r="Q53" i="12"/>
  <c r="Q70" i="12"/>
  <c r="Q31" i="12"/>
  <c r="Q49" i="12"/>
  <c r="Q35" i="12"/>
  <c r="Q43" i="12"/>
  <c r="Q50" i="12"/>
  <c r="Q12" i="12"/>
  <c r="Q45" i="12"/>
  <c r="Q62" i="12"/>
  <c r="Q24" i="12"/>
  <c r="Q57" i="12"/>
  <c r="Q59" i="12"/>
  <c r="Q16" i="12"/>
  <c r="Q21" i="12"/>
  <c r="Q29" i="12"/>
  <c r="Q13" i="12"/>
  <c r="Q46" i="12"/>
  <c r="Q63" i="12"/>
  <c r="Q66" i="12"/>
  <c r="Q5" i="12"/>
  <c r="Q40" i="12"/>
  <c r="Q15" i="12"/>
  <c r="Q25" i="12"/>
  <c r="Q32" i="12"/>
  <c r="Q8" i="12"/>
  <c r="Q42" i="12"/>
  <c r="Q39" i="12"/>
  <c r="Q38" i="12"/>
  <c r="Q19" i="12"/>
  <c r="Q18" i="12"/>
  <c r="Q47" i="12"/>
  <c r="Q58" i="12"/>
  <c r="Q51" i="12"/>
  <c r="Q14" i="12"/>
  <c r="Q56" i="12"/>
  <c r="Q27" i="12"/>
  <c r="Q30" i="12"/>
  <c r="Q7" i="12"/>
  <c r="Q55" i="12"/>
  <c r="Q52" i="12"/>
  <c r="Q48" i="12"/>
  <c r="Q71" i="12"/>
  <c r="Q17" i="12"/>
  <c r="Q60" i="12"/>
  <c r="Q22" i="12"/>
  <c r="Q34" i="12"/>
  <c r="Q69" i="12"/>
  <c r="P5" i="12"/>
  <c r="P20" i="12"/>
  <c r="P35" i="12"/>
  <c r="P31" i="12"/>
  <c r="P60" i="12"/>
  <c r="P71" i="12"/>
  <c r="P50" i="12"/>
  <c r="P41" i="12"/>
  <c r="P23" i="12"/>
  <c r="P55" i="12"/>
  <c r="P70" i="12"/>
  <c r="P14" i="12"/>
  <c r="P52" i="12"/>
  <c r="P9" i="12"/>
  <c r="P59" i="12"/>
  <c r="P54" i="12"/>
  <c r="P58" i="12"/>
  <c r="P26" i="12"/>
  <c r="P56" i="12"/>
  <c r="P3" i="12"/>
  <c r="P46" i="12"/>
  <c r="P69" i="12"/>
  <c r="P13" i="12"/>
  <c r="P28" i="12"/>
  <c r="P40" i="12"/>
  <c r="P30" i="12"/>
  <c r="P17" i="12"/>
  <c r="P67" i="12"/>
  <c r="P53" i="12"/>
  <c r="P65" i="12"/>
  <c r="P62" i="12"/>
  <c r="P6" i="12"/>
  <c r="P21" i="12"/>
  <c r="P11" i="12"/>
  <c r="P47" i="12"/>
  <c r="P18" i="12"/>
  <c r="P37" i="12"/>
  <c r="P32" i="12"/>
  <c r="P48" i="12"/>
  <c r="P63" i="12"/>
  <c r="P7" i="12"/>
  <c r="P22" i="12"/>
  <c r="P10" i="12"/>
  <c r="P29" i="12"/>
  <c r="P16" i="12"/>
  <c r="P45" i="12"/>
  <c r="P49" i="12"/>
  <c r="P39" i="12"/>
  <c r="P51" i="12"/>
  <c r="P19" i="12"/>
  <c r="P64" i="12"/>
  <c r="P15" i="12"/>
  <c r="P12" i="12"/>
  <c r="P43" i="12"/>
  <c r="P24" i="12"/>
  <c r="P34" i="12"/>
  <c r="P68" i="12"/>
  <c r="P66" i="12"/>
  <c r="P27" i="12"/>
  <c r="P38" i="12"/>
  <c r="P36" i="12"/>
  <c r="P57" i="12"/>
  <c r="P8" i="12"/>
  <c r="P42" i="12"/>
  <c r="P25" i="12"/>
  <c r="P44" i="12"/>
  <c r="P33" i="12"/>
  <c r="P61" i="12"/>
  <c r="P4" i="12"/>
  <c r="J46" i="11"/>
  <c r="J51" i="11"/>
  <c r="J64" i="11"/>
  <c r="J60" i="11"/>
  <c r="J25" i="11"/>
  <c r="J69" i="11"/>
  <c r="J52" i="11"/>
  <c r="J35" i="11"/>
  <c r="J48" i="11"/>
  <c r="J40" i="11"/>
  <c r="J23" i="11"/>
  <c r="J66" i="11"/>
  <c r="J70" i="11"/>
  <c r="J75" i="11"/>
  <c r="O70" i="11" s="1"/>
  <c r="J71" i="11"/>
  <c r="J62" i="11"/>
  <c r="J67" i="11"/>
  <c r="J50" i="11"/>
  <c r="J63" i="11"/>
  <c r="J27" i="11"/>
  <c r="J68" i="11"/>
  <c r="J34" i="11"/>
  <c r="J47" i="11"/>
  <c r="J26" i="11"/>
  <c r="J38" i="11"/>
  <c r="J43" i="11"/>
  <c r="J73" i="11"/>
  <c r="O68" i="11" s="1"/>
  <c r="J56" i="11"/>
  <c r="J39" i="11"/>
  <c r="J65" i="11"/>
  <c r="J24" i="11"/>
  <c r="J61" i="11"/>
  <c r="J44" i="11"/>
  <c r="J74" i="11"/>
  <c r="O69" i="11" s="1"/>
  <c r="J57" i="11"/>
  <c r="J53" i="11"/>
  <c r="J36" i="11"/>
  <c r="J49" i="11"/>
  <c r="J32" i="11"/>
  <c r="J22" i="11"/>
  <c r="J45" i="11"/>
  <c r="J58" i="11"/>
  <c r="J41" i="11"/>
  <c r="J21" i="11"/>
  <c r="J37" i="11"/>
  <c r="J33" i="11"/>
  <c r="J28" i="11"/>
  <c r="J54" i="11"/>
  <c r="J76" i="11"/>
  <c r="O71" i="11" s="1"/>
  <c r="J59" i="11"/>
  <c r="J42" i="11"/>
  <c r="J72" i="11"/>
  <c r="J55" i="11"/>
  <c r="J44" i="10"/>
  <c r="J57" i="10"/>
  <c r="J36" i="10"/>
  <c r="J49" i="10"/>
  <c r="J45" i="10"/>
  <c r="J75" i="10"/>
  <c r="J71" i="10"/>
  <c r="J24" i="10"/>
  <c r="J61" i="10"/>
  <c r="J74" i="10"/>
  <c r="J40" i="10"/>
  <c r="J23" i="10"/>
  <c r="J53" i="10"/>
  <c r="J66" i="10"/>
  <c r="J32" i="10"/>
  <c r="J22" i="10"/>
  <c r="J70" i="10"/>
  <c r="J58" i="10"/>
  <c r="J41" i="10"/>
  <c r="J21" i="10"/>
  <c r="J62" i="10"/>
  <c r="J37" i="10"/>
  <c r="J67" i="10"/>
  <c r="J50" i="10"/>
  <c r="J33" i="10"/>
  <c r="J63" i="10"/>
  <c r="J28" i="10"/>
  <c r="J54" i="10"/>
  <c r="J76" i="10"/>
  <c r="O71" i="10" s="1"/>
  <c r="J59" i="10"/>
  <c r="J42" i="10"/>
  <c r="J72" i="10"/>
  <c r="O67" i="10" s="1"/>
  <c r="J55" i="10"/>
  <c r="J27" i="10"/>
  <c r="J46" i="10"/>
  <c r="J68" i="10"/>
  <c r="J51" i="10"/>
  <c r="J34" i="10"/>
  <c r="J64" i="10"/>
  <c r="J47" i="10"/>
  <c r="J26" i="10"/>
  <c r="J38" i="10"/>
  <c r="J60" i="10"/>
  <c r="J43" i="10"/>
  <c r="J73" i="10"/>
  <c r="O68" i="10" s="1"/>
  <c r="J56" i="10"/>
  <c r="J39" i="10"/>
  <c r="J25" i="10"/>
  <c r="J69" i="10"/>
  <c r="J52" i="10"/>
  <c r="J35" i="10"/>
  <c r="J65" i="10"/>
  <c r="J48" i="10"/>
  <c r="J22" i="2"/>
  <c r="J75" i="2"/>
  <c r="O70" i="2" s="1"/>
  <c r="J21" i="2"/>
  <c r="J76" i="2"/>
  <c r="J26" i="2"/>
  <c r="J28" i="2"/>
  <c r="J72" i="2"/>
  <c r="O67" i="2" s="1"/>
  <c r="J27" i="2"/>
  <c r="J73" i="2"/>
  <c r="J25" i="2"/>
  <c r="J24" i="2"/>
  <c r="J74" i="2"/>
  <c r="O69" i="2" s="1"/>
  <c r="J23" i="2"/>
  <c r="B26" i="11"/>
  <c r="B25" i="11"/>
  <c r="B22" i="11"/>
  <c r="B27" i="11"/>
  <c r="B24" i="11"/>
  <c r="B23" i="11"/>
  <c r="B27" i="2"/>
  <c r="B22" i="10"/>
  <c r="B25" i="10"/>
  <c r="B24" i="10"/>
  <c r="B21" i="10"/>
  <c r="B28" i="10"/>
  <c r="B27" i="10"/>
  <c r="B26" i="10"/>
  <c r="B23" i="10"/>
  <c r="F17" i="11"/>
  <c r="E17" i="11"/>
  <c r="C14" i="11"/>
  <c r="D14" i="11" s="1"/>
  <c r="C10" i="11"/>
  <c r="M17" i="11"/>
  <c r="C13" i="11"/>
  <c r="M13" i="11" s="1"/>
  <c r="C9" i="11"/>
  <c r="D9" i="11" s="1"/>
  <c r="C5" i="11"/>
  <c r="D5" i="11" s="1"/>
  <c r="C12" i="11"/>
  <c r="F4" i="11"/>
  <c r="E4" i="11"/>
  <c r="C18" i="11"/>
  <c r="D18" i="11" s="1"/>
  <c r="C6" i="11"/>
  <c r="D6" i="11" s="1"/>
  <c r="M4" i="11"/>
  <c r="C8" i="11"/>
  <c r="F11" i="11"/>
  <c r="E11" i="11"/>
  <c r="C7" i="11"/>
  <c r="M7" i="11" s="1"/>
  <c r="E3" i="11"/>
  <c r="F3" i="11"/>
  <c r="E17" i="2"/>
  <c r="F17" i="2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F17" i="10"/>
  <c r="E17" i="10"/>
  <c r="C18" i="10"/>
  <c r="D18" i="10" s="1"/>
  <c r="M17" i="10"/>
  <c r="C13" i="10"/>
  <c r="C12" i="10"/>
  <c r="M12" i="10" s="1"/>
  <c r="C8" i="10"/>
  <c r="D8" i="10" s="1"/>
  <c r="C4" i="10"/>
  <c r="C11" i="10"/>
  <c r="C14" i="10"/>
  <c r="C6" i="10"/>
  <c r="C10" i="10"/>
  <c r="D10" i="10" s="1"/>
  <c r="C9" i="10"/>
  <c r="D9" i="10" s="1"/>
  <c r="C5" i="10"/>
  <c r="D5" i="10" s="1"/>
  <c r="C7" i="10"/>
  <c r="C3" i="10"/>
  <c r="D3" i="10" s="1"/>
  <c r="M23" i="11"/>
  <c r="N55" i="11"/>
  <c r="N68" i="11"/>
  <c r="M25" i="11"/>
  <c r="N47" i="11"/>
  <c r="N43" i="11"/>
  <c r="M21" i="11"/>
  <c r="N70" i="11"/>
  <c r="N36" i="11"/>
  <c r="N66" i="11"/>
  <c r="N29" i="11"/>
  <c r="N33" i="11"/>
  <c r="N51" i="11"/>
  <c r="M20" i="11"/>
  <c r="N56" i="11"/>
  <c r="N39" i="11"/>
  <c r="N52" i="11"/>
  <c r="N35" i="11"/>
  <c r="N61" i="11"/>
  <c r="N65" i="11"/>
  <c r="N41" i="11"/>
  <c r="N63" i="11"/>
  <c r="N46" i="11"/>
  <c r="N59" i="11"/>
  <c r="N42" i="11"/>
  <c r="N38" i="11"/>
  <c r="N34" i="11"/>
  <c r="M19" i="11"/>
  <c r="N64" i="11"/>
  <c r="N30" i="11"/>
  <c r="N60" i="11"/>
  <c r="N69" i="11"/>
  <c r="N48" i="11"/>
  <c r="N31" i="11"/>
  <c r="N44" i="11"/>
  <c r="N27" i="11"/>
  <c r="M22" i="11"/>
  <c r="N40" i="11"/>
  <c r="N53" i="11"/>
  <c r="M26" i="11"/>
  <c r="N57" i="11"/>
  <c r="N32" i="11"/>
  <c r="N62" i="11"/>
  <c r="N45" i="11"/>
  <c r="N28" i="11"/>
  <c r="N58" i="11"/>
  <c r="M24" i="11"/>
  <c r="N49" i="11"/>
  <c r="N71" i="11"/>
  <c r="N54" i="11"/>
  <c r="N37" i="11"/>
  <c r="N67" i="11"/>
  <c r="N50" i="11"/>
  <c r="M3" i="11"/>
  <c r="M25" i="2"/>
  <c r="M26" i="2"/>
  <c r="N65" i="10"/>
  <c r="N40" i="10"/>
  <c r="N70" i="10"/>
  <c r="N53" i="10"/>
  <c r="N36" i="10"/>
  <c r="N66" i="10"/>
  <c r="M21" i="10"/>
  <c r="N57" i="10"/>
  <c r="N32" i="10"/>
  <c r="N62" i="10"/>
  <c r="N45" i="10"/>
  <c r="N28" i="10"/>
  <c r="N58" i="10"/>
  <c r="N41" i="10"/>
  <c r="N63" i="10"/>
  <c r="N46" i="10"/>
  <c r="N29" i="10"/>
  <c r="N59" i="10"/>
  <c r="N42" i="10"/>
  <c r="M26" i="10"/>
  <c r="N33" i="10"/>
  <c r="N55" i="10"/>
  <c r="N38" i="10"/>
  <c r="N68" i="10"/>
  <c r="N51" i="10"/>
  <c r="N34" i="10"/>
  <c r="M19" i="10"/>
  <c r="M23" i="10"/>
  <c r="N64" i="10"/>
  <c r="N47" i="10"/>
  <c r="N30" i="10"/>
  <c r="N60" i="10"/>
  <c r="N43" i="10"/>
  <c r="M22" i="10"/>
  <c r="M24" i="10"/>
  <c r="N56" i="10"/>
  <c r="N39" i="10"/>
  <c r="N69" i="10"/>
  <c r="N52" i="10"/>
  <c r="N35" i="10"/>
  <c r="N49" i="10"/>
  <c r="N71" i="10"/>
  <c r="N54" i="10"/>
  <c r="N37" i="10"/>
  <c r="N67" i="10"/>
  <c r="N50" i="10"/>
  <c r="M20" i="10"/>
  <c r="M25" i="10"/>
  <c r="N48" i="10"/>
  <c r="N31" i="10"/>
  <c r="N61" i="10"/>
  <c r="N44" i="10"/>
  <c r="N27" i="10"/>
  <c r="O67" i="11"/>
  <c r="D3" i="11"/>
  <c r="D17" i="11"/>
  <c r="D11" i="11"/>
  <c r="D4" i="11"/>
  <c r="O71" i="2"/>
  <c r="O68" i="2"/>
  <c r="O70" i="10"/>
  <c r="O69" i="10"/>
  <c r="D17" i="10"/>
  <c r="C16" i="11"/>
  <c r="C16" i="10"/>
  <c r="I3" i="11"/>
  <c r="I11" i="11"/>
  <c r="C15" i="10"/>
  <c r="I4" i="11"/>
  <c r="I17" i="11"/>
  <c r="I18" i="2"/>
  <c r="C15" i="11"/>
  <c r="I17" i="10"/>
  <c r="I18" i="11"/>
  <c r="D15" i="11" l="1"/>
  <c r="M15" i="10"/>
  <c r="D16" i="11"/>
  <c r="M16" i="10"/>
  <c r="D12" i="10"/>
  <c r="D13" i="11"/>
  <c r="M10" i="10"/>
  <c r="M3" i="10"/>
  <c r="D15" i="10"/>
  <c r="F12" i="11"/>
  <c r="E12" i="11"/>
  <c r="F10" i="11"/>
  <c r="E10" i="11"/>
  <c r="F5" i="11"/>
  <c r="E5" i="11"/>
  <c r="F14" i="11"/>
  <c r="E14" i="11"/>
  <c r="F7" i="11"/>
  <c r="E7" i="11"/>
  <c r="D7" i="11"/>
  <c r="E16" i="11"/>
  <c r="F16" i="11"/>
  <c r="M16" i="11"/>
  <c r="M12" i="11"/>
  <c r="F6" i="11"/>
  <c r="E6" i="11"/>
  <c r="M10" i="11"/>
  <c r="F15" i="11"/>
  <c r="E15" i="11"/>
  <c r="M6" i="11"/>
  <c r="M5" i="11"/>
  <c r="M15" i="11"/>
  <c r="E18" i="11"/>
  <c r="F18" i="11"/>
  <c r="F9" i="11"/>
  <c r="E9" i="11"/>
  <c r="M14" i="11"/>
  <c r="D12" i="11"/>
  <c r="F8" i="11"/>
  <c r="E8" i="11"/>
  <c r="M18" i="11"/>
  <c r="M9" i="11"/>
  <c r="D8" i="11"/>
  <c r="D10" i="11"/>
  <c r="M8" i="11"/>
  <c r="E13" i="11"/>
  <c r="F13" i="11"/>
  <c r="E18" i="2"/>
  <c r="F18" i="2"/>
  <c r="D18" i="2"/>
  <c r="M18" i="2"/>
  <c r="F7" i="10"/>
  <c r="E7" i="10"/>
  <c r="F13" i="10"/>
  <c r="E13" i="10"/>
  <c r="F4" i="10"/>
  <c r="E4" i="10"/>
  <c r="D4" i="10"/>
  <c r="F6" i="10"/>
  <c r="E6" i="10"/>
  <c r="F16" i="10"/>
  <c r="E16" i="10"/>
  <c r="D6" i="10"/>
  <c r="M7" i="10"/>
  <c r="M6" i="10"/>
  <c r="M13" i="10"/>
  <c r="D13" i="10"/>
  <c r="F5" i="10"/>
  <c r="E5" i="10"/>
  <c r="F14" i="10"/>
  <c r="E14" i="10"/>
  <c r="D16" i="10"/>
  <c r="M5" i="10"/>
  <c r="M14" i="10"/>
  <c r="M4" i="10"/>
  <c r="F18" i="10"/>
  <c r="E18" i="10"/>
  <c r="F9" i="10"/>
  <c r="E9" i="10"/>
  <c r="F11" i="10"/>
  <c r="E11" i="10"/>
  <c r="F8" i="10"/>
  <c r="E8" i="10"/>
  <c r="M18" i="10"/>
  <c r="D11" i="10"/>
  <c r="M9" i="10"/>
  <c r="M11" i="10"/>
  <c r="M8" i="10"/>
  <c r="D7" i="10"/>
  <c r="D14" i="10"/>
  <c r="F3" i="10"/>
  <c r="E3" i="10"/>
  <c r="F10" i="10"/>
  <c r="E10" i="10"/>
  <c r="F15" i="10"/>
  <c r="E15" i="10"/>
  <c r="F12" i="10"/>
  <c r="E12" i="10"/>
  <c r="N24" i="10"/>
  <c r="O24" i="10"/>
  <c r="N21" i="11"/>
  <c r="O21" i="11"/>
  <c r="O19" i="11"/>
  <c r="N19" i="11"/>
  <c r="N26" i="11"/>
  <c r="O26" i="11"/>
  <c r="O19" i="10"/>
  <c r="N19" i="10"/>
  <c r="O25" i="2"/>
  <c r="N25" i="2"/>
  <c r="O21" i="10"/>
  <c r="N21" i="10"/>
  <c r="N23" i="10"/>
  <c r="O23" i="10"/>
  <c r="N25" i="11"/>
  <c r="O25" i="11"/>
  <c r="O26" i="2"/>
  <c r="N26" i="2"/>
  <c r="N24" i="11"/>
  <c r="O24" i="11"/>
  <c r="N26" i="10"/>
  <c r="O26" i="10"/>
  <c r="O22" i="10"/>
  <c r="N22" i="10"/>
  <c r="N23" i="11"/>
  <c r="O23" i="11"/>
  <c r="O22" i="11"/>
  <c r="N22" i="11"/>
  <c r="O25" i="10"/>
  <c r="N25" i="10"/>
  <c r="N20" i="10"/>
  <c r="O20" i="10"/>
  <c r="O20" i="11"/>
  <c r="N20" i="11"/>
  <c r="N3" i="11"/>
  <c r="N18" i="2"/>
  <c r="N17" i="10"/>
  <c r="N11" i="11"/>
  <c r="N4" i="11"/>
  <c r="N18" i="11"/>
  <c r="N17" i="11"/>
  <c r="O3" i="11"/>
  <c r="O16" i="11"/>
  <c r="O14" i="11"/>
  <c r="O13" i="11"/>
  <c r="O8" i="11"/>
  <c r="O12" i="11"/>
  <c r="O11" i="11"/>
  <c r="O10" i="11"/>
  <c r="O15" i="11"/>
  <c r="O4" i="11"/>
  <c r="O18" i="11"/>
  <c r="O17" i="11"/>
  <c r="O9" i="11"/>
  <c r="O5" i="11"/>
  <c r="O7" i="11"/>
  <c r="O6" i="11"/>
  <c r="O14" i="10"/>
  <c r="O9" i="10"/>
  <c r="O12" i="10"/>
  <c r="O3" i="10"/>
  <c r="O13" i="10"/>
  <c r="O7" i="10"/>
  <c r="O10" i="10"/>
  <c r="O17" i="10"/>
  <c r="O8" i="10"/>
  <c r="O15" i="10"/>
  <c r="O18" i="10"/>
  <c r="O6" i="10"/>
  <c r="O5" i="10"/>
  <c r="O4" i="10"/>
  <c r="O11" i="10"/>
  <c r="O16" i="10"/>
  <c r="O18" i="2"/>
  <c r="I12" i="11"/>
  <c r="I7" i="11"/>
  <c r="I10" i="10"/>
  <c r="I9" i="10"/>
  <c r="I16" i="10"/>
  <c r="I4" i="10"/>
  <c r="I8" i="10"/>
  <c r="I13" i="10"/>
  <c r="I12" i="10"/>
  <c r="I18" i="10"/>
  <c r="I3" i="10"/>
  <c r="I5" i="11"/>
  <c r="I14" i="10"/>
  <c r="I15" i="11"/>
  <c r="I11" i="10"/>
  <c r="I6" i="11"/>
  <c r="I6" i="10"/>
  <c r="I7" i="10"/>
  <c r="I16" i="11"/>
  <c r="I5" i="10"/>
  <c r="I8" i="11"/>
  <c r="I10" i="11"/>
  <c r="I9" i="11"/>
  <c r="I13" i="11"/>
  <c r="I14" i="11"/>
  <c r="I15" i="10"/>
  <c r="N18" i="10" l="1"/>
  <c r="N14" i="11"/>
  <c r="N5" i="11"/>
  <c r="N13" i="11"/>
  <c r="N12" i="11"/>
  <c r="N15" i="11"/>
  <c r="N16" i="11"/>
  <c r="N10" i="11"/>
  <c r="N9" i="11"/>
  <c r="N7" i="11"/>
  <c r="N8" i="11"/>
  <c r="N6" i="11"/>
  <c r="N8" i="10"/>
  <c r="N4" i="10"/>
  <c r="N13" i="10"/>
  <c r="N12" i="10"/>
  <c r="N14" i="10"/>
  <c r="N7" i="10"/>
  <c r="N15" i="10"/>
  <c r="N16" i="10"/>
  <c r="N9" i="10"/>
  <c r="N6" i="10"/>
  <c r="N10" i="10"/>
  <c r="N11" i="10"/>
  <c r="N5" i="10"/>
  <c r="N3" i="10"/>
  <c r="O41" i="11"/>
  <c r="O63" i="11"/>
  <c r="O27" i="11"/>
  <c r="O54" i="11"/>
  <c r="O34" i="11"/>
  <c r="O42" i="11"/>
  <c r="O33" i="11"/>
  <c r="O55" i="11"/>
  <c r="O62" i="11"/>
  <c r="O29" i="11"/>
  <c r="O28" i="11"/>
  <c r="O48" i="11"/>
  <c r="O47" i="11"/>
  <c r="O51" i="11"/>
  <c r="O60" i="11"/>
  <c r="O58" i="11"/>
  <c r="O32" i="11"/>
  <c r="O39" i="11"/>
  <c r="O37" i="11"/>
  <c r="O46" i="11"/>
  <c r="O44" i="11"/>
  <c r="O64" i="11"/>
  <c r="O31" i="11"/>
  <c r="O61" i="11"/>
  <c r="O35" i="11"/>
  <c r="O65" i="11"/>
  <c r="O56" i="11"/>
  <c r="O66" i="11"/>
  <c r="O50" i="11"/>
  <c r="O43" i="11"/>
  <c r="O57" i="11"/>
  <c r="O40" i="11"/>
  <c r="O52" i="11"/>
  <c r="O36" i="11"/>
  <c r="O59" i="11"/>
  <c r="O49" i="11"/>
  <c r="O38" i="11"/>
  <c r="O30" i="11"/>
  <c r="O45" i="11"/>
  <c r="O53" i="11"/>
  <c r="O65" i="10"/>
  <c r="O64" i="10"/>
  <c r="O42" i="10"/>
  <c r="O60" i="10"/>
  <c r="O27" i="10"/>
  <c r="O34" i="10"/>
  <c r="O57" i="10"/>
  <c r="O48" i="10"/>
  <c r="O30" i="10"/>
  <c r="O50" i="10"/>
  <c r="O55" i="10"/>
  <c r="O49" i="10"/>
  <c r="O63" i="10"/>
  <c r="O38" i="10"/>
  <c r="O44" i="10"/>
  <c r="O54" i="10"/>
  <c r="O41" i="10"/>
  <c r="O53" i="10"/>
  <c r="O61" i="10"/>
  <c r="O28" i="10"/>
  <c r="O46" i="10"/>
  <c r="O33" i="10"/>
  <c r="O43" i="10"/>
  <c r="O51" i="10"/>
  <c r="O36" i="10"/>
  <c r="O45" i="10"/>
  <c r="O32" i="10"/>
  <c r="O52" i="10"/>
  <c r="O47" i="10"/>
  <c r="O58" i="10"/>
  <c r="O56" i="10"/>
  <c r="O31" i="10"/>
  <c r="O39" i="10"/>
  <c r="O59" i="10"/>
  <c r="O66" i="10"/>
  <c r="O40" i="10"/>
  <c r="O62" i="10"/>
  <c r="O29" i="10"/>
  <c r="O37" i="10"/>
  <c r="O35" i="10"/>
  <c r="P3" i="11" a="1"/>
  <c r="R3" i="11" a="1"/>
  <c r="R3" i="10" a="1"/>
  <c r="Q3" i="11" a="1"/>
  <c r="Q3" i="10" a="1"/>
  <c r="P3" i="10" a="1"/>
  <c r="R71" i="10" l="1"/>
  <c r="R9" i="10"/>
  <c r="R14" i="10"/>
  <c r="R31" i="10"/>
  <c r="R70" i="10"/>
  <c r="R58" i="10"/>
  <c r="R12" i="10"/>
  <c r="R64" i="10"/>
  <c r="R38" i="10"/>
  <c r="R49" i="10"/>
  <c r="R22" i="10"/>
  <c r="R37" i="10"/>
  <c r="R40" i="10"/>
  <c r="R53" i="10"/>
  <c r="R57" i="10"/>
  <c r="R26" i="10"/>
  <c r="R18" i="10"/>
  <c r="R4" i="10"/>
  <c r="R30" i="10"/>
  <c r="R45" i="10"/>
  <c r="R67" i="10"/>
  <c r="R63" i="10"/>
  <c r="R66" i="10"/>
  <c r="R54" i="10"/>
  <c r="R32" i="10"/>
  <c r="R20" i="10"/>
  <c r="R13" i="10"/>
  <c r="R16" i="10"/>
  <c r="R23" i="10"/>
  <c r="R34" i="10"/>
  <c r="R8" i="10"/>
  <c r="R17" i="10"/>
  <c r="R56" i="10"/>
  <c r="R39" i="10"/>
  <c r="R19" i="10"/>
  <c r="R10" i="10"/>
  <c r="R68" i="10"/>
  <c r="R25" i="10"/>
  <c r="R50" i="10"/>
  <c r="R47" i="10"/>
  <c r="R11" i="10"/>
  <c r="R60" i="10"/>
  <c r="R69" i="10"/>
  <c r="R62" i="10"/>
  <c r="R6" i="10"/>
  <c r="R21" i="10"/>
  <c r="R55" i="10"/>
  <c r="R52" i="10"/>
  <c r="R43" i="10"/>
  <c r="R35" i="10"/>
  <c r="R65" i="10"/>
  <c r="R41" i="10"/>
  <c r="R3" i="10"/>
  <c r="R59" i="10"/>
  <c r="R7" i="10"/>
  <c r="R33" i="10"/>
  <c r="R15" i="10"/>
  <c r="R51" i="10"/>
  <c r="R24" i="10"/>
  <c r="R5" i="10"/>
  <c r="R36" i="10"/>
  <c r="R42" i="10"/>
  <c r="R29" i="10"/>
  <c r="R28" i="10"/>
  <c r="R44" i="10"/>
  <c r="R61" i="10"/>
  <c r="R27" i="10"/>
  <c r="R48" i="10"/>
  <c r="R46" i="10"/>
  <c r="Q70" i="10"/>
  <c r="Q66" i="10"/>
  <c r="Q9" i="10"/>
  <c r="Q7" i="10"/>
  <c r="Q39" i="10"/>
  <c r="Q40" i="10"/>
  <c r="Q22" i="10"/>
  <c r="Q71" i="10"/>
  <c r="Q45" i="10"/>
  <c r="Q57" i="10"/>
  <c r="Q6" i="10"/>
  <c r="Q21" i="10"/>
  <c r="Q64" i="10"/>
  <c r="Q24" i="10"/>
  <c r="Q69" i="10"/>
  <c r="Q5" i="10"/>
  <c r="Q13" i="10"/>
  <c r="Q30" i="10"/>
  <c r="Q17" i="10"/>
  <c r="Q46" i="10"/>
  <c r="Q41" i="10"/>
  <c r="Q49" i="10"/>
  <c r="Q59" i="10"/>
  <c r="Q27" i="10"/>
  <c r="Q36" i="10"/>
  <c r="Q20" i="10"/>
  <c r="Q14" i="10"/>
  <c r="Q65" i="10"/>
  <c r="Q29" i="10"/>
  <c r="Q52" i="10"/>
  <c r="Q37" i="10"/>
  <c r="Q12" i="10"/>
  <c r="Q25" i="10"/>
  <c r="Q42" i="10"/>
  <c r="Q15" i="10"/>
  <c r="Q18" i="10"/>
  <c r="Q43" i="10"/>
  <c r="Q34" i="10"/>
  <c r="Q47" i="10"/>
  <c r="Q16" i="10"/>
  <c r="Q62" i="10"/>
  <c r="Q26" i="10"/>
  <c r="Q3" i="10"/>
  <c r="Q56" i="10"/>
  <c r="Q44" i="10"/>
  <c r="Q32" i="10"/>
  <c r="Q63" i="10"/>
  <c r="Q51" i="10"/>
  <c r="Q55" i="10"/>
  <c r="Q10" i="10"/>
  <c r="Q33" i="10"/>
  <c r="Q19" i="10"/>
  <c r="Q61" i="10"/>
  <c r="Q68" i="10"/>
  <c r="Q8" i="10"/>
  <c r="Q4" i="10"/>
  <c r="Q31" i="10"/>
  <c r="Q35" i="10"/>
  <c r="Q60" i="10"/>
  <c r="Q23" i="10"/>
  <c r="Q50" i="10"/>
  <c r="Q48" i="10"/>
  <c r="Q58" i="10"/>
  <c r="Q53" i="10"/>
  <c r="Q11" i="10"/>
  <c r="Q67" i="10"/>
  <c r="Q38" i="10"/>
  <c r="Q54" i="10"/>
  <c r="Q28" i="10"/>
  <c r="P50" i="10"/>
  <c r="P19" i="10"/>
  <c r="P26" i="10"/>
  <c r="P57" i="10"/>
  <c r="P4" i="10"/>
  <c r="P16" i="10"/>
  <c r="P66" i="10"/>
  <c r="P31" i="10"/>
  <c r="P55" i="10"/>
  <c r="P48" i="10"/>
  <c r="P42" i="10"/>
  <c r="P65" i="10"/>
  <c r="P15" i="10"/>
  <c r="P27" i="10"/>
  <c r="P67" i="10"/>
  <c r="P25" i="10"/>
  <c r="P34" i="10"/>
  <c r="P56" i="10"/>
  <c r="P41" i="10"/>
  <c r="P32" i="10"/>
  <c r="P54" i="10"/>
  <c r="P38" i="10"/>
  <c r="P71" i="10"/>
  <c r="P60" i="10"/>
  <c r="P39" i="10"/>
  <c r="P9" i="10"/>
  <c r="P68" i="10"/>
  <c r="P43" i="10"/>
  <c r="P33" i="10"/>
  <c r="P63" i="10"/>
  <c r="P7" i="10"/>
  <c r="P22" i="10"/>
  <c r="P70" i="10"/>
  <c r="P59" i="10"/>
  <c r="P13" i="10"/>
  <c r="P23" i="10"/>
  <c r="P51" i="10"/>
  <c r="P30" i="10"/>
  <c r="P52" i="10"/>
  <c r="P58" i="10"/>
  <c r="P45" i="10"/>
  <c r="P36" i="10"/>
  <c r="P12" i="10"/>
  <c r="P17" i="10"/>
  <c r="P5" i="10"/>
  <c r="P18" i="10"/>
  <c r="P21" i="10"/>
  <c r="P3" i="10"/>
  <c r="P29" i="10"/>
  <c r="P49" i="10"/>
  <c r="P64" i="10"/>
  <c r="P8" i="10"/>
  <c r="P44" i="10"/>
  <c r="P46" i="10"/>
  <c r="P35" i="10"/>
  <c r="P47" i="10"/>
  <c r="P69" i="10"/>
  <c r="P10" i="10"/>
  <c r="P14" i="10"/>
  <c r="P24" i="10"/>
  <c r="P40" i="10"/>
  <c r="P37" i="10"/>
  <c r="P62" i="10"/>
  <c r="P53" i="10"/>
  <c r="P61" i="10"/>
  <c r="P20" i="10"/>
  <c r="P11" i="10"/>
  <c r="P28" i="10"/>
  <c r="P6" i="10"/>
  <c r="Q65" i="11"/>
  <c r="Q53" i="11"/>
  <c r="Q71" i="11"/>
  <c r="Q63" i="11"/>
  <c r="Q49" i="11"/>
  <c r="Q50" i="11"/>
  <c r="Q17" i="11"/>
  <c r="Q18" i="11"/>
  <c r="Q25" i="11"/>
  <c r="Q41" i="11"/>
  <c r="Q45" i="11"/>
  <c r="Q22" i="11"/>
  <c r="Q61" i="11"/>
  <c r="Q37" i="11"/>
  <c r="Q20" i="11"/>
  <c r="Q59" i="11"/>
  <c r="Q5" i="11"/>
  <c r="Q40" i="11"/>
  <c r="Q21" i="11"/>
  <c r="Q8" i="11"/>
  <c r="Q47" i="11"/>
  <c r="Q3" i="11"/>
  <c r="Q56" i="11"/>
  <c r="Q4" i="11"/>
  <c r="Q31" i="11"/>
  <c r="Q16" i="11"/>
  <c r="Q51" i="11"/>
  <c r="Q11" i="11"/>
  <c r="Q23" i="11"/>
  <c r="Q48" i="11"/>
  <c r="Q15" i="11"/>
  <c r="Q24" i="11"/>
  <c r="Q55" i="11"/>
  <c r="Q64" i="11"/>
  <c r="Q67" i="11"/>
  <c r="Q28" i="11"/>
  <c r="Q57" i="11"/>
  <c r="Q58" i="11"/>
  <c r="Q36" i="11"/>
  <c r="Q68" i="11"/>
  <c r="Q38" i="11"/>
  <c r="Q32" i="11"/>
  <c r="Q46" i="11"/>
  <c r="Q66" i="11"/>
  <c r="Q14" i="11"/>
  <c r="Q69" i="11"/>
  <c r="Q7" i="11"/>
  <c r="Q27" i="11"/>
  <c r="Q52" i="11"/>
  <c r="Q9" i="11"/>
  <c r="Q30" i="11"/>
  <c r="Q54" i="11"/>
  <c r="Q70" i="11"/>
  <c r="Q6" i="11"/>
  <c r="Q26" i="11"/>
  <c r="Q13" i="11"/>
  <c r="Q35" i="11"/>
  <c r="Q60" i="11"/>
  <c r="Q44" i="11"/>
  <c r="Q42" i="11"/>
  <c r="Q43" i="11"/>
  <c r="Q29" i="11"/>
  <c r="Q10" i="11"/>
  <c r="Q39" i="11"/>
  <c r="Q19" i="11"/>
  <c r="Q12" i="11"/>
  <c r="Q34" i="11"/>
  <c r="Q33" i="11"/>
  <c r="Q62" i="11"/>
  <c r="P17" i="11"/>
  <c r="P65" i="11"/>
  <c r="P26" i="11"/>
  <c r="P38" i="11"/>
  <c r="P69" i="11"/>
  <c r="P20" i="11"/>
  <c r="P34" i="11"/>
  <c r="P41" i="11"/>
  <c r="P25" i="11"/>
  <c r="P51" i="11"/>
  <c r="P62" i="11"/>
  <c r="P52" i="11"/>
  <c r="P19" i="11"/>
  <c r="P22" i="11"/>
  <c r="P13" i="11"/>
  <c r="P71" i="11"/>
  <c r="P7" i="11"/>
  <c r="P36" i="11"/>
  <c r="P15" i="11"/>
  <c r="P39" i="11"/>
  <c r="P60" i="11"/>
  <c r="P44" i="11"/>
  <c r="P58" i="11"/>
  <c r="P14" i="11"/>
  <c r="P6" i="11"/>
  <c r="P37" i="11"/>
  <c r="P5" i="11"/>
  <c r="P68" i="11"/>
  <c r="P18" i="11"/>
  <c r="P4" i="11"/>
  <c r="P67" i="11"/>
  <c r="P47" i="11"/>
  <c r="P48" i="11"/>
  <c r="P40" i="11"/>
  <c r="P46" i="11"/>
  <c r="P23" i="11"/>
  <c r="P27" i="11"/>
  <c r="P10" i="11"/>
  <c r="P24" i="11"/>
  <c r="P32" i="11"/>
  <c r="P21" i="11"/>
  <c r="P49" i="11"/>
  <c r="P43" i="11"/>
  <c r="P45" i="11"/>
  <c r="P57" i="11"/>
  <c r="P8" i="11"/>
  <c r="P16" i="11"/>
  <c r="P35" i="11"/>
  <c r="P59" i="11"/>
  <c r="P53" i="11"/>
  <c r="P3" i="11"/>
  <c r="P50" i="11"/>
  <c r="P12" i="11"/>
  <c r="P70" i="11"/>
  <c r="P11" i="11"/>
  <c r="P56" i="11"/>
  <c r="P42" i="11"/>
  <c r="P63" i="11"/>
  <c r="P30" i="11"/>
  <c r="P54" i="11"/>
  <c r="P66" i="11"/>
  <c r="P29" i="11"/>
  <c r="P28" i="11"/>
  <c r="P9" i="11"/>
  <c r="P61" i="11"/>
  <c r="P55" i="11"/>
  <c r="P33" i="11"/>
  <c r="P64" i="11"/>
  <c r="P31" i="11"/>
  <c r="R24" i="11"/>
  <c r="R58" i="11"/>
  <c r="R35" i="11"/>
  <c r="R14" i="11"/>
  <c r="R55" i="11"/>
  <c r="R18" i="11"/>
  <c r="R59" i="11"/>
  <c r="R47" i="11"/>
  <c r="R43" i="11"/>
  <c r="R11" i="11"/>
  <c r="R23" i="11"/>
  <c r="R50" i="11"/>
  <c r="R56" i="11"/>
  <c r="R27" i="11"/>
  <c r="R26" i="11"/>
  <c r="R57" i="11"/>
  <c r="R62" i="11"/>
  <c r="R63" i="11"/>
  <c r="R33" i="11"/>
  <c r="R22" i="11"/>
  <c r="R4" i="11"/>
  <c r="R41" i="11"/>
  <c r="R12" i="11"/>
  <c r="R10" i="11"/>
  <c r="R9" i="11"/>
  <c r="R39" i="11"/>
  <c r="R51" i="11"/>
  <c r="R15" i="11"/>
  <c r="R28" i="11"/>
  <c r="R29" i="11"/>
  <c r="R66" i="11"/>
  <c r="R3" i="11"/>
  <c r="R30" i="11"/>
  <c r="R52" i="11"/>
  <c r="R64" i="11"/>
  <c r="R21" i="11"/>
  <c r="R31" i="11"/>
  <c r="R68" i="11"/>
  <c r="R53" i="11"/>
  <c r="R49" i="11"/>
  <c r="R34" i="11"/>
  <c r="R67" i="11"/>
  <c r="R17" i="11"/>
  <c r="R20" i="11"/>
  <c r="R65" i="11"/>
  <c r="R7" i="11"/>
  <c r="R19" i="11"/>
  <c r="R32" i="11"/>
  <c r="R46" i="11"/>
  <c r="R13" i="11"/>
  <c r="R38" i="11"/>
  <c r="R48" i="11"/>
  <c r="R25" i="11"/>
  <c r="R71" i="11"/>
  <c r="R60" i="11"/>
  <c r="R42" i="11"/>
  <c r="R44" i="11"/>
  <c r="R70" i="11"/>
  <c r="R16" i="11"/>
  <c r="R40" i="11"/>
  <c r="R61" i="11"/>
  <c r="R5" i="11"/>
  <c r="R37" i="11"/>
  <c r="R69" i="11"/>
  <c r="R54" i="11"/>
  <c r="R6" i="11"/>
  <c r="R45" i="11"/>
  <c r="R8" i="11"/>
  <c r="R36" i="11"/>
  <c r="B21" i="2" l="1"/>
  <c r="M19" i="2" l="1"/>
  <c r="B22" i="2"/>
  <c r="M20" i="2" l="1"/>
  <c r="B23" i="2"/>
  <c r="M21" i="2" l="1"/>
  <c r="B24" i="2"/>
  <c r="M22" i="2" l="1"/>
  <c r="B25" i="2"/>
  <c r="M23" i="2" l="1"/>
  <c r="B26" i="2"/>
  <c r="M24" i="2" l="1"/>
  <c r="M3" i="2" l="1"/>
  <c r="M4" i="2"/>
  <c r="M7" i="2"/>
  <c r="M12" i="2"/>
  <c r="M6" i="2"/>
  <c r="M5" i="2"/>
  <c r="M9" i="2"/>
  <c r="M15" i="2"/>
  <c r="M17" i="2"/>
  <c r="M11" i="2"/>
  <c r="M14" i="2"/>
  <c r="M10" i="2"/>
  <c r="M8" i="2"/>
  <c r="M13" i="2"/>
  <c r="M16" i="2"/>
  <c r="S11" i="11"/>
  <c r="T32" i="10"/>
  <c r="T67" i="11"/>
  <c r="T36" i="11"/>
  <c r="S31" i="10"/>
  <c r="U13" i="11"/>
  <c r="T4" i="10"/>
  <c r="S9" i="10"/>
  <c r="T65" i="11"/>
  <c r="U47" i="10"/>
  <c r="U66" i="11"/>
  <c r="S69" i="11"/>
  <c r="T49" i="10"/>
  <c r="U26" i="11"/>
  <c r="S69" i="10"/>
  <c r="S13" i="10"/>
  <c r="U42" i="11"/>
  <c r="U28" i="10"/>
  <c r="T21" i="11"/>
  <c r="S33" i="11"/>
  <c r="U39" i="11"/>
  <c r="S68" i="11"/>
  <c r="U21" i="10"/>
  <c r="T47" i="11"/>
  <c r="T42" i="10"/>
  <c r="T12" i="10"/>
  <c r="U43" i="10"/>
  <c r="S18" i="10"/>
  <c r="T39" i="10"/>
  <c r="U63" i="10"/>
  <c r="S21" i="11"/>
  <c r="S57" i="11"/>
  <c r="S8" i="10"/>
  <c r="S54" i="10"/>
  <c r="U31" i="10"/>
  <c r="S33" i="10"/>
  <c r="S15" i="10"/>
  <c r="U66" i="10"/>
  <c r="T30" i="10"/>
  <c r="U13" i="10"/>
  <c r="S59" i="11"/>
  <c r="S68" i="10"/>
  <c r="S24" i="10"/>
  <c r="T70" i="11"/>
  <c r="T43" i="11"/>
  <c r="S23" i="11"/>
  <c r="S61" i="10"/>
  <c r="U20" i="11"/>
  <c r="T54" i="11"/>
  <c r="U12" i="10"/>
  <c r="U28" i="11"/>
  <c r="S51" i="11"/>
  <c r="T5" i="11"/>
  <c r="T33" i="10"/>
  <c r="T45" i="10"/>
  <c r="S36" i="10"/>
  <c r="U14" i="11"/>
  <c r="S52" i="10"/>
  <c r="U36" i="10"/>
  <c r="U65" i="11"/>
  <c r="S37" i="10"/>
  <c r="S43" i="11"/>
  <c r="T11" i="11"/>
  <c r="S46" i="11"/>
  <c r="U23" i="10"/>
  <c r="U29" i="11"/>
  <c r="S29" i="11"/>
  <c r="T58" i="10"/>
  <c r="U27" i="10"/>
  <c r="T8" i="11"/>
  <c r="S31" i="11"/>
  <c r="S9" i="11"/>
  <c r="U16" i="11"/>
  <c r="T56" i="10"/>
  <c r="S51" i="10"/>
  <c r="U35" i="10"/>
  <c r="U68" i="10"/>
  <c r="S40" i="10"/>
  <c r="U51" i="11"/>
  <c r="S6" i="10"/>
  <c r="T46" i="10"/>
  <c r="S60" i="11"/>
  <c r="U31" i="11"/>
  <c r="T32" i="11"/>
  <c r="T14" i="10"/>
  <c r="T6" i="11"/>
  <c r="S36" i="11"/>
  <c r="U7" i="11"/>
  <c r="S57" i="10"/>
  <c r="U19" i="11"/>
  <c r="S48" i="11"/>
  <c r="U4" i="11"/>
  <c r="S67" i="11"/>
  <c r="S4" i="10"/>
  <c r="S3" i="11"/>
  <c r="T10" i="11"/>
  <c r="T52" i="10"/>
  <c r="S70" i="11"/>
  <c r="T50" i="11"/>
  <c r="U68" i="11"/>
  <c r="T67" i="10"/>
  <c r="U64" i="11"/>
  <c r="S3" i="10"/>
  <c r="S16" i="10"/>
  <c r="T11" i="10"/>
  <c r="U43" i="11"/>
  <c r="T63" i="10"/>
  <c r="U41" i="11"/>
  <c r="T53" i="11"/>
  <c r="T41" i="11"/>
  <c r="S71" i="10"/>
  <c r="S46" i="10"/>
  <c r="T3" i="11"/>
  <c r="T16" i="11"/>
  <c r="T29" i="11"/>
  <c r="S47" i="11"/>
  <c r="U34" i="10"/>
  <c r="S18" i="11"/>
  <c r="T61" i="11"/>
  <c r="U50" i="11"/>
  <c r="T18" i="11"/>
  <c r="U33" i="11"/>
  <c r="U16" i="10"/>
  <c r="U59" i="11"/>
  <c r="S38" i="10"/>
  <c r="T38" i="11"/>
  <c r="S10" i="11"/>
  <c r="T20" i="11"/>
  <c r="S54" i="11"/>
  <c r="U3" i="10"/>
  <c r="U44" i="11"/>
  <c r="S5" i="10"/>
  <c r="T20" i="10"/>
  <c r="T47" i="10"/>
  <c r="T61" i="10"/>
  <c r="U71" i="10"/>
  <c r="S63" i="11"/>
  <c r="T31" i="11"/>
  <c r="U32" i="10"/>
  <c r="U38" i="10"/>
  <c r="T59" i="11"/>
  <c r="S14" i="10"/>
  <c r="T42" i="11"/>
  <c r="T57" i="10"/>
  <c r="T16" i="10"/>
  <c r="S22" i="10"/>
  <c r="S53" i="10"/>
  <c r="T70" i="10"/>
  <c r="U60" i="11"/>
  <c r="U3" i="11"/>
  <c r="U46" i="11"/>
  <c r="S50" i="11"/>
  <c r="S25" i="10"/>
  <c r="T54" i="10"/>
  <c r="S39" i="10"/>
  <c r="S6" i="11"/>
  <c r="S11" i="10"/>
  <c r="T64" i="11"/>
  <c r="U25" i="11"/>
  <c r="T66" i="11"/>
  <c r="U46" i="10"/>
  <c r="U56" i="11"/>
  <c r="U57" i="11"/>
  <c r="S22" i="11"/>
  <c r="T48" i="11"/>
  <c r="T24" i="11"/>
  <c r="U30" i="10"/>
  <c r="T10" i="10"/>
  <c r="U62" i="11"/>
  <c r="U48" i="11"/>
  <c r="U6" i="10"/>
  <c r="S42" i="10"/>
  <c r="S61" i="11"/>
  <c r="T40" i="11"/>
  <c r="S19" i="11"/>
  <c r="S14" i="11"/>
  <c r="T15" i="11"/>
  <c r="U39" i="10"/>
  <c r="T68" i="10"/>
  <c r="U20" i="10"/>
  <c r="T36" i="10"/>
  <c r="U7" i="10"/>
  <c r="U8" i="10"/>
  <c r="T48" i="10"/>
  <c r="U40" i="10"/>
  <c r="T41" i="10"/>
  <c r="T46" i="11"/>
  <c r="T69" i="11"/>
  <c r="U64" i="10"/>
  <c r="T7" i="11"/>
  <c r="U29" i="10"/>
  <c r="T50" i="10"/>
  <c r="S42" i="11"/>
  <c r="S56" i="11"/>
  <c r="S35" i="10"/>
  <c r="S26" i="10"/>
  <c r="S7" i="10"/>
  <c r="U24" i="10"/>
  <c r="U37" i="11"/>
  <c r="T15" i="10"/>
  <c r="T22" i="10"/>
  <c r="S58" i="10"/>
  <c r="T59" i="10"/>
  <c r="T28" i="11"/>
  <c r="S34" i="10"/>
  <c r="U69" i="11"/>
  <c r="U36" i="11"/>
  <c r="S64" i="10"/>
  <c r="S7" i="11"/>
  <c r="T24" i="10"/>
  <c r="T28" i="10"/>
  <c r="S15" i="11"/>
  <c r="S20" i="10"/>
  <c r="U61" i="10"/>
  <c r="T44" i="10"/>
  <c r="T55" i="11"/>
  <c r="U11" i="10"/>
  <c r="T31" i="10"/>
  <c r="T65" i="10"/>
  <c r="T25" i="11"/>
  <c r="T56" i="11"/>
  <c r="T13" i="11"/>
  <c r="T60" i="10"/>
  <c r="U63" i="11"/>
  <c r="U24" i="11"/>
  <c r="U49" i="11"/>
  <c r="U18" i="11"/>
  <c r="S62" i="11"/>
  <c r="S17" i="10"/>
  <c r="S65" i="11"/>
  <c r="U45" i="11"/>
  <c r="S58" i="11"/>
  <c r="S32" i="11"/>
  <c r="S49" i="10"/>
  <c r="T51" i="10"/>
  <c r="U17" i="11"/>
  <c r="T71" i="11"/>
  <c r="U42" i="10"/>
  <c r="U50" i="10"/>
  <c r="S17" i="11"/>
  <c r="S40" i="11"/>
  <c r="U47" i="11"/>
  <c r="T23" i="11"/>
  <c r="T38" i="10"/>
  <c r="T35" i="11"/>
  <c r="T71" i="10"/>
  <c r="S39" i="11"/>
  <c r="S47" i="10"/>
  <c r="S41" i="10"/>
  <c r="U48" i="10"/>
  <c r="T49" i="11"/>
  <c r="U67" i="11"/>
  <c r="U58" i="11"/>
  <c r="U67" i="10"/>
  <c r="S70" i="10"/>
  <c r="S66" i="10"/>
  <c r="T45" i="11"/>
  <c r="S44" i="11"/>
  <c r="U22" i="11"/>
  <c r="T17" i="10"/>
  <c r="U17" i="10"/>
  <c r="U23" i="11"/>
  <c r="T21" i="10"/>
  <c r="T9" i="10"/>
  <c r="T58" i="11"/>
  <c r="S50" i="10"/>
  <c r="S21" i="10"/>
  <c r="U38" i="11"/>
  <c r="T22" i="11"/>
  <c r="S60" i="10"/>
  <c r="U55" i="11"/>
  <c r="U32" i="11"/>
  <c r="S10" i="10"/>
  <c r="U14" i="10"/>
  <c r="S28" i="11"/>
  <c r="T5" i="10"/>
  <c r="U53" i="10"/>
  <c r="S20" i="11"/>
  <c r="U4" i="10"/>
  <c r="S23" i="10"/>
  <c r="T34" i="11"/>
  <c r="U22" i="10"/>
  <c r="T35" i="10"/>
  <c r="U21" i="11"/>
  <c r="T26" i="10"/>
  <c r="U11" i="11"/>
  <c r="S71" i="11"/>
  <c r="T4" i="11"/>
  <c r="T3" i="10"/>
  <c r="S27" i="11"/>
  <c r="T12" i="11"/>
  <c r="T33" i="11"/>
  <c r="S38" i="11"/>
  <c r="U15" i="11"/>
  <c r="T40" i="10"/>
  <c r="S45" i="11"/>
  <c r="S65" i="10"/>
  <c r="T6" i="10"/>
  <c r="U5" i="10"/>
  <c r="U59" i="10"/>
  <c r="S64" i="11"/>
  <c r="S30" i="10"/>
  <c r="U40" i="11"/>
  <c r="S48" i="10"/>
  <c r="U27" i="11"/>
  <c r="U54" i="10"/>
  <c r="T19" i="11"/>
  <c r="U65" i="10"/>
  <c r="U51" i="10"/>
  <c r="T44" i="11"/>
  <c r="U12" i="11"/>
  <c r="S16" i="11"/>
  <c r="S49" i="11"/>
  <c r="S19" i="10"/>
  <c r="T53" i="10"/>
  <c r="S32" i="10"/>
  <c r="U61" i="11"/>
  <c r="U56" i="10"/>
  <c r="S53" i="11"/>
  <c r="U41" i="10"/>
  <c r="S67" i="10"/>
  <c r="U5" i="11"/>
  <c r="S35" i="11"/>
  <c r="S24" i="11"/>
  <c r="I30" i="2"/>
  <c r="S45" i="10"/>
  <c r="S44" i="10"/>
  <c r="T7" i="10"/>
  <c r="S4" i="11"/>
  <c r="S25" i="11"/>
  <c r="S13" i="11"/>
  <c r="U45" i="10"/>
  <c r="U26" i="10"/>
  <c r="T52" i="11"/>
  <c r="T26" i="11"/>
  <c r="T62" i="11"/>
  <c r="U70" i="10"/>
  <c r="T34" i="10"/>
  <c r="T68" i="11"/>
  <c r="U25" i="10"/>
  <c r="U8" i="11"/>
  <c r="T62" i="10"/>
  <c r="U44" i="10"/>
  <c r="U33" i="10"/>
  <c r="T19" i="10"/>
  <c r="S66" i="11"/>
  <c r="U35" i="11"/>
  <c r="T66" i="10"/>
  <c r="U62" i="10"/>
  <c r="S55" i="11"/>
  <c r="T27" i="10"/>
  <c r="U18" i="10"/>
  <c r="U6" i="11"/>
  <c r="S55" i="10"/>
  <c r="S29" i="10"/>
  <c r="U9" i="10"/>
  <c r="T37" i="10"/>
  <c r="T37" i="11"/>
  <c r="S59" i="10"/>
  <c r="T63" i="11"/>
  <c r="T17" i="11"/>
  <c r="T23" i="10"/>
  <c r="S34" i="11"/>
  <c r="S62" i="10"/>
  <c r="S12" i="10"/>
  <c r="T39" i="11"/>
  <c r="U54" i="11"/>
  <c r="U57" i="10"/>
  <c r="U52" i="10"/>
  <c r="S8" i="11"/>
  <c r="U30" i="11"/>
  <c r="U9" i="11"/>
  <c r="S63" i="10"/>
  <c r="U55" i="10"/>
  <c r="T60" i="11"/>
  <c r="U37" i="10"/>
  <c r="S5" i="11"/>
  <c r="U49" i="10"/>
  <c r="T29" i="10"/>
  <c r="U71" i="11"/>
  <c r="U53" i="11"/>
  <c r="S30" i="11"/>
  <c r="U10" i="11"/>
  <c r="T30" i="11"/>
  <c r="U34" i="11"/>
  <c r="S43" i="10"/>
  <c r="T13" i="10"/>
  <c r="S27" i="10"/>
  <c r="U60" i="10"/>
  <c r="S37" i="11"/>
  <c r="S41" i="11"/>
  <c r="T69" i="10"/>
  <c r="T14" i="11"/>
  <c r="S56" i="10"/>
  <c r="U15" i="10"/>
  <c r="T18" i="10"/>
  <c r="T8" i="10"/>
  <c r="S52" i="11"/>
  <c r="T51" i="11"/>
  <c r="S12" i="11"/>
  <c r="U19" i="10"/>
  <c r="U58" i="10"/>
  <c r="U52" i="11"/>
  <c r="U70" i="11"/>
  <c r="U69" i="10"/>
  <c r="S28" i="10"/>
  <c r="T25" i="10"/>
  <c r="S26" i="11"/>
  <c r="T43" i="10"/>
  <c r="T55" i="10"/>
  <c r="T27" i="11"/>
  <c r="T9" i="11"/>
  <c r="T57" i="11"/>
  <c r="U10" i="10"/>
  <c r="T64" i="10"/>
  <c r="I32" i="2"/>
  <c r="I69" i="2"/>
  <c r="I37" i="2"/>
  <c r="I53" i="2"/>
  <c r="I46" i="2"/>
  <c r="I64" i="2"/>
  <c r="I45" i="2"/>
  <c r="I61" i="2"/>
  <c r="I38" i="2"/>
  <c r="I54" i="2"/>
  <c r="I62" i="2"/>
  <c r="I70" i="2"/>
  <c r="I39" i="2"/>
  <c r="I47" i="2"/>
  <c r="I55" i="2"/>
  <c r="I63" i="2"/>
  <c r="I71" i="2"/>
  <c r="I40" i="2"/>
  <c r="I48" i="2"/>
  <c r="I56" i="2"/>
  <c r="I33" i="2"/>
  <c r="I41" i="2"/>
  <c r="I49" i="2"/>
  <c r="I57" i="2"/>
  <c r="I65" i="2"/>
  <c r="I34" i="2"/>
  <c r="I42" i="2"/>
  <c r="I50" i="2"/>
  <c r="I58" i="2"/>
  <c r="I66" i="2"/>
  <c r="I35" i="2"/>
  <c r="I43" i="2"/>
  <c r="I51" i="2"/>
  <c r="I59" i="2"/>
  <c r="I67" i="2"/>
  <c r="I36" i="2"/>
  <c r="I44" i="2"/>
  <c r="I52" i="2"/>
  <c r="I60" i="2"/>
  <c r="I68" i="2"/>
  <c r="N69" i="2" l="1"/>
  <c r="N70" i="2"/>
  <c r="N68" i="2"/>
  <c r="N71" i="2"/>
  <c r="N67" i="2"/>
  <c r="N34" i="2"/>
  <c r="N46" i="2"/>
  <c r="N57" i="2"/>
  <c r="N37" i="2"/>
  <c r="N55" i="2"/>
  <c r="N47" i="2"/>
  <c r="N35" i="2"/>
  <c r="N29" i="2"/>
  <c r="N59" i="2"/>
  <c r="N54" i="2"/>
  <c r="N38" i="2"/>
  <c r="N39" i="2"/>
  <c r="N44" i="2"/>
  <c r="N42" i="2"/>
  <c r="N45" i="2"/>
  <c r="N43" i="2"/>
  <c r="N62" i="2"/>
  <c r="N60" i="2"/>
  <c r="N51" i="2"/>
  <c r="N33" i="2"/>
  <c r="N27" i="2"/>
  <c r="N32" i="2"/>
  <c r="N58" i="2"/>
  <c r="N52" i="2"/>
  <c r="N30" i="2"/>
  <c r="N61" i="2"/>
  <c r="N63" i="2"/>
  <c r="N48" i="2"/>
  <c r="N28" i="2"/>
  <c r="N56" i="2"/>
  <c r="N41" i="2"/>
  <c r="N65" i="2"/>
  <c r="N31" i="2"/>
  <c r="N53" i="2"/>
  <c r="N36" i="2"/>
  <c r="N50" i="2"/>
  <c r="N64" i="2"/>
  <c r="N66" i="2"/>
  <c r="N23" i="2"/>
  <c r="O23" i="2"/>
  <c r="N40" i="2"/>
  <c r="N49" i="2"/>
  <c r="N20" i="2"/>
  <c r="O20" i="2"/>
  <c r="N22" i="2"/>
  <c r="O22" i="2"/>
  <c r="O19" i="2"/>
  <c r="N19" i="2"/>
  <c r="O24" i="2"/>
  <c r="N24" i="2"/>
  <c r="N21" i="2"/>
  <c r="O21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15" i="2"/>
  <c r="I16" i="2"/>
  <c r="I17" i="2"/>
  <c r="H35" i="1"/>
  <c r="N17" i="2" l="1"/>
  <c r="N16" i="2"/>
  <c r="N15" i="2"/>
  <c r="O17" i="2"/>
  <c r="O16" i="2"/>
  <c r="O15" i="2"/>
  <c r="I7" i="2"/>
  <c r="I10" i="2"/>
  <c r="I8" i="2"/>
  <c r="I11" i="2"/>
  <c r="I14" i="2"/>
  <c r="I9" i="2"/>
  <c r="I12" i="2"/>
  <c r="I13" i="2"/>
  <c r="I5" i="2"/>
  <c r="I6" i="2"/>
  <c r="I3" i="2"/>
  <c r="I4" i="2"/>
  <c r="N13" i="2" l="1"/>
  <c r="N12" i="2"/>
  <c r="N3" i="2"/>
  <c r="N8" i="2"/>
  <c r="N4" i="2"/>
  <c r="N5" i="2"/>
  <c r="N9" i="2"/>
  <c r="N10" i="2"/>
  <c r="N14" i="2"/>
  <c r="N7" i="2"/>
  <c r="N6" i="2"/>
  <c r="N11" i="2"/>
  <c r="O29" i="2"/>
  <c r="O31" i="2"/>
  <c r="O35" i="2"/>
  <c r="O39" i="2"/>
  <c r="O43" i="2"/>
  <c r="O47" i="2"/>
  <c r="O51" i="2"/>
  <c r="O55" i="2"/>
  <c r="O59" i="2"/>
  <c r="O63" i="2"/>
  <c r="O30" i="2"/>
  <c r="O34" i="2"/>
  <c r="O38" i="2"/>
  <c r="O42" i="2"/>
  <c r="O46" i="2"/>
  <c r="O50" i="2"/>
  <c r="O54" i="2"/>
  <c r="O58" i="2"/>
  <c r="O62" i="2"/>
  <c r="O66" i="2"/>
  <c r="O27" i="2"/>
  <c r="O33" i="2"/>
  <c r="O37" i="2"/>
  <c r="O41" i="2"/>
  <c r="O45" i="2"/>
  <c r="O49" i="2"/>
  <c r="O53" i="2"/>
  <c r="O57" i="2"/>
  <c r="O61" i="2"/>
  <c r="O65" i="2"/>
  <c r="O28" i="2"/>
  <c r="O32" i="2"/>
  <c r="O36" i="2"/>
  <c r="O40" i="2"/>
  <c r="O44" i="2"/>
  <c r="O48" i="2"/>
  <c r="O52" i="2"/>
  <c r="O56" i="2"/>
  <c r="O60" i="2"/>
  <c r="O64" i="2"/>
  <c r="O13" i="2"/>
  <c r="O12" i="2"/>
  <c r="O3" i="2"/>
  <c r="O8" i="2"/>
  <c r="O4" i="2"/>
  <c r="O5" i="2"/>
  <c r="O9" i="2"/>
  <c r="O10" i="2"/>
  <c r="O14" i="2"/>
  <c r="O7" i="2"/>
  <c r="O6" i="2"/>
  <c r="O11" i="2"/>
  <c r="P3" i="2" a="1"/>
  <c r="R3" i="2" a="1"/>
  <c r="Q3" i="2" a="1"/>
  <c r="P50" i="2" l="1"/>
  <c r="P43" i="2"/>
  <c r="P36" i="2"/>
  <c r="P29" i="2"/>
  <c r="P22" i="2"/>
  <c r="P15" i="2"/>
  <c r="P8" i="2"/>
  <c r="P9" i="2"/>
  <c r="P10" i="2"/>
  <c r="P11" i="2"/>
  <c r="P12" i="2"/>
  <c r="P13" i="2"/>
  <c r="P14" i="2"/>
  <c r="P23" i="2"/>
  <c r="P24" i="2"/>
  <c r="P33" i="2"/>
  <c r="P18" i="2"/>
  <c r="P19" i="2"/>
  <c r="P20" i="2"/>
  <c r="P21" i="2"/>
  <c r="P30" i="2"/>
  <c r="P31" i="2"/>
  <c r="P32" i="2"/>
  <c r="P41" i="2"/>
  <c r="P26" i="2"/>
  <c r="P27" i="2"/>
  <c r="P28" i="2"/>
  <c r="P37" i="2"/>
  <c r="P38" i="2"/>
  <c r="P39" i="2"/>
  <c r="P40" i="2"/>
  <c r="P49" i="2"/>
  <c r="P42" i="2"/>
  <c r="P4" i="2"/>
  <c r="P61" i="2"/>
  <c r="P47" i="2"/>
  <c r="P17" i="2"/>
  <c r="P58" i="2"/>
  <c r="P44" i="2"/>
  <c r="P69" i="2"/>
  <c r="P55" i="2"/>
  <c r="P25" i="2"/>
  <c r="P66" i="2"/>
  <c r="P52" i="2"/>
  <c r="P6" i="2"/>
  <c r="P63" i="2"/>
  <c r="P57" i="2"/>
  <c r="P3" i="2"/>
  <c r="P60" i="2"/>
  <c r="P46" i="2"/>
  <c r="P71" i="2"/>
  <c r="P65" i="2"/>
  <c r="P35" i="2"/>
  <c r="P68" i="2"/>
  <c r="P54" i="2"/>
  <c r="P16" i="2"/>
  <c r="P51" i="2"/>
  <c r="P5" i="2"/>
  <c r="P62" i="2"/>
  <c r="P48" i="2"/>
  <c r="P59" i="2"/>
  <c r="P45" i="2"/>
  <c r="P70" i="2"/>
  <c r="P56" i="2"/>
  <c r="P34" i="2"/>
  <c r="P67" i="2"/>
  <c r="P53" i="2"/>
  <c r="P7" i="2"/>
  <c r="P64" i="2"/>
  <c r="Q26" i="2"/>
  <c r="Q19" i="2"/>
  <c r="Q12" i="2"/>
  <c r="Q5" i="2"/>
  <c r="Q69" i="2"/>
  <c r="Q62" i="2"/>
  <c r="Q55" i="2"/>
  <c r="Q48" i="2"/>
  <c r="Q49" i="2"/>
  <c r="Q50" i="2"/>
  <c r="Q51" i="2"/>
  <c r="Q52" i="2"/>
  <c r="Q53" i="2"/>
  <c r="Q54" i="2"/>
  <c r="Q63" i="2"/>
  <c r="Q64" i="2"/>
  <c r="Q58" i="2"/>
  <c r="Q59" i="2"/>
  <c r="Q60" i="2"/>
  <c r="Q61" i="2"/>
  <c r="Q70" i="2"/>
  <c r="Q71" i="2"/>
  <c r="Q9" i="2"/>
  <c r="Q66" i="2"/>
  <c r="Q67" i="2"/>
  <c r="Q68" i="2"/>
  <c r="Q6" i="2"/>
  <c r="Q7" i="2"/>
  <c r="Q8" i="2"/>
  <c r="Q17" i="2"/>
  <c r="Q10" i="2"/>
  <c r="Q43" i="2"/>
  <c r="Q29" i="2"/>
  <c r="Q15" i="2"/>
  <c r="Q40" i="2"/>
  <c r="Q18" i="2"/>
  <c r="Q4" i="2"/>
  <c r="Q37" i="2"/>
  <c r="Q23" i="2"/>
  <c r="Q56" i="2"/>
  <c r="Q34" i="2"/>
  <c r="Q20" i="2"/>
  <c r="Q45" i="2"/>
  <c r="Q31" i="2"/>
  <c r="Q25" i="2"/>
  <c r="Q42" i="2"/>
  <c r="Q28" i="2"/>
  <c r="Q14" i="2"/>
  <c r="Q39" i="2"/>
  <c r="Q33" i="2"/>
  <c r="Q22" i="2"/>
  <c r="Q47" i="2"/>
  <c r="Q65" i="2"/>
  <c r="Q3" i="2"/>
  <c r="Q36" i="2"/>
  <c r="Q41" i="2"/>
  <c r="Q11" i="2"/>
  <c r="Q44" i="2"/>
  <c r="Q30" i="2"/>
  <c r="Q16" i="2"/>
  <c r="Q57" i="2"/>
  <c r="Q27" i="2"/>
  <c r="Q13" i="2"/>
  <c r="Q38" i="2"/>
  <c r="Q24" i="2"/>
  <c r="Q21" i="2"/>
  <c r="Q46" i="2"/>
  <c r="Q32" i="2"/>
  <c r="Q35" i="2"/>
  <c r="R66" i="2"/>
  <c r="R59" i="2"/>
  <c r="R52" i="2"/>
  <c r="R45" i="2"/>
  <c r="R38" i="2"/>
  <c r="R31" i="2"/>
  <c r="R24" i="2"/>
  <c r="R25" i="2"/>
  <c r="R18" i="2"/>
  <c r="R19" i="2"/>
  <c r="R20" i="2"/>
  <c r="R21" i="2"/>
  <c r="R22" i="2"/>
  <c r="R23" i="2"/>
  <c r="R32" i="2"/>
  <c r="R41" i="2"/>
  <c r="R26" i="2"/>
  <c r="R27" i="2"/>
  <c r="R28" i="2"/>
  <c r="R29" i="2"/>
  <c r="R30" i="2"/>
  <c r="R39" i="2"/>
  <c r="R40" i="2"/>
  <c r="R49" i="2"/>
  <c r="R34" i="2"/>
  <c r="R35" i="2"/>
  <c r="R36" i="2"/>
  <c r="R37" i="2"/>
  <c r="R46" i="2"/>
  <c r="R47" i="2"/>
  <c r="R48" i="2"/>
  <c r="R57" i="2"/>
  <c r="R11" i="2"/>
  <c r="R68" i="2"/>
  <c r="R54" i="2"/>
  <c r="R8" i="2"/>
  <c r="R43" i="2"/>
  <c r="R5" i="2"/>
  <c r="R62" i="2"/>
  <c r="R16" i="2"/>
  <c r="R51" i="2"/>
  <c r="R13" i="2"/>
  <c r="R70" i="2"/>
  <c r="R56" i="2"/>
  <c r="R10" i="2"/>
  <c r="R67" i="2"/>
  <c r="R53" i="2"/>
  <c r="R7" i="2"/>
  <c r="R64" i="2"/>
  <c r="R42" i="2"/>
  <c r="R4" i="2"/>
  <c r="R61" i="2"/>
  <c r="R15" i="2"/>
  <c r="R9" i="2"/>
  <c r="R50" i="2"/>
  <c r="R12" i="2"/>
  <c r="R69" i="2"/>
  <c r="R55" i="2"/>
  <c r="R17" i="2"/>
  <c r="R58" i="2"/>
  <c r="R44" i="2"/>
  <c r="R6" i="2"/>
  <c r="R63" i="2"/>
  <c r="R33" i="2"/>
  <c r="R3" i="2"/>
  <c r="R60" i="2"/>
  <c r="R14" i="2"/>
  <c r="R71" i="2"/>
  <c r="R65" i="2"/>
  <c r="U39" i="2"/>
  <c r="S33" i="2"/>
  <c r="T67" i="2"/>
  <c r="U41" i="2"/>
  <c r="S39" i="2"/>
  <c r="T29" i="2"/>
  <c r="U53" i="2"/>
  <c r="T12" i="2"/>
  <c r="S15" i="2"/>
  <c r="S54" i="2"/>
  <c r="S46" i="2"/>
  <c r="S17" i="2"/>
  <c r="T7" i="2"/>
  <c r="S29" i="2"/>
  <c r="U69" i="2"/>
  <c r="T4" i="2"/>
  <c r="T10" i="2"/>
  <c r="H21" i="1"/>
  <c r="U71" i="2"/>
  <c r="T37" i="2"/>
  <c r="S5" i="2"/>
  <c r="S68" i="2"/>
  <c r="U42" i="2"/>
  <c r="U35" i="2"/>
  <c r="S14" i="2"/>
  <c r="U19" i="2"/>
  <c r="S66" i="2"/>
  <c r="S48" i="2"/>
  <c r="U61" i="2"/>
  <c r="U45" i="2"/>
  <c r="S53" i="2"/>
  <c r="U12" i="2"/>
  <c r="S26" i="2"/>
  <c r="S50" i="2"/>
  <c r="U67" i="2"/>
  <c r="T3" i="2"/>
  <c r="T68" i="2"/>
  <c r="U66" i="2"/>
  <c r="S28" i="2"/>
  <c r="T22" i="2"/>
  <c r="S70" i="2"/>
  <c r="T63" i="2"/>
  <c r="T54" i="2"/>
  <c r="S18" i="2"/>
  <c r="S56" i="2"/>
  <c r="T42" i="2"/>
  <c r="S59" i="2"/>
  <c r="T57" i="2"/>
  <c r="T45" i="2"/>
  <c r="T51" i="2"/>
  <c r="S37" i="2"/>
  <c r="U31" i="2"/>
  <c r="T65" i="2"/>
  <c r="S42" i="2"/>
  <c r="T24" i="2"/>
  <c r="S55" i="2"/>
  <c r="U59" i="2"/>
  <c r="S71" i="2"/>
  <c r="T62" i="2"/>
  <c r="S69" i="2"/>
  <c r="U48" i="2"/>
  <c r="T28" i="2"/>
  <c r="U23" i="2"/>
  <c r="U10" i="2"/>
  <c r="T70" i="2"/>
  <c r="S8" i="2"/>
  <c r="T15" i="2"/>
  <c r="U62" i="2"/>
  <c r="Q3" i="14" a="1"/>
  <c r="S12" i="2"/>
  <c r="S25" i="2"/>
  <c r="U34" i="2"/>
  <c r="S10" i="2"/>
  <c r="S3" i="2"/>
  <c r="P3" i="13" a="1"/>
  <c r="S19" i="2"/>
  <c r="U24" i="2"/>
  <c r="U30" i="2"/>
  <c r="S45" i="2"/>
  <c r="S34" i="2"/>
  <c r="U54" i="2"/>
  <c r="T8" i="2"/>
  <c r="U33" i="2"/>
  <c r="U5" i="2"/>
  <c r="U21" i="2"/>
  <c r="U63" i="2"/>
  <c r="U32" i="2"/>
  <c r="T14" i="2"/>
  <c r="U46" i="2"/>
  <c r="S43" i="2"/>
  <c r="S32" i="2"/>
  <c r="S35" i="2"/>
  <c r="U44" i="2"/>
  <c r="U49" i="2"/>
  <c r="S9" i="2"/>
  <c r="T69" i="2"/>
  <c r="T36" i="2"/>
  <c r="R3" i="14" a="1"/>
  <c r="U14" i="2"/>
  <c r="T31" i="2"/>
  <c r="U38" i="2"/>
  <c r="S63" i="2"/>
  <c r="S67" i="2"/>
  <c r="T71" i="2"/>
  <c r="T18" i="2"/>
  <c r="T6" i="2"/>
  <c r="S64" i="2"/>
  <c r="U16" i="2"/>
  <c r="U56" i="2"/>
  <c r="U11" i="2"/>
  <c r="U9" i="2"/>
  <c r="R3" i="13" a="1"/>
  <c r="U18" i="2"/>
  <c r="T25" i="2"/>
  <c r="U17" i="2"/>
  <c r="U22" i="2"/>
  <c r="T55" i="2"/>
  <c r="T35" i="2"/>
  <c r="U7" i="2"/>
  <c r="U52" i="2"/>
  <c r="T17" i="2"/>
  <c r="T59" i="2"/>
  <c r="U57" i="2"/>
  <c r="U64" i="2"/>
  <c r="T32" i="2"/>
  <c r="T5" i="2"/>
  <c r="T66" i="2"/>
  <c r="U28" i="2"/>
  <c r="S38" i="2"/>
  <c r="U43" i="2"/>
  <c r="S4" i="2"/>
  <c r="T53" i="2"/>
  <c r="U3" i="2"/>
  <c r="T61" i="2"/>
  <c r="T43" i="2"/>
  <c r="T27" i="2"/>
  <c r="S24" i="2"/>
  <c r="Q3" i="13" a="1"/>
  <c r="U68" i="2"/>
  <c r="S6" i="2"/>
  <c r="U55" i="2"/>
  <c r="T52" i="2"/>
  <c r="T46" i="2"/>
  <c r="T30" i="2"/>
  <c r="S47" i="2"/>
  <c r="T56" i="2"/>
  <c r="T40" i="2"/>
  <c r="S57" i="2"/>
  <c r="U37" i="2"/>
  <c r="U40" i="2"/>
  <c r="T64" i="2"/>
  <c r="U15" i="2"/>
  <c r="T21" i="2"/>
  <c r="S62" i="2"/>
  <c r="S58" i="2"/>
  <c r="S40" i="2"/>
  <c r="S60" i="2"/>
  <c r="S22" i="2"/>
  <c r="U65" i="2"/>
  <c r="U20" i="2"/>
  <c r="U27" i="2"/>
  <c r="T34" i="2"/>
  <c r="T41" i="2"/>
  <c r="S41" i="2"/>
  <c r="C35" i="1"/>
  <c r="T11" i="2"/>
  <c r="U13" i="2"/>
  <c r="U36" i="2"/>
  <c r="U60" i="2"/>
  <c r="T49" i="2"/>
  <c r="S23" i="2"/>
  <c r="T48" i="2"/>
  <c r="T44" i="2"/>
  <c r="T16" i="2"/>
  <c r="U47" i="2"/>
  <c r="T26" i="2"/>
  <c r="U58" i="2"/>
  <c r="S27" i="2"/>
  <c r="P3" i="14" a="1"/>
  <c r="T9" i="2"/>
  <c r="S30" i="2"/>
  <c r="T47" i="2"/>
  <c r="S31" i="2"/>
  <c r="S11" i="2"/>
  <c r="S52" i="2"/>
  <c r="T20" i="2"/>
  <c r="U26" i="2"/>
  <c r="T39" i="2"/>
  <c r="T50" i="2"/>
  <c r="S13" i="2"/>
  <c r="T58" i="2"/>
  <c r="T19" i="2"/>
  <c r="S16" i="2"/>
  <c r="S51" i="2"/>
  <c r="U51" i="2"/>
  <c r="U70" i="2"/>
  <c r="U8" i="2"/>
  <c r="S65" i="2"/>
  <c r="T23" i="2"/>
  <c r="T33" i="2"/>
  <c r="S49" i="2"/>
  <c r="T38" i="2"/>
  <c r="S61" i="2"/>
  <c r="T13" i="2"/>
  <c r="S44" i="2"/>
  <c r="S7" i="2"/>
  <c r="U25" i="2"/>
  <c r="S36" i="2"/>
  <c r="U29" i="2"/>
  <c r="T60" i="2"/>
  <c r="S21" i="2"/>
  <c r="U6" i="2"/>
  <c r="S20" i="2"/>
  <c r="U4" i="2"/>
  <c r="U50" i="2"/>
  <c r="P50" i="14" l="1"/>
  <c r="P66" i="14"/>
  <c r="P41" i="14"/>
  <c r="P57" i="14"/>
  <c r="P23" i="14"/>
  <c r="P12" i="14"/>
  <c r="P45" i="14"/>
  <c r="P15" i="14"/>
  <c r="P69" i="14"/>
  <c r="P37" i="14"/>
  <c r="P51" i="14"/>
  <c r="P29" i="14"/>
  <c r="P20" i="14"/>
  <c r="P39" i="14"/>
  <c r="P48" i="14"/>
  <c r="P11" i="14"/>
  <c r="P9" i="14"/>
  <c r="P30" i="14"/>
  <c r="P58" i="14"/>
  <c r="P18" i="14"/>
  <c r="P53" i="14"/>
  <c r="P13" i="14"/>
  <c r="P22" i="14"/>
  <c r="P16" i="14"/>
  <c r="P47" i="14"/>
  <c r="P4" i="14"/>
  <c r="P46" i="14"/>
  <c r="P38" i="14"/>
  <c r="P3" i="14"/>
  <c r="P21" i="14"/>
  <c r="P63" i="14"/>
  <c r="P70" i="14"/>
  <c r="P67" i="14"/>
  <c r="P14" i="14"/>
  <c r="P52" i="14"/>
  <c r="P32" i="14"/>
  <c r="P25" i="14"/>
  <c r="P60" i="14"/>
  <c r="P31" i="14"/>
  <c r="P64" i="14"/>
  <c r="P54" i="14"/>
  <c r="P44" i="14"/>
  <c r="P17" i="14"/>
  <c r="P71" i="14"/>
  <c r="P59" i="14"/>
  <c r="P24" i="14"/>
  <c r="P7" i="14"/>
  <c r="P34" i="14"/>
  <c r="P35" i="14"/>
  <c r="P56" i="14"/>
  <c r="P36" i="14"/>
  <c r="P26" i="14"/>
  <c r="P43" i="14"/>
  <c r="P40" i="14"/>
  <c r="P61" i="14"/>
  <c r="P49" i="14"/>
  <c r="P28" i="14"/>
  <c r="P62" i="14"/>
  <c r="P55" i="14"/>
  <c r="P8" i="14"/>
  <c r="P6" i="14"/>
  <c r="P33" i="14"/>
  <c r="P42" i="14"/>
  <c r="P68" i="14"/>
  <c r="P10" i="14"/>
  <c r="P65" i="14"/>
  <c r="P5" i="14"/>
  <c r="P19" i="14"/>
  <c r="P27" i="14"/>
  <c r="R5" i="14"/>
  <c r="R67" i="14"/>
  <c r="R47" i="14"/>
  <c r="R65" i="14"/>
  <c r="R18" i="14"/>
  <c r="R20" i="14"/>
  <c r="R27" i="14"/>
  <c r="R15" i="14"/>
  <c r="R13" i="14"/>
  <c r="R59" i="14"/>
  <c r="R8" i="14"/>
  <c r="R68" i="14"/>
  <c r="R62" i="14"/>
  <c r="R19" i="14"/>
  <c r="R45" i="14"/>
  <c r="R37" i="14"/>
  <c r="R32" i="14"/>
  <c r="R64" i="14"/>
  <c r="R70" i="14"/>
  <c r="R28" i="14"/>
  <c r="R55" i="14"/>
  <c r="R4" i="14"/>
  <c r="R66" i="14"/>
  <c r="R24" i="14"/>
  <c r="R52" i="14"/>
  <c r="R51" i="14"/>
  <c r="R40" i="14"/>
  <c r="R54" i="14"/>
  <c r="R34" i="14"/>
  <c r="R44" i="14"/>
  <c r="R12" i="14"/>
  <c r="R3" i="14"/>
  <c r="R57" i="14"/>
  <c r="R58" i="14"/>
  <c r="R41" i="14"/>
  <c r="R49" i="14"/>
  <c r="R48" i="14"/>
  <c r="R71" i="14"/>
  <c r="R16" i="14"/>
  <c r="R7" i="14"/>
  <c r="R42" i="14"/>
  <c r="R33" i="14"/>
  <c r="R31" i="14"/>
  <c r="R30" i="14"/>
  <c r="R21" i="14"/>
  <c r="R25" i="14"/>
  <c r="R53" i="14"/>
  <c r="R69" i="14"/>
  <c r="R26" i="14"/>
  <c r="R60" i="14"/>
  <c r="R61" i="14"/>
  <c r="R39" i="14"/>
  <c r="R63" i="14"/>
  <c r="R14" i="14"/>
  <c r="R38" i="14"/>
  <c r="R11" i="14"/>
  <c r="R35" i="14"/>
  <c r="R23" i="14"/>
  <c r="R29" i="14"/>
  <c r="R9" i="14"/>
  <c r="R43" i="14"/>
  <c r="R10" i="14"/>
  <c r="R6" i="14"/>
  <c r="R22" i="14"/>
  <c r="R56" i="14"/>
  <c r="R17" i="14"/>
  <c r="R50" i="14"/>
  <c r="R36" i="14"/>
  <c r="R46" i="14"/>
  <c r="P31" i="13"/>
  <c r="P16" i="13"/>
  <c r="P57" i="13"/>
  <c r="P11" i="13"/>
  <c r="P7" i="13"/>
  <c r="P39" i="13"/>
  <c r="P55" i="13"/>
  <c r="P44" i="13"/>
  <c r="P21" i="13"/>
  <c r="P71" i="13"/>
  <c r="P42" i="13"/>
  <c r="P67" i="13"/>
  <c r="P27" i="13"/>
  <c r="P29" i="13"/>
  <c r="P32" i="13"/>
  <c r="P41" i="13"/>
  <c r="P33" i="13"/>
  <c r="P68" i="13"/>
  <c r="P35" i="13"/>
  <c r="P46" i="13"/>
  <c r="P51" i="13"/>
  <c r="P58" i="13"/>
  <c r="P63" i="13"/>
  <c r="P47" i="13"/>
  <c r="P22" i="13"/>
  <c r="P19" i="13"/>
  <c r="P62" i="13"/>
  <c r="P60" i="13"/>
  <c r="P43" i="13"/>
  <c r="P20" i="13"/>
  <c r="P6" i="13"/>
  <c r="P37" i="13"/>
  <c r="P49" i="13"/>
  <c r="P9" i="13"/>
  <c r="P34" i="13"/>
  <c r="P54" i="13"/>
  <c r="P24" i="13"/>
  <c r="P28" i="13"/>
  <c r="P10" i="13"/>
  <c r="P12" i="13"/>
  <c r="P36" i="13"/>
  <c r="P5" i="13"/>
  <c r="P40" i="13"/>
  <c r="P26" i="13"/>
  <c r="P66" i="13"/>
  <c r="P50" i="13"/>
  <c r="P30" i="13"/>
  <c r="P38" i="13"/>
  <c r="P4" i="13"/>
  <c r="P15" i="13"/>
  <c r="P25" i="13"/>
  <c r="P70" i="13"/>
  <c r="P56" i="13"/>
  <c r="P13" i="13"/>
  <c r="P69" i="13"/>
  <c r="P59" i="13"/>
  <c r="P8" i="13"/>
  <c r="P65" i="13"/>
  <c r="P52" i="13"/>
  <c r="P3" i="13"/>
  <c r="P23" i="13"/>
  <c r="P45" i="13"/>
  <c r="P53" i="13"/>
  <c r="P61" i="13"/>
  <c r="P48" i="13"/>
  <c r="P14" i="13"/>
  <c r="P64" i="13"/>
  <c r="P17" i="13"/>
  <c r="P18" i="13"/>
  <c r="Q10" i="13"/>
  <c r="Q30" i="13"/>
  <c r="Q35" i="13"/>
  <c r="Q29" i="13"/>
  <c r="Q19" i="13"/>
  <c r="Q47" i="13"/>
  <c r="Q39" i="13"/>
  <c r="Q7" i="13"/>
  <c r="Q54" i="13"/>
  <c r="Q17" i="13"/>
  <c r="Q21" i="13"/>
  <c r="Q24" i="13"/>
  <c r="Q49" i="13"/>
  <c r="Q15" i="13"/>
  <c r="Q68" i="13"/>
  <c r="Q53" i="13"/>
  <c r="Q4" i="13"/>
  <c r="Q55" i="13"/>
  <c r="Q3" i="13"/>
  <c r="Q11" i="13"/>
  <c r="Q12" i="13"/>
  <c r="Q32" i="13"/>
  <c r="Q18" i="13"/>
  <c r="Q57" i="13"/>
  <c r="Q28" i="13"/>
  <c r="Q65" i="13"/>
  <c r="Q13" i="13"/>
  <c r="Q69" i="13"/>
  <c r="Q60" i="13"/>
  <c r="Q63" i="13"/>
  <c r="Q25" i="13"/>
  <c r="Q36" i="13"/>
  <c r="Q40" i="13"/>
  <c r="Q9" i="13"/>
  <c r="Q33" i="13"/>
  <c r="Q51" i="13"/>
  <c r="Q71" i="13"/>
  <c r="Q20" i="13"/>
  <c r="Q50" i="13"/>
  <c r="Q34" i="13"/>
  <c r="Q37" i="13"/>
  <c r="Q58" i="13"/>
  <c r="Q52" i="13"/>
  <c r="Q59" i="13"/>
  <c r="Q56" i="13"/>
  <c r="Q45" i="13"/>
  <c r="Q22" i="13"/>
  <c r="Q64" i="13"/>
  <c r="Q66" i="13"/>
  <c r="Q42" i="13"/>
  <c r="Q67" i="13"/>
  <c r="Q31" i="13"/>
  <c r="Q41" i="13"/>
  <c r="Q70" i="13"/>
  <c r="Q62" i="13"/>
  <c r="Q23" i="13"/>
  <c r="Q8" i="13"/>
  <c r="Q16" i="13"/>
  <c r="Q6" i="13"/>
  <c r="Q27" i="13"/>
  <c r="Q43" i="13"/>
  <c r="Q38" i="13"/>
  <c r="Q46" i="13"/>
  <c r="Q48" i="13"/>
  <c r="Q14" i="13"/>
  <c r="Q61" i="13"/>
  <c r="Q5" i="13"/>
  <c r="Q26" i="13"/>
  <c r="Q44" i="13"/>
  <c r="R19" i="13"/>
  <c r="R30" i="13"/>
  <c r="R71" i="13"/>
  <c r="R15" i="13"/>
  <c r="R8" i="13"/>
  <c r="R56" i="13"/>
  <c r="R36" i="13"/>
  <c r="R28" i="13"/>
  <c r="R33" i="13"/>
  <c r="R26" i="13"/>
  <c r="R29" i="13"/>
  <c r="R53" i="13"/>
  <c r="R13" i="13"/>
  <c r="R20" i="13"/>
  <c r="R58" i="13"/>
  <c r="R35" i="13"/>
  <c r="R25" i="13"/>
  <c r="R17" i="13"/>
  <c r="R65" i="13"/>
  <c r="R21" i="13"/>
  <c r="R18" i="13"/>
  <c r="R57" i="13"/>
  <c r="R7" i="13"/>
  <c r="R11" i="13"/>
  <c r="R49" i="13"/>
  <c r="R38" i="13"/>
  <c r="R48" i="13"/>
  <c r="R46" i="13"/>
  <c r="R59" i="13"/>
  <c r="R14" i="13"/>
  <c r="R60" i="13"/>
  <c r="R24" i="13"/>
  <c r="R45" i="13"/>
  <c r="R61" i="13"/>
  <c r="R3" i="13"/>
  <c r="R62" i="13"/>
  <c r="R51" i="13"/>
  <c r="R6" i="13"/>
  <c r="R22" i="13"/>
  <c r="R50" i="13"/>
  <c r="R41" i="13"/>
  <c r="R31" i="13"/>
  <c r="R43" i="13"/>
  <c r="R69" i="13"/>
  <c r="R64" i="13"/>
  <c r="R54" i="13"/>
  <c r="R10" i="13"/>
  <c r="R55" i="13"/>
  <c r="R42" i="13"/>
  <c r="R44" i="13"/>
  <c r="R5" i="13"/>
  <c r="R37" i="13"/>
  <c r="R70" i="13"/>
  <c r="R39" i="13"/>
  <c r="R67" i="13"/>
  <c r="R47" i="13"/>
  <c r="R4" i="13"/>
  <c r="R68" i="13"/>
  <c r="R63" i="13"/>
  <c r="R52" i="13"/>
  <c r="R23" i="13"/>
  <c r="R9" i="13"/>
  <c r="R34" i="13"/>
  <c r="R16" i="13"/>
  <c r="R66" i="13"/>
  <c r="R32" i="13"/>
  <c r="R27" i="13"/>
  <c r="R12" i="13"/>
  <c r="R40" i="13"/>
  <c r="Q27" i="14"/>
  <c r="Q47" i="14"/>
  <c r="Q63" i="14"/>
  <c r="Q25" i="14"/>
  <c r="Q13" i="14"/>
  <c r="Q4" i="14"/>
  <c r="Q70" i="14"/>
  <c r="Q19" i="14"/>
  <c r="Q48" i="14"/>
  <c r="Q53" i="14"/>
  <c r="Q33" i="14"/>
  <c r="Q16" i="14"/>
  <c r="Q58" i="14"/>
  <c r="Q18" i="14"/>
  <c r="Q30" i="14"/>
  <c r="Q20" i="14"/>
  <c r="Q45" i="14"/>
  <c r="Q40" i="14"/>
  <c r="Q35" i="14"/>
  <c r="Q14" i="14"/>
  <c r="Q39" i="14"/>
  <c r="Q29" i="14"/>
  <c r="Q26" i="14"/>
  <c r="Q61" i="14"/>
  <c r="Q42" i="14"/>
  <c r="Q32" i="14"/>
  <c r="Q59" i="14"/>
  <c r="Q56" i="14"/>
  <c r="Q15" i="14"/>
  <c r="Q46" i="14"/>
  <c r="Q31" i="14"/>
  <c r="Q38" i="14"/>
  <c r="Q41" i="14"/>
  <c r="Q22" i="14"/>
  <c r="Q23" i="14"/>
  <c r="Q51" i="14"/>
  <c r="Q21" i="14"/>
  <c r="Q5" i="14"/>
  <c r="Q6" i="14"/>
  <c r="Q71" i="14"/>
  <c r="Q44" i="14"/>
  <c r="Q49" i="14"/>
  <c r="Q64" i="14"/>
  <c r="Q54" i="14"/>
  <c r="Q37" i="14"/>
  <c r="Q17" i="14"/>
  <c r="Q65" i="14"/>
  <c r="Q50" i="14"/>
  <c r="Q66" i="14"/>
  <c r="Q24" i="14"/>
  <c r="Q62" i="14"/>
  <c r="Q55" i="14"/>
  <c r="Q8" i="14"/>
  <c r="Q69" i="14"/>
  <c r="Q67" i="14"/>
  <c r="Q34" i="14"/>
  <c r="Q43" i="14"/>
  <c r="Q36" i="14"/>
  <c r="Q10" i="14"/>
  <c r="Q12" i="14"/>
  <c r="Q60" i="14"/>
  <c r="Q57" i="14"/>
  <c r="Q68" i="14"/>
  <c r="Q7" i="14"/>
  <c r="Q11" i="14"/>
  <c r="Q9" i="14"/>
  <c r="Q52" i="14"/>
  <c r="Q3" i="14"/>
  <c r="Q28" i="14"/>
  <c r="U36" i="13" l="1"/>
  <c r="U19" i="14"/>
  <c r="T5" i="14"/>
  <c r="U58" i="13"/>
  <c r="U63" i="13"/>
  <c r="U51" i="14"/>
  <c r="U41" i="14"/>
  <c r="U40" i="13"/>
  <c r="S17" i="13"/>
  <c r="U56" i="14"/>
  <c r="U42" i="13"/>
  <c r="U10" i="13"/>
  <c r="T63" i="13"/>
  <c r="S8" i="13"/>
  <c r="U8" i="13"/>
  <c r="S52" i="13"/>
  <c r="T15" i="14"/>
  <c r="T64" i="13"/>
  <c r="U50" i="14"/>
  <c r="S71" i="14"/>
  <c r="S28" i="13"/>
  <c r="S58" i="13"/>
  <c r="S22" i="14"/>
  <c r="T61" i="14"/>
  <c r="U49" i="13"/>
  <c r="S50" i="13"/>
  <c r="S39" i="14"/>
  <c r="U23" i="13"/>
  <c r="T49" i="14"/>
  <c r="U53" i="14"/>
  <c r="S47" i="13"/>
  <c r="S25" i="13"/>
  <c r="T15" i="13"/>
  <c r="T8" i="14"/>
  <c r="T32" i="14"/>
  <c r="U28" i="14"/>
  <c r="U50" i="13"/>
  <c r="U26" i="13"/>
  <c r="T21" i="13"/>
  <c r="C21" i="1"/>
  <c r="T37" i="13"/>
  <c r="T38" i="13"/>
  <c r="U37" i="13"/>
  <c r="T11" i="14"/>
  <c r="T41" i="14"/>
  <c r="T14" i="13"/>
  <c r="S6" i="14"/>
  <c r="S32" i="13"/>
  <c r="U14" i="14"/>
  <c r="T56" i="14"/>
  <c r="T47" i="14"/>
  <c r="U3" i="14"/>
  <c r="U64" i="14"/>
  <c r="T52" i="13"/>
  <c r="U44" i="14"/>
  <c r="U62" i="14"/>
  <c r="T20" i="14"/>
  <c r="U13" i="14"/>
  <c r="U65" i="13"/>
  <c r="U32" i="14"/>
  <c r="U26" i="14"/>
  <c r="T65" i="13"/>
  <c r="T9" i="13"/>
  <c r="T42" i="14"/>
  <c r="T40" i="13"/>
  <c r="S36" i="13"/>
  <c r="T43" i="14"/>
  <c r="T16" i="13"/>
  <c r="T51" i="14"/>
  <c r="S31" i="14"/>
  <c r="T13" i="13"/>
  <c r="T63" i="14"/>
  <c r="U43" i="14"/>
  <c r="T26" i="13"/>
  <c r="T30" i="14"/>
  <c r="S70" i="14"/>
  <c r="S60" i="14"/>
  <c r="T67" i="13"/>
  <c r="T31" i="13"/>
  <c r="T59" i="14"/>
  <c r="T39" i="14"/>
  <c r="S63" i="14"/>
  <c r="S59" i="13"/>
  <c r="T19" i="13"/>
  <c r="S42" i="14"/>
  <c r="U54" i="14"/>
  <c r="S49" i="14"/>
  <c r="U37" i="14"/>
  <c r="U45" i="13"/>
  <c r="S23" i="13"/>
  <c r="S64" i="13"/>
  <c r="U7" i="14"/>
  <c r="U46" i="14"/>
  <c r="U38" i="13"/>
  <c r="S27" i="14"/>
  <c r="T6" i="13"/>
  <c r="S62" i="13"/>
  <c r="U65" i="14"/>
  <c r="T10" i="13"/>
  <c r="S23" i="14"/>
  <c r="U61" i="13"/>
  <c r="U58" i="14"/>
  <c r="U68" i="14"/>
  <c r="S45" i="14"/>
  <c r="S26" i="13"/>
  <c r="T66" i="14"/>
  <c r="S51" i="14"/>
  <c r="T12" i="13"/>
  <c r="S40" i="13"/>
  <c r="T70" i="14"/>
  <c r="U29" i="13"/>
  <c r="T26" i="14"/>
  <c r="T65" i="14"/>
  <c r="U55" i="14"/>
  <c r="T19" i="14"/>
  <c r="S55" i="13"/>
  <c r="T66" i="13"/>
  <c r="U67" i="14"/>
  <c r="T67" i="14"/>
  <c r="S12" i="14"/>
  <c r="U38" i="14"/>
  <c r="U54" i="13"/>
  <c r="U36" i="14"/>
  <c r="U9" i="14"/>
  <c r="U66" i="13"/>
  <c r="T25" i="13"/>
  <c r="S41" i="14"/>
  <c r="S43" i="13"/>
  <c r="S3" i="13"/>
  <c r="T33" i="14"/>
  <c r="S33" i="13"/>
  <c r="S12" i="13"/>
  <c r="T52" i="14"/>
  <c r="S67" i="14"/>
  <c r="T28" i="13"/>
  <c r="U9" i="13"/>
  <c r="S5" i="14"/>
  <c r="T24" i="13"/>
  <c r="S37" i="14"/>
  <c r="S57" i="14"/>
  <c r="S55" i="14"/>
  <c r="S38" i="14"/>
  <c r="T42" i="13"/>
  <c r="S46" i="13"/>
  <c r="S51" i="13"/>
  <c r="S58" i="14"/>
  <c r="U22" i="14"/>
  <c r="T44" i="14"/>
  <c r="S9" i="14"/>
  <c r="S71" i="13"/>
  <c r="T57" i="13"/>
  <c r="S32" i="14"/>
  <c r="U43" i="13"/>
  <c r="T22" i="14"/>
  <c r="T7" i="13"/>
  <c r="T17" i="13"/>
  <c r="U27" i="13"/>
  <c r="S27" i="13"/>
  <c r="T25" i="14"/>
  <c r="T59" i="13"/>
  <c r="U39" i="13"/>
  <c r="U5" i="14"/>
  <c r="S62" i="14"/>
  <c r="U33" i="14"/>
  <c r="U8" i="14"/>
  <c r="S68" i="13"/>
  <c r="S69" i="13"/>
  <c r="U23" i="14"/>
  <c r="T27" i="13"/>
  <c r="U49" i="14"/>
  <c r="S53" i="14"/>
  <c r="S14" i="13"/>
  <c r="U41" i="13"/>
  <c r="S69" i="14"/>
  <c r="T31" i="14"/>
  <c r="U21" i="14"/>
  <c r="S61" i="13"/>
  <c r="S9" i="13"/>
  <c r="S18" i="14"/>
  <c r="U31" i="13"/>
  <c r="S13" i="13"/>
  <c r="U20" i="14"/>
  <c r="S40" i="14"/>
  <c r="S25" i="14"/>
  <c r="T14" i="14"/>
  <c r="T41" i="13"/>
  <c r="U52" i="13"/>
  <c r="U18" i="14"/>
  <c r="S19" i="13"/>
  <c r="T21" i="14"/>
  <c r="S26" i="14"/>
  <c r="T7" i="14"/>
  <c r="U57" i="14"/>
  <c r="T58" i="13"/>
  <c r="T3" i="14"/>
  <c r="U20" i="13"/>
  <c r="S17" i="14"/>
  <c r="S63" i="13"/>
  <c r="S66" i="14"/>
  <c r="U64" i="13"/>
  <c r="U40" i="14"/>
  <c r="T48" i="14"/>
  <c r="U30" i="14"/>
  <c r="S15" i="13"/>
  <c r="T3" i="13"/>
  <c r="U15" i="14"/>
  <c r="T6" i="14"/>
  <c r="U11" i="14"/>
  <c r="U13" i="13"/>
  <c r="T43" i="13"/>
  <c r="U27" i="14"/>
  <c r="S70" i="13"/>
  <c r="S10" i="13"/>
  <c r="T54" i="13"/>
  <c r="U19" i="13"/>
  <c r="U7" i="13"/>
  <c r="U34" i="14"/>
  <c r="U70" i="14"/>
  <c r="U66" i="14"/>
  <c r="S29" i="14"/>
  <c r="S52" i="14"/>
  <c r="S45" i="13"/>
  <c r="U3" i="13"/>
  <c r="S49" i="13"/>
  <c r="T44" i="13"/>
  <c r="T57" i="14"/>
  <c r="U5" i="13"/>
  <c r="S57" i="13"/>
  <c r="T62" i="14"/>
  <c r="T56" i="13"/>
  <c r="U32" i="13"/>
  <c r="U39" i="14"/>
  <c r="S48" i="13"/>
  <c r="S21" i="13"/>
  <c r="T49" i="13"/>
  <c r="U61" i="14"/>
  <c r="U30" i="13"/>
  <c r="U21" i="13"/>
  <c r="T60" i="13"/>
  <c r="U68" i="13"/>
  <c r="T69" i="13"/>
  <c r="U69" i="13"/>
  <c r="S20" i="13"/>
  <c r="S13" i="14"/>
  <c r="S68" i="14"/>
  <c r="U31" i="14"/>
  <c r="S7" i="14"/>
  <c r="U34" i="13"/>
  <c r="T13" i="14"/>
  <c r="T50" i="14"/>
  <c r="T60" i="14"/>
  <c r="S59" i="14"/>
  <c r="S8" i="14"/>
  <c r="S16" i="13"/>
  <c r="T54" i="14"/>
  <c r="U11" i="13"/>
  <c r="T40" i="14"/>
  <c r="U52" i="14"/>
  <c r="U28" i="13"/>
  <c r="S14" i="14"/>
  <c r="T29" i="14"/>
  <c r="S56" i="13"/>
  <c r="U69" i="14"/>
  <c r="T68" i="14"/>
  <c r="S35" i="13"/>
  <c r="U6" i="13"/>
  <c r="T12" i="14"/>
  <c r="U12" i="14"/>
  <c r="T10" i="14"/>
  <c r="T34" i="13"/>
  <c r="S41" i="13"/>
  <c r="S10" i="14"/>
  <c r="S29" i="13"/>
  <c r="S5" i="13"/>
  <c r="U59" i="13"/>
  <c r="U25" i="14"/>
  <c r="S3" i="14"/>
  <c r="S4" i="14"/>
  <c r="T64" i="14"/>
  <c r="S64" i="14"/>
  <c r="S61" i="14"/>
  <c r="S46" i="14"/>
  <c r="U63" i="14"/>
  <c r="T18" i="14"/>
  <c r="U15" i="13"/>
  <c r="S39" i="13"/>
  <c r="T23" i="14"/>
  <c r="T8" i="13"/>
  <c r="S18" i="13"/>
  <c r="S54" i="14"/>
  <c r="T61" i="13"/>
  <c r="U10" i="14"/>
  <c r="T45" i="14"/>
  <c r="T30" i="13"/>
  <c r="T39" i="13"/>
  <c r="T34" i="14"/>
  <c r="S19" i="14"/>
  <c r="S24" i="13"/>
  <c r="T4" i="14"/>
  <c r="S56" i="14"/>
  <c r="U44" i="13"/>
  <c r="T11" i="13"/>
  <c r="U33" i="13"/>
  <c r="S65" i="13"/>
  <c r="S11" i="13"/>
  <c r="S60" i="13"/>
  <c r="S22" i="13"/>
  <c r="U53" i="13"/>
  <c r="S20" i="14"/>
  <c r="S24" i="14"/>
  <c r="S7" i="13"/>
  <c r="T37" i="14"/>
  <c r="S54" i="13"/>
  <c r="T36" i="13"/>
  <c r="U29" i="14"/>
  <c r="T20" i="13"/>
  <c r="U35" i="14"/>
  <c r="U62" i="13"/>
  <c r="T17" i="14"/>
  <c r="T55" i="14"/>
  <c r="T36" i="14"/>
  <c r="T71" i="13"/>
  <c r="U48" i="14"/>
  <c r="U18" i="13"/>
  <c r="S44" i="13"/>
  <c r="T9" i="14"/>
  <c r="S65" i="14"/>
  <c r="U17" i="13"/>
  <c r="U6" i="14"/>
  <c r="S36" i="14"/>
  <c r="S43" i="14"/>
  <c r="T16" i="14"/>
  <c r="U47" i="14"/>
  <c r="S38" i="13"/>
  <c r="T58" i="14"/>
  <c r="U57" i="13"/>
  <c r="S33" i="14"/>
  <c r="U47" i="13"/>
  <c r="U12" i="13"/>
  <c r="S37" i="13"/>
  <c r="U55" i="13"/>
  <c r="S21" i="14"/>
  <c r="T71" i="14"/>
  <c r="U45" i="14"/>
  <c r="T32" i="13"/>
  <c r="T35" i="13"/>
  <c r="T50" i="13"/>
  <c r="U51" i="13"/>
  <c r="T29" i="13"/>
  <c r="S15" i="14"/>
  <c r="S35" i="14"/>
  <c r="T55" i="13"/>
  <c r="U17" i="14"/>
  <c r="T35" i="14"/>
  <c r="S47" i="14"/>
  <c r="U16" i="14"/>
  <c r="T24" i="14"/>
  <c r="S67" i="13"/>
  <c r="T5" i="13"/>
  <c r="T53" i="14"/>
  <c r="T27" i="14"/>
  <c r="T48" i="13"/>
  <c r="T46" i="14"/>
  <c r="U14" i="13"/>
  <c r="T69" i="14"/>
  <c r="S34" i="13"/>
  <c r="T33" i="13"/>
  <c r="U46" i="13"/>
  <c r="U16" i="13"/>
  <c r="U67" i="13"/>
  <c r="S53" i="13"/>
  <c r="S34" i="14"/>
  <c r="U71" i="14"/>
  <c r="S50" i="14"/>
  <c r="S11" i="14"/>
  <c r="U4" i="13"/>
  <c r="S16" i="14"/>
  <c r="U35" i="13"/>
  <c r="T23" i="13"/>
  <c r="T4" i="13"/>
  <c r="S44" i="14"/>
  <c r="U60" i="13"/>
  <c r="T28" i="14"/>
  <c r="T51" i="13"/>
  <c r="U24" i="13"/>
  <c r="U71" i="13"/>
  <c r="S30" i="14"/>
  <c r="T18" i="13"/>
  <c r="S4" i="13"/>
  <c r="U70" i="13"/>
  <c r="U48" i="13"/>
  <c r="S31" i="13"/>
  <c r="U4" i="14"/>
  <c r="S42" i="13"/>
  <c r="U60" i="14"/>
  <c r="U24" i="14"/>
  <c r="S30" i="13"/>
  <c r="T38" i="14"/>
  <c r="S28" i="14"/>
  <c r="T47" i="13"/>
  <c r="S6" i="13"/>
  <c r="U25" i="13"/>
  <c r="U42" i="14"/>
  <c r="T45" i="13"/>
  <c r="T53" i="13"/>
  <c r="U22" i="13"/>
  <c r="T46" i="13"/>
  <c r="T70" i="13"/>
  <c r="S66" i="13"/>
  <c r="U56" i="13"/>
  <c r="T22" i="13"/>
  <c r="T62" i="13"/>
  <c r="U59" i="14"/>
  <c r="S48" i="14"/>
  <c r="T68" i="13"/>
  <c r="C49" i="1"/>
  <c r="H49" i="1"/>
  <c r="S18" i="12" l="1"/>
  <c r="T18" i="12"/>
  <c r="U18" i="12"/>
  <c r="U5" i="12"/>
  <c r="S5" i="12"/>
  <c r="T5" i="12"/>
  <c r="S66" i="12"/>
  <c r="U66" i="12"/>
  <c r="T66" i="12"/>
  <c r="S70" i="12"/>
  <c r="U70" i="12"/>
  <c r="T70" i="12"/>
  <c r="S58" i="12"/>
  <c r="T58" i="12"/>
  <c r="U58" i="12"/>
  <c r="U23" i="12"/>
  <c r="T23" i="12"/>
  <c r="S23" i="12"/>
  <c r="U7" i="12"/>
  <c r="T7" i="12"/>
  <c r="S7" i="12"/>
  <c r="S67" i="12"/>
  <c r="T67" i="12"/>
  <c r="U67" i="12"/>
  <c r="T21" i="12"/>
  <c r="S21" i="12"/>
  <c r="U21" i="12"/>
  <c r="S56" i="12"/>
  <c r="U56" i="12"/>
  <c r="T56" i="12"/>
  <c r="S4" i="12"/>
  <c r="U4" i="12"/>
  <c r="T4" i="12"/>
  <c r="S32" i="12"/>
  <c r="U32" i="12"/>
  <c r="T32" i="12"/>
  <c r="T26" i="12"/>
  <c r="S26" i="12"/>
  <c r="U26" i="12"/>
  <c r="T64" i="12"/>
  <c r="U64" i="12"/>
  <c r="S64" i="12"/>
  <c r="U31" i="12"/>
  <c r="S31" i="12"/>
  <c r="T31" i="12"/>
  <c r="S14" i="12"/>
  <c r="U14" i="12"/>
  <c r="T14" i="12"/>
  <c r="T46" i="12"/>
  <c r="U46" i="12"/>
  <c r="S46" i="12"/>
  <c r="T16" i="12"/>
  <c r="S16" i="12"/>
  <c r="U16" i="12"/>
  <c r="T35" i="12"/>
  <c r="S35" i="12"/>
  <c r="U35" i="12"/>
  <c r="T43" i="12"/>
  <c r="U43" i="12"/>
  <c r="S43" i="12"/>
  <c r="S68" i="12"/>
  <c r="T68" i="12"/>
  <c r="U68" i="12"/>
  <c r="T9" i="12"/>
  <c r="U9" i="12"/>
  <c r="S9" i="12"/>
  <c r="S60" i="12"/>
  <c r="U60" i="12"/>
  <c r="T60" i="12"/>
  <c r="U19" i="12"/>
  <c r="T19" i="12"/>
  <c r="S19" i="12"/>
  <c r="U24" i="12"/>
  <c r="S24" i="12"/>
  <c r="T24" i="12"/>
  <c r="S65" i="12"/>
  <c r="U65" i="12"/>
  <c r="T65" i="12"/>
  <c r="S8" i="12"/>
  <c r="T8" i="12"/>
  <c r="U8" i="12"/>
  <c r="T33" i="12"/>
  <c r="U33" i="12"/>
  <c r="S33" i="12"/>
  <c r="U12" i="12"/>
  <c r="T12" i="12"/>
  <c r="S12" i="12"/>
  <c r="S11" i="12"/>
  <c r="U11" i="12"/>
  <c r="T11" i="12"/>
  <c r="T55" i="12"/>
  <c r="S55" i="12"/>
  <c r="U55" i="12"/>
  <c r="U53" i="12"/>
  <c r="S53" i="12"/>
  <c r="T53" i="12"/>
  <c r="S57" i="12"/>
  <c r="T57" i="12"/>
  <c r="U57" i="12"/>
  <c r="S59" i="12"/>
  <c r="T59" i="12"/>
  <c r="U59" i="12"/>
  <c r="T63" i="12"/>
  <c r="U63" i="12"/>
  <c r="S63" i="12"/>
  <c r="T44" i="12"/>
  <c r="S44" i="12"/>
  <c r="U44" i="12"/>
  <c r="U69" i="12"/>
  <c r="T69" i="12"/>
  <c r="S69" i="12"/>
  <c r="S54" i="12"/>
  <c r="U54" i="12"/>
  <c r="T54" i="12"/>
  <c r="U36" i="12"/>
  <c r="S36" i="12"/>
  <c r="T36" i="12"/>
  <c r="U42" i="12"/>
  <c r="T42" i="12"/>
  <c r="S42" i="12"/>
  <c r="U62" i="12"/>
  <c r="T62" i="12"/>
  <c r="S62" i="12"/>
  <c r="T28" i="12"/>
  <c r="U28" i="12"/>
  <c r="S28" i="12"/>
  <c r="U38" i="12"/>
  <c r="T38" i="12"/>
  <c r="S38" i="12"/>
  <c r="T39" i="12"/>
  <c r="S39" i="12"/>
  <c r="U39" i="12"/>
  <c r="T22" i="12"/>
  <c r="U22" i="12"/>
  <c r="S22" i="12"/>
  <c r="T47" i="12"/>
  <c r="U47" i="12"/>
  <c r="S47" i="12"/>
  <c r="U45" i="12"/>
  <c r="T45" i="12"/>
  <c r="S45" i="12"/>
  <c r="U41" i="12"/>
  <c r="T41" i="12"/>
  <c r="S41" i="12"/>
  <c r="U34" i="12"/>
  <c r="T34" i="12"/>
  <c r="S34" i="12"/>
  <c r="T6" i="12"/>
  <c r="S6" i="12"/>
  <c r="U6" i="12"/>
  <c r="S61" i="12"/>
  <c r="U61" i="12"/>
  <c r="T61" i="12"/>
  <c r="S25" i="12"/>
  <c r="U25" i="12"/>
  <c r="T25" i="12"/>
  <c r="T13" i="12"/>
  <c r="U13" i="12"/>
  <c r="S13" i="12"/>
  <c r="T17" i="12"/>
  <c r="U17" i="12"/>
  <c r="S17" i="12"/>
  <c r="U30" i="12"/>
  <c r="T30" i="12"/>
  <c r="S30" i="12"/>
  <c r="U3" i="12"/>
  <c r="T3" i="12"/>
  <c r="S3" i="12"/>
  <c r="S49" i="12"/>
  <c r="U49" i="12"/>
  <c r="T49" i="12"/>
  <c r="T37" i="12"/>
  <c r="U37" i="12"/>
  <c r="S37" i="12"/>
  <c r="T51" i="12"/>
  <c r="S51" i="12"/>
  <c r="U51" i="12"/>
  <c r="T40" i="12"/>
  <c r="U40" i="12"/>
  <c r="S40" i="12"/>
  <c r="U52" i="12"/>
  <c r="S52" i="12"/>
  <c r="T52" i="12"/>
  <c r="T48" i="12"/>
  <c r="S48" i="12"/>
  <c r="U48" i="12"/>
  <c r="T27" i="12"/>
  <c r="S27" i="12"/>
  <c r="U27" i="12"/>
  <c r="U15" i="12"/>
  <c r="T15" i="12"/>
  <c r="S15" i="12"/>
  <c r="S20" i="12"/>
  <c r="T20" i="12"/>
  <c r="U20" i="12"/>
  <c r="U29" i="12"/>
  <c r="S29" i="12"/>
  <c r="T29" i="12"/>
  <c r="T50" i="12"/>
  <c r="U50" i="12"/>
  <c r="S50" i="12"/>
  <c r="T71" i="12"/>
  <c r="U71" i="12"/>
  <c r="S71" i="12"/>
  <c r="T10" i="12"/>
  <c r="U10" i="12"/>
  <c r="S10" i="12"/>
  <c r="D12" i="1" l="1"/>
  <c r="V2" i="2" s="1" a="1"/>
  <c r="D22" i="1"/>
  <c r="D13" i="1"/>
  <c r="D21" i="1"/>
  <c r="C20" i="1"/>
  <c r="D20" i="1" s="1"/>
  <c r="I40" i="1"/>
  <c r="V2" i="14" s="1" a="1"/>
  <c r="I50" i="1"/>
  <c r="I41" i="1"/>
  <c r="H48" i="1"/>
  <c r="I48" i="1"/>
  <c r="I49" i="1"/>
  <c r="D40" i="1"/>
  <c r="V2" i="13" s="1" a="1"/>
  <c r="D50" i="1"/>
  <c r="D41" i="1"/>
  <c r="C48" i="1"/>
  <c r="D48" i="1"/>
  <c r="D49" i="1"/>
  <c r="D26" i="1"/>
  <c r="V2" i="11" s="1" a="1"/>
  <c r="D36" i="1"/>
  <c r="D27" i="1"/>
  <c r="C34" i="1"/>
  <c r="D34" i="1"/>
  <c r="D35" i="1"/>
  <c r="I26" i="1"/>
  <c r="V2" i="12" s="1" a="1"/>
  <c r="I36" i="1"/>
  <c r="H34" i="1"/>
  <c r="I34" i="1"/>
  <c r="I35" i="1"/>
  <c r="I27" i="1"/>
  <c r="I12" i="1"/>
  <c r="V2" i="10" s="1" a="1"/>
  <c r="I22" i="1"/>
  <c r="I13" i="1"/>
  <c r="H20" i="1"/>
  <c r="I20" i="1"/>
  <c r="I21" i="1"/>
  <c r="V18" i="10" l="1"/>
  <c r="V11" i="10"/>
  <c r="V4" i="10"/>
  <c r="V68" i="10"/>
  <c r="V61" i="10"/>
  <c r="V54" i="10"/>
  <c r="V47" i="10"/>
  <c r="V40" i="10"/>
  <c r="V41" i="10"/>
  <c r="V26" i="10"/>
  <c r="V19" i="10"/>
  <c r="V12" i="10"/>
  <c r="V5" i="10"/>
  <c r="V69" i="10"/>
  <c r="V62" i="10"/>
  <c r="V55" i="10"/>
  <c r="V48" i="10"/>
  <c r="V49" i="10"/>
  <c r="V34" i="10"/>
  <c r="V27" i="10"/>
  <c r="V20" i="10"/>
  <c r="V13" i="10"/>
  <c r="V6" i="10"/>
  <c r="V70" i="10"/>
  <c r="V63" i="10"/>
  <c r="V56" i="10"/>
  <c r="V57" i="10"/>
  <c r="V42" i="10"/>
  <c r="V59" i="10"/>
  <c r="V29" i="10"/>
  <c r="V46" i="10"/>
  <c r="V16" i="10"/>
  <c r="V65" i="10"/>
  <c r="V50" i="10"/>
  <c r="V67" i="10"/>
  <c r="V37" i="10"/>
  <c r="V7" i="10"/>
  <c r="V24" i="10"/>
  <c r="V58" i="10"/>
  <c r="V28" i="10"/>
  <c r="V45" i="10"/>
  <c r="V15" i="10"/>
  <c r="V32" i="10"/>
  <c r="V66" i="10"/>
  <c r="V36" i="10"/>
  <c r="V53" i="10"/>
  <c r="V23" i="10"/>
  <c r="V64" i="10"/>
  <c r="V3" i="10"/>
  <c r="V44" i="10"/>
  <c r="V14" i="10"/>
  <c r="V31" i="10"/>
  <c r="V9" i="10"/>
  <c r="V35" i="10"/>
  <c r="V52" i="10"/>
  <c r="V22" i="10"/>
  <c r="V39" i="10"/>
  <c r="V43" i="10"/>
  <c r="V30" i="10"/>
  <c r="V25" i="10"/>
  <c r="V10" i="10"/>
  <c r="V21" i="10"/>
  <c r="V8" i="10"/>
  <c r="V33" i="10"/>
  <c r="V17" i="10"/>
  <c r="V2" i="10"/>
  <c r="V60" i="10"/>
  <c r="V71" i="10"/>
  <c r="V51" i="10"/>
  <c r="V38" i="10"/>
  <c r="V9" i="11"/>
  <c r="V2" i="11"/>
  <c r="V66" i="11"/>
  <c r="V59" i="11"/>
  <c r="V52" i="11"/>
  <c r="V45" i="11"/>
  <c r="V38" i="11"/>
  <c r="V31" i="11"/>
  <c r="V24" i="11"/>
  <c r="V17" i="11"/>
  <c r="V10" i="11"/>
  <c r="V3" i="11"/>
  <c r="V67" i="11"/>
  <c r="V60" i="11"/>
  <c r="V53" i="11"/>
  <c r="V46" i="11"/>
  <c r="V39" i="11"/>
  <c r="V32" i="11"/>
  <c r="V25" i="11"/>
  <c r="V18" i="11"/>
  <c r="V11" i="11"/>
  <c r="V4" i="11"/>
  <c r="V68" i="11"/>
  <c r="V61" i="11"/>
  <c r="V54" i="11"/>
  <c r="V47" i="11"/>
  <c r="V40" i="11"/>
  <c r="V33" i="11"/>
  <c r="V26" i="11"/>
  <c r="V19" i="11"/>
  <c r="V12" i="11"/>
  <c r="V5" i="11"/>
  <c r="V41" i="11"/>
  <c r="V27" i="11"/>
  <c r="V13" i="11"/>
  <c r="V30" i="11"/>
  <c r="V71" i="11"/>
  <c r="V35" i="11"/>
  <c r="V21" i="11"/>
  <c r="V62" i="11"/>
  <c r="V8" i="11"/>
  <c r="V57" i="11"/>
  <c r="V43" i="11"/>
  <c r="V29" i="11"/>
  <c r="V70" i="11"/>
  <c r="V16" i="11"/>
  <c r="V65" i="11"/>
  <c r="V51" i="11"/>
  <c r="V37" i="11"/>
  <c r="V7" i="11"/>
  <c r="V48" i="11"/>
  <c r="V34" i="11"/>
  <c r="V20" i="11"/>
  <c r="V69" i="11"/>
  <c r="V15" i="11"/>
  <c r="V56" i="11"/>
  <c r="V42" i="11"/>
  <c r="V28" i="11"/>
  <c r="V6" i="11"/>
  <c r="V64" i="11"/>
  <c r="V50" i="11"/>
  <c r="V14" i="11"/>
  <c r="V55" i="11"/>
  <c r="V58" i="11"/>
  <c r="V22" i="11"/>
  <c r="V63" i="11"/>
  <c r="V49" i="11"/>
  <c r="V23" i="11"/>
  <c r="V36" i="11"/>
  <c r="V44" i="11"/>
  <c r="V41" i="2"/>
  <c r="V34" i="2"/>
  <c r="V27" i="2"/>
  <c r="V20" i="2"/>
  <c r="V13" i="2"/>
  <c r="V6" i="2"/>
  <c r="V70" i="2"/>
  <c r="V63" i="2"/>
  <c r="V56" i="2"/>
  <c r="V49" i="2"/>
  <c r="V42" i="2"/>
  <c r="V35" i="2"/>
  <c r="V28" i="2"/>
  <c r="V21" i="2"/>
  <c r="V14" i="2"/>
  <c r="V7" i="2"/>
  <c r="V71" i="2"/>
  <c r="V64" i="2"/>
  <c r="V57" i="2"/>
  <c r="V50" i="2"/>
  <c r="V43" i="2"/>
  <c r="V36" i="2"/>
  <c r="V29" i="2"/>
  <c r="V22" i="2"/>
  <c r="V15" i="2"/>
  <c r="V8" i="2"/>
  <c r="V18" i="2"/>
  <c r="V59" i="2"/>
  <c r="V5" i="2"/>
  <c r="V46" i="2"/>
  <c r="V16" i="2"/>
  <c r="V9" i="2"/>
  <c r="V26" i="2"/>
  <c r="V67" i="2"/>
  <c r="V37" i="2"/>
  <c r="V54" i="2"/>
  <c r="V24" i="2"/>
  <c r="V17" i="2"/>
  <c r="V58" i="2"/>
  <c r="V4" i="2"/>
  <c r="V45" i="2"/>
  <c r="V62" i="2"/>
  <c r="V32" i="2"/>
  <c r="V25" i="2"/>
  <c r="V66" i="2"/>
  <c r="V12" i="2"/>
  <c r="V53" i="2"/>
  <c r="V23" i="2"/>
  <c r="V40" i="2"/>
  <c r="V33" i="2"/>
  <c r="V3" i="2"/>
  <c r="V44" i="2"/>
  <c r="V61" i="2"/>
  <c r="V31" i="2"/>
  <c r="V48" i="2"/>
  <c r="V65" i="2"/>
  <c r="V11" i="2"/>
  <c r="V52" i="2"/>
  <c r="V69" i="2"/>
  <c r="V39" i="2"/>
  <c r="V2" i="2"/>
  <c r="V60" i="2"/>
  <c r="V30" i="2"/>
  <c r="V47" i="2"/>
  <c r="V68" i="2"/>
  <c r="V55" i="2"/>
  <c r="V19" i="2"/>
  <c r="V51" i="2"/>
  <c r="V38" i="2"/>
  <c r="V10" i="2"/>
  <c r="V9" i="14"/>
  <c r="V2" i="14"/>
  <c r="V66" i="14"/>
  <c r="V59" i="14"/>
  <c r="V52" i="14"/>
  <c r="V45" i="14"/>
  <c r="V38" i="14"/>
  <c r="V31" i="14"/>
  <c r="V24" i="14"/>
  <c r="V17" i="14"/>
  <c r="V10" i="14"/>
  <c r="V3" i="14"/>
  <c r="V67" i="14"/>
  <c r="V60" i="14"/>
  <c r="V53" i="14"/>
  <c r="V46" i="14"/>
  <c r="V39" i="14"/>
  <c r="V32" i="14"/>
  <c r="V25" i="14"/>
  <c r="V18" i="14"/>
  <c r="V11" i="14"/>
  <c r="V4" i="14"/>
  <c r="V68" i="14"/>
  <c r="V61" i="14"/>
  <c r="V54" i="14"/>
  <c r="V47" i="14"/>
  <c r="V40" i="14"/>
  <c r="V33" i="14"/>
  <c r="V26" i="14"/>
  <c r="V19" i="14"/>
  <c r="V12" i="14"/>
  <c r="V5" i="14"/>
  <c r="V69" i="14"/>
  <c r="V62" i="14"/>
  <c r="V55" i="14"/>
  <c r="V48" i="14"/>
  <c r="V41" i="14"/>
  <c r="V34" i="14"/>
  <c r="V27" i="14"/>
  <c r="V20" i="14"/>
  <c r="V13" i="14"/>
  <c r="V6" i="14"/>
  <c r="V70" i="14"/>
  <c r="V63" i="14"/>
  <c r="V56" i="14"/>
  <c r="V49" i="14"/>
  <c r="V42" i="14"/>
  <c r="V35" i="14"/>
  <c r="V28" i="14"/>
  <c r="V21" i="14"/>
  <c r="V14" i="14"/>
  <c r="V7" i="14"/>
  <c r="V71" i="14"/>
  <c r="V64" i="14"/>
  <c r="V57" i="14"/>
  <c r="V50" i="14"/>
  <c r="V43" i="14"/>
  <c r="V36" i="14"/>
  <c r="V29" i="14"/>
  <c r="V22" i="14"/>
  <c r="V15" i="14"/>
  <c r="V8" i="14"/>
  <c r="V65" i="14"/>
  <c r="V58" i="14"/>
  <c r="V51" i="14"/>
  <c r="V44" i="14"/>
  <c r="V37" i="14"/>
  <c r="V30" i="14"/>
  <c r="V23" i="14"/>
  <c r="V16" i="14"/>
  <c r="V9" i="12"/>
  <c r="V2" i="12"/>
  <c r="V66" i="12"/>
  <c r="V59" i="12"/>
  <c r="V52" i="12"/>
  <c r="V45" i="12"/>
  <c r="V38" i="12"/>
  <c r="V31" i="12"/>
  <c r="V24" i="12"/>
  <c r="V17" i="12"/>
  <c r="V10" i="12"/>
  <c r="V3" i="12"/>
  <c r="V67" i="12"/>
  <c r="V60" i="12"/>
  <c r="V53" i="12"/>
  <c r="V46" i="12"/>
  <c r="V39" i="12"/>
  <c r="V32" i="12"/>
  <c r="V25" i="12"/>
  <c r="V18" i="12"/>
  <c r="V11" i="12"/>
  <c r="V4" i="12"/>
  <c r="V68" i="12"/>
  <c r="V61" i="12"/>
  <c r="V54" i="12"/>
  <c r="V47" i="12"/>
  <c r="V40" i="12"/>
  <c r="V33" i="12"/>
  <c r="V50" i="12"/>
  <c r="V20" i="12"/>
  <c r="V37" i="12"/>
  <c r="V7" i="12"/>
  <c r="V48" i="12"/>
  <c r="V41" i="12"/>
  <c r="V58" i="12"/>
  <c r="V28" i="12"/>
  <c r="V69" i="12"/>
  <c r="V15" i="12"/>
  <c r="V56" i="12"/>
  <c r="V49" i="12"/>
  <c r="V19" i="12"/>
  <c r="V36" i="12"/>
  <c r="V6" i="12"/>
  <c r="V23" i="12"/>
  <c r="V64" i="12"/>
  <c r="V57" i="12"/>
  <c r="V27" i="12"/>
  <c r="V44" i="12"/>
  <c r="V14" i="12"/>
  <c r="V55" i="12"/>
  <c r="V35" i="12"/>
  <c r="V5" i="12"/>
  <c r="V22" i="12"/>
  <c r="V63" i="12"/>
  <c r="V26" i="12"/>
  <c r="V13" i="12"/>
  <c r="V30" i="12"/>
  <c r="V71" i="12"/>
  <c r="V51" i="12"/>
  <c r="V62" i="12"/>
  <c r="V8" i="12"/>
  <c r="V12" i="12"/>
  <c r="V29" i="12"/>
  <c r="V16" i="12"/>
  <c r="V65" i="12"/>
  <c r="V43" i="12"/>
  <c r="V34" i="12"/>
  <c r="V21" i="12"/>
  <c r="V42" i="12"/>
  <c r="V70" i="12"/>
  <c r="V9" i="13" l="1"/>
  <c r="V2" i="13"/>
  <c r="V66" i="13"/>
  <c r="V59" i="13"/>
  <c r="V52" i="13"/>
  <c r="V45" i="13"/>
  <c r="V38" i="13"/>
  <c r="V31" i="13"/>
  <c r="V24" i="13"/>
  <c r="V17" i="13"/>
  <c r="V10" i="13"/>
  <c r="V3" i="13"/>
  <c r="V67" i="13"/>
  <c r="V60" i="13"/>
  <c r="V53" i="13"/>
  <c r="V46" i="13"/>
  <c r="V39" i="13"/>
  <c r="V32" i="13"/>
  <c r="V25" i="13"/>
  <c r="V18" i="13"/>
  <c r="V11" i="13"/>
  <c r="V4" i="13"/>
  <c r="V68" i="13"/>
  <c r="V61" i="13"/>
  <c r="V54" i="13"/>
  <c r="V47" i="13"/>
  <c r="V40" i="13"/>
  <c r="V33" i="13"/>
  <c r="V26" i="13"/>
  <c r="V19" i="13"/>
  <c r="V12" i="13"/>
  <c r="V5" i="13"/>
  <c r="V69" i="13"/>
  <c r="V62" i="13"/>
  <c r="V55" i="13"/>
  <c r="V48" i="13"/>
  <c r="V41" i="13"/>
  <c r="V34" i="13"/>
  <c r="V27" i="13"/>
  <c r="V20" i="13"/>
  <c r="V13" i="13"/>
  <c r="V6" i="13"/>
  <c r="V70" i="13"/>
  <c r="V63" i="13"/>
  <c r="V56" i="13"/>
  <c r="V49" i="13"/>
  <c r="V42" i="13"/>
  <c r="V35" i="13"/>
  <c r="V28" i="13"/>
  <c r="V21" i="13"/>
  <c r="V14" i="13"/>
  <c r="V7" i="13"/>
  <c r="V71" i="13"/>
  <c r="V64" i="13"/>
  <c r="V57" i="13"/>
  <c r="V50" i="13"/>
  <c r="V43" i="13"/>
  <c r="V36" i="13"/>
  <c r="V29" i="13"/>
  <c r="V22" i="13"/>
  <c r="V15" i="13"/>
  <c r="V8" i="13"/>
  <c r="V65" i="13"/>
  <c r="V58" i="13"/>
  <c r="V51" i="13"/>
  <c r="V44" i="13"/>
  <c r="V37" i="13"/>
  <c r="V30" i="13"/>
  <c r="V23" i="13"/>
  <c r="V16" i="13"/>
</calcChain>
</file>

<file path=xl/comments1.xml><?xml version="1.0" encoding="utf-8"?>
<comments xmlns="http://schemas.openxmlformats.org/spreadsheetml/2006/main">
  <authors>
    <author>Ferdinando Ametrano</author>
  </authors>
  <commentList>
    <comment ref="D6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4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4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4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4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4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4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sharedStrings.xml><?xml version="1.0" encoding="utf-8"?>
<sst xmlns="http://schemas.openxmlformats.org/spreadsheetml/2006/main" count="3022" uniqueCount="200">
  <si>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</si>
  <si>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</si>
  <si>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</si>
  <si>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</si>
  <si>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</si>
  <si>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</si>
  <si>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</si>
  <si>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</si>
  <si>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</si>
  <si>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</si>
  <si>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</si>
  <si>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</si>
  <si>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</si>
  <si>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</si>
  <si>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</si>
  <si>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</si>
  <si>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</si>
  <si>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</si>
  <si>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</si>
  <si>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</si>
  <si>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</si>
  <si>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</si>
  <si>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</si>
  <si>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</si>
  <si>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</si>
  <si>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</si>
  <si>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</si>
  <si>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</si>
  <si>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</si>
  <si>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</si>
  <si>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</si>
  <si>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</si>
  <si>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</si>
  <si>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</si>
  <si>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</si>
  <si>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</si>
  <si>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</si>
  <si>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</si>
  <si>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</si>
  <si>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</si>
  <si>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</si>
  <si>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</si>
  <si>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</si>
  <si>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</si>
  <si>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</si>
  <si>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</si>
  <si>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</si>
  <si>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</si>
  <si>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</si>
  <si>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</si>
  <si>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</si>
  <si>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</si>
  <si>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</si>
  <si>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</si>
  <si>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Euribor6M</t>
  </si>
  <si>
    <t>Euribor1Y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</si>
  <si>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</si>
  <si>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</si>
  <si>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</si>
  <si>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</si>
  <si>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</si>
  <si>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</si>
  <si>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</si>
  <si>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</si>
  <si>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</si>
  <si>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</si>
  <si>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</si>
  <si>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</si>
  <si>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</si>
  <si>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</si>
  <si>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</si>
  <si>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</si>
  <si>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</si>
  <si>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</si>
  <si>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</si>
  <si>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</si>
  <si>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</si>
  <si>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</si>
  <si>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</si>
  <si>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</si>
  <si>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Last Quote Close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</si>
  <si>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</si>
  <si>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</si>
  <si>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</si>
  <si>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</si>
  <si>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</si>
  <si>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</si>
  <si>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</si>
  <si>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</si>
  <si>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</si>
  <si>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</si>
  <si>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</si>
  <si>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</si>
  <si>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</si>
  <si>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</si>
  <si>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</si>
  <si>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</si>
  <si>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</si>
  <si>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</si>
  <si>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</si>
  <si>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</si>
  <si>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</si>
  <si>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</si>
  <si>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</si>
  <si>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</si>
  <si>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</si>
  <si>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</si>
  <si>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</si>
  <si>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</si>
  <si>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</si>
  <si>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</si>
  <si>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</si>
  <si>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</si>
  <si>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</si>
  <si>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</si>
  <si>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</si>
  <si>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</si>
  <si>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</si>
  <si>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</si>
  <si>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</si>
  <si>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</si>
  <si>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</si>
  <si>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</si>
  <si>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</si>
  <si>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</si>
  <si>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</si>
  <si>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</si>
  <si>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</si>
  <si>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</si>
  <si>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</si>
  <si>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</si>
  <si>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</si>
  <si>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</si>
  <si>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</si>
  <si>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</si>
  <si>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</si>
  <si>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</si>
  <si>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</si>
  <si>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</si>
  <si>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</si>
  <si>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</si>
  <si>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</si>
  <si>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</si>
  <si>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</si>
  <si>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</si>
  <si>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</si>
  <si>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</si>
  <si>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</si>
  <si>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</si>
  <si>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</si>
  <si>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</si>
  <si>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</si>
  <si>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</si>
  <si>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</si>
  <si>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</si>
  <si>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</si>
  <si>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</si>
  <si>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</si>
  <si>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</si>
  <si>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</si>
  <si>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</si>
  <si>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</si>
  <si>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</si>
  <si>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</si>
  <si>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</si>
  <si>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</si>
  <si>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</si>
  <si>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</si>
  <si>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</si>
  <si>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</si>
  <si>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</si>
  <si>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</si>
  <si>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</si>
  <si>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</si>
  <si>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</si>
  <si>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</si>
  <si>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</si>
  <si>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EURON</t>
  </si>
  <si>
    <t>EUR1M</t>
  </si>
  <si>
    <t>EUR1Y</t>
  </si>
  <si>
    <t>EUR6M</t>
  </si>
  <si>
    <t>EUR3M</t>
  </si>
  <si>
    <t>EURSTD</t>
  </si>
  <si>
    <t>LAST_QUOTE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</si>
  <si>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</si>
  <si>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</si>
  <si>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</si>
  <si>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</si>
  <si>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</si>
  <si>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</si>
  <si>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</si>
  <si>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</si>
  <si>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</si>
  <si>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Discount</t>
  </si>
  <si>
    <t>KrugerLogCubic</t>
  </si>
  <si>
    <t>Code</t>
  </si>
  <si>
    <t>Business Day Conv</t>
  </si>
  <si>
    <t>Zero Rate</t>
  </si>
  <si>
    <t>Error Index</t>
  </si>
  <si>
    <t xml:space="preserve">Error Last Fixing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</si>
</sst>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mm/dd/yy;@"/>
    <numFmt numFmtId="165" formatCode="0.0000%"/>
    <numFmt numFmtId="166" formatCode="0.00000%"/>
    <numFmt numFmtId="167" formatCode="ddd\,\ dd\-mmm\-yyyy"/>
    <numFmt numFmtId="168" formatCode="ddd\,\ dd\-mmm\-yyyy\,\ hh:mm:ss"/>
    <numFmt numFmtId="169" formatCode="ddd\,\ d\-mmm\-yy"/>
    <numFmt numFmtId="170" formatCode="ddd\,\ d\-mmm\-yyyy"/>
    <numFmt numFmtId="171" formatCode="0.000000000"/>
    <numFmt numFmtId="172" formatCode="ddd\,\ d\-mmm\-yyyy\,\ hh:mm:ss"/>
    <numFmt numFmtId="173" formatCode="0.00000"/>
    <numFmt numFmtId="174" formatCode="0.000000"/>
    <numFmt numFmtId="176" formatCode="ddd\,\ dd\-mmm\-yy"/>
    <numFmt numFmtId="177" formatCode="0.0000"/>
    <numFmt numFmtId="178" formatCode="_([$€-2]* #,##0.00_);_([$€-2]* \(#,##0.00\);_([$€-2]* &quot;-&quot;??_)"/>
    <numFmt numFmtId="179" formatCode="General_)"/>
    <numFmt numFmtId="180" formatCode="#,##0.0;#,##0.0"/>
    <numFmt numFmtId="181" formatCode="&quot;£&quot;#,##0;[Red]\-&quot;£&quot;#,##0"/>
    <numFmt numFmtId="183" formatCode="dd\-mmm\-yy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b/>
      <sz val="8"/>
      <color indexed="12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8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79" fontId="9" fillId="0" borderId="0"/>
    <xf numFmtId="180" fontId="10" fillId="7" borderId="0">
      <alignment horizontal="center" vertical="center"/>
    </xf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</cellStyleXfs>
  <cellXfs count="227">
    <xf numFmtId="0" fontId="0" fillId="0" borderId="0" xfId="0"/>
    <xf numFmtId="0" fontId="4" fillId="2" borderId="0" xfId="1" applyFont="1" applyFill="1" applyBorder="1"/>
    <xf numFmtId="0" fontId="4" fillId="2" borderId="2" xfId="1" applyFont="1" applyFill="1" applyBorder="1"/>
    <xf numFmtId="0" fontId="4" fillId="2" borderId="1" xfId="1" applyFont="1" applyFill="1" applyBorder="1" applyAlignment="1">
      <alignment horizontal="center"/>
    </xf>
    <xf numFmtId="164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6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167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4" fontId="4" fillId="2" borderId="1" xfId="2" applyNumberFormat="1" applyFont="1" applyFill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167" fontId="6" fillId="0" borderId="6" xfId="0" applyNumberFormat="1" applyFont="1" applyBorder="1"/>
    <xf numFmtId="0" fontId="6" fillId="0" borderId="1" xfId="0" applyFont="1" applyBorder="1"/>
    <xf numFmtId="0" fontId="6" fillId="0" borderId="16" xfId="0" applyFont="1" applyBorder="1"/>
    <xf numFmtId="173" fontId="4" fillId="2" borderId="5" xfId="2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right"/>
    </xf>
    <xf numFmtId="174" fontId="6" fillId="0" borderId="6" xfId="0" applyNumberFormat="1" applyFont="1" applyBorder="1"/>
    <xf numFmtId="164" fontId="4" fillId="2" borderId="1" xfId="1" applyNumberFormat="1" applyFont="1" applyFill="1" applyBorder="1" applyAlignment="1">
      <alignment horizontal="right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2" borderId="1" xfId="1" quotePrefix="1" applyFont="1" applyFill="1" applyBorder="1" applyAlignment="1">
      <alignment horizontal="left"/>
    </xf>
    <xf numFmtId="164" fontId="6" fillId="0" borderId="6" xfId="0" applyNumberFormat="1" applyFont="1" applyBorder="1"/>
    <xf numFmtId="164" fontId="6" fillId="0" borderId="1" xfId="0" applyNumberFormat="1" applyFont="1" applyBorder="1"/>
    <xf numFmtId="0" fontId="6" fillId="0" borderId="14" xfId="0" applyFont="1" applyBorder="1"/>
    <xf numFmtId="0" fontId="6" fillId="0" borderId="17" xfId="0" applyFont="1" applyBorder="1"/>
    <xf numFmtId="164" fontId="4" fillId="2" borderId="1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174" fontId="6" fillId="0" borderId="1" xfId="0" applyNumberFormat="1" applyFont="1" applyBorder="1"/>
    <xf numFmtId="167" fontId="6" fillId="0" borderId="1" xfId="0" applyNumberFormat="1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4" fillId="9" borderId="8" xfId="1" applyFont="1" applyFill="1" applyBorder="1"/>
    <xf numFmtId="167" fontId="4" fillId="2" borderId="9" xfId="1" applyNumberFormat="1" applyFont="1" applyFill="1" applyBorder="1" applyAlignment="1">
      <alignment horizontal="center"/>
    </xf>
    <xf numFmtId="0" fontId="4" fillId="9" borderId="6" xfId="1" applyFont="1" applyFill="1" applyBorder="1"/>
    <xf numFmtId="167" fontId="4" fillId="2" borderId="10" xfId="1" applyNumberFormat="1" applyFont="1" applyFill="1" applyBorder="1" applyAlignment="1">
      <alignment horizontal="center"/>
    </xf>
    <xf numFmtId="0" fontId="4" fillId="2" borderId="10" xfId="1" applyFont="1" applyFill="1" applyBorder="1" applyAlignment="1">
      <alignment horizontal="center"/>
    </xf>
    <xf numFmtId="172" fontId="4" fillId="2" borderId="10" xfId="1" applyNumberFormat="1" applyFont="1" applyFill="1" applyBorder="1" applyAlignment="1">
      <alignment horizontal="center"/>
    </xf>
    <xf numFmtId="0" fontId="4" fillId="9" borderId="1" xfId="1" applyFont="1" applyFill="1" applyBorder="1"/>
    <xf numFmtId="172" fontId="4" fillId="2" borderId="3" xfId="1" applyNumberFormat="1" applyFont="1" applyFill="1" applyBorder="1" applyAlignment="1">
      <alignment horizontal="center"/>
    </xf>
    <xf numFmtId="0" fontId="4" fillId="9" borderId="2" xfId="1" applyFont="1" applyFill="1" applyBorder="1"/>
    <xf numFmtId="172" fontId="4" fillId="8" borderId="25" xfId="1" applyNumberFormat="1" applyFont="1" applyFill="1" applyBorder="1" applyAlignment="1">
      <alignment horizontal="center"/>
    </xf>
    <xf numFmtId="0" fontId="11" fillId="9" borderId="8" xfId="1" applyFont="1" applyFill="1" applyBorder="1" applyAlignment="1">
      <alignment horizontal="right"/>
    </xf>
    <xf numFmtId="0" fontId="4" fillId="2" borderId="7" xfId="3" applyFont="1" applyFill="1" applyBorder="1"/>
    <xf numFmtId="0" fontId="11" fillId="9" borderId="1" xfId="1" applyFont="1" applyFill="1" applyBorder="1" applyAlignment="1">
      <alignment horizontal="right"/>
    </xf>
    <xf numFmtId="169" fontId="4" fillId="4" borderId="9" xfId="1" applyNumberFormat="1" applyFont="1" applyFill="1" applyBorder="1" applyAlignment="1">
      <alignment horizontal="center"/>
    </xf>
    <xf numFmtId="0" fontId="11" fillId="9" borderId="6" xfId="1" applyFont="1" applyFill="1" applyBorder="1" applyAlignment="1">
      <alignment horizontal="right"/>
    </xf>
    <xf numFmtId="3" fontId="4" fillId="4" borderId="10" xfId="1" applyNumberFormat="1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8" fontId="4" fillId="2" borderId="0" xfId="3" applyNumberFormat="1" applyFont="1" applyFill="1" applyBorder="1" applyAlignment="1">
      <alignment horizontal="center"/>
    </xf>
    <xf numFmtId="170" fontId="4" fillId="2" borderId="8" xfId="1" applyNumberFormat="1" applyFont="1" applyFill="1" applyBorder="1" applyAlignment="1">
      <alignment horizontal="right"/>
    </xf>
    <xf numFmtId="171" fontId="4" fillId="2" borderId="8" xfId="1" applyNumberFormat="1" applyFont="1" applyFill="1" applyBorder="1" applyAlignment="1">
      <alignment horizontal="center"/>
    </xf>
    <xf numFmtId="170" fontId="4" fillId="2" borderId="6" xfId="1" applyNumberFormat="1" applyFont="1" applyFill="1" applyBorder="1" applyAlignment="1">
      <alignment horizontal="right"/>
    </xf>
    <xf numFmtId="171" fontId="4" fillId="2" borderId="6" xfId="1" applyNumberFormat="1" applyFont="1" applyFill="1" applyBorder="1" applyAlignment="1">
      <alignment horizontal="center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1" xfId="3" applyFont="1" applyFill="1" applyBorder="1"/>
    <xf numFmtId="0" fontId="6" fillId="0" borderId="11" xfId="0" applyFont="1" applyBorder="1"/>
    <xf numFmtId="0" fontId="6" fillId="0" borderId="12" xfId="0" applyFont="1" applyBorder="1"/>
    <xf numFmtId="0" fontId="6" fillId="0" borderId="9" xfId="0" applyFont="1" applyBorder="1"/>
    <xf numFmtId="0" fontId="6" fillId="0" borderId="7" xfId="0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/>
    <xf numFmtId="0" fontId="6" fillId="0" borderId="10" xfId="0" applyFont="1" applyBorder="1" applyAlignment="1">
      <alignment horizontal="center" vertical="center"/>
    </xf>
    <xf numFmtId="0" fontId="6" fillId="0" borderId="5" xfId="0" applyFont="1" applyBorder="1"/>
    <xf numFmtId="0" fontId="6" fillId="0" borderId="4" xfId="0" applyFont="1" applyBorder="1"/>
    <xf numFmtId="0" fontId="6" fillId="0" borderId="3" xfId="0" applyFont="1" applyBorder="1"/>
    <xf numFmtId="0" fontId="6" fillId="0" borderId="18" xfId="0" applyFont="1" applyBorder="1"/>
    <xf numFmtId="0" fontId="6" fillId="10" borderId="0" xfId="0" applyFont="1" applyFill="1"/>
    <xf numFmtId="0" fontId="4" fillId="10" borderId="0" xfId="3" applyFont="1" applyFill="1" applyBorder="1"/>
    <xf numFmtId="168" fontId="4" fillId="10" borderId="0" xfId="3" applyNumberFormat="1" applyFont="1" applyFill="1" applyBorder="1" applyAlignment="1">
      <alignment horizontal="center"/>
    </xf>
    <xf numFmtId="0" fontId="6" fillId="10" borderId="0" xfId="0" applyFont="1" applyFill="1" applyBorder="1"/>
    <xf numFmtId="0" fontId="6" fillId="10" borderId="10" xfId="0" applyFont="1" applyFill="1" applyBorder="1"/>
    <xf numFmtId="0" fontId="4" fillId="10" borderId="10" xfId="3" applyFont="1" applyFill="1" applyBorder="1"/>
    <xf numFmtId="0" fontId="4" fillId="10" borderId="0" xfId="1" applyFont="1" applyFill="1" applyBorder="1"/>
    <xf numFmtId="0" fontId="4" fillId="10" borderId="0" xfId="1" applyFont="1" applyFill="1" applyBorder="1" applyAlignment="1">
      <alignment horizontal="right" vertical="center"/>
    </xf>
    <xf numFmtId="0" fontId="4" fillId="10" borderId="0" xfId="1" applyFont="1" applyFill="1" applyBorder="1" applyAlignment="1">
      <alignment horizontal="center" vertical="center"/>
    </xf>
    <xf numFmtId="0" fontId="4" fillId="10" borderId="0" xfId="1" applyFont="1" applyFill="1" applyBorder="1" applyAlignment="1">
      <alignment horizontal="right"/>
    </xf>
    <xf numFmtId="164" fontId="4" fillId="10" borderId="4" xfId="1" applyNumberFormat="1" applyFont="1" applyFill="1" applyBorder="1" applyAlignment="1"/>
    <xf numFmtId="164" fontId="4" fillId="10" borderId="0" xfId="1" applyNumberFormat="1" applyFont="1" applyFill="1" applyBorder="1" applyAlignment="1"/>
    <xf numFmtId="164" fontId="4" fillId="10" borderId="0" xfId="1" applyNumberFormat="1" applyFont="1" applyFill="1" applyBorder="1" applyAlignment="1">
      <alignment horizontal="right" vertical="center"/>
    </xf>
    <xf numFmtId="0" fontId="4" fillId="10" borderId="0" xfId="1" applyNumberFormat="1" applyFont="1" applyFill="1" applyBorder="1" applyAlignment="1">
      <alignment horizontal="center" vertical="center"/>
    </xf>
    <xf numFmtId="164" fontId="4" fillId="10" borderId="0" xfId="1" applyNumberFormat="1" applyFont="1" applyFill="1" applyBorder="1" applyAlignment="1">
      <alignment horizontal="right"/>
    </xf>
    <xf numFmtId="0" fontId="4" fillId="10" borderId="0" xfId="1" applyNumberFormat="1" applyFont="1" applyFill="1" applyBorder="1" applyAlignment="1"/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right" vertical="center"/>
    </xf>
    <xf numFmtId="0" fontId="6" fillId="10" borderId="0" xfId="0" applyFont="1" applyFill="1" applyAlignment="1">
      <alignment horizontal="right"/>
    </xf>
    <xf numFmtId="0" fontId="4" fillId="10" borderId="0" xfId="1" applyNumberFormat="1" applyFont="1" applyFill="1" applyBorder="1" applyAlignment="1">
      <alignment horizontal="center"/>
    </xf>
    <xf numFmtId="164" fontId="4" fillId="2" borderId="8" xfId="1" applyNumberFormat="1" applyFont="1" applyFill="1" applyBorder="1" applyAlignment="1"/>
    <xf numFmtId="164" fontId="4" fillId="2" borderId="8" xfId="1" applyNumberFormat="1" applyFont="1" applyFill="1" applyBorder="1" applyAlignment="1">
      <alignment horizontal="right" vertical="center"/>
    </xf>
    <xf numFmtId="0" fontId="4" fillId="2" borderId="8" xfId="1" applyNumberFormat="1" applyFont="1" applyFill="1" applyBorder="1" applyAlignment="1">
      <alignment horizontal="center" vertical="center"/>
    </xf>
    <xf numFmtId="164" fontId="4" fillId="2" borderId="8" xfId="1" applyNumberFormat="1" applyFont="1" applyFill="1" applyBorder="1" applyAlignment="1">
      <alignment horizontal="right"/>
    </xf>
    <xf numFmtId="164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6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4" fontId="4" fillId="2" borderId="6" xfId="1" applyNumberFormat="1" applyFont="1" applyFill="1" applyBorder="1" applyAlignment="1"/>
    <xf numFmtId="164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4" fontId="4" fillId="2" borderId="6" xfId="1" applyNumberFormat="1" applyFont="1" applyFill="1" applyBorder="1" applyAlignment="1">
      <alignment horizontal="right"/>
    </xf>
    <xf numFmtId="164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6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11" fillId="9" borderId="2" xfId="1" applyFont="1" applyFill="1" applyBorder="1" applyAlignment="1">
      <alignment horizontal="center" vertical="center" wrapText="1"/>
    </xf>
    <xf numFmtId="0" fontId="4" fillId="9" borderId="11" xfId="0" applyFont="1" applyFill="1" applyBorder="1"/>
    <xf numFmtId="0" fontId="4" fillId="9" borderId="12" xfId="0" applyFont="1" applyFill="1" applyBorder="1" applyAlignment="1">
      <alignment horizontal="centerContinuous" vertical="center"/>
    </xf>
    <xf numFmtId="0" fontId="4" fillId="9" borderId="9" xfId="0" applyFont="1" applyFill="1" applyBorder="1" applyAlignment="1">
      <alignment horizontal="centerContinuous" vertical="center"/>
    </xf>
    <xf numFmtId="0" fontId="4" fillId="9" borderId="24" xfId="0" applyFont="1" applyFill="1" applyBorder="1" applyAlignment="1">
      <alignment horizontal="centerContinuous" vertical="center"/>
    </xf>
    <xf numFmtId="164" fontId="6" fillId="0" borderId="8" xfId="0" applyNumberFormat="1" applyFont="1" applyBorder="1"/>
    <xf numFmtId="0" fontId="6" fillId="0" borderId="8" xfId="0" applyFont="1" applyBorder="1"/>
    <xf numFmtId="174" fontId="4" fillId="9" borderId="12" xfId="0" applyNumberFormat="1" applyFont="1" applyFill="1" applyBorder="1" applyAlignment="1">
      <alignment horizontal="centerContinuous" vertical="center"/>
    </xf>
    <xf numFmtId="165" fontId="6" fillId="0" borderId="8" xfId="0" applyNumberFormat="1" applyFont="1" applyBorder="1"/>
    <xf numFmtId="165" fontId="6" fillId="0" borderId="6" xfId="0" applyNumberFormat="1" applyFont="1" applyBorder="1"/>
    <xf numFmtId="164" fontId="6" fillId="3" borderId="6" xfId="0" applyNumberFormat="1" applyFont="1" applyFill="1" applyBorder="1"/>
    <xf numFmtId="164" fontId="6" fillId="3" borderId="1" xfId="0" applyNumberFormat="1" applyFont="1" applyFill="1" applyBorder="1"/>
    <xf numFmtId="0" fontId="4" fillId="2" borderId="8" xfId="1" quotePrefix="1" applyFont="1" applyFill="1" applyBorder="1" applyAlignment="1">
      <alignment horizontal="left"/>
    </xf>
    <xf numFmtId="167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73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4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7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73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4" fontId="4" fillId="2" borderId="6" xfId="2" applyNumberFormat="1" applyFont="1" applyFill="1" applyBorder="1" applyAlignment="1">
      <alignment horizontal="center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5" fontId="4" fillId="2" borderId="1" xfId="1" applyNumberFormat="1" applyFont="1" applyFill="1" applyBorder="1" applyAlignment="1">
      <alignment horizontal="right"/>
    </xf>
    <xf numFmtId="0" fontId="4" fillId="9" borderId="2" xfId="0" applyFont="1" applyFill="1" applyBorder="1" applyAlignment="1">
      <alignment horizontal="center" vertical="center"/>
    </xf>
    <xf numFmtId="174" fontId="4" fillId="9" borderId="2" xfId="0" applyNumberFormat="1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Continuous" vertical="center"/>
    </xf>
    <xf numFmtId="0" fontId="4" fillId="9" borderId="2" xfId="0" applyFont="1" applyFill="1" applyBorder="1" applyAlignment="1">
      <alignment horizontal="center" vertical="center" wrapText="1"/>
    </xf>
    <xf numFmtId="0" fontId="4" fillId="9" borderId="11" xfId="0" applyFont="1" applyFill="1" applyBorder="1" applyAlignment="1">
      <alignment horizontal="centerContinuous" vertical="center"/>
    </xf>
    <xf numFmtId="183" fontId="4" fillId="2" borderId="8" xfId="1" quotePrefix="1" applyNumberFormat="1" applyFont="1" applyFill="1" applyBorder="1" applyAlignment="1">
      <alignment horizontal="center"/>
    </xf>
    <xf numFmtId="183" fontId="4" fillId="2" borderId="6" xfId="1" quotePrefix="1" applyNumberFormat="1" applyFont="1" applyFill="1" applyBorder="1" applyAlignment="1">
      <alignment horizontal="center"/>
    </xf>
    <xf numFmtId="183" fontId="4" fillId="2" borderId="1" xfId="1" quotePrefix="1" applyNumberFormat="1" applyFont="1" applyFill="1" applyBorder="1" applyAlignment="1">
      <alignment horizontal="center"/>
    </xf>
    <xf numFmtId="164" fontId="4" fillId="2" borderId="8" xfId="1" applyNumberFormat="1" applyFont="1" applyFill="1" applyBorder="1" applyAlignment="1">
      <alignment horizontal="center"/>
    </xf>
    <xf numFmtId="164" fontId="4" fillId="2" borderId="6" xfId="1" applyNumberFormat="1" applyFont="1" applyFill="1" applyBorder="1" applyAlignment="1">
      <alignment horizontal="center"/>
    </xf>
    <xf numFmtId="0" fontId="3" fillId="10" borderId="0" xfId="0" applyFont="1" applyFill="1"/>
    <xf numFmtId="0" fontId="3" fillId="10" borderId="0" xfId="0" applyFont="1" applyFill="1" applyBorder="1"/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right" vertical="center"/>
    </xf>
    <xf numFmtId="0" fontId="3" fillId="10" borderId="0" xfId="0" applyFont="1" applyFill="1" applyAlignment="1">
      <alignment horizontal="right"/>
    </xf>
    <xf numFmtId="174" fontId="4" fillId="9" borderId="2" xfId="0" applyNumberFormat="1" applyFont="1" applyFill="1" applyBorder="1" applyAlignment="1">
      <alignment horizontal="center" vertical="center" wrapText="1"/>
    </xf>
    <xf numFmtId="171" fontId="6" fillId="0" borderId="8" xfId="0" applyNumberFormat="1" applyFont="1" applyBorder="1"/>
    <xf numFmtId="171" fontId="6" fillId="0" borderId="6" xfId="0" applyNumberFormat="1" applyFont="1" applyBorder="1"/>
    <xf numFmtId="171" fontId="6" fillId="0" borderId="1" xfId="0" applyNumberFormat="1" applyFont="1" applyBorder="1"/>
    <xf numFmtId="0" fontId="4" fillId="6" borderId="0" xfId="3" applyFont="1" applyFill="1"/>
    <xf numFmtId="177" fontId="4" fillId="3" borderId="2" xfId="5" applyNumberFormat="1" applyFont="1" applyFill="1" applyBorder="1" applyAlignment="1"/>
    <xf numFmtId="177" fontId="4" fillId="3" borderId="24" xfId="5" applyNumberFormat="1" applyFont="1" applyFill="1" applyBorder="1" applyAlignment="1"/>
    <xf numFmtId="165" fontId="4" fillId="3" borderId="8" xfId="5" applyNumberFormat="1" applyFont="1" applyFill="1" applyBorder="1" applyAlignment="1">
      <alignment horizontal="center"/>
    </xf>
    <xf numFmtId="167" fontId="4" fillId="3" borderId="8" xfId="5" applyNumberFormat="1" applyFont="1" applyFill="1" applyBorder="1" applyAlignment="1">
      <alignment horizontal="center"/>
    </xf>
    <xf numFmtId="177" fontId="4" fillId="3" borderId="8" xfId="5" applyNumberFormat="1" applyFont="1" applyFill="1" applyBorder="1" applyAlignment="1">
      <alignment horizontal="center"/>
    </xf>
    <xf numFmtId="165" fontId="4" fillId="3" borderId="6" xfId="5" applyNumberFormat="1" applyFont="1" applyFill="1" applyBorder="1" applyAlignment="1">
      <alignment horizontal="center"/>
    </xf>
    <xf numFmtId="167" fontId="4" fillId="3" borderId="6" xfId="5" applyNumberFormat="1" applyFont="1" applyFill="1" applyBorder="1" applyAlignment="1">
      <alignment horizontal="center"/>
    </xf>
    <xf numFmtId="177" fontId="4" fillId="3" borderId="6" xfId="5" applyNumberFormat="1" applyFont="1" applyFill="1" applyBorder="1" applyAlignment="1">
      <alignment horizontal="center"/>
    </xf>
    <xf numFmtId="165" fontId="4" fillId="3" borderId="1" xfId="5" applyNumberFormat="1" applyFont="1" applyFill="1" applyBorder="1" applyAlignment="1">
      <alignment horizontal="center"/>
    </xf>
    <xf numFmtId="167" fontId="4" fillId="3" borderId="1" xfId="5" applyNumberFormat="1" applyFont="1" applyFill="1" applyBorder="1" applyAlignment="1">
      <alignment horizontal="center"/>
    </xf>
    <xf numFmtId="177" fontId="4" fillId="3" borderId="1" xfId="5" applyNumberFormat="1" applyFont="1" applyFill="1" applyBorder="1" applyAlignment="1">
      <alignment horizontal="center"/>
    </xf>
    <xf numFmtId="0" fontId="4" fillId="3" borderId="0" xfId="4" applyFont="1" applyFill="1" applyBorder="1"/>
    <xf numFmtId="176" fontId="4" fillId="3" borderId="2" xfId="5" applyNumberFormat="1" applyFont="1" applyFill="1" applyBorder="1" applyAlignment="1"/>
    <xf numFmtId="0" fontId="4" fillId="6" borderId="0" xfId="1" applyFont="1" applyFill="1"/>
    <xf numFmtId="0" fontId="4" fillId="9" borderId="2" xfId="1" applyNumberFormat="1" applyFont="1" applyFill="1" applyBorder="1" applyAlignment="1">
      <alignment horizontal="center" vertical="center"/>
    </xf>
    <xf numFmtId="0" fontId="4" fillId="9" borderId="2" xfId="1" applyNumberFormat="1" applyFont="1" applyFill="1" applyBorder="1" applyAlignment="1">
      <alignment horizontal="center" vertical="center" wrapText="1"/>
    </xf>
    <xf numFmtId="0" fontId="4" fillId="3" borderId="11" xfId="4" applyFont="1" applyFill="1" applyBorder="1"/>
    <xf numFmtId="0" fontId="4" fillId="3" borderId="12" xfId="4" applyFont="1" applyFill="1" applyBorder="1"/>
    <xf numFmtId="0" fontId="12" fillId="3" borderId="12" xfId="4" applyFont="1" applyFill="1" applyBorder="1" applyAlignment="1">
      <alignment horizontal="center"/>
    </xf>
    <xf numFmtId="0" fontId="12" fillId="3" borderId="12" xfId="4" applyFont="1" applyFill="1" applyBorder="1"/>
    <xf numFmtId="0" fontId="4" fillId="3" borderId="9" xfId="4" applyFont="1" applyFill="1" applyBorder="1"/>
    <xf numFmtId="0" fontId="4" fillId="3" borderId="7" xfId="4" applyFont="1" applyFill="1" applyBorder="1"/>
    <xf numFmtId="0" fontId="4" fillId="3" borderId="10" xfId="4" applyFont="1" applyFill="1" applyBorder="1"/>
    <xf numFmtId="0" fontId="4" fillId="3" borderId="5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5" fontId="4" fillId="3" borderId="12" xfId="4" applyNumberFormat="1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9" borderId="8" xfId="1" applyNumberFormat="1" applyFont="1" applyFill="1" applyBorder="1" applyAlignment="1">
      <alignment horizontal="center" vertical="center"/>
    </xf>
    <xf numFmtId="177" fontId="4" fillId="3" borderId="11" xfId="5" applyNumberFormat="1" applyFont="1" applyFill="1" applyBorder="1" applyAlignment="1"/>
    <xf numFmtId="177" fontId="4" fillId="3" borderId="8" xfId="5" applyNumberFormat="1" applyFont="1" applyFill="1" applyBorder="1" applyAlignment="1"/>
    <xf numFmtId="0" fontId="4" fillId="9" borderId="6" xfId="1" applyNumberFormat="1" applyFont="1" applyFill="1" applyBorder="1" applyAlignment="1">
      <alignment horizontal="center" vertical="center"/>
    </xf>
    <xf numFmtId="177" fontId="4" fillId="3" borderId="7" xfId="5" applyNumberFormat="1" applyFont="1" applyFill="1" applyBorder="1" applyAlignment="1"/>
    <xf numFmtId="177" fontId="4" fillId="3" borderId="6" xfId="5" applyNumberFormat="1" applyFont="1" applyFill="1" applyBorder="1" applyAlignment="1"/>
    <xf numFmtId="0" fontId="4" fillId="9" borderId="1" xfId="1" applyNumberFormat="1" applyFont="1" applyFill="1" applyBorder="1" applyAlignment="1">
      <alignment horizontal="center" vertical="center"/>
    </xf>
    <xf numFmtId="177" fontId="4" fillId="3" borderId="5" xfId="5" applyNumberFormat="1" applyFont="1" applyFill="1" applyBorder="1" applyAlignment="1"/>
    <xf numFmtId="177" fontId="4" fillId="3" borderId="1" xfId="5" applyNumberFormat="1" applyFont="1" applyFill="1" applyBorder="1" applyAlignment="1"/>
    <xf numFmtId="177" fontId="4" fillId="11" borderId="11" xfId="5" applyNumberFormat="1" applyFont="1" applyFill="1" applyBorder="1" applyAlignment="1"/>
    <xf numFmtId="177" fontId="4" fillId="11" borderId="8" xfId="5" applyNumberFormat="1" applyFont="1" applyFill="1" applyBorder="1" applyAlignment="1"/>
    <xf numFmtId="177" fontId="4" fillId="11" borderId="7" xfId="5" applyNumberFormat="1" applyFont="1" applyFill="1" applyBorder="1" applyAlignment="1"/>
    <xf numFmtId="177" fontId="4" fillId="11" borderId="6" xfId="5" applyNumberFormat="1" applyFont="1" applyFill="1" applyBorder="1" applyAlignment="1"/>
    <xf numFmtId="177" fontId="4" fillId="11" borderId="5" xfId="5" applyNumberFormat="1" applyFont="1" applyFill="1" applyBorder="1" applyAlignment="1"/>
    <xf numFmtId="177" fontId="4" fillId="11" borderId="1" xfId="5" applyNumberFormat="1" applyFont="1" applyFill="1" applyBorder="1" applyAlignment="1"/>
    <xf numFmtId="0" fontId="4" fillId="3" borderId="2" xfId="1" applyNumberFormat="1" applyFont="1" applyFill="1" applyBorder="1" applyAlignment="1">
      <alignment horizontal="center" vertical="center" wrapText="1"/>
    </xf>
    <xf numFmtId="177" fontId="4" fillId="3" borderId="2" xfId="5" applyNumberFormat="1" applyFont="1" applyFill="1" applyBorder="1" applyAlignment="1">
      <alignment wrapText="1"/>
    </xf>
    <xf numFmtId="0" fontId="6" fillId="0" borderId="13" xfId="0" applyFont="1" applyBorder="1"/>
    <xf numFmtId="0" fontId="6" fillId="5" borderId="6" xfId="0" applyFont="1" applyFill="1" applyBorder="1"/>
    <xf numFmtId="0" fontId="4" fillId="9" borderId="19" xfId="0" applyFont="1" applyFill="1" applyBorder="1"/>
    <xf numFmtId="0" fontId="4" fillId="9" borderId="21" xfId="0" applyFont="1" applyFill="1" applyBorder="1" applyAlignment="1">
      <alignment horizontal="centerContinuous" vertical="center"/>
    </xf>
    <xf numFmtId="0" fontId="4" fillId="9" borderId="22" xfId="0" applyFont="1" applyFill="1" applyBorder="1" applyAlignment="1">
      <alignment horizontal="centerContinuous" vertical="center"/>
    </xf>
    <xf numFmtId="0" fontId="4" fillId="9" borderId="23" xfId="0" applyFont="1" applyFill="1" applyBorder="1" applyAlignment="1">
      <alignment horizontal="centerContinuous" vertical="center"/>
    </xf>
    <xf numFmtId="0" fontId="6" fillId="10" borderId="6" xfId="0" applyFont="1" applyFill="1" applyBorder="1"/>
    <xf numFmtId="0" fontId="6" fillId="0" borderId="15" xfId="0" applyFont="1" applyBorder="1"/>
    <xf numFmtId="0" fontId="6" fillId="5" borderId="16" xfId="0" applyFont="1" applyFill="1" applyBorder="1"/>
    <xf numFmtId="183" fontId="4" fillId="9" borderId="20" xfId="0" applyNumberFormat="1" applyFont="1" applyFill="1" applyBorder="1" applyAlignment="1">
      <alignment horizontal="centerContinuous" vertical="center"/>
    </xf>
    <xf numFmtId="183" fontId="6" fillId="0" borderId="6" xfId="0" applyNumberFormat="1" applyFont="1" applyBorder="1"/>
    <xf numFmtId="183" fontId="6" fillId="0" borderId="16" xfId="0" applyNumberFormat="1" applyFont="1" applyBorder="1"/>
    <xf numFmtId="183" fontId="6" fillId="10" borderId="0" xfId="0" applyNumberFormat="1" applyFont="1" applyFill="1"/>
    <xf numFmtId="183" fontId="4" fillId="9" borderId="22" xfId="0" applyNumberFormat="1" applyFont="1" applyFill="1" applyBorder="1" applyAlignment="1">
      <alignment horizontal="centerContinuous" vertical="center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Paused at 09:50:17</v>
        <stp/>
        <stp>{11958FE2-24C0-482D-9377-D71E404DA3F3}_x0000_</stp>
        <tr r="G13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</xdr:row>
          <xdr:rowOff>57150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51"/>
  <sheetViews>
    <sheetView showGridLines="0" tabSelected="1" workbookViewId="0">
      <selection activeCell="D8" sqref="D8"/>
    </sheetView>
  </sheetViews>
  <sheetFormatPr defaultRowHeight="11.25" x14ac:dyDescent="0.2"/>
  <cols>
    <col min="1" max="2" width="2.7109375" style="74" customWidth="1"/>
    <col min="3" max="3" width="20.28515625" style="74" bestFit="1" customWidth="1"/>
    <col min="4" max="4" width="27.5703125" style="74" bestFit="1" customWidth="1"/>
    <col min="5" max="7" width="2.7109375" style="74" customWidth="1"/>
    <col min="8" max="8" width="20.28515625" style="74" bestFit="1" customWidth="1"/>
    <col min="9" max="9" width="24.28515625" style="74" customWidth="1"/>
    <col min="10" max="10" width="2.7109375" style="74" customWidth="1"/>
    <col min="11" max="13" width="9.140625" style="74"/>
    <col min="14" max="14" width="9.7109375" style="74" bestFit="1" customWidth="1"/>
    <col min="15" max="16384" width="9.140625" style="74"/>
  </cols>
  <sheetData>
    <row r="2" spans="1:10" ht="11.25" customHeight="1" x14ac:dyDescent="0.2">
      <c r="C2" s="36" t="s">
        <v>71</v>
      </c>
      <c r="D2" s="37">
        <f>_xll.qlSettingsEvaluationDate(Trigger)</f>
        <v>42143</v>
      </c>
    </row>
    <row r="3" spans="1:10" ht="11.25" customHeight="1" x14ac:dyDescent="0.2">
      <c r="C3" s="38" t="s">
        <v>85</v>
      </c>
      <c r="D3" s="39">
        <f>_xll.qlCalendarAdvance(Calendar,Evaluationdate,"2D","F",,Trigger)</f>
        <v>42145</v>
      </c>
    </row>
    <row r="4" spans="1:10" ht="11.25" customHeight="1" x14ac:dyDescent="0.2">
      <c r="A4" s="77"/>
      <c r="B4" s="78"/>
      <c r="C4" s="38" t="s">
        <v>33</v>
      </c>
      <c r="D4" s="40" t="s">
        <v>34</v>
      </c>
    </row>
    <row r="5" spans="1:10" ht="11.25" customHeight="1" x14ac:dyDescent="0.2">
      <c r="A5" s="77"/>
      <c r="B5" s="79"/>
      <c r="C5" s="38" t="s">
        <v>23</v>
      </c>
      <c r="D5" s="41" t="s">
        <v>36</v>
      </c>
    </row>
    <row r="6" spans="1:10" ht="11.25" customHeight="1" x14ac:dyDescent="0.2">
      <c r="A6" s="77"/>
      <c r="B6" s="79"/>
      <c r="C6" s="38" t="s">
        <v>30</v>
      </c>
      <c r="D6" s="40" t="b">
        <v>1</v>
      </c>
    </row>
    <row r="7" spans="1:10" ht="11.25" customHeight="1" x14ac:dyDescent="0.2">
      <c r="A7" s="77"/>
      <c r="B7" s="79"/>
      <c r="C7" s="38" t="s">
        <v>31</v>
      </c>
      <c r="D7" s="40" t="b">
        <v>1</v>
      </c>
    </row>
    <row r="8" spans="1:10" ht="11.25" customHeight="1" x14ac:dyDescent="0.2">
      <c r="A8" s="77"/>
      <c r="B8" s="79"/>
      <c r="C8" s="44" t="s">
        <v>29</v>
      </c>
      <c r="D8" s="45"/>
    </row>
    <row r="9" spans="1:10" ht="11.25" customHeight="1" x14ac:dyDescent="0.2">
      <c r="B9" s="75"/>
      <c r="C9" s="42" t="s">
        <v>32</v>
      </c>
      <c r="D9" s="43" t="s">
        <v>177</v>
      </c>
    </row>
    <row r="10" spans="1:10" ht="11.25" customHeight="1" x14ac:dyDescent="0.2"/>
    <row r="11" spans="1:10" x14ac:dyDescent="0.2">
      <c r="B11" s="63"/>
      <c r="C11" s="64"/>
      <c r="D11" s="64"/>
      <c r="E11" s="65"/>
      <c r="G11" s="63"/>
      <c r="H11" s="64"/>
      <c r="I11" s="64"/>
      <c r="J11" s="65"/>
    </row>
    <row r="12" spans="1:10" x14ac:dyDescent="0.2">
      <c r="B12" s="66"/>
      <c r="C12" s="46" t="s">
        <v>19</v>
      </c>
      <c r="D12" s="67" t="str">
        <f>_xll.qlPiecewiseYieldCurve(D14,D15,Calendar,_xll.ohPack(EURSTD!R3:R71),,,,D16,D17,D18,Permanent,,ObjectOverwrite)</f>
        <v>_MXEURSTD#0018</v>
      </c>
      <c r="E12" s="68"/>
      <c r="G12" s="47"/>
      <c r="H12" s="46" t="s">
        <v>19</v>
      </c>
      <c r="I12" s="67" t="str">
        <f>_xll.qlPiecewiseYieldCurve(I14,I15,Calendar,_xll.ohPack(EUR3M!R3:R71),,,,I16,I17,I18,Permanent,,ObjectOverwrite)</f>
        <v>_MXEUR3M#0018</v>
      </c>
      <c r="J12" s="68"/>
    </row>
    <row r="13" spans="1:10" x14ac:dyDescent="0.2">
      <c r="B13" s="66"/>
      <c r="C13" s="48" t="s">
        <v>20</v>
      </c>
      <c r="D13" s="69" t="str">
        <f>_xll.ohRangeRetrieveError(YieldCurve_STD)</f>
        <v/>
      </c>
      <c r="E13" s="68"/>
      <c r="G13" s="47"/>
      <c r="H13" s="48" t="s">
        <v>20</v>
      </c>
      <c r="I13" s="69" t="str">
        <f>_xll.ohRangeRetrieveError(YieldCurve_3M)</f>
        <v/>
      </c>
      <c r="J13" s="68"/>
    </row>
    <row r="14" spans="1:10" x14ac:dyDescent="0.2">
      <c r="B14" s="66"/>
      <c r="C14" s="46" t="s">
        <v>21</v>
      </c>
      <c r="D14" s="49" t="s">
        <v>41</v>
      </c>
      <c r="E14" s="68"/>
      <c r="G14" s="47"/>
      <c r="H14" s="46" t="s">
        <v>21</v>
      </c>
      <c r="I14" s="49" t="s">
        <v>40</v>
      </c>
      <c r="J14" s="68"/>
    </row>
    <row r="15" spans="1:10" x14ac:dyDescent="0.2">
      <c r="B15" s="66"/>
      <c r="C15" s="50" t="s">
        <v>22</v>
      </c>
      <c r="D15" s="51">
        <v>0</v>
      </c>
      <c r="E15" s="68"/>
      <c r="G15" s="47"/>
      <c r="H15" s="50" t="s">
        <v>22</v>
      </c>
      <c r="I15" s="51">
        <v>0</v>
      </c>
      <c r="J15" s="68"/>
    </row>
    <row r="16" spans="1:10" x14ac:dyDescent="0.2">
      <c r="B16" s="66"/>
      <c r="C16" s="50" t="s">
        <v>24</v>
      </c>
      <c r="D16" s="52"/>
      <c r="E16" s="68"/>
      <c r="G16" s="47"/>
      <c r="H16" s="50" t="s">
        <v>24</v>
      </c>
      <c r="I16" s="52"/>
      <c r="J16" s="68"/>
    </row>
    <row r="17" spans="1:10" x14ac:dyDescent="0.2">
      <c r="B17" s="66"/>
      <c r="C17" s="50" t="s">
        <v>25</v>
      </c>
      <c r="D17" s="53" t="s">
        <v>26</v>
      </c>
      <c r="E17" s="68"/>
      <c r="G17" s="47"/>
      <c r="H17" s="50" t="s">
        <v>25</v>
      </c>
      <c r="I17" s="53" t="s">
        <v>26</v>
      </c>
      <c r="J17" s="68"/>
    </row>
    <row r="18" spans="1:10" x14ac:dyDescent="0.2">
      <c r="B18" s="66"/>
      <c r="C18" s="48" t="s">
        <v>27</v>
      </c>
      <c r="D18" s="54" t="s">
        <v>28</v>
      </c>
      <c r="E18" s="68"/>
      <c r="G18" s="47"/>
      <c r="H18" s="48" t="s">
        <v>27</v>
      </c>
      <c r="I18" s="54" t="s">
        <v>28</v>
      </c>
      <c r="J18" s="68"/>
    </row>
    <row r="19" spans="1:10" x14ac:dyDescent="0.2">
      <c r="B19" s="66"/>
      <c r="C19" s="55"/>
      <c r="D19" s="55"/>
      <c r="E19" s="68"/>
      <c r="G19" s="47"/>
      <c r="H19" s="55"/>
      <c r="I19" s="55"/>
      <c r="J19" s="68"/>
    </row>
    <row r="20" spans="1:10" x14ac:dyDescent="0.2">
      <c r="B20" s="66"/>
      <c r="C20" s="56">
        <f>_xll.qlTermStructureReferenceDate(D12)</f>
        <v>42143</v>
      </c>
      <c r="D20" s="57">
        <f>_xll.qlYieldTSDiscount(YieldCurve_STD,C20,,Trigger)</f>
        <v>1</v>
      </c>
      <c r="E20" s="68"/>
      <c r="G20" s="47"/>
      <c r="H20" s="56">
        <f>_xll.qlTermStructureReferenceDate(I12)</f>
        <v>42143</v>
      </c>
      <c r="I20" s="57">
        <f>_xll.qlYieldTSDiscount(YieldCurve_3M,H20,,Trigger)</f>
        <v>1</v>
      </c>
      <c r="J20" s="68"/>
    </row>
    <row r="21" spans="1:10" x14ac:dyDescent="0.2">
      <c r="B21" s="66"/>
      <c r="C21" s="58">
        <f>MAX(_xll.ohPack(EURSTD!U3:U71))</f>
        <v>64060</v>
      </c>
      <c r="D21" s="59">
        <f>_xll.qlYieldTSDiscount(YieldCurve_STD,C21,,Trigger)</f>
        <v>0.45542037594902873</v>
      </c>
      <c r="E21" s="68"/>
      <c r="G21" s="47"/>
      <c r="H21" s="58">
        <f>MAX(_xll.ohPack(EUR3M!U3:U71))</f>
        <v>64060</v>
      </c>
      <c r="I21" s="59">
        <f>_xll.qlYieldTSDiscount(YieldCurve_3M,H21,,Trigger)</f>
        <v>0.46005147213755887</v>
      </c>
      <c r="J21" s="68"/>
    </row>
    <row r="22" spans="1:10" x14ac:dyDescent="0.2">
      <c r="B22" s="66"/>
      <c r="C22" s="60" t="str">
        <f>Euribor!D3</f>
        <v>EURSTD</v>
      </c>
      <c r="D22" s="61" t="b">
        <f>_xll.qlRelinkableHandleLinkTo(C22,D12,Trigger)</f>
        <v>1</v>
      </c>
      <c r="E22" s="68"/>
      <c r="G22" s="47"/>
      <c r="H22" s="60" t="str">
        <f>Euribor!D6</f>
        <v>EUR3M</v>
      </c>
      <c r="I22" s="61" t="b">
        <f>_xll.qlRelinkableHandleLinkTo(H22,I12,Trigger)</f>
        <v>1</v>
      </c>
      <c r="J22" s="68"/>
    </row>
    <row r="23" spans="1:10" x14ac:dyDescent="0.2">
      <c r="B23" s="70"/>
      <c r="C23" s="71"/>
      <c r="D23" s="71"/>
      <c r="E23" s="72"/>
      <c r="G23" s="70"/>
      <c r="H23" s="71"/>
      <c r="I23" s="71"/>
      <c r="J23" s="72"/>
    </row>
    <row r="24" spans="1:10" x14ac:dyDescent="0.2">
      <c r="A24" s="77"/>
      <c r="B24" s="77"/>
      <c r="C24" s="77"/>
      <c r="D24" s="77"/>
      <c r="E24" s="77"/>
      <c r="G24" s="77"/>
      <c r="H24" s="77"/>
      <c r="I24" s="77"/>
      <c r="J24" s="77"/>
    </row>
    <row r="25" spans="1:10" x14ac:dyDescent="0.2">
      <c r="B25" s="63"/>
      <c r="C25" s="73"/>
      <c r="D25" s="73"/>
      <c r="E25" s="65"/>
      <c r="F25" s="76"/>
      <c r="G25" s="63"/>
      <c r="H25" s="64"/>
      <c r="I25" s="64"/>
      <c r="J25" s="65"/>
    </row>
    <row r="26" spans="1:10" x14ac:dyDescent="0.2">
      <c r="B26" s="66"/>
      <c r="C26" s="46" t="s">
        <v>19</v>
      </c>
      <c r="D26" s="67" t="str">
        <f>_xll.qlPiecewiseYieldCurve(D28,D29,Calendar,_xll.ohPack(EUR6M!R3:R71),,,,D30,D31,D32,Permanent,,ObjectOverwrite)</f>
        <v>_MXEUR6M#0018</v>
      </c>
      <c r="E26" s="68"/>
      <c r="F26" s="76"/>
      <c r="G26" s="47"/>
      <c r="H26" s="46" t="s">
        <v>19</v>
      </c>
      <c r="I26" s="67" t="str">
        <f>_xll.qlPiecewiseYieldCurve(I28,I29,Calendar,_xll.ohPack(EUR1M!R3:R82),,,,I30,I31,I32,Permanent,,ObjectOverwrite)</f>
        <v>_MXEUR1M#0021</v>
      </c>
      <c r="J26" s="68"/>
    </row>
    <row r="27" spans="1:10" x14ac:dyDescent="0.2">
      <c r="B27" s="66"/>
      <c r="C27" s="48" t="s">
        <v>20</v>
      </c>
      <c r="D27" s="69" t="str">
        <f>_xll.ohRangeRetrieveError(YieldCurve_6M)</f>
        <v/>
      </c>
      <c r="E27" s="68"/>
      <c r="F27" s="76"/>
      <c r="G27" s="47"/>
      <c r="H27" s="48" t="s">
        <v>20</v>
      </c>
      <c r="I27" s="69" t="str">
        <f>_xll.ohRangeRetrieveError(YieldCurve_1M)</f>
        <v/>
      </c>
      <c r="J27" s="68"/>
    </row>
    <row r="28" spans="1:10" x14ac:dyDescent="0.2">
      <c r="B28" s="47"/>
      <c r="C28" s="46" t="s">
        <v>21</v>
      </c>
      <c r="D28" s="49" t="s">
        <v>42</v>
      </c>
      <c r="E28" s="68"/>
      <c r="F28" s="76"/>
      <c r="G28" s="47"/>
      <c r="H28" s="46" t="s">
        <v>21</v>
      </c>
      <c r="I28" s="49" t="s">
        <v>48</v>
      </c>
      <c r="J28" s="68"/>
    </row>
    <row r="29" spans="1:10" x14ac:dyDescent="0.2">
      <c r="B29" s="47"/>
      <c r="C29" s="50" t="s">
        <v>22</v>
      </c>
      <c r="D29" s="51">
        <v>0</v>
      </c>
      <c r="E29" s="68"/>
      <c r="F29" s="76"/>
      <c r="G29" s="47"/>
      <c r="H29" s="50" t="s">
        <v>22</v>
      </c>
      <c r="I29" s="51">
        <v>0</v>
      </c>
      <c r="J29" s="68"/>
    </row>
    <row r="30" spans="1:10" x14ac:dyDescent="0.2">
      <c r="B30" s="47"/>
      <c r="C30" s="50" t="s">
        <v>24</v>
      </c>
      <c r="D30" s="52"/>
      <c r="E30" s="68"/>
      <c r="F30" s="76"/>
      <c r="G30" s="47"/>
      <c r="H30" s="50" t="s">
        <v>24</v>
      </c>
      <c r="I30" s="52"/>
      <c r="J30" s="68"/>
    </row>
    <row r="31" spans="1:10" x14ac:dyDescent="0.2">
      <c r="B31" s="47"/>
      <c r="C31" s="50" t="s">
        <v>25</v>
      </c>
      <c r="D31" s="53" t="s">
        <v>26</v>
      </c>
      <c r="E31" s="68"/>
      <c r="F31" s="76"/>
      <c r="G31" s="47"/>
      <c r="H31" s="50" t="s">
        <v>25</v>
      </c>
      <c r="I31" s="53" t="s">
        <v>193</v>
      </c>
      <c r="J31" s="68"/>
    </row>
    <row r="32" spans="1:10" x14ac:dyDescent="0.2">
      <c r="B32" s="47"/>
      <c r="C32" s="48" t="s">
        <v>27</v>
      </c>
      <c r="D32" s="54" t="s">
        <v>28</v>
      </c>
      <c r="E32" s="68"/>
      <c r="F32" s="76"/>
      <c r="G32" s="47"/>
      <c r="H32" s="48" t="s">
        <v>27</v>
      </c>
      <c r="I32" s="54" t="s">
        <v>194</v>
      </c>
      <c r="J32" s="68"/>
    </row>
    <row r="33" spans="2:10" x14ac:dyDescent="0.2">
      <c r="B33" s="47"/>
      <c r="C33" s="55"/>
      <c r="D33" s="55"/>
      <c r="E33" s="68"/>
      <c r="F33" s="76"/>
      <c r="G33" s="47"/>
      <c r="H33" s="55"/>
      <c r="I33" s="55"/>
      <c r="J33" s="68"/>
    </row>
    <row r="34" spans="2:10" x14ac:dyDescent="0.2">
      <c r="B34" s="47"/>
      <c r="C34" s="56">
        <f>_xll.qlTermStructureReferenceDate(D26)</f>
        <v>42143</v>
      </c>
      <c r="D34" s="57">
        <f>_xll.qlYieldTSDiscount(YieldCurve_6M,C34,,Trigger)</f>
        <v>1</v>
      </c>
      <c r="E34" s="68"/>
      <c r="F34" s="76"/>
      <c r="G34" s="47"/>
      <c r="H34" s="56">
        <f>_xll.qlTermStructureReferenceDate(I26)</f>
        <v>42143</v>
      </c>
      <c r="I34" s="57">
        <f>_xll.qlYieldTSDiscount(YieldCurve_1M,H34,,Trigger)</f>
        <v>1</v>
      </c>
      <c r="J34" s="68"/>
    </row>
    <row r="35" spans="2:10" x14ac:dyDescent="0.2">
      <c r="B35" s="47"/>
      <c r="C35" s="58">
        <f>MAX(_xll.ohPack(EUR6M!U3:U71))</f>
        <v>64060</v>
      </c>
      <c r="D35" s="59">
        <f>_xll.qlYieldTSDiscount(YieldCurve_6M,C35,,Trigger)</f>
        <v>0.4542416567108864</v>
      </c>
      <c r="E35" s="68"/>
      <c r="F35" s="76"/>
      <c r="G35" s="47"/>
      <c r="H35" s="58">
        <f>MAX(_xll.ohPack(EUR6M!U3:U82))</f>
        <v>64060</v>
      </c>
      <c r="I35" s="59">
        <f>_xll.qlYieldTSDiscount(YieldCurve_1M,H35,,Trigger)</f>
        <v>0.47347021099425174</v>
      </c>
      <c r="J35" s="68"/>
    </row>
    <row r="36" spans="2:10" x14ac:dyDescent="0.2">
      <c r="B36" s="47"/>
      <c r="C36" s="60" t="str">
        <f>Euribor!D7</f>
        <v>EUR6M</v>
      </c>
      <c r="D36" s="62" t="b">
        <f>_xll.qlRelinkableHandleLinkTo(C36,D26,Trigger)</f>
        <v>1</v>
      </c>
      <c r="E36" s="68"/>
      <c r="F36" s="76"/>
      <c r="G36" s="47"/>
      <c r="H36" s="60" t="str">
        <f>Euribor!D5</f>
        <v>EUR1M</v>
      </c>
      <c r="I36" s="61" t="b">
        <f>_xll.qlRelinkableHandleLinkTo(H36,I26,Trigger)</f>
        <v>1</v>
      </c>
      <c r="J36" s="68"/>
    </row>
    <row r="37" spans="2:10" x14ac:dyDescent="0.2">
      <c r="B37" s="70"/>
      <c r="C37" s="71"/>
      <c r="D37" s="71"/>
      <c r="E37" s="72"/>
      <c r="F37" s="76"/>
      <c r="G37" s="70"/>
      <c r="H37" s="71"/>
      <c r="I37" s="71"/>
      <c r="J37" s="72"/>
    </row>
    <row r="38" spans="2:10" x14ac:dyDescent="0.2">
      <c r="F38" s="76"/>
    </row>
    <row r="39" spans="2:10" x14ac:dyDescent="0.2">
      <c r="B39" s="63"/>
      <c r="C39" s="64"/>
      <c r="D39" s="64"/>
      <c r="E39" s="65"/>
      <c r="F39" s="76"/>
      <c r="G39" s="63"/>
      <c r="H39" s="64"/>
      <c r="I39" s="64"/>
      <c r="J39" s="65"/>
    </row>
    <row r="40" spans="2:10" x14ac:dyDescent="0.2">
      <c r="B40" s="47"/>
      <c r="C40" s="46" t="s">
        <v>19</v>
      </c>
      <c r="D40" s="67" t="str">
        <f>_xll.qlPiecewiseYieldCurve(D42,D43,Calendar,_xll.ohPack(EUR1Y!R3:R71),,,,D44,D45,D46,Permanent,,ObjectOverwrite)</f>
        <v>_MXEUR1Y#0016</v>
      </c>
      <c r="E40" s="68"/>
      <c r="F40" s="76"/>
      <c r="G40" s="47"/>
      <c r="H40" s="46" t="s">
        <v>19</v>
      </c>
      <c r="I40" s="67" t="str">
        <f>_xll.qlPiecewiseYieldCurve(I42,I43,Calendar,_xll.ohPack(EURON!R3:R71),,,,I44,I45,I46,Permanent,,ObjectOverwrite)</f>
        <v>_MXEURON#0015</v>
      </c>
      <c r="J40" s="68"/>
    </row>
    <row r="41" spans="2:10" x14ac:dyDescent="0.2">
      <c r="B41" s="47"/>
      <c r="C41" s="48" t="s">
        <v>20</v>
      </c>
      <c r="D41" s="69" t="str">
        <f>_xll.ohRangeRetrieveError(YieldCurve_1Y)</f>
        <v/>
      </c>
      <c r="E41" s="68"/>
      <c r="G41" s="47"/>
      <c r="H41" s="48" t="s">
        <v>20</v>
      </c>
      <c r="I41" s="69" t="str">
        <f>_xll.ohRangeRetrieveError(YieldCurve_ON)</f>
        <v/>
      </c>
      <c r="J41" s="68"/>
    </row>
    <row r="42" spans="2:10" x14ac:dyDescent="0.2">
      <c r="B42" s="47"/>
      <c r="C42" s="46" t="s">
        <v>21</v>
      </c>
      <c r="D42" s="49" t="s">
        <v>49</v>
      </c>
      <c r="E42" s="68"/>
      <c r="G42" s="47"/>
      <c r="H42" s="46" t="s">
        <v>21</v>
      </c>
      <c r="I42" s="49" t="s">
        <v>52</v>
      </c>
      <c r="J42" s="68"/>
    </row>
    <row r="43" spans="2:10" x14ac:dyDescent="0.2">
      <c r="B43" s="47"/>
      <c r="C43" s="50" t="s">
        <v>22</v>
      </c>
      <c r="D43" s="51">
        <v>0</v>
      </c>
      <c r="E43" s="68"/>
      <c r="G43" s="47"/>
      <c r="H43" s="50" t="s">
        <v>22</v>
      </c>
      <c r="I43" s="51">
        <v>0</v>
      </c>
      <c r="J43" s="68"/>
    </row>
    <row r="44" spans="2:10" x14ac:dyDescent="0.2">
      <c r="B44" s="47"/>
      <c r="C44" s="50" t="s">
        <v>24</v>
      </c>
      <c r="D44" s="52"/>
      <c r="E44" s="68"/>
      <c r="G44" s="47"/>
      <c r="H44" s="50" t="s">
        <v>24</v>
      </c>
      <c r="I44" s="52"/>
      <c r="J44" s="68"/>
    </row>
    <row r="45" spans="2:10" x14ac:dyDescent="0.2">
      <c r="B45" s="47"/>
      <c r="C45" s="50" t="s">
        <v>25</v>
      </c>
      <c r="D45" s="53" t="s">
        <v>26</v>
      </c>
      <c r="E45" s="68"/>
      <c r="G45" s="47"/>
      <c r="H45" s="50" t="s">
        <v>25</v>
      </c>
      <c r="I45" s="53" t="s">
        <v>193</v>
      </c>
      <c r="J45" s="68"/>
    </row>
    <row r="46" spans="2:10" x14ac:dyDescent="0.2">
      <c r="B46" s="47"/>
      <c r="C46" s="48" t="s">
        <v>27</v>
      </c>
      <c r="D46" s="54" t="s">
        <v>28</v>
      </c>
      <c r="E46" s="68"/>
      <c r="G46" s="47"/>
      <c r="H46" s="48" t="s">
        <v>27</v>
      </c>
      <c r="I46" s="54" t="s">
        <v>194</v>
      </c>
      <c r="J46" s="68"/>
    </row>
    <row r="47" spans="2:10" x14ac:dyDescent="0.2">
      <c r="B47" s="47"/>
      <c r="C47" s="55"/>
      <c r="D47" s="55"/>
      <c r="E47" s="68"/>
      <c r="G47" s="47"/>
      <c r="H47" s="55"/>
      <c r="I47" s="55"/>
      <c r="J47" s="68"/>
    </row>
    <row r="48" spans="2:10" x14ac:dyDescent="0.2">
      <c r="B48" s="47"/>
      <c r="C48" s="56">
        <f>_xll.qlTermStructureReferenceDate(D40)</f>
        <v>42143</v>
      </c>
      <c r="D48" s="57">
        <f>_xll.qlYieldTSDiscount(YieldCurve_1Y,C48,,Trigger)</f>
        <v>1</v>
      </c>
      <c r="E48" s="68"/>
      <c r="G48" s="47"/>
      <c r="H48" s="56">
        <f>_xll.qlTermStructureReferenceDate(I40)</f>
        <v>42143</v>
      </c>
      <c r="I48" s="57">
        <f>_xll.qlYieldTSDiscount(YieldCurve_ON,H48,,Trigger)</f>
        <v>1</v>
      </c>
      <c r="J48" s="68"/>
    </row>
    <row r="49" spans="2:10" x14ac:dyDescent="0.2">
      <c r="B49" s="47"/>
      <c r="C49" s="58">
        <f>MAX(_xll.ohPack(EUR1Y!U3:U71))</f>
        <v>64060</v>
      </c>
      <c r="D49" s="59">
        <f>_xll.qlYieldTSDiscount(YieldCurve_1Y,C49,,Trigger)</f>
        <v>0.44202637516986987</v>
      </c>
      <c r="E49" s="68"/>
      <c r="G49" s="47"/>
      <c r="H49" s="58">
        <f>MAX(_xll.ohPack(EURON!U3:U71))</f>
        <v>64060</v>
      </c>
      <c r="I49" s="59">
        <f>_xll.qlYieldTSDiscount(YieldCurve_ON,H49,,Trigger)</f>
        <v>0.57524024736685009</v>
      </c>
      <c r="J49" s="68"/>
    </row>
    <row r="50" spans="2:10" x14ac:dyDescent="0.2">
      <c r="B50" s="47"/>
      <c r="C50" s="60" t="str">
        <f>Euribor!D8</f>
        <v>EUR1Y</v>
      </c>
      <c r="D50" s="62" t="b">
        <f>_xll.qlRelinkableHandleLinkTo(C50,D40,Trigger)</f>
        <v>1</v>
      </c>
      <c r="E50" s="68"/>
      <c r="G50" s="47"/>
      <c r="H50" s="60" t="str">
        <f>Euribor!D4</f>
        <v>EURON</v>
      </c>
      <c r="I50" s="61" t="b">
        <f>_xll.qlRelinkableHandleLinkTo(H50,I40,Trigger)</f>
        <v>1</v>
      </c>
      <c r="J50" s="68"/>
    </row>
    <row r="51" spans="2:10" x14ac:dyDescent="0.2">
      <c r="B51" s="70"/>
      <c r="C51" s="71"/>
      <c r="D51" s="71"/>
      <c r="E51" s="72"/>
      <c r="G51" s="70"/>
      <c r="H51" s="71"/>
      <c r="I51" s="71"/>
      <c r="J51" s="72"/>
    </row>
  </sheetData>
  <dataValidations count="3">
    <dataValidation type="list" allowBlank="1" showInputMessage="1" showErrorMessage="1" sqref="D31 D17 I17 I31 D45 I45">
      <formula1>"Discount,ZeroYield,ForwardRate"</formula1>
    </dataValidation>
    <dataValidation type="list" allowBlank="1" showInputMessage="1" showErrorMessage="1" sqref="D32 D18 I18 I32 D46 I4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2</xdr:row>
                    <xdr:rowOff>57150</xdr:rowOff>
                  </from>
                  <to>
                    <xdr:col>8</xdr:col>
                    <xdr:colOff>666750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4" hidden="1" customWidth="1" outlineLevel="1"/>
    <col min="2" max="2" width="17.28515625" style="74" hidden="1" customWidth="1" outlineLevel="2"/>
    <col min="3" max="3" width="10" style="91" hidden="1" customWidth="1" outlineLevel="1" collapsed="1"/>
    <col min="4" max="4" width="7.7109375" style="90" hidden="1" customWidth="1" outlineLevel="1"/>
    <col min="5" max="5" width="19.42578125" style="92" hidden="1" customWidth="1" outlineLevel="1"/>
    <col min="6" max="6" width="10" style="74" hidden="1" customWidth="1" outlineLevel="1"/>
    <col min="7" max="7" width="20.28515625" style="74" hidden="1" customWidth="1" outlineLevel="1"/>
    <col min="8" max="8" width="12.140625" style="74" hidden="1" customWidth="1" outlineLevel="1"/>
    <col min="9" max="9" width="15.140625" style="74" hidden="1" customWidth="1" outlineLevel="1"/>
    <col min="10" max="10" width="9" style="90" hidden="1" customWidth="1" outlineLevel="1"/>
    <col min="11" max="11" width="2.7109375" style="74" customWidth="1" collapsed="1"/>
    <col min="12" max="12" width="11.5703125" style="74" hidden="1" customWidth="1" outlineLevel="1"/>
    <col min="13" max="13" width="10" style="74" hidden="1" customWidth="1" outlineLevel="1"/>
    <col min="14" max="14" width="15.140625" style="74" hidden="1" customWidth="1" outlineLevel="1"/>
    <col min="15" max="15" width="12" style="74" hidden="1" customWidth="1" outlineLevel="1"/>
    <col min="16" max="16" width="5" style="74" bestFit="1" customWidth="1" collapsed="1"/>
    <col min="17" max="17" width="6" style="74" bestFit="1" customWidth="1"/>
    <col min="18" max="18" width="15.140625" style="74" hidden="1" customWidth="1" outlineLevel="1"/>
    <col min="19" max="19" width="10" style="74" bestFit="1" customWidth="1" collapsed="1"/>
    <col min="20" max="21" width="17.28515625" style="74" bestFit="1" customWidth="1"/>
    <col min="22" max="22" width="9" style="74" bestFit="1" customWidth="1"/>
    <col min="23" max="23" width="15.140625" style="74" bestFit="1" customWidth="1"/>
    <col min="24" max="24" width="9" style="74" bestFit="1" customWidth="1"/>
    <col min="25" max="16384" width="9.140625" style="74"/>
  </cols>
  <sheetData>
    <row r="1" spans="1:22" ht="21" customHeight="1" x14ac:dyDescent="0.2">
      <c r="B1" s="80"/>
      <c r="C1" s="81"/>
      <c r="D1" s="82"/>
      <c r="E1" s="83"/>
      <c r="F1" s="84"/>
      <c r="J1" s="82"/>
      <c r="L1" s="111"/>
      <c r="M1" s="112"/>
      <c r="N1" s="112"/>
      <c r="O1" s="113"/>
      <c r="P1" s="114" t="s">
        <v>182</v>
      </c>
      <c r="Q1" s="112"/>
      <c r="R1" s="112"/>
      <c r="S1" s="117"/>
      <c r="T1" s="112"/>
      <c r="U1" s="112"/>
      <c r="V1" s="148" t="s">
        <v>197</v>
      </c>
    </row>
    <row r="2" spans="1:22" ht="21" customHeight="1" x14ac:dyDescent="0.2">
      <c r="A2" s="110" t="s">
        <v>18</v>
      </c>
      <c r="B2" s="110"/>
      <c r="C2" s="110" t="s">
        <v>1</v>
      </c>
      <c r="D2" s="110" t="s">
        <v>2</v>
      </c>
      <c r="E2" s="110" t="s">
        <v>196</v>
      </c>
      <c r="F2" s="110" t="s">
        <v>3</v>
      </c>
      <c r="G2" s="110" t="s">
        <v>4</v>
      </c>
      <c r="H2" s="110" t="s">
        <v>5</v>
      </c>
      <c r="I2" s="110" t="s">
        <v>43</v>
      </c>
      <c r="J2" s="110" t="s">
        <v>47</v>
      </c>
      <c r="L2" s="145" t="s">
        <v>18</v>
      </c>
      <c r="M2" s="145"/>
      <c r="N2" s="145" t="s">
        <v>43</v>
      </c>
      <c r="O2" s="145"/>
      <c r="P2" s="145" t="s">
        <v>18</v>
      </c>
      <c r="Q2" s="145" t="s">
        <v>58</v>
      </c>
      <c r="R2" s="145" t="s">
        <v>43</v>
      </c>
      <c r="S2" s="146" t="s">
        <v>39</v>
      </c>
      <c r="T2" s="145" t="s">
        <v>37</v>
      </c>
      <c r="U2" s="145" t="s">
        <v>38</v>
      </c>
      <c r="V2" s="118">
        <f t="array" ref="V2:V71">_xll.qlPiecewiseYieldCurveData(YieldCurve_STD,Trigger)</f>
        <v>-1.0138892832213192E-3</v>
      </c>
    </row>
    <row r="3" spans="1:22" ht="11.25" customHeight="1" x14ac:dyDescent="0.2">
      <c r="A3" s="94" t="s">
        <v>46</v>
      </c>
      <c r="B3" s="94" t="str">
        <f t="array" ref="B3:B18">_xll.ohFilter(PastedValue!O2:O62,PastedValue!K2:K62="Dp")</f>
        <v>O/N</v>
      </c>
      <c r="C3" s="95" t="str">
        <f>IF(LEFT(B3,1)="#",(_xll.qlCalendarBusinessDaysBetween(Calendar,Settlementdate,DATE(RIGHT(LEFT(B3,5),4),LEFT(RIGHT(B3,4),2),RIGHT(B3,2)),,TRUE,Trigger)-1)&amp;"D",B3)</f>
        <v>O/N</v>
      </c>
      <c r="D3" s="96">
        <f>IF(C3="O/N",0,IF(C3="T/N",1,2))</f>
        <v>0</v>
      </c>
      <c r="E3" s="97" t="str">
        <f t="shared" ref="E3:E18" si="0">IF(OR(RIGHT(C3,1)="M",RIGHT(C3,1)="D"),"Modified Following","Following")</f>
        <v>Following</v>
      </c>
      <c r="F3" s="98" t="str">
        <f t="shared" ref="F3:F9" si="1">IF(OR(RIGHT(C3,1)="M",RIGHT(C3,1)="D"),"TRUE","FALSE")</f>
        <v>FALSE</v>
      </c>
      <c r="G3" s="136" t="s">
        <v>50</v>
      </c>
      <c r="H3" s="100">
        <f t="array" ref="H3:H18">_xll.ohFilter(PastedValue!R2:R62,PastedValue!K2:K62="Dp")/100</f>
        <v>-9.9999900000000011E-4</v>
      </c>
      <c r="I3" s="101" t="str">
        <f>_xll.qlDepositRateHelper2(,H3,IF(RIGHT(C3,1)="N","1D",C3),D3,Calendar,E3,F3,G3,,Trigger)</f>
        <v>obj_0098c#0013</v>
      </c>
      <c r="J3" s="96" t="b">
        <f>IF(ISNUMBER(H3),TRUE,FALSE)</f>
        <v>1</v>
      </c>
      <c r="K3" s="80"/>
      <c r="L3" s="115" t="str">
        <f>A3</f>
        <v>Dp</v>
      </c>
      <c r="M3" s="115" t="str">
        <f>C3</f>
        <v>O/N</v>
      </c>
      <c r="N3" s="116" t="str">
        <f>I3</f>
        <v>obj_0098c#0013</v>
      </c>
      <c r="O3" s="116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obj_0098c#0013</v>
      </c>
      <c r="S3" s="21">
        <f>_xll.qlRateHelperQuoteValue(R3,Trigger)</f>
        <v>-9.9999900000000011E-4</v>
      </c>
      <c r="T3" s="15">
        <f>_xll.qlRateHelperEarliestDate(R3,Trigger)</f>
        <v>42143</v>
      </c>
      <c r="U3" s="15">
        <f>_xll.qlRateHelperLatestDate(R3,Trigger)</f>
        <v>42144</v>
      </c>
      <c r="V3" s="119">
        <v>-1.0138892832213192E-3</v>
      </c>
    </row>
    <row r="4" spans="1:22" ht="11.25" customHeight="1" x14ac:dyDescent="0.2">
      <c r="A4" s="102" t="s">
        <v>46</v>
      </c>
      <c r="B4" s="102" t="str">
        <v>T/N</v>
      </c>
      <c r="C4" s="103" t="str">
        <f>IF(LEFT(B4,1)="#",(_xll.qlCalendarBusinessDaysBetween(Calendar,Settlementdate,DATE(RIGHT(LEFT(B4,5),4),LEFT(RIGHT(B4,4),2),RIGHT(B4,2)),,TRUE,Trigger)-1)&amp;"D",B4)</f>
        <v>T/N</v>
      </c>
      <c r="D4" s="104">
        <f t="shared" ref="D4:D17" si="2">IF(C4="O/N",0,IF(C4="T/N",1,2))</f>
        <v>1</v>
      </c>
      <c r="E4" s="105" t="str">
        <f t="shared" si="0"/>
        <v>Following</v>
      </c>
      <c r="F4" s="106" t="str">
        <f t="shared" si="1"/>
        <v>FALSE</v>
      </c>
      <c r="G4" s="139" t="s">
        <v>50</v>
      </c>
      <c r="H4" s="108">
        <v>-1E-3</v>
      </c>
      <c r="I4" s="109" t="str">
        <f>_xll.qlDepositRateHelper2(,H4,IF(RIGHT(C4,1)="N","1D",C4),D4,Calendar,E4,F4,G4,,Trigger)</f>
        <v>obj_0098d#0013</v>
      </c>
      <c r="J4" s="104" t="b">
        <f t="shared" ref="J4:J18" si="3">IF(ISNUMBER(H4),TRUE,FALSE)</f>
        <v>1</v>
      </c>
      <c r="K4" s="77"/>
      <c r="L4" s="25" t="str">
        <f>A4</f>
        <v>Dp</v>
      </c>
      <c r="M4" s="25" t="str">
        <f>C4</f>
        <v>T/N</v>
      </c>
      <c r="N4" s="14" t="str">
        <f>I4</f>
        <v>obj_0098d#0013</v>
      </c>
      <c r="O4" s="14" t="b">
        <f>J4</f>
        <v>1</v>
      </c>
      <c r="P4" s="14" t="str">
        <v>Dp</v>
      </c>
      <c r="Q4" s="14" t="str">
        <v>T/N</v>
      </c>
      <c r="R4" s="14" t="str">
        <v>obj_0098d#0013</v>
      </c>
      <c r="S4" s="21">
        <f>_xll.qlRateHelperQuoteValue(R4,Trigger)</f>
        <v>-1E-3</v>
      </c>
      <c r="T4" s="15">
        <f>_xll.qlRateHelperEarliestDate(R4,Trigger)</f>
        <v>42144</v>
      </c>
      <c r="U4" s="15">
        <f>_xll.qlRateHelperLatestDate(R4,Trigger)</f>
        <v>42145</v>
      </c>
      <c r="V4" s="119">
        <v>-1.0138897901325011E-3</v>
      </c>
    </row>
    <row r="5" spans="1:22" ht="11.25" customHeight="1" x14ac:dyDescent="0.2">
      <c r="A5" s="102" t="s">
        <v>46</v>
      </c>
      <c r="B5" s="102" t="str">
        <v>S/N</v>
      </c>
      <c r="C5" s="103" t="str">
        <f>IF(LEFT(B5,1)="#",(_xll.qlCalendarBusinessDaysBetween(Calendar,Settlementdate,DATE(RIGHT(LEFT(B5,5),4),LEFT(RIGHT(B5,4),2),RIGHT(B5,2)),,TRUE,Trigger)-1)&amp;"D",B5)</f>
        <v>S/N</v>
      </c>
      <c r="D5" s="104">
        <f t="shared" si="2"/>
        <v>2</v>
      </c>
      <c r="E5" s="105" t="str">
        <f t="shared" si="0"/>
        <v>Following</v>
      </c>
      <c r="F5" s="106" t="str">
        <f t="shared" si="1"/>
        <v>FALSE</v>
      </c>
      <c r="G5" s="139" t="s">
        <v>50</v>
      </c>
      <c r="H5" s="108">
        <v>-1E-3</v>
      </c>
      <c r="I5" s="109" t="str">
        <f>_xll.qlDepositRateHelper2(,H5,IF(RIGHT(C5,1)="N","1D",C5),D5,Calendar,E5,F5,G5,,Trigger)</f>
        <v>obj_0098a#0013</v>
      </c>
      <c r="J5" s="104" t="b">
        <f t="shared" si="3"/>
        <v>1</v>
      </c>
      <c r="K5" s="77"/>
      <c r="L5" s="25" t="str">
        <f>A5</f>
        <v>Dp</v>
      </c>
      <c r="M5" s="25" t="str">
        <f>C5</f>
        <v>S/N</v>
      </c>
      <c r="N5" s="14" t="str">
        <f>I5</f>
        <v>obj_0098a#0013</v>
      </c>
      <c r="O5" s="14" t="b">
        <f>J5</f>
        <v>1</v>
      </c>
      <c r="P5" s="14" t="str">
        <v>Dp</v>
      </c>
      <c r="Q5" s="14" t="str">
        <v>S/N</v>
      </c>
      <c r="R5" s="14" t="str">
        <v>obj_0098a#0013</v>
      </c>
      <c r="S5" s="21">
        <f>_xll.qlRateHelperQuoteValue(R5,Trigger)</f>
        <v>-1E-3</v>
      </c>
      <c r="T5" s="15">
        <f>_xll.qlRateHelperEarliestDate(R5,Trigger)</f>
        <v>42145</v>
      </c>
      <c r="U5" s="15">
        <f>_xll.qlRateHelperLatestDate(R5,Trigger)</f>
        <v>42146</v>
      </c>
      <c r="V5" s="119">
        <v>-1.0138899590894734E-3</v>
      </c>
    </row>
    <row r="6" spans="1:22" ht="11.25" customHeight="1" x14ac:dyDescent="0.2">
      <c r="A6" s="102" t="s">
        <v>46</v>
      </c>
      <c r="B6" s="102" t="str">
        <v>1W</v>
      </c>
      <c r="C6" s="103" t="str">
        <f>IF(LEFT(B6,1)="#",(_xll.qlCalendarBusinessDaysBetween(Calendar,Settlementdate,DATE(RIGHT(LEFT(B6,5),4),LEFT(RIGHT(B6,4),2),RIGHT(B6,2)),,TRUE,Trigger)-1)&amp;"D",B6)</f>
        <v>1W</v>
      </c>
      <c r="D6" s="104">
        <f t="shared" si="2"/>
        <v>2</v>
      </c>
      <c r="E6" s="105" t="str">
        <f t="shared" si="0"/>
        <v>Following</v>
      </c>
      <c r="F6" s="106" t="str">
        <f t="shared" si="1"/>
        <v>FALSE</v>
      </c>
      <c r="G6" s="139" t="s">
        <v>50</v>
      </c>
      <c r="H6" s="108">
        <v>-8.9999999999999998E-4</v>
      </c>
      <c r="I6" s="109" t="str">
        <f>_xll.qlDepositRateHelper2(,H6,IF(RIGHT(C6,1)="N","1D",C6),D6,Calendar,E6,F6,G6,,Trigger)</f>
        <v>obj_0098b#0013</v>
      </c>
      <c r="J6" s="104" t="b">
        <f t="shared" si="3"/>
        <v>1</v>
      </c>
      <c r="K6" s="77"/>
      <c r="L6" s="25" t="str">
        <f>A6</f>
        <v>Dp</v>
      </c>
      <c r="M6" s="25" t="str">
        <f>C6</f>
        <v>1W</v>
      </c>
      <c r="N6" s="14" t="str">
        <f>I6</f>
        <v>obj_0098b#0013</v>
      </c>
      <c r="O6" s="14" t="b">
        <f>J6</f>
        <v>1</v>
      </c>
      <c r="P6" s="14" t="str">
        <v>Dp</v>
      </c>
      <c r="Q6" s="14" t="str">
        <v>1W</v>
      </c>
      <c r="R6" s="14" t="str">
        <v>obj_0098b#0013</v>
      </c>
      <c r="S6" s="21">
        <f>_xll.qlRateHelperQuoteValue(R6,Trigger)</f>
        <v>-8.9999999999999998E-4</v>
      </c>
      <c r="T6" s="15">
        <f>_xll.qlRateHelperEarliestDate(R6,Trigger)</f>
        <v>42145</v>
      </c>
      <c r="U6" s="15">
        <f>_xll.qlRateHelperLatestDate(R6,Trigger)</f>
        <v>42152</v>
      </c>
      <c r="V6" s="119">
        <v>-9.3503727459623095E-4</v>
      </c>
    </row>
    <row r="7" spans="1:22" ht="11.25" customHeight="1" x14ac:dyDescent="0.2">
      <c r="A7" s="102" t="s">
        <v>46</v>
      </c>
      <c r="B7" s="102" t="str">
        <v>2W</v>
      </c>
      <c r="C7" s="103" t="str">
        <f>IF(LEFT(B7,1)="#",(_xll.qlCalendarBusinessDaysBetween(Calendar,Settlementdate,DATE(RIGHT(LEFT(B7,5),4),LEFT(RIGHT(B7,4),2),RIGHT(B7,2)),,TRUE,Trigger)-1)&amp;"D",B7)</f>
        <v>2W</v>
      </c>
      <c r="D7" s="104">
        <f t="shared" si="2"/>
        <v>2</v>
      </c>
      <c r="E7" s="105" t="str">
        <f t="shared" si="0"/>
        <v>Following</v>
      </c>
      <c r="F7" s="106" t="str">
        <f t="shared" si="1"/>
        <v>FALSE</v>
      </c>
      <c r="G7" s="139" t="s">
        <v>50</v>
      </c>
      <c r="H7" s="108">
        <v>-5.9999999999999995E-4</v>
      </c>
      <c r="I7" s="109" t="str">
        <f>_xll.qlDepositRateHelper2(,H7,IF(RIGHT(C7,1)="N","1D",C7),D7,Calendar,E7,F7,G7,,Trigger)</f>
        <v>obj_00982#0013</v>
      </c>
      <c r="J7" s="104" t="b">
        <f t="shared" si="3"/>
        <v>1</v>
      </c>
      <c r="K7" s="77"/>
      <c r="L7" s="25" t="str">
        <f>A7</f>
        <v>Dp</v>
      </c>
      <c r="M7" s="25" t="str">
        <f>C7</f>
        <v>2W</v>
      </c>
      <c r="N7" s="14" t="str">
        <f>I7</f>
        <v>obj_00982#0013</v>
      </c>
      <c r="O7" s="14" t="b">
        <f>J7</f>
        <v>1</v>
      </c>
      <c r="P7" s="14" t="str">
        <v>Dp</v>
      </c>
      <c r="Q7" s="14" t="str">
        <v>2W</v>
      </c>
      <c r="R7" s="14" t="str">
        <v>obj_00982#0013</v>
      </c>
      <c r="S7" s="21">
        <f>_xll.qlRateHelperQuoteValue(R7,Trigger)</f>
        <v>-5.9999999999999995E-4</v>
      </c>
      <c r="T7" s="15">
        <f>_xll.qlRateHelperEarliestDate(R7,Trigger)</f>
        <v>42145</v>
      </c>
      <c r="U7" s="15">
        <f>_xll.qlRateHelperLatestDate(R7,Trigger)</f>
        <v>42159</v>
      </c>
      <c r="V7" s="119">
        <v>-6.590341006303366E-4</v>
      </c>
    </row>
    <row r="8" spans="1:22" ht="11.25" customHeight="1" x14ac:dyDescent="0.2">
      <c r="A8" s="102" t="s">
        <v>46</v>
      </c>
      <c r="B8" s="102" t="str">
        <v>3W</v>
      </c>
      <c r="C8" s="103" t="str">
        <f>IF(LEFT(B8,1)="#",(_xll.qlCalendarBusinessDaysBetween(Calendar,Settlementdate,DATE(RIGHT(LEFT(B8,5),4),LEFT(RIGHT(B8,4),2),RIGHT(B8,2)),,TRUE,Trigger)-1)&amp;"D",B8)</f>
        <v>3W</v>
      </c>
      <c r="D8" s="104">
        <f t="shared" si="2"/>
        <v>2</v>
      </c>
      <c r="E8" s="105" t="str">
        <f t="shared" si="0"/>
        <v>Following</v>
      </c>
      <c r="F8" s="106" t="str">
        <f t="shared" si="1"/>
        <v>FALSE</v>
      </c>
      <c r="G8" s="139" t="s">
        <v>50</v>
      </c>
      <c r="H8" s="108">
        <v>-5.9999999999999995E-4</v>
      </c>
      <c r="I8" s="109" t="str">
        <f>_xll.qlDepositRateHelper2(,H8,IF(RIGHT(C8,1)="N","1D",C8),D8,Calendar,E8,F8,G8,,Trigger)</f>
        <v>obj_00984#0013</v>
      </c>
      <c r="J8" s="104" t="b">
        <f t="shared" si="3"/>
        <v>1</v>
      </c>
      <c r="K8" s="77"/>
      <c r="L8" s="25" t="str">
        <f>A8</f>
        <v>Dp</v>
      </c>
      <c r="M8" s="25" t="str">
        <f>C8</f>
        <v>3W</v>
      </c>
      <c r="N8" s="14" t="str">
        <f>I8</f>
        <v>obj_00984#0013</v>
      </c>
      <c r="O8" s="14" t="b">
        <f>J8</f>
        <v>1</v>
      </c>
      <c r="P8" s="14" t="str">
        <v>Dp</v>
      </c>
      <c r="Q8" s="14" t="str">
        <v>3W</v>
      </c>
      <c r="R8" s="14" t="str">
        <v>obj_00984#0013</v>
      </c>
      <c r="S8" s="21">
        <f>_xll.qlRateHelperQuoteValue(R8,Trigger)</f>
        <v>-5.9999999999999995E-4</v>
      </c>
      <c r="T8" s="15">
        <f>_xll.qlRateHelperEarliestDate(R8,Trigger)</f>
        <v>42145</v>
      </c>
      <c r="U8" s="15">
        <f>_xll.qlRateHelperLatestDate(R8,Trigger)</f>
        <v>42166</v>
      </c>
      <c r="V8" s="119">
        <v>-6.436088325189643E-4</v>
      </c>
    </row>
    <row r="9" spans="1:22" ht="11.25" customHeight="1" x14ac:dyDescent="0.2">
      <c r="A9" s="102" t="s">
        <v>46</v>
      </c>
      <c r="B9" s="102" t="str">
        <v>1M</v>
      </c>
      <c r="C9" s="103" t="str">
        <f>IF(LEFT(B9,1)="#",(_xll.qlCalendarBusinessDaysBetween(Calendar,Settlementdate,DATE(RIGHT(LEFT(B9,5),4),LEFT(RIGHT(B9,4),2),RIGHT(B9,2)),,TRUE,Trigger)-1)&amp;"D",B9)</f>
        <v>1M</v>
      </c>
      <c r="D9" s="104">
        <f t="shared" si="2"/>
        <v>2</v>
      </c>
      <c r="E9" s="105" t="str">
        <f t="shared" si="0"/>
        <v>Modified Following</v>
      </c>
      <c r="F9" s="106" t="str">
        <f t="shared" si="1"/>
        <v>TRUE</v>
      </c>
      <c r="G9" s="139" t="s">
        <v>50</v>
      </c>
      <c r="H9" s="108">
        <v>-4.0000000000000002E-4</v>
      </c>
      <c r="I9" s="109" t="str">
        <f>_xll.qlDepositRateHelper2(,H9,IF(RIGHT(C9,1)="N","1D",C9),D9,Calendar,E9,F9,G9,,Trigger)</f>
        <v>obj_00987#0013</v>
      </c>
      <c r="J9" s="104" t="b">
        <f t="shared" si="3"/>
        <v>1</v>
      </c>
      <c r="K9" s="77"/>
      <c r="L9" s="25" t="str">
        <f>A9</f>
        <v>Dp</v>
      </c>
      <c r="M9" s="25" t="str">
        <f>C9</f>
        <v>1M</v>
      </c>
      <c r="N9" s="14" t="str">
        <f>I9</f>
        <v>obj_00987#0013</v>
      </c>
      <c r="O9" s="14" t="b">
        <f>J9</f>
        <v>1</v>
      </c>
      <c r="P9" s="14" t="str">
        <v>Dp</v>
      </c>
      <c r="Q9" s="14" t="str">
        <v>1M</v>
      </c>
      <c r="R9" s="14" t="str">
        <v>obj_00987#0013</v>
      </c>
      <c r="S9" s="21">
        <f>_xll.qlRateHelperQuoteValue(R9,Trigger)</f>
        <v>-4.0000000000000002E-4</v>
      </c>
      <c r="T9" s="15">
        <f>_xll.qlRateHelperEarliestDate(R9,Trigger)</f>
        <v>42145</v>
      </c>
      <c r="U9" s="15">
        <f>_xll.qlRateHelperLatestDate(R9,Trigger)</f>
        <v>42177</v>
      </c>
      <c r="V9" s="119">
        <v>-4.4134670822073505E-4</v>
      </c>
    </row>
    <row r="10" spans="1:22" ht="11.25" customHeight="1" x14ac:dyDescent="0.2">
      <c r="A10" s="102" t="s">
        <v>46</v>
      </c>
      <c r="B10" s="102" t="str">
        <v>2M</v>
      </c>
      <c r="C10" s="103" t="str">
        <f>IF(LEFT(B10,1)="#",(_xll.qlCalendarBusinessDaysBetween(Calendar,Settlementdate,DATE(RIGHT(LEFT(B10,5),4),LEFT(RIGHT(B10,4),2),RIGHT(B10,2)),,TRUE,Trigger)-1)&amp;"D",B10)</f>
        <v>2M</v>
      </c>
      <c r="D10" s="104">
        <f t="shared" si="2"/>
        <v>2</v>
      </c>
      <c r="E10" s="105" t="str">
        <f t="shared" si="0"/>
        <v>Modified Following</v>
      </c>
      <c r="F10" s="106" t="str">
        <f>IF(OR(RIGHT(C10,1)="M",RIGHT(C10,1)="D"),"TRUE","FALSE")</f>
        <v>TRUE</v>
      </c>
      <c r="G10" s="139" t="s">
        <v>50</v>
      </c>
      <c r="H10" s="108">
        <v>-2.0000000000000001E-4</v>
      </c>
      <c r="I10" s="109" t="str">
        <f>_xll.qlDepositRateHelper2(,H10,IF(RIGHT(C10,1)="N","1D",C10),D10,Calendar,E10,F10,G10,,Trigger)</f>
        <v>obj_00983#0013</v>
      </c>
      <c r="J10" s="104" t="b">
        <f t="shared" si="3"/>
        <v>1</v>
      </c>
      <c r="K10" s="77"/>
      <c r="L10" s="25" t="str">
        <f>A10</f>
        <v>Dp</v>
      </c>
      <c r="M10" s="25" t="str">
        <f>C10</f>
        <v>2M</v>
      </c>
      <c r="N10" s="14" t="str">
        <f>I10</f>
        <v>obj_00983#0013</v>
      </c>
      <c r="O10" s="14" t="b">
        <f>J10</f>
        <v>1</v>
      </c>
      <c r="P10" s="14" t="str">
        <v>Dp</v>
      </c>
      <c r="Q10" s="14" t="str">
        <v>2M</v>
      </c>
      <c r="R10" s="14" t="str">
        <v>obj_00983#0013</v>
      </c>
      <c r="S10" s="21">
        <f>_xll.qlRateHelperQuoteValue(R10,Trigger)</f>
        <v>-2.0000000000000001E-4</v>
      </c>
      <c r="T10" s="15">
        <f>_xll.qlRateHelperEarliestDate(R10,Trigger)</f>
        <v>42145</v>
      </c>
      <c r="U10" s="15">
        <f>_xll.qlRateHelperLatestDate(R10,Trigger)</f>
        <v>42206</v>
      </c>
      <c r="V10" s="119">
        <v>-2.2853069242538028E-4</v>
      </c>
    </row>
    <row r="11" spans="1:22" ht="11.25" customHeight="1" x14ac:dyDescent="0.2">
      <c r="A11" s="102" t="s">
        <v>46</v>
      </c>
      <c r="B11" s="102" t="str">
        <v>3M</v>
      </c>
      <c r="C11" s="103" t="str">
        <f>IF(LEFT(B11,1)="#",(_xll.qlCalendarBusinessDaysBetween(Calendar,Settlementdate,DATE(RIGHT(LEFT(B11,5),4),LEFT(RIGHT(B11,4),2),RIGHT(B11,2)),,TRUE,Trigger)-1)&amp;"D",B11)</f>
        <v>3M</v>
      </c>
      <c r="D11" s="104">
        <f t="shared" si="2"/>
        <v>2</v>
      </c>
      <c r="E11" s="105" t="str">
        <f t="shared" si="0"/>
        <v>Modified Following</v>
      </c>
      <c r="F11" s="106" t="str">
        <f t="shared" ref="F11:F18" si="4">IF(OR(RIGHT(C11,1)="M",RIGHT(C11,1)="D"),"TRUE","FALSE")</f>
        <v>TRUE</v>
      </c>
      <c r="G11" s="139" t="s">
        <v>50</v>
      </c>
      <c r="H11" s="108">
        <v>1E-4</v>
      </c>
      <c r="I11" s="109" t="str">
        <f>_xll.qlDepositRateHelper2(,H11,IF(RIGHT(C11,1)="N","1D",C11),D11,Calendar,E11,F11,G11,,Trigger)</f>
        <v>obj_00985#0013</v>
      </c>
      <c r="J11" s="104" t="b">
        <f t="shared" si="3"/>
        <v>1</v>
      </c>
      <c r="K11" s="77"/>
      <c r="L11" s="25" t="str">
        <f>A11</f>
        <v>Dp</v>
      </c>
      <c r="M11" s="25" t="str">
        <f>C11</f>
        <v>3M</v>
      </c>
      <c r="N11" s="14" t="str">
        <f>I11</f>
        <v>obj_00985#0013</v>
      </c>
      <c r="O11" s="14" t="b">
        <f>J11</f>
        <v>1</v>
      </c>
      <c r="P11" s="14" t="str">
        <v>Dp</v>
      </c>
      <c r="Q11" s="14" t="str">
        <v>3M</v>
      </c>
      <c r="R11" s="14" t="str">
        <v>obj_00985#0013</v>
      </c>
      <c r="S11" s="21">
        <f>_xll.qlRateHelperQuoteValue(R11,Trigger)</f>
        <v>1E-4</v>
      </c>
      <c r="T11" s="15">
        <f>_xll.qlRateHelperEarliestDate(R11,Trigger)</f>
        <v>42145</v>
      </c>
      <c r="U11" s="15">
        <f>_xll.qlRateHelperLatestDate(R11,Trigger)</f>
        <v>42237</v>
      </c>
      <c r="V11" s="119">
        <v>7.7658287354684814E-5</v>
      </c>
    </row>
    <row r="12" spans="1:22" ht="11.25" customHeight="1" x14ac:dyDescent="0.2">
      <c r="A12" s="102" t="s">
        <v>46</v>
      </c>
      <c r="B12" s="102" t="str">
        <v>4M</v>
      </c>
      <c r="C12" s="103" t="str">
        <f>IF(LEFT(B12,1)="#",(_xll.qlCalendarBusinessDaysBetween(Calendar,Settlementdate,DATE(RIGHT(LEFT(B12,5),4),LEFT(RIGHT(B12,4),2),RIGHT(B12,2)),,TRUE,Trigger)-1)&amp;"D",B12)</f>
        <v>4M</v>
      </c>
      <c r="D12" s="104">
        <f t="shared" si="2"/>
        <v>2</v>
      </c>
      <c r="E12" s="105" t="str">
        <f t="shared" si="0"/>
        <v>Modified Following</v>
      </c>
      <c r="F12" s="106" t="str">
        <f t="shared" si="4"/>
        <v>TRUE</v>
      </c>
      <c r="G12" s="139" t="s">
        <v>50</v>
      </c>
      <c r="H12" s="108">
        <v>2.9999999999999997E-4</v>
      </c>
      <c r="I12" s="109" t="str">
        <f>_xll.qlDepositRateHelper2(,H12,IF(RIGHT(C12,1)="N","1D",C12),D12,Calendar,E12,F12,G12,,Trigger)</f>
        <v>obj_00988#0013</v>
      </c>
      <c r="J12" s="104" t="b">
        <f t="shared" si="3"/>
        <v>1</v>
      </c>
      <c r="K12" s="77"/>
      <c r="L12" s="25" t="str">
        <f>A12</f>
        <v>Dp</v>
      </c>
      <c r="M12" s="25" t="str">
        <f>C12</f>
        <v>4M</v>
      </c>
      <c r="N12" s="14" t="str">
        <f>I12</f>
        <v>obj_00988#0013</v>
      </c>
      <c r="O12" s="14" t="b">
        <f>J12</f>
        <v>1</v>
      </c>
      <c r="P12" s="14" t="str">
        <v>Dp</v>
      </c>
      <c r="Q12" s="14" t="str">
        <v>4M</v>
      </c>
      <c r="R12" s="14" t="str">
        <v>obj_00988#0013</v>
      </c>
      <c r="S12" s="21">
        <f>_xll.qlRateHelperQuoteValue(R12,Trigger)</f>
        <v>2.9999999999999997E-4</v>
      </c>
      <c r="T12" s="15">
        <f>_xll.qlRateHelperEarliestDate(R12,Trigger)</f>
        <v>42145</v>
      </c>
      <c r="U12" s="15">
        <f>_xll.qlRateHelperLatestDate(R12,Trigger)</f>
        <v>42268</v>
      </c>
      <c r="V12" s="119">
        <v>2.8306242528123763E-4</v>
      </c>
    </row>
    <row r="13" spans="1:22" ht="11.25" customHeight="1" x14ac:dyDescent="0.2">
      <c r="A13" s="102" t="s">
        <v>46</v>
      </c>
      <c r="B13" s="102" t="str">
        <v>5M</v>
      </c>
      <c r="C13" s="103" t="str">
        <f>IF(LEFT(B13,1)="#",(_xll.qlCalendarBusinessDaysBetween(Calendar,Settlementdate,DATE(RIGHT(LEFT(B13,5),4),LEFT(RIGHT(B13,4),2),RIGHT(B13,2)),,TRUE,Trigger)-1)&amp;"D",B13)</f>
        <v>5M</v>
      </c>
      <c r="D13" s="104">
        <f t="shared" si="2"/>
        <v>2</v>
      </c>
      <c r="E13" s="105" t="str">
        <f t="shared" si="0"/>
        <v>Modified Following</v>
      </c>
      <c r="F13" s="106" t="str">
        <f t="shared" si="4"/>
        <v>TRUE</v>
      </c>
      <c r="G13" s="139" t="s">
        <v>50</v>
      </c>
      <c r="H13" s="108">
        <v>5.9999999999999995E-4</v>
      </c>
      <c r="I13" s="109" t="str">
        <f>_xll.qlDepositRateHelper2(,H13,IF(RIGHT(C13,1)="N","1D",C13),D13,Calendar,E13,F13,G13,,Trigger)</f>
        <v>obj_00989#0013</v>
      </c>
      <c r="J13" s="104" t="b">
        <f t="shared" si="3"/>
        <v>1</v>
      </c>
      <c r="K13" s="77"/>
      <c r="L13" s="25" t="str">
        <f>A13</f>
        <v>Dp</v>
      </c>
      <c r="M13" s="25" t="str">
        <f>C13</f>
        <v>5M</v>
      </c>
      <c r="N13" s="14" t="str">
        <f>I13</f>
        <v>obj_00989#0013</v>
      </c>
      <c r="O13" s="14" t="b">
        <f>J13</f>
        <v>1</v>
      </c>
      <c r="P13" s="14" t="str">
        <v>Dp</v>
      </c>
      <c r="Q13" s="14" t="str">
        <v>5M</v>
      </c>
      <c r="R13" s="14" t="str">
        <v>obj_00989#0013</v>
      </c>
      <c r="S13" s="21">
        <f>_xll.qlRateHelperQuoteValue(R13,Trigger)</f>
        <v>5.9999999999999995E-4</v>
      </c>
      <c r="T13" s="15">
        <f>_xll.qlRateHelperEarliestDate(R13,Trigger)</f>
        <v>42145</v>
      </c>
      <c r="U13" s="15">
        <f>_xll.qlRateHelperLatestDate(R13,Trigger)</f>
        <v>42298</v>
      </c>
      <c r="V13" s="119">
        <v>5.8732487338199635E-4</v>
      </c>
    </row>
    <row r="14" spans="1:22" ht="11.25" customHeight="1" x14ac:dyDescent="0.2">
      <c r="A14" s="102" t="s">
        <v>46</v>
      </c>
      <c r="B14" s="102" t="str">
        <v>6M</v>
      </c>
      <c r="C14" s="103" t="str">
        <f>IF(LEFT(B14,1)="#",(_xll.qlCalendarBusinessDaysBetween(Calendar,Settlementdate,DATE(RIGHT(LEFT(B14,5),4),LEFT(RIGHT(B14,4),2),RIGHT(B14,2)),,TRUE,Trigger)-1)&amp;"D",B14)</f>
        <v>6M</v>
      </c>
      <c r="D14" s="104">
        <f t="shared" si="2"/>
        <v>2</v>
      </c>
      <c r="E14" s="105" t="str">
        <f t="shared" si="0"/>
        <v>Modified Following</v>
      </c>
      <c r="F14" s="106" t="str">
        <f t="shared" si="4"/>
        <v>TRUE</v>
      </c>
      <c r="G14" s="139" t="s">
        <v>50</v>
      </c>
      <c r="H14" s="108">
        <v>8.9999999999999998E-4</v>
      </c>
      <c r="I14" s="109" t="str">
        <f>_xll.qlDepositRateHelper2(,H14,IF(RIGHT(C14,1)="N","1D",C14),D14,Calendar,E14,F14,G14,,Trigger)</f>
        <v>obj_00986#0013</v>
      </c>
      <c r="J14" s="104" t="b">
        <f t="shared" si="3"/>
        <v>1</v>
      </c>
      <c r="K14" s="77"/>
      <c r="L14" s="25" t="str">
        <f>A14</f>
        <v>Dp</v>
      </c>
      <c r="M14" s="25" t="str">
        <f>C14</f>
        <v>6M</v>
      </c>
      <c r="N14" s="14" t="str">
        <f>I14</f>
        <v>obj_00986#0013</v>
      </c>
      <c r="O14" s="14" t="b">
        <f>J14</f>
        <v>1</v>
      </c>
      <c r="P14" s="14" t="str">
        <v>Dp</v>
      </c>
      <c r="Q14" s="14" t="str">
        <v>6M</v>
      </c>
      <c r="R14" s="14" t="str">
        <v>obj_00986#0013</v>
      </c>
      <c r="S14" s="21">
        <f>_xll.qlRateHelperQuoteValue(R14,Trigger)</f>
        <v>8.9999999999999998E-4</v>
      </c>
      <c r="T14" s="15">
        <f>_xll.qlRateHelperEarliestDate(R14,Trigger)</f>
        <v>42145</v>
      </c>
      <c r="U14" s="15">
        <f>_xll.qlRateHelperLatestDate(R14,Trigger)</f>
        <v>42331</v>
      </c>
      <c r="V14" s="119">
        <v>8.9179665737179918E-4</v>
      </c>
    </row>
    <row r="15" spans="1:22" ht="11.25" customHeight="1" x14ac:dyDescent="0.2">
      <c r="A15" s="102" t="s">
        <v>46</v>
      </c>
      <c r="B15" s="102" t="str">
        <v>#20151216</v>
      </c>
      <c r="C15" s="103" t="str">
        <f>IF(LEFT(B15,1)="#",(_xll.qlCalendarBusinessDaysBetween(Calendar,Settlementdate,DATE(RIGHT(LEFT(B15,5),4),LEFT(RIGHT(B15,4),2),RIGHT(B15,2)),,TRUE,Trigger)-1)&amp;"D",B15)</f>
        <v>149D</v>
      </c>
      <c r="D15" s="104">
        <f t="shared" si="2"/>
        <v>2</v>
      </c>
      <c r="E15" s="105" t="str">
        <f t="shared" si="0"/>
        <v>Modified Following</v>
      </c>
      <c r="F15" s="106" t="str">
        <f t="shared" si="4"/>
        <v>TRUE</v>
      </c>
      <c r="G15" s="139" t="s">
        <v>50</v>
      </c>
      <c r="H15" s="108">
        <v>1.06774194E-3</v>
      </c>
      <c r="I15" s="109" t="str">
        <f>_xll.qlDepositRateHelper2(,H15,IF(RIGHT(C15,1)="N","1D",C15),D15,Calendar,E15,F15,G15,,Trigger)</f>
        <v>obj_00981#0013</v>
      </c>
      <c r="J15" s="104" t="b">
        <f t="shared" si="3"/>
        <v>1</v>
      </c>
      <c r="K15" s="77"/>
      <c r="L15" s="25" t="str">
        <f>A15</f>
        <v>Dp</v>
      </c>
      <c r="M15" s="25" t="str">
        <f>C15</f>
        <v>149D</v>
      </c>
      <c r="N15" s="14" t="str">
        <f>I15</f>
        <v>obj_00981#0013</v>
      </c>
      <c r="O15" s="14" t="b">
        <f>J15</f>
        <v>1</v>
      </c>
      <c r="P15" s="14" t="str">
        <v>Dp</v>
      </c>
      <c r="Q15" s="14" t="str">
        <v>149D</v>
      </c>
      <c r="R15" s="14" t="str">
        <v>obj_00981#0013</v>
      </c>
      <c r="S15" s="21">
        <f>_xll.qlRateHelperQuoteValue(R15,Trigger)</f>
        <v>1.06774194E-3</v>
      </c>
      <c r="T15" s="15">
        <f>_xll.qlRateHelperEarliestDate(R15,Trigger)</f>
        <v>42145</v>
      </c>
      <c r="U15" s="15">
        <f>_xll.qlRateHelperLatestDate(R15,Trigger)</f>
        <v>42354</v>
      </c>
      <c r="V15" s="119">
        <v>1.0623677999071943E-3</v>
      </c>
    </row>
    <row r="16" spans="1:22" ht="11.25" customHeight="1" x14ac:dyDescent="0.2">
      <c r="A16" s="102" t="s">
        <v>46</v>
      </c>
      <c r="B16" s="102" t="e">
        <v>#N/A</v>
      </c>
      <c r="C16" s="103" t="e">
        <f>IF(LEFT(B16,1)="#",(_xll.qlCalendarBusinessDaysBetween(Calendar,Settlementdate,DATE(RIGHT(LEFT(B16,5),4),LEFT(RIGHT(B16,4),2),RIGHT(B16,2)),,TRUE,Trigger)-1)&amp;"D",B16)</f>
        <v>#N/A</v>
      </c>
      <c r="D16" s="104" t="e">
        <f t="shared" si="2"/>
        <v>#N/A</v>
      </c>
      <c r="E16" s="105" t="e">
        <f t="shared" si="0"/>
        <v>#N/A</v>
      </c>
      <c r="F16" s="106" t="e">
        <f t="shared" si="4"/>
        <v>#N/A</v>
      </c>
      <c r="G16" s="139" t="s">
        <v>50</v>
      </c>
      <c r="H16" s="108" t="e">
        <v>#N/A</v>
      </c>
      <c r="I16" s="109" t="e">
        <f>_xll.qlDepositRateHelper2(,H16,IF(RIGHT(C16,1)="N","1D",C16),D16,Calendar,E16,F16,G16,,Trigger)</f>
        <v>#VALUE!</v>
      </c>
      <c r="J16" s="104" t="b">
        <f t="shared" si="3"/>
        <v>0</v>
      </c>
      <c r="K16" s="77"/>
      <c r="L16" s="25" t="str">
        <f>A16</f>
        <v>Dp</v>
      </c>
      <c r="M16" s="25" t="e">
        <f>C16</f>
        <v>#N/A</v>
      </c>
      <c r="N16" s="14" t="e">
        <f>I16</f>
        <v>#VALUE!</v>
      </c>
      <c r="O16" s="14" t="b">
        <f>J16</f>
        <v>0</v>
      </c>
      <c r="P16" s="14" t="str">
        <v>Sf</v>
      </c>
      <c r="Q16" s="14" t="str">
        <v>Z5</v>
      </c>
      <c r="R16" s="14" t="str">
        <v>obj_00825#0019</v>
      </c>
      <c r="S16" s="21">
        <f>_xll.qlRateHelperQuoteValue(R16,Trigger)</f>
        <v>99.986999999999995</v>
      </c>
      <c r="T16" s="15">
        <f>_xll.qlRateHelperEarliestDate(R16,Trigger)</f>
        <v>42354</v>
      </c>
      <c r="U16" s="15">
        <f>_xll.qlRateHelperLatestDate(R16,Trigger)</f>
        <v>42445</v>
      </c>
      <c r="V16" s="119">
        <v>7.8196594129969913E-4</v>
      </c>
    </row>
    <row r="17" spans="1:22" ht="11.25" customHeight="1" x14ac:dyDescent="0.2">
      <c r="A17" s="102" t="s">
        <v>46</v>
      </c>
      <c r="B17" s="102" t="e">
        <v>#N/A</v>
      </c>
      <c r="C17" s="103" t="e">
        <f>IF(LEFT(B17,1)="#",(_xll.qlCalendarBusinessDaysBetween(Calendar,Settlementdate,DATE(RIGHT(LEFT(B17,5),4),LEFT(RIGHT(B17,4),2),RIGHT(B17,2)),,TRUE,Trigger)-1)&amp;"D",B17)</f>
        <v>#N/A</v>
      </c>
      <c r="D17" s="104" t="e">
        <f t="shared" si="2"/>
        <v>#N/A</v>
      </c>
      <c r="E17" s="105" t="e">
        <f t="shared" si="0"/>
        <v>#N/A</v>
      </c>
      <c r="F17" s="106" t="e">
        <f t="shared" si="4"/>
        <v>#N/A</v>
      </c>
      <c r="G17" s="139" t="s">
        <v>50</v>
      </c>
      <c r="H17" s="108" t="e">
        <v>#N/A</v>
      </c>
      <c r="I17" s="109" t="e">
        <f>_xll.qlDepositRateHelper2(,H17,IF(RIGHT(C17,1)="N","1D",C17),D17,Calendar,E17,F17,G17,,Trigger)</f>
        <v>#VALUE!</v>
      </c>
      <c r="J17" s="104" t="b">
        <f t="shared" si="3"/>
        <v>0</v>
      </c>
      <c r="K17" s="77"/>
      <c r="L17" s="25" t="str">
        <f>A17</f>
        <v>Dp</v>
      </c>
      <c r="M17" s="25" t="e">
        <f>C17</f>
        <v>#N/A</v>
      </c>
      <c r="N17" s="14" t="e">
        <f>I17</f>
        <v>#VALUE!</v>
      </c>
      <c r="O17" s="14" t="b">
        <f>J17</f>
        <v>0</v>
      </c>
      <c r="P17" s="14" t="str">
        <v>Sf</v>
      </c>
      <c r="Q17" s="14" t="str">
        <v>H6</v>
      </c>
      <c r="R17" s="14" t="str">
        <v>obj_0081f#0019</v>
      </c>
      <c r="S17" s="21">
        <f>_xll.qlRateHelperQuoteValue(R17,Trigger)</f>
        <v>99.977000000000004</v>
      </c>
      <c r="T17" s="15">
        <f>_xll.qlRateHelperEarliestDate(R17,Trigger)</f>
        <v>42445</v>
      </c>
      <c r="U17" s="15">
        <f>_xll.qlRateHelperLatestDate(R17,Trigger)</f>
        <v>42537</v>
      </c>
      <c r="V17" s="119">
        <v>6.5382480363974991E-4</v>
      </c>
    </row>
    <row r="18" spans="1:22" ht="11.25" customHeight="1" x14ac:dyDescent="0.2">
      <c r="A18" s="4" t="s">
        <v>46</v>
      </c>
      <c r="B18" s="4" t="e">
        <v>#N/A</v>
      </c>
      <c r="C18" s="22" t="e">
        <f>IF(LEFT(B18,1)="#",(_xll.qlCalendarBusinessDaysBetween(Calendar,Settlementdate,DATE(RIGHT(LEFT(B18,5),4),LEFT(RIGHT(B18,4),2),RIGHT(B18,2)),,TRUE,Trigger)-1)&amp;"D",B18)</f>
        <v>#N/A</v>
      </c>
      <c r="D18" s="19" t="e">
        <f>IF(C18="O/N",0,IF(C18="T/N",1,2))</f>
        <v>#N/A</v>
      </c>
      <c r="E18" s="20" t="e">
        <f t="shared" si="0"/>
        <v>#N/A</v>
      </c>
      <c r="F18" s="23" t="e">
        <f t="shared" si="4"/>
        <v>#N/A</v>
      </c>
      <c r="G18" s="142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3"/>
        <v>0</v>
      </c>
      <c r="K18" s="77"/>
      <c r="L18" s="26" t="str">
        <f>A18</f>
        <v>Dp</v>
      </c>
      <c r="M18" s="26" t="e">
        <f>C18</f>
        <v>#N/A</v>
      </c>
      <c r="N18" s="16" t="e">
        <f>I18</f>
        <v>#VALUE!</v>
      </c>
      <c r="O18" s="16" t="b">
        <f>J18</f>
        <v>0</v>
      </c>
      <c r="P18" s="14" t="str">
        <v>Sf</v>
      </c>
      <c r="Q18" s="14" t="str">
        <v>M6</v>
      </c>
      <c r="R18" s="14" t="str">
        <v>obj_00822#0019</v>
      </c>
      <c r="S18" s="21">
        <f>_xll.qlRateHelperQuoteValue(R18,Trigger)</f>
        <v>99.962500000000006</v>
      </c>
      <c r="T18" s="15">
        <f>_xll.qlRateHelperEarliestDate(R18,Trigger)</f>
        <v>42536</v>
      </c>
      <c r="U18" s="15">
        <f>_xll.qlRateHelperLatestDate(R18,Trigger)</f>
        <v>42628</v>
      </c>
      <c r="V18" s="119">
        <v>6.0304747219604984E-4</v>
      </c>
    </row>
    <row r="19" spans="1:22" ht="11.25" customHeight="1" x14ac:dyDescent="0.2">
      <c r="A19" s="85"/>
      <c r="B19" s="85"/>
      <c r="C19" s="86"/>
      <c r="D19" s="87"/>
      <c r="E19" s="88"/>
      <c r="F19" s="85"/>
      <c r="G19" s="89"/>
      <c r="J19" s="82"/>
      <c r="K19" s="77"/>
      <c r="L19" s="25" t="str">
        <f>A21</f>
        <v>Sf</v>
      </c>
      <c r="M19" s="25" t="str">
        <f>D21</f>
        <v>Z5</v>
      </c>
      <c r="N19" s="25" t="str">
        <f>I21</f>
        <v>obj_00825#0019</v>
      </c>
      <c r="O19" s="14" t="b">
        <f>J21</f>
        <v>1</v>
      </c>
      <c r="P19" s="14" t="str">
        <v>Sf</v>
      </c>
      <c r="Q19" s="14" t="str">
        <v>U6</v>
      </c>
      <c r="R19" s="14" t="str">
        <v>obj_00819#0019</v>
      </c>
      <c r="S19" s="21">
        <f>_xll.qlRateHelperQuoteValue(R19,Trigger)</f>
        <v>99.9375</v>
      </c>
      <c r="T19" s="15">
        <f>_xll.qlRateHelperEarliestDate(R19,Trigger)</f>
        <v>42634</v>
      </c>
      <c r="U19" s="15">
        <f>_xll.qlRateHelperLatestDate(R19,Trigger)</f>
        <v>42725</v>
      </c>
      <c r="V19" s="119">
        <v>6.0809263225480631E-4</v>
      </c>
    </row>
    <row r="20" spans="1:22" ht="11.25" customHeight="1" x14ac:dyDescent="0.2">
      <c r="A20" s="110" t="s">
        <v>18</v>
      </c>
      <c r="B20" s="110" t="s">
        <v>35</v>
      </c>
      <c r="C20" s="110" t="s">
        <v>35</v>
      </c>
      <c r="D20" s="110" t="s">
        <v>195</v>
      </c>
      <c r="E20" s="110" t="s">
        <v>196</v>
      </c>
      <c r="F20" s="110" t="s">
        <v>9</v>
      </c>
      <c r="G20" s="110" t="s">
        <v>5</v>
      </c>
      <c r="H20" s="110" t="s">
        <v>10</v>
      </c>
      <c r="I20" s="110" t="s">
        <v>43</v>
      </c>
      <c r="J20" s="110" t="s">
        <v>47</v>
      </c>
      <c r="K20" s="77"/>
      <c r="L20" s="25" t="str">
        <f>A22</f>
        <v>Sf</v>
      </c>
      <c r="M20" s="25" t="str">
        <f>D22</f>
        <v>H6</v>
      </c>
      <c r="N20" s="25" t="str">
        <f>I22</f>
        <v>obj_0081f#0019</v>
      </c>
      <c r="O20" s="14" t="b">
        <f>J22</f>
        <v>1</v>
      </c>
      <c r="P20" s="14" t="str">
        <v>Sf</v>
      </c>
      <c r="Q20" s="14" t="str">
        <v>Z6</v>
      </c>
      <c r="R20" s="14" t="str">
        <v>obj_00816#0019</v>
      </c>
      <c r="S20" s="21">
        <f>_xll.qlRateHelperQuoteValue(R20,Trigger)</f>
        <v>99.897750000000002</v>
      </c>
      <c r="T20" s="15">
        <f>_xll.qlRateHelperEarliestDate(R20,Trigger)</f>
        <v>42725</v>
      </c>
      <c r="U20" s="15">
        <f>_xll.qlRateHelperLatestDate(R20,Trigger)</f>
        <v>42815</v>
      </c>
      <c r="V20" s="119">
        <v>6.6547784772579108E-4</v>
      </c>
    </row>
    <row r="21" spans="1:22" ht="11.25" customHeight="1" x14ac:dyDescent="0.2">
      <c r="A21" s="122" t="s">
        <v>44</v>
      </c>
      <c r="B21" s="123">
        <f t="shared" ref="B21:B28" si="5">DATE(2000+RIGHT(C21,2),RIGHT(LEFT(C21,5),2),LEFT(C21,2))</f>
        <v>57903</v>
      </c>
      <c r="C21" s="150">
        <f t="array" ref="C21:C28">_xll.ohFilter(PastedValue!L2:L62,PastedValue!K2:K62="Sf")</f>
        <v>42354</v>
      </c>
      <c r="D21" s="124" t="str">
        <f>_xll.qlIMMcode(C21)</f>
        <v>Z5</v>
      </c>
      <c r="E21" s="97" t="s">
        <v>15</v>
      </c>
      <c r="F21" s="125" t="s">
        <v>53</v>
      </c>
      <c r="G21" s="126">
        <f t="array" ref="G21:G28">_xll.ohFilter(PastedValue!R2:R62,PastedValue!K2:K62="Sf")</f>
        <v>99.986999999999995</v>
      </c>
      <c r="H21" s="127">
        <v>0</v>
      </c>
      <c r="I21" s="128" t="str">
        <f>_xll.qlFuturesRateHelper(,$G21,"IMM",$D21,$F21,$H21,Permanent,Trigger,ObjectOverwrite)</f>
        <v>obj_00825#0019</v>
      </c>
      <c r="J21" s="96" t="b">
        <f>IF(ISNUMBER(G21),TRUE,FALSE)</f>
        <v>1</v>
      </c>
      <c r="K21" s="77"/>
      <c r="L21" s="25" t="str">
        <f>A23</f>
        <v>Sf</v>
      </c>
      <c r="M21" s="25" t="str">
        <f>D23</f>
        <v>M6</v>
      </c>
      <c r="N21" s="25" t="str">
        <f>I23</f>
        <v>obj_00822#0019</v>
      </c>
      <c r="O21" s="14" t="b">
        <f>J23</f>
        <v>1</v>
      </c>
      <c r="P21" s="14" t="str">
        <v>Sf</v>
      </c>
      <c r="Q21" s="14" t="str">
        <v>H7</v>
      </c>
      <c r="R21" s="14" t="str">
        <v>obj_00813#0019</v>
      </c>
      <c r="S21" s="21">
        <f>_xll.qlRateHelperQuoteValue(R21,Trigger)</f>
        <v>99.859250000000003</v>
      </c>
      <c r="T21" s="15">
        <f>_xll.qlRateHelperEarliestDate(R21,Trigger)</f>
        <v>42809</v>
      </c>
      <c r="U21" s="15">
        <f>_xll.qlRateHelperLatestDate(R21,Trigger)</f>
        <v>42901</v>
      </c>
      <c r="V21" s="119">
        <v>7.5451874541066128E-4</v>
      </c>
    </row>
    <row r="22" spans="1:22" ht="11.25" customHeight="1" x14ac:dyDescent="0.2">
      <c r="A22" s="129" t="s">
        <v>44</v>
      </c>
      <c r="B22" s="130">
        <f t="shared" si="5"/>
        <v>54343</v>
      </c>
      <c r="C22" s="151">
        <v>42445</v>
      </c>
      <c r="D22" s="131" t="str">
        <f>_xll.qlIMMcode(C22)</f>
        <v>H6</v>
      </c>
      <c r="E22" s="105" t="s">
        <v>15</v>
      </c>
      <c r="F22" s="132" t="s">
        <v>53</v>
      </c>
      <c r="G22" s="133">
        <v>99.977000000000004</v>
      </c>
      <c r="H22" s="134">
        <v>0</v>
      </c>
      <c r="I22" s="135" t="str">
        <f>_xll.qlFuturesRateHelper(,$G22,"IMM",$D22,$F22,$H22,Permanent,Trigger,ObjectOverwrite)</f>
        <v>obj_0081f#0019</v>
      </c>
      <c r="J22" s="135" t="b">
        <f t="shared" ref="J22:J28" si="6">IF(ISNUMBER(G22),TRUE,FALSE)</f>
        <v>1</v>
      </c>
      <c r="K22" s="77"/>
      <c r="L22" s="25" t="str">
        <f>A24</f>
        <v>Sf</v>
      </c>
      <c r="M22" s="25" t="str">
        <f>D24</f>
        <v>U6</v>
      </c>
      <c r="N22" s="25" t="str">
        <f>I24</f>
        <v>obj_00819#0019</v>
      </c>
      <c r="O22" s="14" t="b">
        <f>J24</f>
        <v>1</v>
      </c>
      <c r="P22" s="14" t="str">
        <v>Sw</v>
      </c>
      <c r="Q22" s="14" t="str">
        <v>3Y</v>
      </c>
      <c r="R22" s="14" t="str">
        <v>obj_00966#0026</v>
      </c>
      <c r="S22" s="21">
        <f>_xll.qlRateHelperQuoteValue(R22,Trigger)</f>
        <v>1.9E-3</v>
      </c>
      <c r="T22" s="15">
        <f>_xll.qlRateHelperEarliestDate(R22,Trigger)</f>
        <v>42145</v>
      </c>
      <c r="U22" s="15">
        <f>_xll.qlRateHelperLatestDate(R22,Trigger)</f>
        <v>43241</v>
      </c>
      <c r="V22" s="119">
        <v>1.8934008030847035E-3</v>
      </c>
    </row>
    <row r="23" spans="1:22" ht="11.25" customHeight="1" x14ac:dyDescent="0.2">
      <c r="A23" s="129" t="s">
        <v>44</v>
      </c>
      <c r="B23" s="130">
        <f t="shared" si="5"/>
        <v>50781</v>
      </c>
      <c r="C23" s="151">
        <v>42536</v>
      </c>
      <c r="D23" s="131" t="str">
        <f>_xll.qlIMMcode(C23)</f>
        <v>M6</v>
      </c>
      <c r="E23" s="105" t="s">
        <v>15</v>
      </c>
      <c r="F23" s="132" t="s">
        <v>53</v>
      </c>
      <c r="G23" s="133">
        <v>99.962500000000006</v>
      </c>
      <c r="H23" s="134">
        <v>0</v>
      </c>
      <c r="I23" s="135" t="str">
        <f>_xll.qlFuturesRateHelper(,$G23,"IMM",$D23,$F23,$H23,Permanent,Trigger,ObjectOverwrite)</f>
        <v>obj_00822#0019</v>
      </c>
      <c r="J23" s="135" t="b">
        <f t="shared" si="6"/>
        <v>1</v>
      </c>
      <c r="K23" s="77"/>
      <c r="L23" s="25" t="str">
        <f>A25</f>
        <v>Sf</v>
      </c>
      <c r="M23" s="25" t="str">
        <f>D25</f>
        <v>Z6</v>
      </c>
      <c r="N23" s="25" t="str">
        <f>I25</f>
        <v>obj_00816#0019</v>
      </c>
      <c r="O23" s="14" t="b">
        <f>J25</f>
        <v>1</v>
      </c>
      <c r="P23" s="14" t="str">
        <v>Sw</v>
      </c>
      <c r="Q23" s="14" t="str">
        <v>4Y</v>
      </c>
      <c r="R23" s="14" t="str">
        <v>obj_0097b#0014</v>
      </c>
      <c r="S23" s="21">
        <f>_xll.qlRateHelperQuoteValue(R23,Trigger)</f>
        <v>2.8899999999999998E-3</v>
      </c>
      <c r="T23" s="15">
        <f>_xll.qlRateHelperEarliestDate(R23,Trigger)</f>
        <v>42145</v>
      </c>
      <c r="U23" s="15">
        <f>_xll.qlRateHelperLatestDate(R23,Trigger)</f>
        <v>43606</v>
      </c>
      <c r="V23" s="119">
        <v>2.8853750394796092E-3</v>
      </c>
    </row>
    <row r="24" spans="1:22" ht="11.25" customHeight="1" x14ac:dyDescent="0.2">
      <c r="A24" s="129" t="s">
        <v>44</v>
      </c>
      <c r="B24" s="130">
        <f t="shared" si="5"/>
        <v>49990</v>
      </c>
      <c r="C24" s="151">
        <v>42634</v>
      </c>
      <c r="D24" s="131" t="str">
        <f>_xll.qlIMMcode(C24)</f>
        <v>U6</v>
      </c>
      <c r="E24" s="105" t="s">
        <v>15</v>
      </c>
      <c r="F24" s="132" t="s">
        <v>53</v>
      </c>
      <c r="G24" s="133">
        <v>99.9375</v>
      </c>
      <c r="H24" s="134">
        <v>0</v>
      </c>
      <c r="I24" s="135" t="str">
        <f>_xll.qlFuturesRateHelper(,$G24,"IMM",$D24,$F24,$H24,Permanent,Trigger,ObjectOverwrite)</f>
        <v>obj_00819#0019</v>
      </c>
      <c r="J24" s="135" t="b">
        <f t="shared" si="6"/>
        <v>1</v>
      </c>
      <c r="K24" s="77"/>
      <c r="L24" s="25" t="str">
        <f>A26</f>
        <v>Sf</v>
      </c>
      <c r="M24" s="25" t="str">
        <f>D26</f>
        <v>H7</v>
      </c>
      <c r="N24" s="25" t="str">
        <f>I26</f>
        <v>obj_00813#0019</v>
      </c>
      <c r="O24" s="14" t="b">
        <f>J26</f>
        <v>1</v>
      </c>
      <c r="P24" s="14" t="str">
        <v>Sw</v>
      </c>
      <c r="Q24" s="14" t="str">
        <v>5Y</v>
      </c>
      <c r="R24" s="14" t="str">
        <v>obj_00961#0014</v>
      </c>
      <c r="S24" s="21">
        <f>_xll.qlRateHelperQuoteValue(R24,Trigger)</f>
        <v>4.0500000000000006E-3</v>
      </c>
      <c r="T24" s="15">
        <f>_xll.qlRateHelperEarliestDate(R24,Trigger)</f>
        <v>42145</v>
      </c>
      <c r="U24" s="15">
        <f>_xll.qlRateHelperLatestDate(R24,Trigger)</f>
        <v>43972</v>
      </c>
      <c r="V24" s="119">
        <v>4.0489810194275925E-3</v>
      </c>
    </row>
    <row r="25" spans="1:22" ht="11.25" customHeight="1" x14ac:dyDescent="0.2">
      <c r="A25" s="129" t="s">
        <v>44</v>
      </c>
      <c r="B25" s="130">
        <f t="shared" si="5"/>
        <v>46429</v>
      </c>
      <c r="C25" s="151">
        <v>42725</v>
      </c>
      <c r="D25" s="131" t="str">
        <f>_xll.qlIMMcode(C25)</f>
        <v>Z6</v>
      </c>
      <c r="E25" s="105" t="s">
        <v>15</v>
      </c>
      <c r="F25" s="132" t="s">
        <v>53</v>
      </c>
      <c r="G25" s="133">
        <v>99.897750000000002</v>
      </c>
      <c r="H25" s="134">
        <v>0</v>
      </c>
      <c r="I25" s="135" t="str">
        <f>_xll.qlFuturesRateHelper(,$G25,"IMM",$D25,$F25,$H25,Permanent,Trigger,ObjectOverwrite)</f>
        <v>obj_00816#0019</v>
      </c>
      <c r="J25" s="135" t="b">
        <f t="shared" si="6"/>
        <v>1</v>
      </c>
      <c r="K25" s="77"/>
      <c r="L25" s="25" t="str">
        <f>A27</f>
        <v>Sf</v>
      </c>
      <c r="M25" s="25" t="e">
        <f>D27</f>
        <v>#NUM!</v>
      </c>
      <c r="N25" s="25" t="e">
        <f>I27</f>
        <v>#NUM!</v>
      </c>
      <c r="O25" s="14" t="b">
        <f>J27</f>
        <v>0</v>
      </c>
      <c r="P25" s="14" t="str">
        <v>Sw</v>
      </c>
      <c r="Q25" s="14" t="str">
        <v>6Y</v>
      </c>
      <c r="R25" s="14" t="str">
        <v>obj_0095a#0014</v>
      </c>
      <c r="S25" s="21">
        <f>_xll.qlRateHelperQuoteValue(R25,Trigger)</f>
        <v>5.2599999999999999E-3</v>
      </c>
      <c r="T25" s="15">
        <f>_xll.qlRateHelperEarliestDate(R25,Trigger)</f>
        <v>42145</v>
      </c>
      <c r="U25" s="15">
        <f>_xll.qlRateHelperLatestDate(R25,Trigger)</f>
        <v>44337</v>
      </c>
      <c r="V25" s="119">
        <v>5.2703187771628137E-3</v>
      </c>
    </row>
    <row r="26" spans="1:22" ht="11.25" customHeight="1" x14ac:dyDescent="0.2">
      <c r="A26" s="129" t="s">
        <v>44</v>
      </c>
      <c r="B26" s="130">
        <f t="shared" si="5"/>
        <v>40098</v>
      </c>
      <c r="C26" s="151">
        <v>42809</v>
      </c>
      <c r="D26" s="131" t="str">
        <f>_xll.qlIMMcode(C26)</f>
        <v>H7</v>
      </c>
      <c r="E26" s="105" t="s">
        <v>15</v>
      </c>
      <c r="F26" s="132" t="s">
        <v>53</v>
      </c>
      <c r="G26" s="133">
        <v>99.859250000000003</v>
      </c>
      <c r="H26" s="134">
        <v>0</v>
      </c>
      <c r="I26" s="135" t="str">
        <f>_xll.qlFuturesRateHelper(,$G26,"IMM",$D26,$F26,$H26,Permanent,Trigger,ObjectOverwrite)</f>
        <v>obj_00813#0019</v>
      </c>
      <c r="J26" s="135" t="b">
        <f t="shared" si="6"/>
        <v>1</v>
      </c>
      <c r="K26" s="77"/>
      <c r="L26" s="26" t="str">
        <f>A28</f>
        <v>Sf</v>
      </c>
      <c r="M26" s="26" t="e">
        <f>D28</f>
        <v>#NUM!</v>
      </c>
      <c r="N26" s="26" t="e">
        <f>I28</f>
        <v>#NUM!</v>
      </c>
      <c r="O26" s="16" t="b">
        <f>J28</f>
        <v>0</v>
      </c>
      <c r="P26" s="14" t="str">
        <v>Sw</v>
      </c>
      <c r="Q26" s="14" t="str">
        <v>7Y</v>
      </c>
      <c r="R26" s="14" t="str">
        <v>obj_00978#0014</v>
      </c>
      <c r="S26" s="21">
        <f>_xll.qlRateHelperQuoteValue(R26,Trigger)</f>
        <v>6.4700000000000001E-3</v>
      </c>
      <c r="T26" s="15">
        <f>_xll.qlRateHelperEarliestDate(R26,Trigger)</f>
        <v>42145</v>
      </c>
      <c r="U26" s="15">
        <f>_xll.qlRateHelperLatestDate(R26,Trigger)</f>
        <v>44704</v>
      </c>
      <c r="V26" s="119">
        <v>6.498682939897733E-3</v>
      </c>
    </row>
    <row r="27" spans="1:22" ht="11.25" customHeight="1" x14ac:dyDescent="0.2">
      <c r="A27" s="129" t="s">
        <v>44</v>
      </c>
      <c r="B27" s="130" t="e">
        <f t="shared" si="5"/>
        <v>#N/A</v>
      </c>
      <c r="C27" s="151" t="e">
        <v>#N/A</v>
      </c>
      <c r="D27" s="131" t="e">
        <f>_xll.qlIMMcode(C27)</f>
        <v>#NUM!</v>
      </c>
      <c r="E27" s="105" t="s">
        <v>15</v>
      </c>
      <c r="F27" s="132" t="s">
        <v>53</v>
      </c>
      <c r="G27" s="133" t="e">
        <v>#N/A</v>
      </c>
      <c r="H27" s="134">
        <v>0</v>
      </c>
      <c r="I27" s="135" t="e">
        <f>_xll.qlFuturesRateHelper(,$G27,"IMM",$D27,$F27,$H27,Permanent,Trigger,ObjectOverwrite)</f>
        <v>#NUM!</v>
      </c>
      <c r="J27" s="135" t="b">
        <f t="shared" si="6"/>
        <v>0</v>
      </c>
      <c r="K27" s="77"/>
      <c r="L27" s="25" t="str">
        <f>A32</f>
        <v>Sw</v>
      </c>
      <c r="M27" s="25" t="str">
        <f>D32</f>
        <v>3Y</v>
      </c>
      <c r="N27" s="25" t="str">
        <f>I32</f>
        <v>obj_00966#0026</v>
      </c>
      <c r="O27" s="25" t="b">
        <f>J32</f>
        <v>1</v>
      </c>
      <c r="P27" s="14" t="str">
        <v>Sw</v>
      </c>
      <c r="Q27" s="14" t="str">
        <v>8Y</v>
      </c>
      <c r="R27" s="14" t="str">
        <v>obj_0095f#0014</v>
      </c>
      <c r="S27" s="21">
        <f>_xll.qlRateHelperQuoteValue(R27,Trigger)</f>
        <v>7.5900000000000004E-3</v>
      </c>
      <c r="T27" s="15">
        <f>_xll.qlRateHelperEarliestDate(R27,Trigger)</f>
        <v>42145</v>
      </c>
      <c r="U27" s="15">
        <f>_xll.qlRateHelperLatestDate(R27,Trigger)</f>
        <v>45068</v>
      </c>
      <c r="V27" s="119">
        <v>7.6428877130034984E-3</v>
      </c>
    </row>
    <row r="28" spans="1:22" ht="11.25" customHeight="1" x14ac:dyDescent="0.2">
      <c r="A28" s="24" t="s">
        <v>44</v>
      </c>
      <c r="B28" s="10" t="e">
        <f t="shared" si="5"/>
        <v>#N/A</v>
      </c>
      <c r="C28" s="152" t="e">
        <v>#N/A</v>
      </c>
      <c r="D28" s="9" t="e">
        <f>_xll.qlIMMcode(C28)</f>
        <v>#NUM!</v>
      </c>
      <c r="E28" s="20" t="s">
        <v>15</v>
      </c>
      <c r="F28" s="3" t="s">
        <v>53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2" t="b">
        <f t="shared" si="6"/>
        <v>0</v>
      </c>
      <c r="K28" s="77"/>
      <c r="L28" s="25" t="str">
        <f>A33</f>
        <v>Sw</v>
      </c>
      <c r="M28" s="25" t="str">
        <f>D33</f>
        <v>4Y</v>
      </c>
      <c r="N28" s="25" t="str">
        <f>I33</f>
        <v>obj_0097b#0014</v>
      </c>
      <c r="O28" s="25" t="b">
        <f>J33</f>
        <v>1</v>
      </c>
      <c r="P28" s="14" t="str">
        <v>Sw</v>
      </c>
      <c r="Q28" s="14" t="str">
        <v>9Y</v>
      </c>
      <c r="R28" s="14" t="str">
        <v>obj_0095e#0014</v>
      </c>
      <c r="S28" s="21">
        <f>_xll.qlRateHelperQuoteValue(R28,Trigger)</f>
        <v>8.5799999999999991E-3</v>
      </c>
      <c r="T28" s="15">
        <f>_xll.qlRateHelperEarliestDate(R28,Trigger)</f>
        <v>42145</v>
      </c>
      <c r="U28" s="15">
        <f>_xll.qlRateHelperLatestDate(R28,Trigger)</f>
        <v>45433</v>
      </c>
      <c r="V28" s="119">
        <v>8.6580479894934927E-3</v>
      </c>
    </row>
    <row r="29" spans="1:22" ht="11.25" customHeight="1" x14ac:dyDescent="0.2">
      <c r="K29" s="77"/>
      <c r="L29" s="25" t="str">
        <f>A34</f>
        <v>Sw</v>
      </c>
      <c r="M29" s="25" t="str">
        <f>D34</f>
        <v>5Y</v>
      </c>
      <c r="N29" s="25" t="str">
        <f>I34</f>
        <v>obj_00961#0014</v>
      </c>
      <c r="O29" s="25" t="b">
        <f>J34</f>
        <v>1</v>
      </c>
      <c r="P29" s="14" t="str">
        <v>Sw</v>
      </c>
      <c r="Q29" s="14" t="str">
        <v>10Y</v>
      </c>
      <c r="R29" s="14" t="str">
        <v>obj_00975#0014</v>
      </c>
      <c r="S29" s="21">
        <f>_xll.qlRateHelperQuoteValue(R29,Trigger)</f>
        <v>9.4199999999999996E-3</v>
      </c>
      <c r="T29" s="15">
        <f>_xll.qlRateHelperEarliestDate(R29,Trigger)</f>
        <v>42145</v>
      </c>
      <c r="U29" s="15">
        <f>_xll.qlRateHelperLatestDate(R29,Trigger)</f>
        <v>45798</v>
      </c>
      <c r="V29" s="119">
        <v>9.5265199251302612E-3</v>
      </c>
    </row>
    <row r="30" spans="1:22" ht="11.25" customHeight="1" x14ac:dyDescent="0.2">
      <c r="C30" s="74"/>
      <c r="D30" s="74"/>
      <c r="E30" s="74"/>
      <c r="G30" s="93" t="s">
        <v>7</v>
      </c>
      <c r="H30" s="110" t="s">
        <v>9</v>
      </c>
      <c r="I30" s="2" t="str">
        <f>_xll.qlEuribor(,G30,,,Trigger,)</f>
        <v>obj_00958#0012</v>
      </c>
      <c r="J30" s="74"/>
      <c r="K30" s="77"/>
      <c r="L30" s="25" t="str">
        <f>A35</f>
        <v>Sw</v>
      </c>
      <c r="M30" s="25" t="str">
        <f>D35</f>
        <v>6Y</v>
      </c>
      <c r="N30" s="25" t="str">
        <f>I35</f>
        <v>obj_0095a#0014</v>
      </c>
      <c r="O30" s="25" t="b">
        <f>J35</f>
        <v>1</v>
      </c>
      <c r="P30" s="14" t="str">
        <v>Sw</v>
      </c>
      <c r="Q30" s="14" t="str">
        <v>11Y</v>
      </c>
      <c r="R30" s="14" t="str">
        <v>obj_0096d#0014</v>
      </c>
      <c r="S30" s="21">
        <f>_xll.qlRateHelperQuoteValue(R30,Trigger)</f>
        <v>1.017007032E-2</v>
      </c>
      <c r="T30" s="15">
        <f>_xll.qlRateHelperEarliestDate(R30,Trigger)</f>
        <v>42145</v>
      </c>
      <c r="U30" s="15">
        <f>_xll.qlRateHelperLatestDate(R30,Trigger)</f>
        <v>46163</v>
      </c>
      <c r="V30" s="119">
        <v>1.0306877657543276E-2</v>
      </c>
    </row>
    <row r="31" spans="1:22" ht="11.25" customHeight="1" x14ac:dyDescent="0.2">
      <c r="A31" s="110" t="s">
        <v>18</v>
      </c>
      <c r="B31" s="110"/>
      <c r="C31" s="110" t="s">
        <v>11</v>
      </c>
      <c r="D31" s="110" t="s">
        <v>1</v>
      </c>
      <c r="E31" s="110" t="s">
        <v>13</v>
      </c>
      <c r="F31" s="110" t="s">
        <v>12</v>
      </c>
      <c r="G31" s="110" t="s">
        <v>4</v>
      </c>
      <c r="H31" s="110" t="s">
        <v>5</v>
      </c>
      <c r="I31" s="110" t="s">
        <v>43</v>
      </c>
      <c r="J31" s="110" t="s">
        <v>47</v>
      </c>
      <c r="K31" s="77"/>
      <c r="L31" s="25" t="str">
        <f>A36</f>
        <v>Sw</v>
      </c>
      <c r="M31" s="25" t="str">
        <f>D36</f>
        <v>7Y</v>
      </c>
      <c r="N31" s="25" t="str">
        <f>I36</f>
        <v>obj_00978#0014</v>
      </c>
      <c r="O31" s="25" t="b">
        <f>J36</f>
        <v>1</v>
      </c>
      <c r="P31" s="14" t="str">
        <v>Sw</v>
      </c>
      <c r="Q31" s="14" t="str">
        <v>12Y</v>
      </c>
      <c r="R31" s="14" t="str">
        <v>obj_00968#0014</v>
      </c>
      <c r="S31" s="21">
        <f>_xll.qlRateHelperQuoteValue(R31,Trigger)</f>
        <v>1.0829999999999999E-2</v>
      </c>
      <c r="T31" s="15">
        <f>_xll.qlRateHelperEarliestDate(R31,Trigger)</f>
        <v>42145</v>
      </c>
      <c r="U31" s="15">
        <f>_xll.qlRateHelperLatestDate(R31,Trigger)</f>
        <v>46528</v>
      </c>
      <c r="V31" s="119">
        <v>1.0997446852118942E-2</v>
      </c>
    </row>
    <row r="32" spans="1:22" ht="11.25" customHeight="1" x14ac:dyDescent="0.2">
      <c r="A32" s="101" t="s">
        <v>45</v>
      </c>
      <c r="B32" s="136"/>
      <c r="C32" s="136" t="s">
        <v>14</v>
      </c>
      <c r="D32" s="137" t="str">
        <f t="array" ref="D32:D76">_xll.ohFilter(PastedValue!O2:O62,PastedValue!K2:K62="Sw")</f>
        <v>3Y</v>
      </c>
      <c r="E32" s="125" t="s">
        <v>15</v>
      </c>
      <c r="F32" s="136" t="s">
        <v>16</v>
      </c>
      <c r="G32" s="125" t="s">
        <v>17</v>
      </c>
      <c r="H32" s="138">
        <f t="array" ref="H32:H76">_xll.ohFilter(PastedValue!R2:R62,PastedValue!K2:K62="Sw")/100</f>
        <v>1.9E-3</v>
      </c>
      <c r="I32" s="99" t="str">
        <f>_xll.qlSwapRateHelper2(,$H32,2,$D32,Calendar,$F32,$E32,$G32,$I$30,0,C32,,Permanent,Trigger,ObjectOverwrite)</f>
        <v>obj_00966#0026</v>
      </c>
      <c r="J32" s="128" t="b">
        <f>IF(ISNUMBER(H32),TRUE,FALSE)</f>
        <v>1</v>
      </c>
      <c r="K32" s="77"/>
      <c r="L32" s="25" t="str">
        <f>A37</f>
        <v>Sw</v>
      </c>
      <c r="M32" s="25" t="str">
        <f>D37</f>
        <v>8Y</v>
      </c>
      <c r="N32" s="25" t="str">
        <f>I37</f>
        <v>obj_0095f#0014</v>
      </c>
      <c r="O32" s="25" t="b">
        <f>J37</f>
        <v>1</v>
      </c>
      <c r="P32" s="14" t="str">
        <v>Sw</v>
      </c>
      <c r="Q32" s="14" t="str">
        <v>13Y</v>
      </c>
      <c r="R32" s="14" t="str">
        <v>obj_00962#0014</v>
      </c>
      <c r="S32" s="21">
        <f>_xll.qlRateHelperQuoteValue(R32,Trigger)</f>
        <v>1.139669246E-2</v>
      </c>
      <c r="T32" s="15">
        <f>_xll.qlRateHelperEarliestDate(R32,Trigger)</f>
        <v>42145</v>
      </c>
      <c r="U32" s="15">
        <f>_xll.qlRateHelperLatestDate(R32,Trigger)</f>
        <v>46895</v>
      </c>
      <c r="V32" s="119">
        <v>1.1590759212447791E-2</v>
      </c>
    </row>
    <row r="33" spans="1:22" ht="11.25" customHeight="1" x14ac:dyDescent="0.2">
      <c r="A33" s="109" t="s">
        <v>45</v>
      </c>
      <c r="B33" s="139"/>
      <c r="C33" s="139" t="s">
        <v>14</v>
      </c>
      <c r="D33" s="140" t="str">
        <v>4Y</v>
      </c>
      <c r="E33" s="132" t="s">
        <v>15</v>
      </c>
      <c r="F33" s="139" t="s">
        <v>16</v>
      </c>
      <c r="G33" s="132" t="s">
        <v>17</v>
      </c>
      <c r="H33" s="141">
        <v>2.8899999999999998E-3</v>
      </c>
      <c r="I33" s="107" t="str">
        <f>_xll.qlSwapRateHelper2(,$H33,2,$D33,Calendar,$F33,$E33,$G33,$I$30,0,C33,,Permanent,Trigger,ObjectOverwrite)</f>
        <v>obj_0097b#0014</v>
      </c>
      <c r="J33" s="135" t="b">
        <f t="shared" ref="J33:J76" si="7">IF(ISNUMBER(H33),TRUE,FALSE)</f>
        <v>1</v>
      </c>
      <c r="L33" s="25" t="str">
        <f>A38</f>
        <v>Sw</v>
      </c>
      <c r="M33" s="25" t="str">
        <f>D38</f>
        <v>9Y</v>
      </c>
      <c r="N33" s="25" t="str">
        <f>I38</f>
        <v>obj_0095e#0014</v>
      </c>
      <c r="O33" s="25" t="b">
        <f>J38</f>
        <v>1</v>
      </c>
      <c r="P33" s="14" t="str">
        <v>Sw</v>
      </c>
      <c r="Q33" s="14" t="str">
        <v>14Y</v>
      </c>
      <c r="R33" s="14" t="str">
        <v>obj_0097e#0014</v>
      </c>
      <c r="S33" s="21">
        <f>_xll.qlRateHelperQuoteValue(R33,Trigger)</f>
        <v>1.1866365160000001E-2</v>
      </c>
      <c r="T33" s="15">
        <f>_xll.qlRateHelperEarliestDate(R33,Trigger)</f>
        <v>42145</v>
      </c>
      <c r="U33" s="15">
        <f>_xll.qlRateHelperLatestDate(R33,Trigger)</f>
        <v>47259</v>
      </c>
      <c r="V33" s="119">
        <v>1.2085924146158255E-2</v>
      </c>
    </row>
    <row r="34" spans="1:22" ht="11.25" customHeight="1" x14ac:dyDescent="0.2">
      <c r="A34" s="109" t="s">
        <v>45</v>
      </c>
      <c r="B34" s="139"/>
      <c r="C34" s="139" t="s">
        <v>14</v>
      </c>
      <c r="D34" s="140" t="str">
        <v>5Y</v>
      </c>
      <c r="E34" s="132" t="s">
        <v>15</v>
      </c>
      <c r="F34" s="139" t="s">
        <v>16</v>
      </c>
      <c r="G34" s="132" t="s">
        <v>17</v>
      </c>
      <c r="H34" s="141">
        <v>4.0500000000000006E-3</v>
      </c>
      <c r="I34" s="107" t="str">
        <f>_xll.qlSwapRateHelper2(,$H34,2,$D34,Calendar,$F34,$E34,$G34,$I$30,0,C34,,Permanent,Trigger,ObjectOverwrite)</f>
        <v>obj_00961#0014</v>
      </c>
      <c r="J34" s="135" t="b">
        <f t="shared" si="7"/>
        <v>1</v>
      </c>
      <c r="L34" s="25" t="str">
        <f>A39</f>
        <v>Sw</v>
      </c>
      <c r="M34" s="25" t="str">
        <f>D39</f>
        <v>10Y</v>
      </c>
      <c r="N34" s="25" t="str">
        <f>I39</f>
        <v>obj_00975#0014</v>
      </c>
      <c r="O34" s="25" t="b">
        <f>J39</f>
        <v>1</v>
      </c>
      <c r="P34" s="14" t="str">
        <v>Sw</v>
      </c>
      <c r="Q34" s="14" t="str">
        <v>15Y</v>
      </c>
      <c r="R34" s="14" t="str">
        <v>obj_00976#0014</v>
      </c>
      <c r="S34" s="21">
        <f>_xll.qlRateHelperQuoteValue(R34,Trigger)</f>
        <v>1.226E-2</v>
      </c>
      <c r="T34" s="15">
        <f>_xll.qlRateHelperEarliestDate(R34,Trigger)</f>
        <v>42145</v>
      </c>
      <c r="U34" s="15">
        <f>_xll.qlRateHelperLatestDate(R34,Trigger)</f>
        <v>47624</v>
      </c>
      <c r="V34" s="119">
        <v>1.2501605003566778E-2</v>
      </c>
    </row>
    <row r="35" spans="1:22" ht="11.25" customHeight="1" x14ac:dyDescent="0.2">
      <c r="A35" s="109" t="s">
        <v>45</v>
      </c>
      <c r="B35" s="139"/>
      <c r="C35" s="139" t="s">
        <v>14</v>
      </c>
      <c r="D35" s="140" t="str">
        <v>6Y</v>
      </c>
      <c r="E35" s="132" t="s">
        <v>15</v>
      </c>
      <c r="F35" s="139" t="s">
        <v>16</v>
      </c>
      <c r="G35" s="132" t="s">
        <v>17</v>
      </c>
      <c r="H35" s="141">
        <v>5.2599999999999999E-3</v>
      </c>
      <c r="I35" s="107" t="str">
        <f>_xll.qlSwapRateHelper2(,$H35,2,$D35,Calendar,$F35,$E35,$G35,$I$30,0,C35,,Permanent,Trigger,ObjectOverwrite)</f>
        <v>obj_0095a#0014</v>
      </c>
      <c r="J35" s="135" t="b">
        <f t="shared" si="7"/>
        <v>1</v>
      </c>
      <c r="L35" s="25" t="str">
        <f>A40</f>
        <v>Sw</v>
      </c>
      <c r="M35" s="25" t="str">
        <f>D40</f>
        <v>11Y</v>
      </c>
      <c r="N35" s="25" t="str">
        <f>I40</f>
        <v>obj_0096d#0014</v>
      </c>
      <c r="O35" s="25" t="b">
        <f>J40</f>
        <v>1</v>
      </c>
      <c r="P35" s="14" t="str">
        <v>Sw</v>
      </c>
      <c r="Q35" s="14" t="str">
        <v>16Y</v>
      </c>
      <c r="R35" s="14" t="str">
        <v>obj_00972#0014</v>
      </c>
      <c r="S35" s="21">
        <f>_xll.qlRateHelperQuoteValue(R35,Trigger)</f>
        <v>1.2587940820000001E-2</v>
      </c>
      <c r="T35" s="15">
        <f>_xll.qlRateHelperEarliestDate(R35,Trigger)</f>
        <v>42145</v>
      </c>
      <c r="U35" s="15">
        <f>_xll.qlRateHelperLatestDate(R35,Trigger)</f>
        <v>47989</v>
      </c>
      <c r="V35" s="119">
        <v>1.2847942201767852E-2</v>
      </c>
    </row>
    <row r="36" spans="1:22" ht="11.25" customHeight="1" x14ac:dyDescent="0.2">
      <c r="A36" s="109" t="s">
        <v>45</v>
      </c>
      <c r="B36" s="139"/>
      <c r="C36" s="139" t="s">
        <v>14</v>
      </c>
      <c r="D36" s="140" t="str">
        <v>7Y</v>
      </c>
      <c r="E36" s="132" t="s">
        <v>15</v>
      </c>
      <c r="F36" s="139" t="s">
        <v>16</v>
      </c>
      <c r="G36" s="132" t="s">
        <v>17</v>
      </c>
      <c r="H36" s="141">
        <v>6.4700000000000001E-3</v>
      </c>
      <c r="I36" s="107" t="str">
        <f>_xll.qlSwapRateHelper2(,$H36,2,$D36,Calendar,$F36,$E36,$G36,$I$30,0,C36,,Permanent,Trigger,ObjectOverwrite)</f>
        <v>obj_00978#0014</v>
      </c>
      <c r="J36" s="135" t="b">
        <f t="shared" si="7"/>
        <v>1</v>
      </c>
      <c r="L36" s="25" t="str">
        <f>A41</f>
        <v>Sw</v>
      </c>
      <c r="M36" s="25" t="str">
        <f>D41</f>
        <v>12Y</v>
      </c>
      <c r="N36" s="25" t="str">
        <f>I41</f>
        <v>obj_00968#0014</v>
      </c>
      <c r="O36" s="25" t="b">
        <f>J41</f>
        <v>1</v>
      </c>
      <c r="P36" s="14" t="str">
        <v>Sw</v>
      </c>
      <c r="Q36" s="14" t="str">
        <v>17Y</v>
      </c>
      <c r="R36" s="14" t="str">
        <v>obj_00977#0014</v>
      </c>
      <c r="S36" s="21">
        <f>_xll.qlRateHelperQuoteValue(R36,Trigger)</f>
        <v>1.2860533139999998E-2</v>
      </c>
      <c r="T36" s="15">
        <f>_xll.qlRateHelperEarliestDate(R36,Trigger)</f>
        <v>42145</v>
      </c>
      <c r="U36" s="15">
        <f>_xll.qlRateHelperLatestDate(R36,Trigger)</f>
        <v>48355</v>
      </c>
      <c r="V36" s="119">
        <v>1.3133243038376239E-2</v>
      </c>
    </row>
    <row r="37" spans="1:22" ht="11.25" customHeight="1" x14ac:dyDescent="0.2">
      <c r="A37" s="109" t="s">
        <v>45</v>
      </c>
      <c r="B37" s="139"/>
      <c r="C37" s="139" t="s">
        <v>14</v>
      </c>
      <c r="D37" s="140" t="str">
        <v>8Y</v>
      </c>
      <c r="E37" s="132" t="s">
        <v>15</v>
      </c>
      <c r="F37" s="139" t="s">
        <v>16</v>
      </c>
      <c r="G37" s="132" t="s">
        <v>17</v>
      </c>
      <c r="H37" s="141">
        <v>7.5900000000000004E-3</v>
      </c>
      <c r="I37" s="107" t="str">
        <f>_xll.qlSwapRateHelper2(,$H37,2,$D37,Calendar,$F37,$E37,$G37,$I$30,0,C37,,Permanent,Trigger,ObjectOverwrite)</f>
        <v>obj_0095f#0014</v>
      </c>
      <c r="J37" s="135" t="b">
        <f t="shared" si="7"/>
        <v>1</v>
      </c>
      <c r="L37" s="25" t="str">
        <f>A42</f>
        <v>Sw</v>
      </c>
      <c r="M37" s="25" t="str">
        <f>D42</f>
        <v>13Y</v>
      </c>
      <c r="N37" s="25" t="str">
        <f>I42</f>
        <v>obj_00962#0014</v>
      </c>
      <c r="O37" s="25" t="b">
        <f>J42</f>
        <v>1</v>
      </c>
      <c r="P37" s="14" t="str">
        <v>Sw</v>
      </c>
      <c r="Q37" s="14" t="str">
        <v>18Y</v>
      </c>
      <c r="R37" s="14" t="str">
        <v>obj_00979#0014</v>
      </c>
      <c r="S37" s="21">
        <f>_xll.qlRateHelperQuoteValue(R37,Trigger)</f>
        <v>1.3079950159999999E-2</v>
      </c>
      <c r="T37" s="15">
        <f>_xll.qlRateHelperEarliestDate(R37,Trigger)</f>
        <v>42145</v>
      </c>
      <c r="U37" s="15">
        <f>_xll.qlRateHelperLatestDate(R37,Trigger)</f>
        <v>48722</v>
      </c>
      <c r="V37" s="119">
        <v>1.3363162788795688E-2</v>
      </c>
    </row>
    <row r="38" spans="1:22" ht="11.25" customHeight="1" x14ac:dyDescent="0.2">
      <c r="A38" s="109" t="s">
        <v>45</v>
      </c>
      <c r="B38" s="139"/>
      <c r="C38" s="139" t="s">
        <v>14</v>
      </c>
      <c r="D38" s="140" t="str">
        <v>9Y</v>
      </c>
      <c r="E38" s="132" t="s">
        <v>15</v>
      </c>
      <c r="F38" s="139" t="s">
        <v>16</v>
      </c>
      <c r="G38" s="132" t="s">
        <v>17</v>
      </c>
      <c r="H38" s="141">
        <v>8.5799999999999991E-3</v>
      </c>
      <c r="I38" s="107" t="str">
        <f>_xll.qlSwapRateHelper2(,$H38,2,$D38,Calendar,$F38,$E38,$G38,$I$30,0,C38,,Permanent,Trigger,ObjectOverwrite)</f>
        <v>obj_0095e#0014</v>
      </c>
      <c r="J38" s="135" t="b">
        <f t="shared" si="7"/>
        <v>1</v>
      </c>
      <c r="L38" s="25" t="str">
        <f>A43</f>
        <v>Sw</v>
      </c>
      <c r="M38" s="25" t="str">
        <f>D43</f>
        <v>14Y</v>
      </c>
      <c r="N38" s="25" t="str">
        <f>I43</f>
        <v>obj_0097e#0014</v>
      </c>
      <c r="O38" s="25" t="b">
        <f>J43</f>
        <v>1</v>
      </c>
      <c r="P38" s="14" t="str">
        <v>Sw</v>
      </c>
      <c r="Q38" s="14" t="str">
        <v>19Y</v>
      </c>
      <c r="R38" s="14" t="str">
        <v>obj_00959#0014</v>
      </c>
      <c r="S38" s="21">
        <f>_xll.qlRateHelperQuoteValue(R38,Trigger)</f>
        <v>1.3255596769999999E-2</v>
      </c>
      <c r="T38" s="15">
        <f>_xll.qlRateHelperEarliestDate(R38,Trigger)</f>
        <v>42145</v>
      </c>
      <c r="U38" s="15">
        <f>_xll.qlRateHelperLatestDate(R38,Trigger)</f>
        <v>49086</v>
      </c>
      <c r="V38" s="119">
        <v>1.354557009425272E-2</v>
      </c>
    </row>
    <row r="39" spans="1:22" ht="11.25" customHeight="1" x14ac:dyDescent="0.2">
      <c r="A39" s="109" t="s">
        <v>45</v>
      </c>
      <c r="B39" s="139"/>
      <c r="C39" s="139" t="s">
        <v>14</v>
      </c>
      <c r="D39" s="140" t="str">
        <v>10Y</v>
      </c>
      <c r="E39" s="132" t="s">
        <v>15</v>
      </c>
      <c r="F39" s="139" t="s">
        <v>16</v>
      </c>
      <c r="G39" s="132" t="s">
        <v>17</v>
      </c>
      <c r="H39" s="141">
        <v>9.4199999999999996E-3</v>
      </c>
      <c r="I39" s="107" t="str">
        <f>_xll.qlSwapRateHelper2(,$H39,2,$D39,Calendar,$F39,$E39,$G39,$I$30,0,C39,,Permanent,Trigger,ObjectOverwrite)</f>
        <v>obj_00975#0014</v>
      </c>
      <c r="J39" s="135" t="b">
        <f t="shared" si="7"/>
        <v>1</v>
      </c>
      <c r="L39" s="25" t="str">
        <f>A44</f>
        <v>Sw</v>
      </c>
      <c r="M39" s="25" t="str">
        <f>D44</f>
        <v>15Y</v>
      </c>
      <c r="N39" s="25" t="str">
        <f>I44</f>
        <v>obj_00976#0014</v>
      </c>
      <c r="O39" s="25" t="b">
        <f>J44</f>
        <v>1</v>
      </c>
      <c r="P39" s="14" t="str">
        <v>Sw</v>
      </c>
      <c r="Q39" s="14" t="str">
        <v>20Y</v>
      </c>
      <c r="R39" s="14" t="str">
        <v>obj_00971#0014</v>
      </c>
      <c r="S39" s="21">
        <f>_xll.qlRateHelperQuoteValue(R39,Trigger)</f>
        <v>1.3389999999999999E-2</v>
      </c>
      <c r="T39" s="15">
        <f>_xll.qlRateHelperEarliestDate(R39,Trigger)</f>
        <v>42145</v>
      </c>
      <c r="U39" s="15">
        <f>_xll.qlRateHelperLatestDate(R39,Trigger)</f>
        <v>49450</v>
      </c>
      <c r="V39" s="119">
        <v>1.3682463152062146E-2</v>
      </c>
    </row>
    <row r="40" spans="1:22" ht="11.25" customHeight="1" x14ac:dyDescent="0.2">
      <c r="A40" s="109" t="s">
        <v>45</v>
      </c>
      <c r="B40" s="139"/>
      <c r="C40" s="139" t="s">
        <v>14</v>
      </c>
      <c r="D40" s="140" t="str">
        <v>11Y</v>
      </c>
      <c r="E40" s="132" t="s">
        <v>15</v>
      </c>
      <c r="F40" s="139" t="s">
        <v>16</v>
      </c>
      <c r="G40" s="132" t="s">
        <v>17</v>
      </c>
      <c r="H40" s="141">
        <v>1.017007032E-2</v>
      </c>
      <c r="I40" s="107" t="str">
        <f>_xll.qlSwapRateHelper2(,$H40,2,$D40,Calendar,$F40,$E40,$G40,$I$30,0,C40,,Permanent,Trigger,ObjectOverwrite)</f>
        <v>obj_0096d#0014</v>
      </c>
      <c r="J40" s="135" t="b">
        <f t="shared" si="7"/>
        <v>1</v>
      </c>
      <c r="L40" s="25" t="str">
        <f>A45</f>
        <v>Sw</v>
      </c>
      <c r="M40" s="25" t="str">
        <f>D45</f>
        <v>16Y</v>
      </c>
      <c r="N40" s="25" t="str">
        <f>I45</f>
        <v>obj_00972#0014</v>
      </c>
      <c r="O40" s="25" t="b">
        <f>J45</f>
        <v>1</v>
      </c>
      <c r="P40" s="14" t="str">
        <v>Sw</v>
      </c>
      <c r="Q40" s="14" t="str">
        <v>21Y</v>
      </c>
      <c r="R40" s="14" t="str">
        <v>obj_0096a#0014</v>
      </c>
      <c r="S40" s="21">
        <f>_xll.qlRateHelperQuoteValue(R40,Trigger)</f>
        <v>1.349131762E-2</v>
      </c>
      <c r="T40" s="15">
        <f>_xll.qlRateHelperEarliestDate(R40,Trigger)</f>
        <v>42145</v>
      </c>
      <c r="U40" s="15">
        <f>_xll.qlRateHelperLatestDate(R40,Trigger)</f>
        <v>49816</v>
      </c>
      <c r="V40" s="119">
        <v>1.3780851808313718E-2</v>
      </c>
    </row>
    <row r="41" spans="1:22" ht="11.25" customHeight="1" x14ac:dyDescent="0.2">
      <c r="A41" s="109" t="s">
        <v>45</v>
      </c>
      <c r="B41" s="139"/>
      <c r="C41" s="139" t="s">
        <v>14</v>
      </c>
      <c r="D41" s="140" t="str">
        <v>12Y</v>
      </c>
      <c r="E41" s="132" t="s">
        <v>15</v>
      </c>
      <c r="F41" s="139" t="s">
        <v>16</v>
      </c>
      <c r="G41" s="132" t="s">
        <v>17</v>
      </c>
      <c r="H41" s="141">
        <v>1.0829999999999999E-2</v>
      </c>
      <c r="I41" s="107" t="str">
        <f>_xll.qlSwapRateHelper2(,$H41,2,$D41,Calendar,$F41,$E41,$G41,$I$30,0,C41,,Permanent,Trigger,ObjectOverwrite)</f>
        <v>obj_00968#0014</v>
      </c>
      <c r="J41" s="135" t="b">
        <f t="shared" si="7"/>
        <v>1</v>
      </c>
      <c r="L41" s="25" t="str">
        <f>A46</f>
        <v>Sw</v>
      </c>
      <c r="M41" s="25" t="str">
        <f>D46</f>
        <v>17Y</v>
      </c>
      <c r="N41" s="25" t="str">
        <f>I46</f>
        <v>obj_00977#0014</v>
      </c>
      <c r="O41" s="25" t="b">
        <f>J46</f>
        <v>1</v>
      </c>
      <c r="P41" s="14" t="str">
        <v>Sw</v>
      </c>
      <c r="Q41" s="14" t="str">
        <v>22Y</v>
      </c>
      <c r="R41" s="14" t="str">
        <v>obj_0097a#0014</v>
      </c>
      <c r="S41" s="21">
        <f>_xll.qlRateHelperQuoteValue(R41,Trigger)</f>
        <v>1.3564033159999999E-2</v>
      </c>
      <c r="T41" s="15">
        <f>_xll.qlRateHelperEarliestDate(R41,Trigger)</f>
        <v>42145</v>
      </c>
      <c r="U41" s="15">
        <f>_xll.qlRateHelperLatestDate(R41,Trigger)</f>
        <v>50181</v>
      </c>
      <c r="V41" s="119">
        <v>1.3849184284272384E-2</v>
      </c>
    </row>
    <row r="42" spans="1:22" ht="11.25" customHeight="1" x14ac:dyDescent="0.2">
      <c r="A42" s="109" t="s">
        <v>45</v>
      </c>
      <c r="B42" s="139"/>
      <c r="C42" s="139" t="s">
        <v>14</v>
      </c>
      <c r="D42" s="140" t="str">
        <v>13Y</v>
      </c>
      <c r="E42" s="132" t="s">
        <v>15</v>
      </c>
      <c r="F42" s="139" t="s">
        <v>16</v>
      </c>
      <c r="G42" s="132" t="s">
        <v>17</v>
      </c>
      <c r="H42" s="141">
        <v>1.139669246E-2</v>
      </c>
      <c r="I42" s="107" t="str">
        <f>_xll.qlSwapRateHelper2(,$H42,2,$D42,Calendar,$F42,$E42,$G42,$I$30,0,C42,,Permanent,Trigger,ObjectOverwrite)</f>
        <v>obj_00962#0014</v>
      </c>
      <c r="J42" s="135" t="b">
        <f t="shared" si="7"/>
        <v>1</v>
      </c>
      <c r="L42" s="25" t="str">
        <f>A47</f>
        <v>Sw</v>
      </c>
      <c r="M42" s="25" t="str">
        <f>D47</f>
        <v>18Y</v>
      </c>
      <c r="N42" s="25" t="str">
        <f>I47</f>
        <v>obj_00979#0014</v>
      </c>
      <c r="O42" s="25" t="b">
        <f>J47</f>
        <v>1</v>
      </c>
      <c r="P42" s="14" t="str">
        <v>Sw</v>
      </c>
      <c r="Q42" s="14" t="str">
        <v>23Y</v>
      </c>
      <c r="R42" s="14" t="str">
        <v>obj_0096c#0014</v>
      </c>
      <c r="S42" s="21">
        <f>_xll.qlRateHelperQuoteValue(R42,Trigger)</f>
        <v>1.361721382E-2</v>
      </c>
      <c r="T42" s="15">
        <f>_xll.qlRateHelperEarliestDate(R42,Trigger)</f>
        <v>42145</v>
      </c>
      <c r="U42" s="15">
        <f>_xll.qlRateHelperLatestDate(R42,Trigger)</f>
        <v>50546</v>
      </c>
      <c r="V42" s="119">
        <v>1.3895892099624305E-2</v>
      </c>
    </row>
    <row r="43" spans="1:22" ht="11.25" customHeight="1" x14ac:dyDescent="0.2">
      <c r="A43" s="109" t="s">
        <v>45</v>
      </c>
      <c r="B43" s="139"/>
      <c r="C43" s="139" t="s">
        <v>14</v>
      </c>
      <c r="D43" s="140" t="str">
        <v>14Y</v>
      </c>
      <c r="E43" s="132" t="s">
        <v>15</v>
      </c>
      <c r="F43" s="139" t="s">
        <v>16</v>
      </c>
      <c r="G43" s="132" t="s">
        <v>17</v>
      </c>
      <c r="H43" s="141">
        <v>1.1866365160000001E-2</v>
      </c>
      <c r="I43" s="107" t="str">
        <f>_xll.qlSwapRateHelper2(,$H43,2,$D43,Calendar,$F43,$E43,$G43,$I$30,0,C43,,Permanent,Trigger,ObjectOverwrite)</f>
        <v>obj_0097e#0014</v>
      </c>
      <c r="J43" s="135" t="b">
        <f t="shared" si="7"/>
        <v>1</v>
      </c>
      <c r="L43" s="25" t="str">
        <f>A48</f>
        <v>Sw</v>
      </c>
      <c r="M43" s="25" t="str">
        <f>D48</f>
        <v>19Y</v>
      </c>
      <c r="N43" s="25" t="str">
        <f>I48</f>
        <v>obj_00959#0014</v>
      </c>
      <c r="O43" s="25" t="b">
        <f>J48</f>
        <v>1</v>
      </c>
      <c r="P43" s="14" t="str">
        <v>Sw</v>
      </c>
      <c r="Q43" s="14" t="str">
        <v>24Y</v>
      </c>
      <c r="R43" s="14" t="str">
        <v>obj_00980#0014</v>
      </c>
      <c r="S43" s="21">
        <f>_xll.qlRateHelperQuoteValue(R43,Trigger)</f>
        <v>1.365702689E-2</v>
      </c>
      <c r="T43" s="15">
        <f>_xll.qlRateHelperEarliestDate(R43,Trigger)</f>
        <v>42145</v>
      </c>
      <c r="U43" s="15">
        <f>_xll.qlRateHelperLatestDate(R43,Trigger)</f>
        <v>50913</v>
      </c>
      <c r="V43" s="119">
        <v>1.3927951834397958E-2</v>
      </c>
    </row>
    <row r="44" spans="1:22" ht="11.25" customHeight="1" x14ac:dyDescent="0.2">
      <c r="A44" s="109" t="s">
        <v>45</v>
      </c>
      <c r="B44" s="139"/>
      <c r="C44" s="139" t="s">
        <v>14</v>
      </c>
      <c r="D44" s="140" t="str">
        <v>15Y</v>
      </c>
      <c r="E44" s="132" t="s">
        <v>15</v>
      </c>
      <c r="F44" s="139" t="s">
        <v>16</v>
      </c>
      <c r="G44" s="132" t="s">
        <v>17</v>
      </c>
      <c r="H44" s="141">
        <v>1.226E-2</v>
      </c>
      <c r="I44" s="107" t="str">
        <f>_xll.qlSwapRateHelper2(,$H44,2,$D44,Calendar,$F44,$E44,$G44,$I$30,0,C44,,Permanent,Trigger,ObjectOverwrite)</f>
        <v>obj_00976#0014</v>
      </c>
      <c r="J44" s="135" t="b">
        <f t="shared" si="7"/>
        <v>1</v>
      </c>
      <c r="L44" s="25" t="str">
        <f>A49</f>
        <v>Sw</v>
      </c>
      <c r="M44" s="25" t="str">
        <f>D49</f>
        <v>20Y</v>
      </c>
      <c r="N44" s="25" t="str">
        <f>I49</f>
        <v>obj_00971#0014</v>
      </c>
      <c r="O44" s="25" t="b">
        <f>J49</f>
        <v>1</v>
      </c>
      <c r="P44" s="14" t="str">
        <v>Sw</v>
      </c>
      <c r="Q44" s="14" t="str">
        <v>25Y</v>
      </c>
      <c r="R44" s="14" t="str">
        <v>obj_00960#0014</v>
      </c>
      <c r="S44" s="21">
        <f>_xll.qlRateHelperQuoteValue(R44,Trigger)</f>
        <v>1.3690000000000001E-2</v>
      </c>
      <c r="T44" s="15">
        <f>_xll.qlRateHelperEarliestDate(R44,Trigger)</f>
        <v>42145</v>
      </c>
      <c r="U44" s="15">
        <f>_xll.qlRateHelperLatestDate(R44,Trigger)</f>
        <v>51277</v>
      </c>
      <c r="V44" s="119">
        <v>1.3951624324229368E-2</v>
      </c>
    </row>
    <row r="45" spans="1:22" ht="11.25" customHeight="1" x14ac:dyDescent="0.2">
      <c r="A45" s="109" t="s">
        <v>45</v>
      </c>
      <c r="B45" s="139"/>
      <c r="C45" s="139" t="s">
        <v>14</v>
      </c>
      <c r="D45" s="140" t="str">
        <v>16Y</v>
      </c>
      <c r="E45" s="132" t="s">
        <v>15</v>
      </c>
      <c r="F45" s="139" t="s">
        <v>16</v>
      </c>
      <c r="G45" s="132" t="s">
        <v>17</v>
      </c>
      <c r="H45" s="141">
        <v>1.2587940820000001E-2</v>
      </c>
      <c r="I45" s="107" t="str">
        <f>_xll.qlSwapRateHelper2(,$H45,2,$D45,Calendar,$F45,$E45,$G45,$I$30,0,C45,,Permanent,Trigger,ObjectOverwrite)</f>
        <v>obj_00972#0014</v>
      </c>
      <c r="J45" s="135" t="b">
        <f t="shared" si="7"/>
        <v>1</v>
      </c>
      <c r="L45" s="25" t="str">
        <f>A50</f>
        <v>Sw</v>
      </c>
      <c r="M45" s="25" t="str">
        <f>D50</f>
        <v>21Y</v>
      </c>
      <c r="N45" s="25" t="str">
        <f>I50</f>
        <v>obj_0096a#0014</v>
      </c>
      <c r="O45" s="25" t="b">
        <f>J50</f>
        <v>1</v>
      </c>
      <c r="P45" s="14" t="str">
        <v>Sw</v>
      </c>
      <c r="Q45" s="14" t="str">
        <v>26Y</v>
      </c>
      <c r="R45" s="14" t="str">
        <v>obj_0096b#0014</v>
      </c>
      <c r="S45" s="21">
        <f>_xll.qlRateHelperQuoteValue(R45,Trigger)</f>
        <v>1.3717083830000001E-2</v>
      </c>
      <c r="T45" s="15">
        <f>_xll.qlRateHelperEarliestDate(R45,Trigger)</f>
        <v>42145</v>
      </c>
      <c r="U45" s="15">
        <f>_xll.qlRateHelperLatestDate(R45,Trigger)</f>
        <v>51642</v>
      </c>
      <c r="V45" s="119">
        <v>1.3970807280403119E-2</v>
      </c>
    </row>
    <row r="46" spans="1:22" ht="11.25" customHeight="1" x14ac:dyDescent="0.2">
      <c r="A46" s="109" t="s">
        <v>45</v>
      </c>
      <c r="B46" s="139"/>
      <c r="C46" s="139" t="s">
        <v>14</v>
      </c>
      <c r="D46" s="140" t="str">
        <v>17Y</v>
      </c>
      <c r="E46" s="132" t="s">
        <v>15</v>
      </c>
      <c r="F46" s="139" t="s">
        <v>16</v>
      </c>
      <c r="G46" s="132" t="s">
        <v>17</v>
      </c>
      <c r="H46" s="141">
        <v>1.2860533139999998E-2</v>
      </c>
      <c r="I46" s="107" t="str">
        <f>_xll.qlSwapRateHelper2(,$H46,2,$D46,Calendar,$F46,$E46,$G46,$I$30,0,C46,,Permanent,Trigger,ObjectOverwrite)</f>
        <v>obj_00977#0014</v>
      </c>
      <c r="J46" s="135" t="b">
        <f t="shared" si="7"/>
        <v>1</v>
      </c>
      <c r="L46" s="25" t="str">
        <f>A51</f>
        <v>Sw</v>
      </c>
      <c r="M46" s="25" t="str">
        <f>D51</f>
        <v>22Y</v>
      </c>
      <c r="N46" s="25" t="str">
        <f>I51</f>
        <v>obj_0097a#0014</v>
      </c>
      <c r="O46" s="25" t="b">
        <f>J51</f>
        <v>1</v>
      </c>
      <c r="P46" s="14" t="str">
        <v>Sw</v>
      </c>
      <c r="Q46" s="14" t="str">
        <v>27Y</v>
      </c>
      <c r="R46" s="14" t="str">
        <v>obj_00963#0014</v>
      </c>
      <c r="S46" s="21">
        <f>_xll.qlRateHelperQuoteValue(R46,Trigger)</f>
        <v>1.374157109E-2</v>
      </c>
      <c r="T46" s="15">
        <f>_xll.qlRateHelperEarliestDate(R46,Trigger)</f>
        <v>42145</v>
      </c>
      <c r="U46" s="15">
        <f>_xll.qlRateHelperLatestDate(R46,Trigger)</f>
        <v>52007</v>
      </c>
      <c r="V46" s="119">
        <v>1.3987839157116331E-2</v>
      </c>
    </row>
    <row r="47" spans="1:22" ht="11.25" customHeight="1" x14ac:dyDescent="0.2">
      <c r="A47" s="109" t="s">
        <v>45</v>
      </c>
      <c r="B47" s="139"/>
      <c r="C47" s="139" t="s">
        <v>14</v>
      </c>
      <c r="D47" s="140" t="str">
        <v>18Y</v>
      </c>
      <c r="E47" s="132" t="s">
        <v>15</v>
      </c>
      <c r="F47" s="139" t="s">
        <v>16</v>
      </c>
      <c r="G47" s="132" t="s">
        <v>17</v>
      </c>
      <c r="H47" s="141">
        <v>1.3079950159999999E-2</v>
      </c>
      <c r="I47" s="107" t="str">
        <f>_xll.qlSwapRateHelper2(,$H47,2,$D47,Calendar,$F47,$E47,$G47,$I$30,0,C47,,Permanent,Trigger,ObjectOverwrite)</f>
        <v>obj_00979#0014</v>
      </c>
      <c r="J47" s="135" t="b">
        <f t="shared" si="7"/>
        <v>1</v>
      </c>
      <c r="L47" s="25" t="str">
        <f>A52</f>
        <v>Sw</v>
      </c>
      <c r="M47" s="25" t="str">
        <f>D52</f>
        <v>23Y</v>
      </c>
      <c r="N47" s="25" t="str">
        <f>I52</f>
        <v>obj_0096c#0014</v>
      </c>
      <c r="O47" s="25" t="b">
        <f>J52</f>
        <v>1</v>
      </c>
      <c r="P47" s="14" t="str">
        <v>Sw</v>
      </c>
      <c r="Q47" s="14" t="str">
        <v>28Y</v>
      </c>
      <c r="R47" s="14" t="str">
        <v>obj_00964#0014</v>
      </c>
      <c r="S47" s="21">
        <f>_xll.qlRateHelperQuoteValue(R47,Trigger)</f>
        <v>1.376444317E-2</v>
      </c>
      <c r="T47" s="15">
        <f>_xll.qlRateHelperEarliestDate(R47,Trigger)</f>
        <v>42145</v>
      </c>
      <c r="U47" s="15">
        <f>_xll.qlRateHelperLatestDate(R47,Trigger)</f>
        <v>52372</v>
      </c>
      <c r="V47" s="119">
        <v>1.4003813115499773E-2</v>
      </c>
    </row>
    <row r="48" spans="1:22" ht="11.25" customHeight="1" x14ac:dyDescent="0.2">
      <c r="A48" s="109" t="s">
        <v>45</v>
      </c>
      <c r="B48" s="139"/>
      <c r="C48" s="139" t="s">
        <v>14</v>
      </c>
      <c r="D48" s="140" t="str">
        <v>19Y</v>
      </c>
      <c r="E48" s="132" t="s">
        <v>15</v>
      </c>
      <c r="F48" s="139" t="s">
        <v>16</v>
      </c>
      <c r="G48" s="132" t="s">
        <v>17</v>
      </c>
      <c r="H48" s="141">
        <v>1.3255596769999999E-2</v>
      </c>
      <c r="I48" s="107" t="str">
        <f>_xll.qlSwapRateHelper2(,$H48,2,$D48,Calendar,$F48,$E48,$G48,$I$30,0,C48,,Permanent,Trigger,ObjectOverwrite)</f>
        <v>obj_00959#0014</v>
      </c>
      <c r="J48" s="135" t="b">
        <f t="shared" si="7"/>
        <v>1</v>
      </c>
      <c r="L48" s="25" t="str">
        <f>A53</f>
        <v>Sw</v>
      </c>
      <c r="M48" s="25" t="str">
        <f>D53</f>
        <v>24Y</v>
      </c>
      <c r="N48" s="25" t="str">
        <f>I53</f>
        <v>obj_00980#0014</v>
      </c>
      <c r="O48" s="25" t="b">
        <f>J53</f>
        <v>1</v>
      </c>
      <c r="P48" s="14" t="str">
        <v>Sw</v>
      </c>
      <c r="Q48" s="14" t="str">
        <v>29Y</v>
      </c>
      <c r="R48" s="14" t="str">
        <v>obj_0097c#0014</v>
      </c>
      <c r="S48" s="21">
        <f>_xll.qlRateHelperQuoteValue(R48,Trigger)</f>
        <v>1.3787716279999999E-2</v>
      </c>
      <c r="T48" s="15">
        <f>_xll.qlRateHelperEarliestDate(R48,Trigger)</f>
        <v>42145</v>
      </c>
      <c r="U48" s="15">
        <f>_xll.qlRateHelperLatestDate(R48,Trigger)</f>
        <v>52740</v>
      </c>
      <c r="V48" s="119">
        <v>1.4019765112346866E-2</v>
      </c>
    </row>
    <row r="49" spans="1:22" ht="11.25" customHeight="1" x14ac:dyDescent="0.2">
      <c r="A49" s="109" t="s">
        <v>45</v>
      </c>
      <c r="B49" s="139"/>
      <c r="C49" s="139" t="s">
        <v>14</v>
      </c>
      <c r="D49" s="140" t="str">
        <v>20Y</v>
      </c>
      <c r="E49" s="132" t="s">
        <v>15</v>
      </c>
      <c r="F49" s="139" t="s">
        <v>16</v>
      </c>
      <c r="G49" s="132" t="s">
        <v>17</v>
      </c>
      <c r="H49" s="141">
        <v>1.3389999999999999E-2</v>
      </c>
      <c r="I49" s="107" t="str">
        <f>_xll.qlSwapRateHelper2(,$H49,2,$D49,Calendar,$F49,$E49,$G49,$I$30,0,C49,,Permanent,Trigger,ObjectOverwrite)</f>
        <v>obj_00971#0014</v>
      </c>
      <c r="J49" s="135" t="b">
        <f t="shared" si="7"/>
        <v>1</v>
      </c>
      <c r="L49" s="25" t="str">
        <f>A54</f>
        <v>Sw</v>
      </c>
      <c r="M49" s="25" t="str">
        <f>D54</f>
        <v>25Y</v>
      </c>
      <c r="N49" s="25" t="str">
        <f>I54</f>
        <v>obj_00960#0014</v>
      </c>
      <c r="O49" s="25" t="b">
        <f>J54</f>
        <v>1</v>
      </c>
      <c r="P49" s="14" t="str">
        <v>Sw</v>
      </c>
      <c r="Q49" s="14" t="str">
        <v>30Y</v>
      </c>
      <c r="R49" s="14" t="str">
        <v>obj_00973#0014</v>
      </c>
      <c r="S49" s="21">
        <f>_xll.qlRateHelperQuoteValue(R49,Trigger)</f>
        <v>1.3809999999999999E-2</v>
      </c>
      <c r="T49" s="15">
        <f>_xll.qlRateHelperEarliestDate(R49,Trigger)</f>
        <v>42145</v>
      </c>
      <c r="U49" s="15">
        <f>_xll.qlRateHelperLatestDate(R49,Trigger)</f>
        <v>53104</v>
      </c>
      <c r="V49" s="119">
        <v>1.4036700342579264E-2</v>
      </c>
    </row>
    <row r="50" spans="1:22" ht="11.25" customHeight="1" x14ac:dyDescent="0.2">
      <c r="A50" s="109" t="s">
        <v>45</v>
      </c>
      <c r="B50" s="139"/>
      <c r="C50" s="139" t="s">
        <v>14</v>
      </c>
      <c r="D50" s="140" t="str">
        <v>21Y</v>
      </c>
      <c r="E50" s="132" t="s">
        <v>15</v>
      </c>
      <c r="F50" s="139" t="s">
        <v>16</v>
      </c>
      <c r="G50" s="132" t="s">
        <v>17</v>
      </c>
      <c r="H50" s="141">
        <v>1.349131762E-2</v>
      </c>
      <c r="I50" s="107" t="str">
        <f>_xll.qlSwapRateHelper2(,$H50,2,$D50,Calendar,$F50,$E50,$G50,$I$30,0,C50,,Permanent,Trigger,ObjectOverwrite)</f>
        <v>obj_0096a#0014</v>
      </c>
      <c r="J50" s="135" t="b">
        <f t="shared" si="7"/>
        <v>1</v>
      </c>
      <c r="L50" s="25" t="str">
        <f>A55</f>
        <v>Sw</v>
      </c>
      <c r="M50" s="25" t="str">
        <f>D55</f>
        <v>26Y</v>
      </c>
      <c r="N50" s="25" t="str">
        <f>I55</f>
        <v>obj_0096b#0014</v>
      </c>
      <c r="O50" s="25" t="b">
        <f>J55</f>
        <v>1</v>
      </c>
      <c r="P50" s="14" t="str">
        <v>Sw</v>
      </c>
      <c r="Q50" s="14" t="str">
        <v>31Y</v>
      </c>
      <c r="R50" s="14" t="str">
        <v>obj_0095c#0014</v>
      </c>
      <c r="S50" s="21">
        <f>_xll.qlRateHelperQuoteValue(R50,Trigger)</f>
        <v>1.38324396E-2</v>
      </c>
      <c r="T50" s="15">
        <f>_xll.qlRateHelperEarliestDate(R50,Trigger)</f>
        <v>42145</v>
      </c>
      <c r="U50" s="15">
        <f>_xll.qlRateHelperLatestDate(R50,Trigger)</f>
        <v>53468</v>
      </c>
      <c r="V50" s="119">
        <v>1.4054548273538905E-2</v>
      </c>
    </row>
    <row r="51" spans="1:22" ht="11.25" customHeight="1" x14ac:dyDescent="0.2">
      <c r="A51" s="109" t="s">
        <v>45</v>
      </c>
      <c r="B51" s="139"/>
      <c r="C51" s="139" t="s">
        <v>14</v>
      </c>
      <c r="D51" s="140" t="str">
        <v>22Y</v>
      </c>
      <c r="E51" s="132" t="s">
        <v>15</v>
      </c>
      <c r="F51" s="139" t="s">
        <v>16</v>
      </c>
      <c r="G51" s="132" t="s">
        <v>17</v>
      </c>
      <c r="H51" s="141">
        <v>1.3564033159999999E-2</v>
      </c>
      <c r="I51" s="107" t="str">
        <f>_xll.qlSwapRateHelper2(,$H51,2,$D51,Calendar,$F51,$E51,$G51,$I$30,0,C51,,Permanent,Trigger,ObjectOverwrite)</f>
        <v>obj_0097a#0014</v>
      </c>
      <c r="J51" s="135" t="b">
        <f t="shared" si="7"/>
        <v>1</v>
      </c>
      <c r="L51" s="25" t="str">
        <f>A56</f>
        <v>Sw</v>
      </c>
      <c r="M51" s="25" t="str">
        <f>D56</f>
        <v>27Y</v>
      </c>
      <c r="N51" s="25" t="str">
        <f>I56</f>
        <v>obj_00963#0014</v>
      </c>
      <c r="O51" s="25" t="b">
        <f>J56</f>
        <v>1</v>
      </c>
      <c r="P51" s="14" t="str">
        <v>Sw</v>
      </c>
      <c r="Q51" s="14" t="str">
        <v>32Y</v>
      </c>
      <c r="R51" s="14" t="str">
        <v>obj_00969#0014</v>
      </c>
      <c r="S51" s="21">
        <f>_xll.qlRateHelperQuoteValue(R51,Trigger)</f>
        <v>1.3853925460000001E-2</v>
      </c>
      <c r="T51" s="15">
        <f>_xll.qlRateHelperEarliestDate(R51,Trigger)</f>
        <v>42145</v>
      </c>
      <c r="U51" s="15">
        <f>_xll.qlRateHelperLatestDate(R51,Trigger)</f>
        <v>53833</v>
      </c>
      <c r="V51" s="119">
        <v>1.407183768710117E-2</v>
      </c>
    </row>
    <row r="52" spans="1:22" ht="11.25" customHeight="1" x14ac:dyDescent="0.2">
      <c r="A52" s="109" t="s">
        <v>45</v>
      </c>
      <c r="B52" s="139"/>
      <c r="C52" s="139" t="s">
        <v>14</v>
      </c>
      <c r="D52" s="140" t="str">
        <v>23Y</v>
      </c>
      <c r="E52" s="132" t="s">
        <v>15</v>
      </c>
      <c r="F52" s="139" t="s">
        <v>16</v>
      </c>
      <c r="G52" s="132" t="s">
        <v>17</v>
      </c>
      <c r="H52" s="141">
        <v>1.361721382E-2</v>
      </c>
      <c r="I52" s="107" t="str">
        <f>_xll.qlSwapRateHelper2(,$H52,2,$D52,Calendar,$F52,$E52,$G52,$I$30,0,C52,,Permanent,Trigger,ObjectOverwrite)</f>
        <v>obj_0096c#0014</v>
      </c>
      <c r="J52" s="135" t="b">
        <f t="shared" si="7"/>
        <v>1</v>
      </c>
      <c r="L52" s="25" t="str">
        <f>A57</f>
        <v>Sw</v>
      </c>
      <c r="M52" s="25" t="str">
        <f>D57</f>
        <v>28Y</v>
      </c>
      <c r="N52" s="25" t="str">
        <f>I57</f>
        <v>obj_00964#0014</v>
      </c>
      <c r="O52" s="25" t="b">
        <f>J57</f>
        <v>1</v>
      </c>
      <c r="P52" s="14" t="str">
        <v>Sw</v>
      </c>
      <c r="Q52" s="14" t="str">
        <v>33Y</v>
      </c>
      <c r="R52" s="14" t="str">
        <v>obj_00970#0014</v>
      </c>
      <c r="S52" s="21">
        <f>_xll.qlRateHelperQuoteValue(R52,Trigger)</f>
        <v>1.3874000840000001E-2</v>
      </c>
      <c r="T52" s="15">
        <f>_xll.qlRateHelperEarliestDate(R52,Trigger)</f>
        <v>42145</v>
      </c>
      <c r="U52" s="15">
        <f>_xll.qlRateHelperLatestDate(R52,Trigger)</f>
        <v>54199</v>
      </c>
      <c r="V52" s="119">
        <v>1.408678413811624E-2</v>
      </c>
    </row>
    <row r="53" spans="1:22" ht="11.25" customHeight="1" x14ac:dyDescent="0.2">
      <c r="A53" s="109" t="s">
        <v>45</v>
      </c>
      <c r="B53" s="139"/>
      <c r="C53" s="139" t="s">
        <v>14</v>
      </c>
      <c r="D53" s="140" t="str">
        <v>24Y</v>
      </c>
      <c r="E53" s="132" t="s">
        <v>15</v>
      </c>
      <c r="F53" s="139" t="s">
        <v>16</v>
      </c>
      <c r="G53" s="132" t="s">
        <v>17</v>
      </c>
      <c r="H53" s="141">
        <v>1.365702689E-2</v>
      </c>
      <c r="I53" s="107" t="str">
        <f>_xll.qlSwapRateHelper2(,$H53,2,$D53,Calendar,$F53,$E53,$G53,$I$30,0,C53,,Permanent,Trigger,ObjectOverwrite)</f>
        <v>obj_00980#0014</v>
      </c>
      <c r="J53" s="135" t="b">
        <f t="shared" si="7"/>
        <v>1</v>
      </c>
      <c r="L53" s="25" t="str">
        <f>A58</f>
        <v>Sw</v>
      </c>
      <c r="M53" s="25" t="str">
        <f>D58</f>
        <v>29Y</v>
      </c>
      <c r="N53" s="25" t="str">
        <f>I58</f>
        <v>obj_0097c#0014</v>
      </c>
      <c r="O53" s="25" t="b">
        <f>J58</f>
        <v>1</v>
      </c>
      <c r="P53" s="14" t="str">
        <v>Sw</v>
      </c>
      <c r="Q53" s="14" t="str">
        <v>34Y</v>
      </c>
      <c r="R53" s="14" t="str">
        <v>obj_0095b#0014</v>
      </c>
      <c r="S53" s="21">
        <f>_xll.qlRateHelperQuoteValue(R53,Trigger)</f>
        <v>1.388939699E-2</v>
      </c>
      <c r="T53" s="15">
        <f>_xll.qlRateHelperEarliestDate(R53,Trigger)</f>
        <v>42145</v>
      </c>
      <c r="U53" s="15">
        <f>_xll.qlRateHelperLatestDate(R53,Trigger)</f>
        <v>54564</v>
      </c>
      <c r="V53" s="119">
        <v>1.4097502291997681E-2</v>
      </c>
    </row>
    <row r="54" spans="1:22" ht="11.25" customHeight="1" x14ac:dyDescent="0.2">
      <c r="A54" s="109" t="s">
        <v>45</v>
      </c>
      <c r="B54" s="139"/>
      <c r="C54" s="139" t="s">
        <v>14</v>
      </c>
      <c r="D54" s="140" t="str">
        <v>25Y</v>
      </c>
      <c r="E54" s="132" t="s">
        <v>15</v>
      </c>
      <c r="F54" s="139" t="s">
        <v>16</v>
      </c>
      <c r="G54" s="132" t="s">
        <v>17</v>
      </c>
      <c r="H54" s="141">
        <v>1.3690000000000001E-2</v>
      </c>
      <c r="I54" s="107" t="str">
        <f>_xll.qlSwapRateHelper2(,$H54,2,$D54,Calendar,$F54,$E54,$G54,$I$30,0,C54,,Permanent,Trigger,ObjectOverwrite)</f>
        <v>obj_00960#0014</v>
      </c>
      <c r="J54" s="135" t="b">
        <f t="shared" si="7"/>
        <v>1</v>
      </c>
      <c r="L54" s="25" t="str">
        <f>A59</f>
        <v>Sw</v>
      </c>
      <c r="M54" s="25" t="str">
        <f>D59</f>
        <v>30Y</v>
      </c>
      <c r="N54" s="25" t="str">
        <f>I59</f>
        <v>obj_00973#0014</v>
      </c>
      <c r="O54" s="25" t="b">
        <f>J59</f>
        <v>1</v>
      </c>
      <c r="P54" s="14" t="str">
        <v>Sw</v>
      </c>
      <c r="Q54" s="14" t="str">
        <v>35Y</v>
      </c>
      <c r="R54" s="14" t="str">
        <v>obj_0097f#0014</v>
      </c>
      <c r="S54" s="21">
        <f>_xll.qlRateHelperQuoteValue(R54,Trigger)</f>
        <v>1.3899999999999999E-2</v>
      </c>
      <c r="T54" s="15">
        <f>_xll.qlRateHelperEarliestDate(R54,Trigger)</f>
        <v>42145</v>
      </c>
      <c r="U54" s="15">
        <f>_xll.qlRateHelperLatestDate(R54,Trigger)</f>
        <v>54931</v>
      </c>
      <c r="V54" s="119">
        <v>1.4102519859536457E-2</v>
      </c>
    </row>
    <row r="55" spans="1:22" ht="11.25" customHeight="1" x14ac:dyDescent="0.2">
      <c r="A55" s="109" t="s">
        <v>45</v>
      </c>
      <c r="B55" s="139"/>
      <c r="C55" s="139" t="s">
        <v>14</v>
      </c>
      <c r="D55" s="140" t="str">
        <v>26Y</v>
      </c>
      <c r="E55" s="132" t="s">
        <v>15</v>
      </c>
      <c r="F55" s="139" t="s">
        <v>16</v>
      </c>
      <c r="G55" s="132" t="s">
        <v>17</v>
      </c>
      <c r="H55" s="141">
        <v>1.3717083830000001E-2</v>
      </c>
      <c r="I55" s="107" t="str">
        <f>_xll.qlSwapRateHelper2(,$H55,2,$D55,Calendar,$F55,$E55,$G55,$I$30,0,C55,,Permanent,Trigger,ObjectOverwrite)</f>
        <v>obj_0096b#0014</v>
      </c>
      <c r="J55" s="135" t="b">
        <f t="shared" si="7"/>
        <v>1</v>
      </c>
      <c r="L55" s="25" t="str">
        <f>A60</f>
        <v>Sw</v>
      </c>
      <c r="M55" s="25" t="str">
        <f>D60</f>
        <v>31Y</v>
      </c>
      <c r="N55" s="25" t="str">
        <f>I60</f>
        <v>obj_0095c#0014</v>
      </c>
      <c r="O55" s="25" t="b">
        <f>J60</f>
        <v>1</v>
      </c>
      <c r="P55" s="14" t="str">
        <v>Sw</v>
      </c>
      <c r="Q55" s="14" t="str">
        <v>36Y</v>
      </c>
      <c r="R55" s="14" t="str">
        <v>obj_0096f#0014</v>
      </c>
      <c r="S55" s="21">
        <f>_xll.qlRateHelperQuoteValue(R55,Trigger)</f>
        <v>1.390501467E-2</v>
      </c>
      <c r="T55" s="15">
        <f>_xll.qlRateHelperEarliestDate(R55,Trigger)</f>
        <v>42145</v>
      </c>
      <c r="U55" s="15">
        <f>_xll.qlRateHelperLatestDate(R55,Trigger)</f>
        <v>55295</v>
      </c>
      <c r="V55" s="119">
        <v>1.410079395964714E-2</v>
      </c>
    </row>
    <row r="56" spans="1:22" ht="11.25" customHeight="1" x14ac:dyDescent="0.2">
      <c r="A56" s="109" t="s">
        <v>45</v>
      </c>
      <c r="B56" s="139"/>
      <c r="C56" s="139" t="s">
        <v>14</v>
      </c>
      <c r="D56" s="140" t="str">
        <v>27Y</v>
      </c>
      <c r="E56" s="132" t="s">
        <v>15</v>
      </c>
      <c r="F56" s="139" t="s">
        <v>16</v>
      </c>
      <c r="G56" s="132" t="s">
        <v>17</v>
      </c>
      <c r="H56" s="141">
        <v>1.374157109E-2</v>
      </c>
      <c r="I56" s="107" t="str">
        <f>_xll.qlSwapRateHelper2(,$H56,2,$D56,Calendar,$F56,$E56,$G56,$I$30,0,C56,,Permanent,Trigger,ObjectOverwrite)</f>
        <v>obj_00963#0014</v>
      </c>
      <c r="J56" s="135" t="b">
        <f t="shared" si="7"/>
        <v>1</v>
      </c>
      <c r="L56" s="25" t="str">
        <f>A61</f>
        <v>Sw</v>
      </c>
      <c r="M56" s="25" t="str">
        <f>D61</f>
        <v>32Y</v>
      </c>
      <c r="N56" s="25" t="str">
        <f>I61</f>
        <v>obj_00969#0014</v>
      </c>
      <c r="O56" s="25" t="b">
        <f>J61</f>
        <v>1</v>
      </c>
      <c r="P56" s="14" t="str">
        <v>Sw</v>
      </c>
      <c r="Q56" s="14" t="str">
        <v>37Y</v>
      </c>
      <c r="R56" s="14" t="str">
        <v>obj_00965#0014</v>
      </c>
      <c r="S56" s="21">
        <f>_xll.qlRateHelperQuoteValue(R56,Trigger)</f>
        <v>1.3905146740000001E-2</v>
      </c>
      <c r="T56" s="15">
        <f>_xll.qlRateHelperEarliestDate(R56,Trigger)</f>
        <v>42145</v>
      </c>
      <c r="U56" s="15">
        <f>_xll.qlRateHelperLatestDate(R56,Trigger)</f>
        <v>55660</v>
      </c>
      <c r="V56" s="119">
        <v>1.4092065382587983E-2</v>
      </c>
    </row>
    <row r="57" spans="1:22" ht="11.25" customHeight="1" x14ac:dyDescent="0.2">
      <c r="A57" s="109" t="s">
        <v>45</v>
      </c>
      <c r="B57" s="139"/>
      <c r="C57" s="139" t="s">
        <v>14</v>
      </c>
      <c r="D57" s="140" t="str">
        <v>28Y</v>
      </c>
      <c r="E57" s="132" t="s">
        <v>15</v>
      </c>
      <c r="F57" s="139" t="s">
        <v>16</v>
      </c>
      <c r="G57" s="132" t="s">
        <v>17</v>
      </c>
      <c r="H57" s="141">
        <v>1.376444317E-2</v>
      </c>
      <c r="I57" s="107" t="str">
        <f>_xll.qlSwapRateHelper2(,$H57,2,$D57,Calendar,$F57,$E57,$G57,$I$30,0,C57,,Permanent,Trigger,ObjectOverwrite)</f>
        <v>obj_00964#0014</v>
      </c>
      <c r="J57" s="135" t="b">
        <f t="shared" si="7"/>
        <v>1</v>
      </c>
      <c r="L57" s="25" t="str">
        <f>A62</f>
        <v>Sw</v>
      </c>
      <c r="M57" s="25" t="str">
        <f>D62</f>
        <v>33Y</v>
      </c>
      <c r="N57" s="25" t="str">
        <f>I62</f>
        <v>obj_00970#0014</v>
      </c>
      <c r="O57" s="25" t="b">
        <f>J62</f>
        <v>1</v>
      </c>
      <c r="P57" s="14" t="str">
        <v>Sw</v>
      </c>
      <c r="Q57" s="14" t="str">
        <v>38Y</v>
      </c>
      <c r="R57" s="14" t="str">
        <v>obj_0096e#0014</v>
      </c>
      <c r="S57" s="21">
        <f>_xll.qlRateHelperQuoteValue(R57,Trigger)</f>
        <v>1.389889836E-2</v>
      </c>
      <c r="T57" s="15">
        <f>_xll.qlRateHelperEarliestDate(R57,Trigger)</f>
        <v>42145</v>
      </c>
      <c r="U57" s="15">
        <f>_xll.qlRateHelperLatestDate(R57,Trigger)</f>
        <v>56025</v>
      </c>
      <c r="V57" s="119">
        <v>1.4076375893099163E-2</v>
      </c>
    </row>
    <row r="58" spans="1:22" ht="11.25" customHeight="1" x14ac:dyDescent="0.2">
      <c r="A58" s="109" t="s">
        <v>45</v>
      </c>
      <c r="B58" s="139"/>
      <c r="C58" s="139" t="s">
        <v>14</v>
      </c>
      <c r="D58" s="140" t="str">
        <v>29Y</v>
      </c>
      <c r="E58" s="132" t="s">
        <v>15</v>
      </c>
      <c r="F58" s="139" t="s">
        <v>16</v>
      </c>
      <c r="G58" s="132" t="s">
        <v>17</v>
      </c>
      <c r="H58" s="141">
        <v>1.3787716279999999E-2</v>
      </c>
      <c r="I58" s="107" t="str">
        <f>_xll.qlSwapRateHelper2(,$H58,2,$D58,Calendar,$F58,$E58,$G58,$I$30,0,C58,,Permanent,Trigger,ObjectOverwrite)</f>
        <v>obj_0097c#0014</v>
      </c>
      <c r="J58" s="135" t="b">
        <f t="shared" si="7"/>
        <v>1</v>
      </c>
      <c r="L58" s="25" t="str">
        <f>A63</f>
        <v>Sw</v>
      </c>
      <c r="M58" s="25" t="str">
        <f>D63</f>
        <v>34Y</v>
      </c>
      <c r="N58" s="25" t="str">
        <f>I63</f>
        <v>obj_0095b#0014</v>
      </c>
      <c r="O58" s="25" t="b">
        <f>J63</f>
        <v>1</v>
      </c>
      <c r="P58" s="14" t="str">
        <v>Sw</v>
      </c>
      <c r="Q58" s="14" t="str">
        <v>39Y</v>
      </c>
      <c r="R58" s="14" t="str">
        <v>obj_00967#0014</v>
      </c>
      <c r="S58" s="21">
        <f>_xll.qlRateHelperQuoteValue(R58,Trigger)</f>
        <v>1.388715991E-2</v>
      </c>
      <c r="T58" s="15">
        <f>_xll.qlRateHelperEarliestDate(R58,Trigger)</f>
        <v>42145</v>
      </c>
      <c r="U58" s="15">
        <f>_xll.qlRateHelperLatestDate(R58,Trigger)</f>
        <v>56390</v>
      </c>
      <c r="V58" s="119">
        <v>1.4053764257745715E-2</v>
      </c>
    </row>
    <row r="59" spans="1:22" ht="11.25" customHeight="1" x14ac:dyDescent="0.2">
      <c r="A59" s="109" t="s">
        <v>45</v>
      </c>
      <c r="B59" s="139"/>
      <c r="C59" s="139" t="s">
        <v>14</v>
      </c>
      <c r="D59" s="140" t="str">
        <v>30Y</v>
      </c>
      <c r="E59" s="132" t="s">
        <v>15</v>
      </c>
      <c r="F59" s="139" t="s">
        <v>16</v>
      </c>
      <c r="G59" s="132" t="s">
        <v>17</v>
      </c>
      <c r="H59" s="141">
        <v>1.3809999999999999E-2</v>
      </c>
      <c r="I59" s="107" t="str">
        <f>_xll.qlSwapRateHelper2(,$H59,2,$D59,Calendar,$F59,$E59,$G59,$I$30,0,C59,,Permanent,Trigger,ObjectOverwrite)</f>
        <v>obj_00973#0014</v>
      </c>
      <c r="J59" s="135" t="b">
        <f t="shared" si="7"/>
        <v>1</v>
      </c>
      <c r="L59" s="25" t="str">
        <f>A64</f>
        <v>Sw</v>
      </c>
      <c r="M59" s="25" t="str">
        <f>D64</f>
        <v>35Y</v>
      </c>
      <c r="N59" s="25" t="str">
        <f>I64</f>
        <v>obj_0097f#0014</v>
      </c>
      <c r="O59" s="25" t="b">
        <f>J64</f>
        <v>1</v>
      </c>
      <c r="P59" s="14" t="str">
        <v>Sw</v>
      </c>
      <c r="Q59" s="14" t="str">
        <v>40Y</v>
      </c>
      <c r="R59" s="14" t="str">
        <v>obj_00974#0014</v>
      </c>
      <c r="S59" s="21">
        <f>_xll.qlRateHelperQuoteValue(R59,Trigger)</f>
        <v>1.387E-2</v>
      </c>
      <c r="T59" s="15">
        <f>_xll.qlRateHelperEarliestDate(R59,Trigger)</f>
        <v>42145</v>
      </c>
      <c r="U59" s="15">
        <f>_xll.qlRateHelperLatestDate(R59,Trigger)</f>
        <v>56755</v>
      </c>
      <c r="V59" s="119">
        <v>1.4024247284439087E-2</v>
      </c>
    </row>
    <row r="60" spans="1:22" ht="11.25" customHeight="1" x14ac:dyDescent="0.2">
      <c r="A60" s="109" t="s">
        <v>45</v>
      </c>
      <c r="B60" s="139"/>
      <c r="C60" s="139" t="s">
        <v>14</v>
      </c>
      <c r="D60" s="140" t="str">
        <v>31Y</v>
      </c>
      <c r="E60" s="132" t="s">
        <v>15</v>
      </c>
      <c r="F60" s="139" t="s">
        <v>16</v>
      </c>
      <c r="G60" s="132" t="s">
        <v>17</v>
      </c>
      <c r="H60" s="141">
        <v>1.38324396E-2</v>
      </c>
      <c r="I60" s="107" t="str">
        <f>_xll.qlSwapRateHelper2(,$H60,2,$D60,Calendar,$F60,$E60,$G60,$I$30,0,C60,,Permanent,Trigger,ObjectOverwrite)</f>
        <v>obj_0095c#0014</v>
      </c>
      <c r="J60" s="135" t="b">
        <f t="shared" si="7"/>
        <v>1</v>
      </c>
      <c r="L60" s="25" t="str">
        <f>A65</f>
        <v>Sw</v>
      </c>
      <c r="M60" s="25" t="str">
        <f>D65</f>
        <v>36Y</v>
      </c>
      <c r="N60" s="25" t="str">
        <f>I65</f>
        <v>obj_0096f#0014</v>
      </c>
      <c r="O60" s="25" t="b">
        <f>J65</f>
        <v>1</v>
      </c>
      <c r="P60" s="14" t="str">
        <v>Sw</v>
      </c>
      <c r="Q60" s="14" t="str">
        <v>50Y</v>
      </c>
      <c r="R60" s="14" t="str">
        <v>obj_0097d#0014</v>
      </c>
      <c r="S60" s="21">
        <f>_xll.qlRateHelperQuoteValue(R60,Trigger)</f>
        <v>1.3380000000000001E-2</v>
      </c>
      <c r="T60" s="15">
        <f>_xll.qlRateHelperEarliestDate(R60,Trigger)</f>
        <v>42145</v>
      </c>
      <c r="U60" s="15">
        <f>_xll.qlRateHelperLatestDate(R60,Trigger)</f>
        <v>60408</v>
      </c>
      <c r="V60" s="119">
        <v>1.3315944099772386E-2</v>
      </c>
    </row>
    <row r="61" spans="1:22" ht="11.25" customHeight="1" x14ac:dyDescent="0.2">
      <c r="A61" s="109" t="s">
        <v>45</v>
      </c>
      <c r="B61" s="139"/>
      <c r="C61" s="139" t="s">
        <v>14</v>
      </c>
      <c r="D61" s="140" t="str">
        <v>32Y</v>
      </c>
      <c r="E61" s="132" t="s">
        <v>15</v>
      </c>
      <c r="F61" s="139" t="s">
        <v>16</v>
      </c>
      <c r="G61" s="132" t="s">
        <v>17</v>
      </c>
      <c r="H61" s="141">
        <v>1.3853925460000001E-2</v>
      </c>
      <c r="I61" s="107" t="str">
        <f>_xll.qlSwapRateHelper2(,$H61,2,$D61,Calendar,$F61,$E61,$G61,$I$30,0,C61,,Permanent,Trigger,ObjectOverwrite)</f>
        <v>obj_00969#0014</v>
      </c>
      <c r="J61" s="135" t="b">
        <f t="shared" si="7"/>
        <v>1</v>
      </c>
      <c r="L61" s="25" t="str">
        <f>A66</f>
        <v>Sw</v>
      </c>
      <c r="M61" s="25" t="str">
        <f>D66</f>
        <v>37Y</v>
      </c>
      <c r="N61" s="25" t="str">
        <f>I66</f>
        <v>obj_00965#0014</v>
      </c>
      <c r="O61" s="25" t="b">
        <f>J66</f>
        <v>1</v>
      </c>
      <c r="P61" s="14" t="str">
        <v>Sw</v>
      </c>
      <c r="Q61" s="14" t="str">
        <v>60Y</v>
      </c>
      <c r="R61" s="14" t="str">
        <v>obj_0095d#0014</v>
      </c>
      <c r="S61" s="21">
        <f>_xll.qlRateHelperQuoteValue(R61,Trigger)</f>
        <v>1.3229999999999999E-2</v>
      </c>
      <c r="T61" s="15">
        <f>_xll.qlRateHelperEarliestDate(R61,Trigger)</f>
        <v>42145</v>
      </c>
      <c r="U61" s="15">
        <f>_xll.qlRateHelperLatestDate(R61,Trigger)</f>
        <v>64060</v>
      </c>
      <c r="V61" s="119">
        <v>1.3098738419243527E-2</v>
      </c>
    </row>
    <row r="62" spans="1:22" ht="11.25" customHeight="1" x14ac:dyDescent="0.2">
      <c r="A62" s="109" t="s">
        <v>45</v>
      </c>
      <c r="B62" s="139"/>
      <c r="C62" s="139" t="s">
        <v>14</v>
      </c>
      <c r="D62" s="140" t="str">
        <v>33Y</v>
      </c>
      <c r="E62" s="132" t="s">
        <v>15</v>
      </c>
      <c r="F62" s="139" t="s">
        <v>16</v>
      </c>
      <c r="G62" s="132" t="s">
        <v>17</v>
      </c>
      <c r="H62" s="141">
        <v>1.3874000840000001E-2</v>
      </c>
      <c r="I62" s="107" t="str">
        <f>_xll.qlSwapRateHelper2(,$H62,2,$D62,Calendar,$F62,$E62,$G62,$I$30,0,C62,,Permanent,Trigger,ObjectOverwrite)</f>
        <v>obj_00970#0014</v>
      </c>
      <c r="J62" s="135" t="b">
        <f t="shared" si="7"/>
        <v>1</v>
      </c>
      <c r="L62" s="25" t="str">
        <f>A67</f>
        <v>Sw</v>
      </c>
      <c r="M62" s="25" t="str">
        <f>D67</f>
        <v>38Y</v>
      </c>
      <c r="N62" s="25" t="str">
        <f>I67</f>
        <v>obj_0096e#0014</v>
      </c>
      <c r="O62" s="25" t="b">
        <f>J67</f>
        <v>1</v>
      </c>
      <c r="P62" s="14" t="e">
        <v>#N/A</v>
      </c>
      <c r="Q62" s="14" t="e">
        <v>#N/A</v>
      </c>
      <c r="R62" s="14" t="e">
        <v>#N/A</v>
      </c>
      <c r="S62" s="21" t="e">
        <f>_xll.qlRateHelperQuoteValue(R62,Trigger)</f>
        <v>#VALUE!</v>
      </c>
      <c r="T62" s="15" t="e">
        <f>_xll.qlRateHelperEarliestDate(R62,Trigger)</f>
        <v>#VALUE!</v>
      </c>
      <c r="U62" s="15" t="e">
        <f>_xll.qlRateHelperLatestDate(R62,Trigger)</f>
        <v>#VALUE!</v>
      </c>
      <c r="V62" s="119" t="e">
        <v>#N/A</v>
      </c>
    </row>
    <row r="63" spans="1:22" ht="11.25" customHeight="1" x14ac:dyDescent="0.2">
      <c r="A63" s="109" t="s">
        <v>45</v>
      </c>
      <c r="B63" s="139"/>
      <c r="C63" s="139" t="s">
        <v>14</v>
      </c>
      <c r="D63" s="140" t="str">
        <v>34Y</v>
      </c>
      <c r="E63" s="132" t="s">
        <v>15</v>
      </c>
      <c r="F63" s="139" t="s">
        <v>16</v>
      </c>
      <c r="G63" s="132" t="s">
        <v>17</v>
      </c>
      <c r="H63" s="141">
        <v>1.388939699E-2</v>
      </c>
      <c r="I63" s="107" t="str">
        <f>_xll.qlSwapRateHelper2(,$H63,2,$D63,Calendar,$F63,$E63,$G63,$I$30,0,C63,,Permanent,Trigger,ObjectOverwrite)</f>
        <v>obj_0095b#0014</v>
      </c>
      <c r="J63" s="135" t="b">
        <f t="shared" si="7"/>
        <v>1</v>
      </c>
      <c r="L63" s="25" t="str">
        <f>A68</f>
        <v>Sw</v>
      </c>
      <c r="M63" s="25" t="str">
        <f>D68</f>
        <v>39Y</v>
      </c>
      <c r="N63" s="25" t="str">
        <f>I68</f>
        <v>obj_00967#0014</v>
      </c>
      <c r="O63" s="25" t="b">
        <f>J68</f>
        <v>1</v>
      </c>
      <c r="P63" s="14" t="e">
        <v>#N/A</v>
      </c>
      <c r="Q63" s="14" t="e">
        <v>#N/A</v>
      </c>
      <c r="R63" s="14" t="e">
        <v>#N/A</v>
      </c>
      <c r="S63" s="21" t="e">
        <f>_xll.qlRateHelperQuoteValue(R63,Trigger)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9" t="e">
        <v>#N/A</v>
      </c>
    </row>
    <row r="64" spans="1:22" ht="11.25" customHeight="1" x14ac:dyDescent="0.2">
      <c r="A64" s="109" t="s">
        <v>45</v>
      </c>
      <c r="B64" s="139"/>
      <c r="C64" s="139" t="s">
        <v>14</v>
      </c>
      <c r="D64" s="140" t="str">
        <v>35Y</v>
      </c>
      <c r="E64" s="132" t="s">
        <v>15</v>
      </c>
      <c r="F64" s="139" t="s">
        <v>16</v>
      </c>
      <c r="G64" s="132" t="s">
        <v>17</v>
      </c>
      <c r="H64" s="141">
        <v>1.3899999999999999E-2</v>
      </c>
      <c r="I64" s="107" t="str">
        <f>_xll.qlSwapRateHelper2(,$H64,2,$D64,Calendar,$F64,$E64,$G64,$I$30,0,C64,,Permanent,Trigger,ObjectOverwrite)</f>
        <v>obj_0097f#0014</v>
      </c>
      <c r="J64" s="135" t="b">
        <f t="shared" si="7"/>
        <v>1</v>
      </c>
      <c r="L64" s="25" t="str">
        <f>A69</f>
        <v>Sw</v>
      </c>
      <c r="M64" s="25" t="str">
        <f>D69</f>
        <v>40Y</v>
      </c>
      <c r="N64" s="25" t="str">
        <f>I69</f>
        <v>obj_00974#0014</v>
      </c>
      <c r="O64" s="25" t="b">
        <f>J69</f>
        <v>1</v>
      </c>
      <c r="P64" s="14" t="e">
        <v>#N/A</v>
      </c>
      <c r="Q64" s="14" t="e">
        <v>#N/A</v>
      </c>
      <c r="R64" s="14" t="e">
        <v>#N/A</v>
      </c>
      <c r="S64" s="21" t="e">
        <f>_xll.qlRateHelperQuoteValue(R64,Trigger)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9" t="s">
        <v>45</v>
      </c>
      <c r="B65" s="139"/>
      <c r="C65" s="139" t="s">
        <v>14</v>
      </c>
      <c r="D65" s="140" t="str">
        <v>36Y</v>
      </c>
      <c r="E65" s="132" t="s">
        <v>15</v>
      </c>
      <c r="F65" s="139" t="s">
        <v>16</v>
      </c>
      <c r="G65" s="132" t="s">
        <v>17</v>
      </c>
      <c r="H65" s="141">
        <v>1.390501467E-2</v>
      </c>
      <c r="I65" s="107" t="str">
        <f>_xll.qlSwapRateHelper2(,$H65,2,$D65,Calendar,$F65,$E65,$G65,$I$30,0,C65,,Permanent,Trigger,ObjectOverwrite)</f>
        <v>obj_0096f#0014</v>
      </c>
      <c r="J65" s="135" t="b">
        <f t="shared" si="7"/>
        <v>1</v>
      </c>
      <c r="L65" s="25" t="str">
        <f>A70</f>
        <v>Sw</v>
      </c>
      <c r="M65" s="25" t="str">
        <f>D70</f>
        <v>50Y</v>
      </c>
      <c r="N65" s="25" t="str">
        <f>I70</f>
        <v>obj_0097d#0014</v>
      </c>
      <c r="O65" s="25" t="b">
        <f>J70</f>
        <v>1</v>
      </c>
      <c r="P65" s="14" t="e">
        <v>#N/A</v>
      </c>
      <c r="Q65" s="14" t="e">
        <v>#N/A</v>
      </c>
      <c r="R65" s="14" t="e">
        <v>#N/A</v>
      </c>
      <c r="S65" s="21" t="e">
        <f>_xll.qlRateHelperQuoteValue(R65,Trigger)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9" t="s">
        <v>45</v>
      </c>
      <c r="B66" s="139"/>
      <c r="C66" s="139" t="s">
        <v>14</v>
      </c>
      <c r="D66" s="140" t="str">
        <v>37Y</v>
      </c>
      <c r="E66" s="132" t="s">
        <v>15</v>
      </c>
      <c r="F66" s="139" t="s">
        <v>16</v>
      </c>
      <c r="G66" s="132" t="s">
        <v>17</v>
      </c>
      <c r="H66" s="141">
        <v>1.3905146740000001E-2</v>
      </c>
      <c r="I66" s="107" t="str">
        <f>_xll.qlSwapRateHelper2(,$H66,2,$D66,Calendar,$F66,$E66,$G66,$I$30,0,C66,,Permanent,Trigger,ObjectOverwrite)</f>
        <v>obj_00965#0014</v>
      </c>
      <c r="J66" s="135" t="b">
        <f t="shared" si="7"/>
        <v>1</v>
      </c>
      <c r="L66" s="25" t="str">
        <f>A71</f>
        <v>Sw</v>
      </c>
      <c r="M66" s="25" t="str">
        <f>D71</f>
        <v>60Y</v>
      </c>
      <c r="N66" s="25" t="str">
        <f>I71</f>
        <v>obj_0095d#0014</v>
      </c>
      <c r="O66" s="25" t="b">
        <f>J71</f>
        <v>1</v>
      </c>
      <c r="P66" s="14" t="e">
        <v>#N/A</v>
      </c>
      <c r="Q66" s="14" t="e">
        <v>#N/A</v>
      </c>
      <c r="R66" s="14" t="e">
        <v>#N/A</v>
      </c>
      <c r="S66" s="21" t="e">
        <f>_xll.qlRateHelperQuoteValue(R66,Trigger)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9" t="s">
        <v>45</v>
      </c>
      <c r="B67" s="139"/>
      <c r="C67" s="139" t="s">
        <v>14</v>
      </c>
      <c r="D67" s="140" t="str">
        <v>38Y</v>
      </c>
      <c r="E67" s="132" t="s">
        <v>15</v>
      </c>
      <c r="F67" s="139" t="s">
        <v>16</v>
      </c>
      <c r="G67" s="132" t="s">
        <v>17</v>
      </c>
      <c r="H67" s="141">
        <v>1.389889836E-2</v>
      </c>
      <c r="I67" s="107" t="str">
        <f>_xll.qlSwapRateHelper2(,$H67,2,$D67,Calendar,$F67,$E67,$G67,$I$30,0,C67,,Permanent,Trigger,ObjectOverwrite)</f>
        <v>obj_0096e#0014</v>
      </c>
      <c r="J67" s="135" t="b">
        <f t="shared" si="7"/>
        <v>1</v>
      </c>
      <c r="L67" s="25" t="str">
        <f>A72</f>
        <v>Sw</v>
      </c>
      <c r="M67" s="25" t="e">
        <f>D72</f>
        <v>#N/A</v>
      </c>
      <c r="N67" s="25" t="e">
        <f>I72</f>
        <v>#VALUE!</v>
      </c>
      <c r="O67" s="25" t="b">
        <f>J72</f>
        <v>0</v>
      </c>
      <c r="P67" s="14" t="e">
        <v>#N/A</v>
      </c>
      <c r="Q67" s="14" t="e">
        <v>#N/A</v>
      </c>
      <c r="R67" s="14" t="e">
        <v>#N/A</v>
      </c>
      <c r="S67" s="21" t="e">
        <f>_xll.qlRateHelperQuoteValue(R67,Trigger)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9" t="s">
        <v>45</v>
      </c>
      <c r="B68" s="139"/>
      <c r="C68" s="139" t="s">
        <v>14</v>
      </c>
      <c r="D68" s="140" t="str">
        <v>39Y</v>
      </c>
      <c r="E68" s="132" t="s">
        <v>15</v>
      </c>
      <c r="F68" s="139" t="s">
        <v>16</v>
      </c>
      <c r="G68" s="132" t="s">
        <v>17</v>
      </c>
      <c r="H68" s="141">
        <v>1.388715991E-2</v>
      </c>
      <c r="I68" s="107" t="str">
        <f>_xll.qlSwapRateHelper2(,$H68,2,$D68,Calendar,$F68,$E68,$G68,$I$30,0,C68,,Permanent,Trigger,ObjectOverwrite)</f>
        <v>obj_00967#0014</v>
      </c>
      <c r="J68" s="135" t="b">
        <f t="shared" si="7"/>
        <v>1</v>
      </c>
      <c r="L68" s="25" t="str">
        <f>A73</f>
        <v>Sw</v>
      </c>
      <c r="M68" s="25" t="e">
        <f>D73</f>
        <v>#N/A</v>
      </c>
      <c r="N68" s="25" t="e">
        <f>I73</f>
        <v>#VALUE!</v>
      </c>
      <c r="O68" s="25" t="b">
        <f>J73</f>
        <v>0</v>
      </c>
      <c r="P68" s="14" t="e">
        <v>#N/A</v>
      </c>
      <c r="Q68" s="14" t="e">
        <v>#N/A</v>
      </c>
      <c r="R68" s="14" t="e">
        <v>#N/A</v>
      </c>
      <c r="S68" s="21" t="e">
        <f>_xll.qlRateHelperQuoteValue(R68,Trigger)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9" t="s">
        <v>45</v>
      </c>
      <c r="B69" s="139"/>
      <c r="C69" s="139" t="s">
        <v>14</v>
      </c>
      <c r="D69" s="140" t="str">
        <v>40Y</v>
      </c>
      <c r="E69" s="132" t="s">
        <v>15</v>
      </c>
      <c r="F69" s="139" t="s">
        <v>16</v>
      </c>
      <c r="G69" s="132" t="s">
        <v>17</v>
      </c>
      <c r="H69" s="141">
        <v>1.387E-2</v>
      </c>
      <c r="I69" s="107" t="str">
        <f>_xll.qlSwapRateHelper2(,$H69,2,$D69,Calendar,$F69,$E69,$G69,$I$30,0,C69,,Permanent,Trigger,ObjectOverwrite)</f>
        <v>obj_00974#0014</v>
      </c>
      <c r="J69" s="135" t="b">
        <f t="shared" si="7"/>
        <v>1</v>
      </c>
      <c r="L69" s="25" t="str">
        <f>A74</f>
        <v>Sw</v>
      </c>
      <c r="M69" s="25" t="e">
        <f>D74</f>
        <v>#N/A</v>
      </c>
      <c r="N69" s="25" t="e">
        <f>I74</f>
        <v>#VALUE!</v>
      </c>
      <c r="O69" s="25" t="b">
        <f>J74</f>
        <v>0</v>
      </c>
      <c r="P69" s="14" t="e">
        <v>#N/A</v>
      </c>
      <c r="Q69" s="14" t="e">
        <v>#N/A</v>
      </c>
      <c r="R69" s="14" t="e">
        <v>#N/A</v>
      </c>
      <c r="S69" s="21" t="e">
        <f>_xll.qlRateHelperQuoteValue(R69,Trigger)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9" t="s">
        <v>45</v>
      </c>
      <c r="B70" s="139"/>
      <c r="C70" s="139" t="s">
        <v>14</v>
      </c>
      <c r="D70" s="140" t="str">
        <v>50Y</v>
      </c>
      <c r="E70" s="132" t="s">
        <v>15</v>
      </c>
      <c r="F70" s="139" t="s">
        <v>16</v>
      </c>
      <c r="G70" s="132" t="s">
        <v>17</v>
      </c>
      <c r="H70" s="141">
        <v>1.3380000000000001E-2</v>
      </c>
      <c r="I70" s="107" t="str">
        <f>_xll.qlSwapRateHelper2(,$H70,2,$D70,Calendar,$F70,$E70,$G70,$I$30,0,C70,,Permanent,Trigger,ObjectOverwrite)</f>
        <v>obj_0097d#0014</v>
      </c>
      <c r="J70" s="135" t="b">
        <f t="shared" si="7"/>
        <v>1</v>
      </c>
      <c r="L70" s="120" t="str">
        <f>A75</f>
        <v>Sw</v>
      </c>
      <c r="M70" s="120" t="e">
        <f>D75</f>
        <v>#N/A</v>
      </c>
      <c r="N70" s="120" t="e">
        <f>I75</f>
        <v>#VALUE!</v>
      </c>
      <c r="O70" s="120" t="b">
        <f>J75</f>
        <v>0</v>
      </c>
      <c r="P70" s="14" t="e">
        <v>#N/A</v>
      </c>
      <c r="Q70" s="14" t="e">
        <v>#N/A</v>
      </c>
      <c r="R70" s="14" t="e">
        <v>#N/A</v>
      </c>
      <c r="S70" s="21" t="e">
        <f>_xll.qlRateHelperQuoteValue(R70,Trigger)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9" t="s">
        <v>45</v>
      </c>
      <c r="B71" s="139"/>
      <c r="C71" s="139" t="s">
        <v>14</v>
      </c>
      <c r="D71" s="140" t="str">
        <v>60Y</v>
      </c>
      <c r="E71" s="132" t="s">
        <v>15</v>
      </c>
      <c r="F71" s="139" t="s">
        <v>16</v>
      </c>
      <c r="G71" s="132" t="s">
        <v>17</v>
      </c>
      <c r="H71" s="141">
        <v>1.3229999999999999E-2</v>
      </c>
      <c r="I71" s="107" t="str">
        <f>_xll.qlSwapRateHelper2(,$H71,2,$D71,Calendar,$F71,$E71,$G71,$I$30,0,C71,,Permanent,Trigger,ObjectOverwrite)</f>
        <v>obj_0095d#0014</v>
      </c>
      <c r="J71" s="135" t="b">
        <f t="shared" si="7"/>
        <v>1</v>
      </c>
      <c r="L71" s="121" t="str">
        <f>A76</f>
        <v>Sw</v>
      </c>
      <c r="M71" s="121" t="e">
        <f>D76</f>
        <v>#N/A</v>
      </c>
      <c r="N71" s="121" t="e">
        <f>I76</f>
        <v>#VALUE!</v>
      </c>
      <c r="O71" s="121" t="b">
        <f>J76</f>
        <v>0</v>
      </c>
      <c r="P71" s="16" t="e">
        <v>#N/A</v>
      </c>
      <c r="Q71" s="16" t="e">
        <v>#N/A</v>
      </c>
      <c r="R71" s="16" t="e">
        <v>#N/A</v>
      </c>
      <c r="S71" s="31" t="e">
        <f>_xll.qlRateHelperQuoteValue(R71,Trigger)</f>
        <v>#VALUE!</v>
      </c>
      <c r="T71" s="32" t="e">
        <f>_xll.qlRateHelperEarliestDate(R71,Trigger)</f>
        <v>#VALUE!</v>
      </c>
      <c r="U71" s="32" t="e">
        <f>_xll.qlRateHelperLatestDate(R71,Trigger)</f>
        <v>#VALUE!</v>
      </c>
      <c r="V71" s="16" t="e">
        <v>#N/A</v>
      </c>
    </row>
    <row r="72" spans="1:22" ht="11.25" customHeight="1" x14ac:dyDescent="0.2">
      <c r="A72" s="109" t="s">
        <v>45</v>
      </c>
      <c r="B72" s="139"/>
      <c r="C72" s="139" t="s">
        <v>14</v>
      </c>
      <c r="D72" s="140" t="e">
        <v>#N/A</v>
      </c>
      <c r="E72" s="132" t="s">
        <v>15</v>
      </c>
      <c r="F72" s="139" t="s">
        <v>16</v>
      </c>
      <c r="G72" s="132" t="s">
        <v>17</v>
      </c>
      <c r="H72" s="141" t="e">
        <v>#N/A</v>
      </c>
      <c r="I72" s="107" t="e">
        <f>_xll.qlSwapRateHelper2(,$H72,2,$D72,Calendar,$F72,$E72,$G72,$I$30,0,C72,,Permanent,Trigger,ObjectOverwrite)</f>
        <v>#VALUE!</v>
      </c>
      <c r="J72" s="135" t="b">
        <f t="shared" si="7"/>
        <v>0</v>
      </c>
    </row>
    <row r="73" spans="1:22" ht="11.25" customHeight="1" x14ac:dyDescent="0.2">
      <c r="A73" s="109" t="s">
        <v>45</v>
      </c>
      <c r="B73" s="139"/>
      <c r="C73" s="139" t="s">
        <v>14</v>
      </c>
      <c r="D73" s="140" t="e">
        <v>#N/A</v>
      </c>
      <c r="E73" s="132" t="s">
        <v>15</v>
      </c>
      <c r="F73" s="139" t="s">
        <v>16</v>
      </c>
      <c r="G73" s="132" t="s">
        <v>17</v>
      </c>
      <c r="H73" s="141" t="e">
        <v>#N/A</v>
      </c>
      <c r="I73" s="107" t="e">
        <f>_xll.qlSwapRateHelper2(,$H73,2,$D73,Calendar,$F73,$E73,$G73,$I$30,0,C73,,Permanent,Trigger,ObjectOverwrite)</f>
        <v>#VALUE!</v>
      </c>
      <c r="J73" s="135" t="b">
        <f t="shared" si="7"/>
        <v>0</v>
      </c>
    </row>
    <row r="74" spans="1:22" ht="11.25" customHeight="1" x14ac:dyDescent="0.2">
      <c r="A74" s="109" t="s">
        <v>45</v>
      </c>
      <c r="B74" s="139"/>
      <c r="C74" s="139" t="s">
        <v>14</v>
      </c>
      <c r="D74" s="140" t="e">
        <v>#N/A</v>
      </c>
      <c r="E74" s="132" t="s">
        <v>15</v>
      </c>
      <c r="F74" s="139" t="s">
        <v>16</v>
      </c>
      <c r="G74" s="132" t="s">
        <v>17</v>
      </c>
      <c r="H74" s="141" t="e">
        <v>#N/A</v>
      </c>
      <c r="I74" s="107" t="e">
        <f>_xll.qlSwapRateHelper2(,$H74,2,$D74,Calendar,$F74,$E74,$G74,$I$30,0,C74,,Permanent,Trigger,ObjectOverwrite)</f>
        <v>#VALUE!</v>
      </c>
      <c r="J74" s="135" t="b">
        <f t="shared" si="7"/>
        <v>0</v>
      </c>
    </row>
    <row r="75" spans="1:22" ht="11.25" customHeight="1" x14ac:dyDescent="0.2">
      <c r="A75" s="109" t="s">
        <v>45</v>
      </c>
      <c r="B75" s="139"/>
      <c r="C75" s="139" t="s">
        <v>14</v>
      </c>
      <c r="D75" s="140" t="e">
        <v>#N/A</v>
      </c>
      <c r="E75" s="132" t="s">
        <v>15</v>
      </c>
      <c r="F75" s="139" t="s">
        <v>16</v>
      </c>
      <c r="G75" s="132" t="s">
        <v>17</v>
      </c>
      <c r="H75" s="141" t="e">
        <v>#N/A</v>
      </c>
      <c r="I75" s="107" t="e">
        <f>_xll.qlSwapRateHelper2(,$H75,2,$D75,Calendar,$F75,$E75,$G75,$I$30,0,C75,,Permanent,Trigger,ObjectOverwrite)</f>
        <v>#VALUE!</v>
      </c>
      <c r="J75" s="135" t="b">
        <f t="shared" si="7"/>
        <v>0</v>
      </c>
    </row>
    <row r="76" spans="1:22" ht="11.25" customHeight="1" x14ac:dyDescent="0.2">
      <c r="A76" s="7" t="s">
        <v>45</v>
      </c>
      <c r="B76" s="142"/>
      <c r="C76" s="142" t="s">
        <v>14</v>
      </c>
      <c r="D76" s="143" t="e">
        <v>#N/A</v>
      </c>
      <c r="E76" s="3" t="s">
        <v>15</v>
      </c>
      <c r="F76" s="142" t="s">
        <v>16</v>
      </c>
      <c r="G76" s="3" t="s">
        <v>17</v>
      </c>
      <c r="H76" s="144" t="e">
        <v>#N/A</v>
      </c>
      <c r="I76" s="5" t="e">
        <f>_xll.qlSwapRateHelper2(,$H76,2,$D76,Calendar,$F76,$E76,$G76,$I$30,0,C76,,Permanent,Trigger,ObjectOverwrite)</f>
        <v>#VALUE!</v>
      </c>
      <c r="J76" s="12" t="b">
        <f t="shared" si="7"/>
        <v>0</v>
      </c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4">
    <dataValidation type="list" allowBlank="1" showInputMessage="1" showErrorMessage="1" sqref="E32:E76">
      <formula1>"Following,Modified Following,Preceding,Modified Preceding,Month End Reference,Unadjusted Month End,Unadjusted"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1:E28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4" hidden="1" customWidth="1" outlineLevel="1"/>
    <col min="2" max="2" width="17.28515625" style="74" hidden="1" customWidth="1" outlineLevel="2"/>
    <col min="3" max="3" width="10" style="91" hidden="1" customWidth="1" outlineLevel="1" collapsed="1"/>
    <col min="4" max="4" width="7.85546875" style="90" hidden="1" customWidth="1" outlineLevel="1"/>
    <col min="5" max="5" width="19.28515625" style="92" hidden="1" customWidth="1" outlineLevel="1"/>
    <col min="6" max="6" width="10" style="74" hidden="1" customWidth="1" outlineLevel="1"/>
    <col min="7" max="7" width="21.42578125" style="74" hidden="1" customWidth="1" outlineLevel="1"/>
    <col min="8" max="8" width="13.5703125" style="74" hidden="1" customWidth="1" outlineLevel="1"/>
    <col min="9" max="9" width="15.140625" style="74" hidden="1" customWidth="1" outlineLevel="1"/>
    <col min="10" max="10" width="9" style="90" hidden="1" customWidth="1" outlineLevel="1"/>
    <col min="11" max="11" width="2.7109375" style="74" customWidth="1" collapsed="1"/>
    <col min="12" max="12" width="5" style="74" hidden="1" customWidth="1" outlineLevel="1"/>
    <col min="13" max="13" width="6" style="74" hidden="1" customWidth="1" outlineLevel="1"/>
    <col min="14" max="14" width="15.140625" style="74" hidden="1" customWidth="1" outlineLevel="1"/>
    <col min="15" max="15" width="6" style="74" hidden="1" customWidth="1" outlineLevel="1"/>
    <col min="16" max="16" width="5" style="74" bestFit="1" customWidth="1" collapsed="1"/>
    <col min="17" max="17" width="6" style="74" bestFit="1" customWidth="1"/>
    <col min="18" max="18" width="15.140625" style="74" hidden="1" customWidth="1" outlineLevel="1"/>
    <col min="19" max="19" width="10" style="74" bestFit="1" customWidth="1" collapsed="1"/>
    <col min="20" max="21" width="17.28515625" style="74" bestFit="1" customWidth="1"/>
    <col min="22" max="22" width="9" style="74" bestFit="1" customWidth="1"/>
    <col min="23" max="23" width="15.140625" style="74" bestFit="1" customWidth="1"/>
    <col min="24" max="24" width="9" style="74" bestFit="1" customWidth="1"/>
    <col min="25" max="16384" width="9.140625" style="74"/>
  </cols>
  <sheetData>
    <row r="1" spans="1:22" ht="21" customHeight="1" x14ac:dyDescent="0.2">
      <c r="B1" s="80"/>
      <c r="C1" s="81"/>
      <c r="D1" s="82"/>
      <c r="E1" s="83"/>
      <c r="F1" s="84"/>
      <c r="J1" s="82"/>
      <c r="L1" s="111"/>
      <c r="M1" s="112"/>
      <c r="N1" s="112"/>
      <c r="O1" s="113"/>
      <c r="P1" s="149" t="s">
        <v>181</v>
      </c>
      <c r="Q1" s="112"/>
      <c r="R1" s="112"/>
      <c r="S1" s="117"/>
      <c r="T1" s="112"/>
      <c r="U1" s="112"/>
      <c r="V1" s="148" t="s">
        <v>197</v>
      </c>
    </row>
    <row r="2" spans="1:22" ht="21" customHeight="1" x14ac:dyDescent="0.2">
      <c r="A2" s="110" t="s">
        <v>18</v>
      </c>
      <c r="B2" s="110"/>
      <c r="C2" s="110" t="s">
        <v>1</v>
      </c>
      <c r="D2" s="110" t="s">
        <v>2</v>
      </c>
      <c r="E2" s="110" t="s">
        <v>13</v>
      </c>
      <c r="F2" s="110" t="s">
        <v>3</v>
      </c>
      <c r="G2" s="110" t="s">
        <v>4</v>
      </c>
      <c r="H2" s="110" t="s">
        <v>5</v>
      </c>
      <c r="I2" s="110" t="s">
        <v>43</v>
      </c>
      <c r="J2" s="110" t="s">
        <v>47</v>
      </c>
      <c r="L2" s="145" t="s">
        <v>18</v>
      </c>
      <c r="M2" s="145"/>
      <c r="N2" s="145" t="s">
        <v>43</v>
      </c>
      <c r="O2" s="145"/>
      <c r="P2" s="145" t="s">
        <v>18</v>
      </c>
      <c r="Q2" s="145" t="s">
        <v>58</v>
      </c>
      <c r="R2" s="145" t="s">
        <v>43</v>
      </c>
      <c r="S2" s="146" t="s">
        <v>39</v>
      </c>
      <c r="T2" s="145" t="s">
        <v>37</v>
      </c>
      <c r="U2" s="145" t="s">
        <v>38</v>
      </c>
      <c r="V2" s="118">
        <f t="array" ref="V2:V71">_xll.qlPiecewiseYieldCurveData(YieldCurve_3M,Trigger)</f>
        <v>-1.0138892832213192E-3</v>
      </c>
    </row>
    <row r="3" spans="1:22" ht="11.25" customHeight="1" x14ac:dyDescent="0.2">
      <c r="A3" s="94" t="s">
        <v>46</v>
      </c>
      <c r="B3" s="94" t="str">
        <f t="array" ref="B3:B18">_xll.ohFilter(PastedValue!E2:E62,PastedValue!A2:A62="Dp")</f>
        <v>O/N</v>
      </c>
      <c r="C3" s="95" t="str">
        <f>IF(LEFT(B3,1)="#",(_xll.qlCalendarBusinessDaysBetween(Calendar,Settlementdate,DATE(RIGHT(LEFT(B3,5),4),LEFT(RIGHT(B3,4),2),RIGHT(B3,2)),,TRUE,Trigger)-1)&amp;"D",B3)</f>
        <v>O/N</v>
      </c>
      <c r="D3" s="96">
        <f>IF(C3="O/N",0,IF(C3="T/N",1,2))</f>
        <v>0</v>
      </c>
      <c r="E3" s="97" t="str">
        <f>IF(OR(RIGHT(C3,1)="M",RIGHT(C3,1)="D"),"Modified Following","Following")</f>
        <v>Following</v>
      </c>
      <c r="F3" s="98" t="str">
        <f>IF(OR(RIGHT(C3,1)="M",RIGHT(C3,1)="D"),"TRUE","FALSE")</f>
        <v>FALSE</v>
      </c>
      <c r="G3" s="96" t="s">
        <v>50</v>
      </c>
      <c r="H3" s="100">
        <f t="array" ref="H3:H18">_xll.ohFilter(PastedValue!H2:H62,PastedValue!A2:A62="Dp")/100</f>
        <v>-9.9999900000000011E-4</v>
      </c>
      <c r="I3" s="101" t="str">
        <f>_xll.qlDepositRateHelper2(,H3,IF(RIGHT(C3,1)="N","1D",C3),D3,Calendar,E3,F3,G3,,Trigger)</f>
        <v>obj_00949#0013</v>
      </c>
      <c r="J3" s="96" t="b">
        <f>IF(ISNUMBER(H3),TRUE,FALSE)</f>
        <v>1</v>
      </c>
      <c r="K3" s="80"/>
      <c r="L3" s="25" t="str">
        <f>A3</f>
        <v>Dp</v>
      </c>
      <c r="M3" s="25" t="str">
        <f>C3</f>
        <v>O/N</v>
      </c>
      <c r="N3" s="14" t="str">
        <f>I3</f>
        <v>obj_00949#0013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obj_00949#0013</v>
      </c>
      <c r="S3" s="21">
        <f>_xll.qlRateHelperQuoteValue(R3,Trigger)</f>
        <v>-9.9999900000000011E-4</v>
      </c>
      <c r="T3" s="15">
        <f>_xll.qlRateHelperEarliestDate(R3,Trigger)</f>
        <v>42143</v>
      </c>
      <c r="U3" s="15">
        <f>_xll.qlRateHelperLatestDate(R3,Trigger)</f>
        <v>42144</v>
      </c>
      <c r="V3" s="119">
        <v>-1.0138892832213192E-3</v>
      </c>
    </row>
    <row r="4" spans="1:22" ht="11.25" customHeight="1" x14ac:dyDescent="0.2">
      <c r="A4" s="102" t="s">
        <v>46</v>
      </c>
      <c r="B4" s="102" t="str">
        <v>T/N</v>
      </c>
      <c r="C4" s="103" t="str">
        <f>IF(LEFT(B4,1)="#",(_xll.qlCalendarBusinessDaysBetween(Calendar,Settlementdate,DATE(RIGHT(LEFT(B4,5),4),LEFT(RIGHT(B4,4),2),RIGHT(B4,2)),,TRUE,Trigger)-1)&amp;"D",B4)</f>
        <v>T/N</v>
      </c>
      <c r="D4" s="104">
        <f t="shared" ref="D4:D18" si="0">IF(C4="O/N",0,IF(C4="T/N",1,2))</f>
        <v>1</v>
      </c>
      <c r="E4" s="105" t="str">
        <f t="shared" ref="E4:E18" si="1">IF(OR(RIGHT(C4,1)="M",RIGHT(C4,1)="D"),"Modified Following","Following")</f>
        <v>Following</v>
      </c>
      <c r="F4" s="106" t="str">
        <f t="shared" ref="F4:F18" si="2">IF(OR(RIGHT(C4,1)="M",RIGHT(C4,1)="D"),"TRUE","FALSE")</f>
        <v>FALSE</v>
      </c>
      <c r="G4" s="104" t="s">
        <v>50</v>
      </c>
      <c r="H4" s="108">
        <v>-1E-3</v>
      </c>
      <c r="I4" s="109" t="str">
        <f>_xll.qlDepositRateHelper2(,H4,IF(RIGHT(C4,1)="N","1D",C4),D4,Calendar,E4,F4,G4,,Trigger)</f>
        <v>obj_00945#0013</v>
      </c>
      <c r="J4" s="104" t="b">
        <f t="shared" ref="J4:J18" si="3">IF(ISNUMBER(H4),TRUE,FALSE)</f>
        <v>1</v>
      </c>
      <c r="K4" s="77"/>
      <c r="L4" s="25" t="str">
        <f>A4</f>
        <v>Dp</v>
      </c>
      <c r="M4" s="25" t="str">
        <f>C4</f>
        <v>T/N</v>
      </c>
      <c r="N4" s="14" t="str">
        <f>I4</f>
        <v>obj_00945#0013</v>
      </c>
      <c r="O4" s="14" t="b">
        <f>J4</f>
        <v>1</v>
      </c>
      <c r="P4" s="14" t="str">
        <v>Dp</v>
      </c>
      <c r="Q4" s="14" t="str">
        <v>T/N</v>
      </c>
      <c r="R4" s="14" t="str">
        <v>obj_00945#0013</v>
      </c>
      <c r="S4" s="21">
        <f>_xll.qlRateHelperQuoteValue(R4,Trigger)</f>
        <v>-1E-3</v>
      </c>
      <c r="T4" s="15">
        <f>_xll.qlRateHelperEarliestDate(R4,Trigger)</f>
        <v>42144</v>
      </c>
      <c r="U4" s="15">
        <f>_xll.qlRateHelperLatestDate(R4,Trigger)</f>
        <v>42145</v>
      </c>
      <c r="V4" s="119">
        <v>-1.0138897901325011E-3</v>
      </c>
    </row>
    <row r="5" spans="1:22" ht="11.25" customHeight="1" x14ac:dyDescent="0.2">
      <c r="A5" s="102" t="s">
        <v>46</v>
      </c>
      <c r="B5" s="102" t="str">
        <v>S/N</v>
      </c>
      <c r="C5" s="103" t="str">
        <f>IF(LEFT(B5,1)="#",(_xll.qlCalendarBusinessDaysBetween(Calendar,Settlementdate,DATE(RIGHT(LEFT(B5,5),4),LEFT(RIGHT(B5,4),2),RIGHT(B5,2)),,TRUE,Trigger)-1)&amp;"D",B5)</f>
        <v>S/N</v>
      </c>
      <c r="D5" s="104">
        <f t="shared" si="0"/>
        <v>2</v>
      </c>
      <c r="E5" s="105" t="str">
        <f t="shared" si="1"/>
        <v>Following</v>
      </c>
      <c r="F5" s="106" t="str">
        <f t="shared" si="2"/>
        <v>FALSE</v>
      </c>
      <c r="G5" s="104" t="s">
        <v>50</v>
      </c>
      <c r="H5" s="108">
        <v>8.2000000000000001E-5</v>
      </c>
      <c r="I5" s="109" t="str">
        <f>_xll.qlDepositRateHelper2(,H5,IF(RIGHT(C5,1)="N","1D",C5),D5,Calendar,E5,F5,G5,,Trigger)</f>
        <v>obj_00951#0013</v>
      </c>
      <c r="J5" s="104" t="b">
        <f t="shared" si="3"/>
        <v>1</v>
      </c>
      <c r="K5" s="77"/>
      <c r="L5" s="25" t="str">
        <f>A5</f>
        <v>Dp</v>
      </c>
      <c r="M5" s="25" t="str">
        <f>C5</f>
        <v>S/N</v>
      </c>
      <c r="N5" s="14" t="str">
        <f>I5</f>
        <v>obj_00951#0013</v>
      </c>
      <c r="O5" s="14" t="b">
        <f>J5</f>
        <v>1</v>
      </c>
      <c r="P5" s="14" t="str">
        <v>Dp</v>
      </c>
      <c r="Q5" s="14" t="str">
        <v>S/N</v>
      </c>
      <c r="R5" s="14" t="str">
        <v>obj_00951#0013</v>
      </c>
      <c r="S5" s="21">
        <f>_xll.qlRateHelperQuoteValue(R5,Trigger)</f>
        <v>8.2000000000000001E-5</v>
      </c>
      <c r="T5" s="15">
        <f>_xll.qlRateHelperEarliestDate(R5,Trigger)</f>
        <v>42145</v>
      </c>
      <c r="U5" s="15">
        <f>_xll.qlRateHelperLatestDate(R5,Trigger)</f>
        <v>42146</v>
      </c>
      <c r="V5" s="119">
        <v>-6.4821356693124514E-4</v>
      </c>
    </row>
    <row r="6" spans="1:22" ht="11.25" customHeight="1" x14ac:dyDescent="0.2">
      <c r="A6" s="102" t="s">
        <v>46</v>
      </c>
      <c r="B6" s="102" t="str">
        <v>1W</v>
      </c>
      <c r="C6" s="103" t="str">
        <f>IF(LEFT(B6,1)="#",(_xll.qlCalendarBusinessDaysBetween(Calendar,Settlementdate,DATE(RIGHT(LEFT(B6,5),4),LEFT(RIGHT(B6,4),2),RIGHT(B6,2)),,TRUE,Trigger)-1)&amp;"D",B6)</f>
        <v>1W</v>
      </c>
      <c r="D6" s="104">
        <f t="shared" si="0"/>
        <v>2</v>
      </c>
      <c r="E6" s="105" t="str">
        <f t="shared" si="1"/>
        <v>Following</v>
      </c>
      <c r="F6" s="106" t="str">
        <f t="shared" si="2"/>
        <v>FALSE</v>
      </c>
      <c r="G6" s="104" t="s">
        <v>50</v>
      </c>
      <c r="H6" s="108">
        <v>9.2E-5</v>
      </c>
      <c r="I6" s="109" t="str">
        <f>_xll.qlDepositRateHelper2(,H6,IF(RIGHT(C6,1)="N","1D",C6),D6,Calendar,E6,F6,G6,,Trigger)</f>
        <v>obj_0094f#0013</v>
      </c>
      <c r="J6" s="104" t="b">
        <f t="shared" si="3"/>
        <v>1</v>
      </c>
      <c r="K6" s="77"/>
      <c r="L6" s="25" t="str">
        <f>A6</f>
        <v>Dp</v>
      </c>
      <c r="M6" s="25" t="str">
        <f>C6</f>
        <v>1W</v>
      </c>
      <c r="N6" s="14" t="str">
        <f>I6</f>
        <v>obj_0094f#0013</v>
      </c>
      <c r="O6" s="14" t="b">
        <f>J6</f>
        <v>1</v>
      </c>
      <c r="P6" s="14" t="str">
        <v>Dp</v>
      </c>
      <c r="Q6" s="14" t="str">
        <v>1W</v>
      </c>
      <c r="R6" s="14" t="str">
        <v>obj_0094f#0013</v>
      </c>
      <c r="S6" s="21">
        <f>_xll.qlRateHelperQuoteValue(R6,Trigger)</f>
        <v>9.2E-5</v>
      </c>
      <c r="T6" s="15">
        <f>_xll.qlRateHelperEarliestDate(R6,Trigger)</f>
        <v>42145</v>
      </c>
      <c r="U6" s="15">
        <f>_xll.qlRateHelperLatestDate(R6,Trigger)</f>
        <v>42152</v>
      </c>
      <c r="V6" s="119">
        <v>-1.5275952442147329E-4</v>
      </c>
    </row>
    <row r="7" spans="1:22" ht="11.25" customHeight="1" x14ac:dyDescent="0.2">
      <c r="A7" s="102" t="s">
        <v>46</v>
      </c>
      <c r="B7" s="102" t="str">
        <v>2W</v>
      </c>
      <c r="C7" s="103" t="str">
        <f>IF(LEFT(B7,1)="#",(_xll.qlCalendarBusinessDaysBetween(Calendar,Settlementdate,DATE(RIGHT(LEFT(B7,5),4),LEFT(RIGHT(B7,4),2),RIGHT(B7,2)),,TRUE,Trigger)-1)&amp;"D",B7)</f>
        <v>2W</v>
      </c>
      <c r="D7" s="104">
        <f t="shared" si="0"/>
        <v>2</v>
      </c>
      <c r="E7" s="105" t="str">
        <f t="shared" si="1"/>
        <v>Following</v>
      </c>
      <c r="F7" s="106" t="str">
        <f t="shared" si="2"/>
        <v>FALSE</v>
      </c>
      <c r="G7" s="104" t="s">
        <v>50</v>
      </c>
      <c r="H7" s="108">
        <v>-1.01E-4</v>
      </c>
      <c r="I7" s="109" t="str">
        <f>_xll.qlDepositRateHelper2(,H7,IF(RIGHT(C7,1)="N","1D",C7),D7,Calendar,E7,F7,G7,,Trigger)</f>
        <v>obj_00950#0013</v>
      </c>
      <c r="J7" s="104" t="b">
        <f t="shared" si="3"/>
        <v>1</v>
      </c>
      <c r="K7" s="77"/>
      <c r="L7" s="25" t="str">
        <f>A7</f>
        <v>Dp</v>
      </c>
      <c r="M7" s="25" t="str">
        <f>C7</f>
        <v>2W</v>
      </c>
      <c r="N7" s="14" t="str">
        <f>I7</f>
        <v>obj_00950#0013</v>
      </c>
      <c r="O7" s="14" t="b">
        <f>J7</f>
        <v>1</v>
      </c>
      <c r="P7" s="14" t="str">
        <v>Dp</v>
      </c>
      <c r="Q7" s="14" t="str">
        <v>2W</v>
      </c>
      <c r="R7" s="14" t="str">
        <v>obj_00950#0013</v>
      </c>
      <c r="S7" s="21">
        <f>_xll.qlRateHelperQuoteValue(R7,Trigger)</f>
        <v>-1.01E-4</v>
      </c>
      <c r="T7" s="15">
        <f>_xll.qlRateHelperEarliestDate(R7,Trigger)</f>
        <v>42145</v>
      </c>
      <c r="U7" s="15">
        <f>_xll.qlRateHelperLatestDate(R7,Trigger)</f>
        <v>42159</v>
      </c>
      <c r="V7" s="119">
        <v>-2.1633883028784496E-4</v>
      </c>
    </row>
    <row r="8" spans="1:22" ht="11.25" customHeight="1" x14ac:dyDescent="0.2">
      <c r="A8" s="102" t="s">
        <v>46</v>
      </c>
      <c r="B8" s="102" t="str">
        <v>3W</v>
      </c>
      <c r="C8" s="103" t="str">
        <f>IF(LEFT(B8,1)="#",(_xll.qlCalendarBusinessDaysBetween(Calendar,Settlementdate,DATE(RIGHT(LEFT(B8,5),4),LEFT(RIGHT(B8,4),2),RIGHT(B8,2)),,TRUE,Trigger)-1)&amp;"D",B8)</f>
        <v>3W</v>
      </c>
      <c r="D8" s="104">
        <f t="shared" si="0"/>
        <v>2</v>
      </c>
      <c r="E8" s="105" t="str">
        <f t="shared" si="1"/>
        <v>Following</v>
      </c>
      <c r="F8" s="106" t="str">
        <f t="shared" si="2"/>
        <v>FALSE</v>
      </c>
      <c r="G8" s="104" t="s">
        <v>50</v>
      </c>
      <c r="H8" s="108">
        <v>-2.0100000000000001E-4</v>
      </c>
      <c r="I8" s="109" t="str">
        <f>_xll.qlDepositRateHelper2(,H8,IF(RIGHT(C8,1)="N","1D",C8),D8,Calendar,E8,F8,G8,,Trigger)</f>
        <v>obj_00946#0013</v>
      </c>
      <c r="J8" s="104" t="b">
        <f t="shared" si="3"/>
        <v>1</v>
      </c>
      <c r="K8" s="77"/>
      <c r="L8" s="25" t="str">
        <f>A8</f>
        <v>Dp</v>
      </c>
      <c r="M8" s="25" t="str">
        <f>C8</f>
        <v>3W</v>
      </c>
      <c r="N8" s="14" t="str">
        <f>I8</f>
        <v>obj_00946#0013</v>
      </c>
      <c r="O8" s="14" t="b">
        <f>J8</f>
        <v>1</v>
      </c>
      <c r="P8" s="14" t="str">
        <v>Dp</v>
      </c>
      <c r="Q8" s="14" t="str">
        <v>3W</v>
      </c>
      <c r="R8" s="14" t="str">
        <v>obj_00946#0013</v>
      </c>
      <c r="S8" s="21">
        <f>_xll.qlRateHelperQuoteValue(R8,Trigger)</f>
        <v>-2.0100000000000001E-4</v>
      </c>
      <c r="T8" s="15">
        <f>_xll.qlRateHelperEarliestDate(R8,Trigger)</f>
        <v>42145</v>
      </c>
      <c r="U8" s="15">
        <f>_xll.qlRateHelperLatestDate(R8,Trigger)</f>
        <v>42166</v>
      </c>
      <c r="V8" s="119">
        <v>-2.7423607259696904E-4</v>
      </c>
    </row>
    <row r="9" spans="1:22" ht="11.25" customHeight="1" x14ac:dyDescent="0.2">
      <c r="A9" s="102" t="s">
        <v>46</v>
      </c>
      <c r="B9" s="102" t="str">
        <v>1M</v>
      </c>
      <c r="C9" s="103" t="str">
        <f>IF(LEFT(B9,1)="#",(_xll.qlCalendarBusinessDaysBetween(Calendar,Settlementdate,DATE(RIGHT(LEFT(B9,5),4),LEFT(RIGHT(B9,4),2),RIGHT(B9,2)),,TRUE,Trigger)-1)&amp;"D",B9)</f>
        <v>1M</v>
      </c>
      <c r="D9" s="104">
        <f t="shared" si="0"/>
        <v>2</v>
      </c>
      <c r="E9" s="105" t="str">
        <f t="shared" si="1"/>
        <v>Modified Following</v>
      </c>
      <c r="F9" s="106" t="str">
        <f t="shared" si="2"/>
        <v>TRUE</v>
      </c>
      <c r="G9" s="104" t="s">
        <v>50</v>
      </c>
      <c r="H9" s="108">
        <v>-3.5099999999999997E-4</v>
      </c>
      <c r="I9" s="109" t="str">
        <f>_xll.qlDepositRateHelper2(,H9,IF(RIGHT(C9,1)="N","1D",C9),D9,Calendar,E9,F9,G9,,Trigger)</f>
        <v>obj_00944#0013</v>
      </c>
      <c r="J9" s="104" t="b">
        <f t="shared" si="3"/>
        <v>1</v>
      </c>
      <c r="K9" s="77"/>
      <c r="L9" s="25" t="str">
        <f>A9</f>
        <v>Dp</v>
      </c>
      <c r="M9" s="25" t="str">
        <f>C9</f>
        <v>1M</v>
      </c>
      <c r="N9" s="14" t="str">
        <f>I9</f>
        <v>obj_00944#0013</v>
      </c>
      <c r="O9" s="14" t="b">
        <f>J9</f>
        <v>1</v>
      </c>
      <c r="P9" s="14" t="str">
        <v>Dp</v>
      </c>
      <c r="Q9" s="14" t="str">
        <v>1M</v>
      </c>
      <c r="R9" s="14" t="str">
        <v>obj_00944#0013</v>
      </c>
      <c r="S9" s="21">
        <f>_xll.qlRateHelperQuoteValue(R9,Trigger)</f>
        <v>-3.5099999999999997E-4</v>
      </c>
      <c r="T9" s="15">
        <f>_xll.qlRateHelperEarliestDate(R9,Trigger)</f>
        <v>42145</v>
      </c>
      <c r="U9" s="15">
        <f>_xll.qlRateHelperLatestDate(R9,Trigger)</f>
        <v>42177</v>
      </c>
      <c r="V9" s="119">
        <v>-3.9458697755063353E-4</v>
      </c>
    </row>
    <row r="10" spans="1:22" ht="11.25" customHeight="1" x14ac:dyDescent="0.2">
      <c r="A10" s="102" t="s">
        <v>46</v>
      </c>
      <c r="B10" s="102" t="str">
        <v>2M</v>
      </c>
      <c r="C10" s="103" t="str">
        <f>IF(LEFT(B10,1)="#",(_xll.qlCalendarBusinessDaysBetween(Calendar,Settlementdate,DATE(RIGHT(LEFT(B10,5),4),LEFT(RIGHT(B10,4),2),RIGHT(B10,2)),,TRUE,Trigger)-1)&amp;"D",B10)</f>
        <v>2M</v>
      </c>
      <c r="D10" s="104">
        <f t="shared" si="0"/>
        <v>2</v>
      </c>
      <c r="E10" s="105" t="str">
        <f t="shared" si="1"/>
        <v>Modified Following</v>
      </c>
      <c r="F10" s="106" t="str">
        <f t="shared" si="2"/>
        <v>TRUE</v>
      </c>
      <c r="G10" s="104" t="s">
        <v>50</v>
      </c>
      <c r="H10" s="108">
        <v>-2.2100000000000001E-4</v>
      </c>
      <c r="I10" s="109" t="str">
        <f>_xll.qlDepositRateHelper2(,H10,IF(RIGHT(C10,1)="N","1D",C10),D10,Calendar,E10,F10,G10,,Trigger)</f>
        <v>obj_00943#0013</v>
      </c>
      <c r="J10" s="104" t="b">
        <f t="shared" si="3"/>
        <v>1</v>
      </c>
      <c r="K10" s="77"/>
      <c r="L10" s="25" t="str">
        <f>A10</f>
        <v>Dp</v>
      </c>
      <c r="M10" s="25" t="str">
        <f>C10</f>
        <v>2M</v>
      </c>
      <c r="N10" s="14" t="str">
        <f>I10</f>
        <v>obj_00943#0013</v>
      </c>
      <c r="O10" s="14" t="b">
        <f>J10</f>
        <v>1</v>
      </c>
      <c r="P10" s="14" t="str">
        <v>Dp</v>
      </c>
      <c r="Q10" s="14" t="str">
        <v>2M</v>
      </c>
      <c r="R10" s="14" t="str">
        <v>obj_00943#0013</v>
      </c>
      <c r="S10" s="21">
        <f>_xll.qlRateHelperQuoteValue(R10,Trigger)</f>
        <v>-2.2100000000000001E-4</v>
      </c>
      <c r="T10" s="15">
        <f>_xll.qlRateHelperEarliestDate(R10,Trigger)</f>
        <v>42145</v>
      </c>
      <c r="U10" s="15">
        <f>_xll.qlRateHelperLatestDate(R10,Trigger)</f>
        <v>42206</v>
      </c>
      <c r="V10" s="119">
        <v>-2.4914716851649505E-4</v>
      </c>
    </row>
    <row r="11" spans="1:22" ht="11.25" customHeight="1" x14ac:dyDescent="0.2">
      <c r="A11" s="102" t="s">
        <v>46</v>
      </c>
      <c r="B11" s="102" t="str">
        <v>3M</v>
      </c>
      <c r="C11" s="103" t="str">
        <f>IF(LEFT(B11,1)="#",(_xll.qlCalendarBusinessDaysBetween(Calendar,Settlementdate,DATE(RIGHT(LEFT(B11,5),4),LEFT(RIGHT(B11,4),2),RIGHT(B11,2)),,TRUE,Trigger)-1)&amp;"D",B11)</f>
        <v>3M</v>
      </c>
      <c r="D11" s="104">
        <f t="shared" si="0"/>
        <v>2</v>
      </c>
      <c r="E11" s="105" t="str">
        <f t="shared" si="1"/>
        <v>Modified Following</v>
      </c>
      <c r="F11" s="106" t="str">
        <f t="shared" si="2"/>
        <v>TRUE</v>
      </c>
      <c r="G11" s="104" t="s">
        <v>50</v>
      </c>
      <c r="H11" s="108">
        <v>-1.7699999999999999E-4</v>
      </c>
      <c r="I11" s="109" t="str">
        <f>_xll.qlDepositRateHelper2(,H11,IF(RIGHT(C11,1)="N","1D",C11),D11,Calendar,E11,F11,G11,,Trigger)</f>
        <v>obj_0094d#0013</v>
      </c>
      <c r="J11" s="104" t="b">
        <f t="shared" si="3"/>
        <v>1</v>
      </c>
      <c r="K11" s="77"/>
      <c r="L11" s="25" t="str">
        <f>A11</f>
        <v>Dp</v>
      </c>
      <c r="M11" s="25" t="str">
        <f>C11</f>
        <v>3M</v>
      </c>
      <c r="N11" s="14" t="str">
        <f>I11</f>
        <v>obj_0094d#0013</v>
      </c>
      <c r="O11" s="14" t="b">
        <f>J11</f>
        <v>1</v>
      </c>
      <c r="P11" s="14" t="str">
        <v>Dp</v>
      </c>
      <c r="Q11" s="14" t="str">
        <v>3M</v>
      </c>
      <c r="R11" s="14" t="str">
        <v>obj_0094d#0013</v>
      </c>
      <c r="S11" s="21">
        <f>_xll.qlRateHelperQuoteValue(R11,Trigger)</f>
        <v>-1.7699999999999999E-4</v>
      </c>
      <c r="T11" s="15">
        <f>_xll.qlRateHelperEarliestDate(R11,Trigger)</f>
        <v>42145</v>
      </c>
      <c r="U11" s="15">
        <f>_xll.qlRateHelperLatestDate(R11,Trigger)</f>
        <v>42237</v>
      </c>
      <c r="V11" s="119">
        <v>-1.9721616662904948E-4</v>
      </c>
    </row>
    <row r="12" spans="1:22" ht="11.25" customHeight="1" x14ac:dyDescent="0.2">
      <c r="A12" s="102" t="s">
        <v>46</v>
      </c>
      <c r="B12" s="102" t="str">
        <v>4M</v>
      </c>
      <c r="C12" s="103" t="str">
        <f>IF(LEFT(B12,1)="#",(_xll.qlCalendarBusinessDaysBetween(Calendar,Settlementdate,DATE(RIGHT(LEFT(B12,5),4),LEFT(RIGHT(B12,4),2),RIGHT(B12,2)),,TRUE,Trigger)-1)&amp;"D",B12)</f>
        <v>4M</v>
      </c>
      <c r="D12" s="104">
        <f t="shared" si="0"/>
        <v>2</v>
      </c>
      <c r="E12" s="105" t="str">
        <f t="shared" si="1"/>
        <v>Modified Following</v>
      </c>
      <c r="F12" s="106" t="str">
        <f t="shared" si="2"/>
        <v>TRUE</v>
      </c>
      <c r="G12" s="104" t="s">
        <v>50</v>
      </c>
      <c r="H12" s="108">
        <v>-1.46E-4</v>
      </c>
      <c r="I12" s="109" t="str">
        <f>_xll.qlDepositRateHelper2(,H12,IF(RIGHT(C12,1)="N","1D",C12),D12,Calendar,E12,F12,G12,,Trigger)</f>
        <v>obj_00948#0013</v>
      </c>
      <c r="J12" s="104" t="b">
        <f t="shared" si="3"/>
        <v>1</v>
      </c>
      <c r="K12" s="77"/>
      <c r="L12" s="25" t="str">
        <f>A12</f>
        <v>Dp</v>
      </c>
      <c r="M12" s="25" t="str">
        <f>C12</f>
        <v>4M</v>
      </c>
      <c r="N12" s="14" t="str">
        <f>I12</f>
        <v>obj_00948#0013</v>
      </c>
      <c r="O12" s="14" t="b">
        <f>J12</f>
        <v>1</v>
      </c>
      <c r="P12" s="14" t="str">
        <v>Dp</v>
      </c>
      <c r="Q12" s="14" t="str">
        <v>4M</v>
      </c>
      <c r="R12" s="14" t="str">
        <v>obj_00948#0013</v>
      </c>
      <c r="S12" s="21">
        <f>_xll.qlRateHelperQuoteValue(R12,Trigger)</f>
        <v>-1.46E-4</v>
      </c>
      <c r="T12" s="15">
        <f>_xll.qlRateHelperEarliestDate(R12,Trigger)</f>
        <v>42145</v>
      </c>
      <c r="U12" s="15">
        <f>_xll.qlRateHelperLatestDate(R12,Trigger)</f>
        <v>42268</v>
      </c>
      <c r="V12" s="119">
        <v>-1.6188520308262728E-4</v>
      </c>
    </row>
    <row r="13" spans="1:22" ht="11.25" customHeight="1" x14ac:dyDescent="0.2">
      <c r="A13" s="102" t="s">
        <v>46</v>
      </c>
      <c r="B13" s="102" t="str">
        <v>5M</v>
      </c>
      <c r="C13" s="103" t="str">
        <f>IF(LEFT(B13,1)="#",(_xll.qlCalendarBusinessDaysBetween(Calendar,Settlementdate,DATE(RIGHT(LEFT(B13,5),4),LEFT(RIGHT(B13,4),2),RIGHT(B13,2)),,TRUE,Trigger)-1)&amp;"D",B13)</f>
        <v>5M</v>
      </c>
      <c r="D13" s="104">
        <f t="shared" si="0"/>
        <v>2</v>
      </c>
      <c r="E13" s="105" t="str">
        <f t="shared" si="1"/>
        <v>Modified Following</v>
      </c>
      <c r="F13" s="106" t="str">
        <f t="shared" si="2"/>
        <v>TRUE</v>
      </c>
      <c r="G13" s="104" t="s">
        <v>50</v>
      </c>
      <c r="H13" s="108">
        <v>-1.15E-4</v>
      </c>
      <c r="I13" s="109" t="str">
        <f>_xll.qlDepositRateHelper2(,H13,IF(RIGHT(C13,1)="N","1D",C13),D13,Calendar,E13,F13,G13,,Trigger)</f>
        <v>obj_00947#0013</v>
      </c>
      <c r="J13" s="104" t="b">
        <f t="shared" si="3"/>
        <v>1</v>
      </c>
      <c r="K13" s="77"/>
      <c r="L13" s="25" t="str">
        <f>A13</f>
        <v>Dp</v>
      </c>
      <c r="M13" s="25" t="str">
        <f>C13</f>
        <v>5M</v>
      </c>
      <c r="N13" s="14" t="str">
        <f>I13</f>
        <v>obj_00947#0013</v>
      </c>
      <c r="O13" s="14" t="b">
        <f>J13</f>
        <v>1</v>
      </c>
      <c r="P13" s="14" t="str">
        <v>Dp</v>
      </c>
      <c r="Q13" s="14" t="str">
        <v>5M</v>
      </c>
      <c r="R13" s="14" t="str">
        <v>obj_00947#0013</v>
      </c>
      <c r="S13" s="21">
        <f>_xll.qlRateHelperQuoteValue(R13,Trigger)</f>
        <v>-1.15E-4</v>
      </c>
      <c r="T13" s="15">
        <f>_xll.qlRateHelperEarliestDate(R13,Trigger)</f>
        <v>42145</v>
      </c>
      <c r="U13" s="15">
        <f>_xll.qlRateHelperLatestDate(R13,Trigger)</f>
        <v>42298</v>
      </c>
      <c r="V13" s="119">
        <v>-1.2817800352236776E-4</v>
      </c>
    </row>
    <row r="14" spans="1:22" ht="11.25" customHeight="1" x14ac:dyDescent="0.2">
      <c r="A14" s="102" t="s">
        <v>46</v>
      </c>
      <c r="B14" s="102" t="str">
        <v>6M</v>
      </c>
      <c r="C14" s="103" t="str">
        <f>IF(LEFT(B14,1)="#",(_xll.qlCalendarBusinessDaysBetween(Calendar,Settlementdate,DATE(RIGHT(LEFT(B14,5),4),LEFT(RIGHT(B14,4),2),RIGHT(B14,2)),,TRUE,Trigger)-1)&amp;"D",B14)</f>
        <v>6M</v>
      </c>
      <c r="D14" s="104">
        <f t="shared" si="0"/>
        <v>2</v>
      </c>
      <c r="E14" s="105" t="str">
        <f t="shared" si="1"/>
        <v>Modified Following</v>
      </c>
      <c r="F14" s="106" t="str">
        <f t="shared" si="2"/>
        <v>TRUE</v>
      </c>
      <c r="G14" s="104" t="s">
        <v>50</v>
      </c>
      <c r="H14" s="108">
        <v>-1.03E-4</v>
      </c>
      <c r="I14" s="109" t="str">
        <f>_xll.qlDepositRateHelper2(,H14,IF(RIGHT(C14,1)="N","1D",C14),D14,Calendar,E14,F14,G14,,Trigger)</f>
        <v>obj_0094b#0013</v>
      </c>
      <c r="J14" s="104" t="b">
        <f t="shared" si="3"/>
        <v>1</v>
      </c>
      <c r="K14" s="77"/>
      <c r="L14" s="25" t="str">
        <f>A14</f>
        <v>Dp</v>
      </c>
      <c r="M14" s="25" t="str">
        <f>C14</f>
        <v>6M</v>
      </c>
      <c r="N14" s="14" t="str">
        <f>I14</f>
        <v>obj_0094b#0013</v>
      </c>
      <c r="O14" s="14" t="b">
        <f>J14</f>
        <v>1</v>
      </c>
      <c r="P14" s="14" t="str">
        <v>Dp</v>
      </c>
      <c r="Q14" s="14" t="str">
        <v>6M</v>
      </c>
      <c r="R14" s="14" t="str">
        <v>obj_0094b#0013</v>
      </c>
      <c r="S14" s="21">
        <f>_xll.qlRateHelperQuoteValue(R14,Trigger)</f>
        <v>-1.03E-4</v>
      </c>
      <c r="T14" s="15">
        <f>_xll.qlRateHelperEarliestDate(R14,Trigger)</f>
        <v>42145</v>
      </c>
      <c r="U14" s="15">
        <f>_xll.qlRateHelperLatestDate(R14,Trigger)</f>
        <v>42331</v>
      </c>
      <c r="V14" s="119">
        <v>-1.1410840305523432E-4</v>
      </c>
    </row>
    <row r="15" spans="1:22" ht="11.25" customHeight="1" x14ac:dyDescent="0.2">
      <c r="A15" s="102" t="s">
        <v>46</v>
      </c>
      <c r="B15" s="102" t="str">
        <v>#20151216</v>
      </c>
      <c r="C15" s="103" t="str">
        <f>IF(LEFT(B15,1)="#",(_xll.qlCalendarBusinessDaysBetween(Calendar,Settlementdate,DATE(RIGHT(LEFT(B15,5),4),LEFT(RIGHT(B15,4),2),RIGHT(B15,2)),,TRUE,Trigger)-1)&amp;"D",B15)</f>
        <v>149D</v>
      </c>
      <c r="D15" s="104">
        <f t="shared" si="0"/>
        <v>2</v>
      </c>
      <c r="E15" s="105" t="str">
        <f t="shared" si="1"/>
        <v>Modified Following</v>
      </c>
      <c r="F15" s="106" t="str">
        <f t="shared" si="2"/>
        <v>TRUE</v>
      </c>
      <c r="G15" s="104" t="s">
        <v>50</v>
      </c>
      <c r="H15" s="108">
        <v>-1.0177399999999999E-4</v>
      </c>
      <c r="I15" s="109" t="str">
        <f>_xll.qlDepositRateHelper2(,H15,IF(RIGHT(C15,1)="N","1D",C15),D15,Calendar,E15,F15,G15,,Trigger)</f>
        <v>obj_00957#0013</v>
      </c>
      <c r="J15" s="104" t="b">
        <f t="shared" si="3"/>
        <v>1</v>
      </c>
      <c r="K15" s="77"/>
      <c r="L15" s="25" t="str">
        <f>A15</f>
        <v>Dp</v>
      </c>
      <c r="M15" s="25" t="str">
        <f>C15</f>
        <v>149D</v>
      </c>
      <c r="N15" s="14" t="str">
        <f>I15</f>
        <v>obj_00957#0013</v>
      </c>
      <c r="O15" s="14" t="b">
        <f>J15</f>
        <v>1</v>
      </c>
      <c r="P15" s="14" t="str">
        <v>Dp</v>
      </c>
      <c r="Q15" s="14" t="str">
        <v>149D</v>
      </c>
      <c r="R15" s="14" t="str">
        <v>obj_00957#0013</v>
      </c>
      <c r="S15" s="21">
        <f>_xll.qlRateHelperQuoteValue(R15,Trigger)</f>
        <v>-1.0177399999999999E-4</v>
      </c>
      <c r="T15" s="15">
        <f>_xll.qlRateHelperEarliestDate(R15,Trigger)</f>
        <v>42145</v>
      </c>
      <c r="U15" s="15">
        <f>_xll.qlRateHelperLatestDate(R15,Trigger)</f>
        <v>42354</v>
      </c>
      <c r="V15" s="119">
        <v>-1.1182279637489032E-4</v>
      </c>
    </row>
    <row r="16" spans="1:22" ht="11.25" customHeight="1" x14ac:dyDescent="0.2">
      <c r="A16" s="102" t="s">
        <v>46</v>
      </c>
      <c r="B16" s="102" t="e">
        <v>#N/A</v>
      </c>
      <c r="C16" s="103" t="e">
        <f>IF(LEFT(B16,1)="#",(_xll.qlCalendarBusinessDaysBetween(Calendar,Settlementdate,DATE(RIGHT(LEFT(B16,5),4),LEFT(RIGHT(B16,4),2),RIGHT(B16,2)),,TRUE,Trigger)-1)&amp;"D",B16)</f>
        <v>#N/A</v>
      </c>
      <c r="D16" s="104" t="e">
        <f t="shared" si="0"/>
        <v>#N/A</v>
      </c>
      <c r="E16" s="105" t="e">
        <f t="shared" si="1"/>
        <v>#N/A</v>
      </c>
      <c r="F16" s="106" t="e">
        <f t="shared" si="2"/>
        <v>#N/A</v>
      </c>
      <c r="G16" s="104" t="s">
        <v>50</v>
      </c>
      <c r="H16" s="108" t="e">
        <v>#N/A</v>
      </c>
      <c r="I16" s="109" t="e">
        <f>_xll.qlDepositRateHelper2(,H16,IF(RIGHT(C16,1)="N","1D",C16),D16,Calendar,E16,F16,G16,,Trigger)</f>
        <v>#VALUE!</v>
      </c>
      <c r="J16" s="104" t="b">
        <f t="shared" si="3"/>
        <v>0</v>
      </c>
      <c r="K16" s="77"/>
      <c r="L16" s="25" t="str">
        <f>A16</f>
        <v>Dp</v>
      </c>
      <c r="M16" s="25" t="e">
        <f>C16</f>
        <v>#N/A</v>
      </c>
      <c r="N16" s="14" t="e">
        <f>I16</f>
        <v>#VALUE!</v>
      </c>
      <c r="O16" s="14" t="b">
        <f>J16</f>
        <v>0</v>
      </c>
      <c r="P16" s="14" t="str">
        <v>Sf</v>
      </c>
      <c r="Q16" s="14" t="str">
        <v>Z5</v>
      </c>
      <c r="R16" s="14" t="str">
        <v>obj_00812#0019</v>
      </c>
      <c r="S16" s="21">
        <f>_xll.qlRateHelperQuoteValue(R16,Trigger)</f>
        <v>99.986999999999995</v>
      </c>
      <c r="T16" s="15">
        <f>_xll.qlRateHelperEarliestDate(R16,Trigger)</f>
        <v>42354</v>
      </c>
      <c r="U16" s="15">
        <f>_xll.qlRateHelperLatestDate(R16,Trigger)</f>
        <v>42445</v>
      </c>
      <c r="V16" s="119">
        <v>-3.8412256785305195E-5</v>
      </c>
    </row>
    <row r="17" spans="1:22" ht="11.25" customHeight="1" x14ac:dyDescent="0.2">
      <c r="A17" s="102" t="s">
        <v>46</v>
      </c>
      <c r="B17" s="102" t="e">
        <v>#N/A</v>
      </c>
      <c r="C17" s="103" t="e">
        <f>IF(LEFT(B17,1)="#",(_xll.qlCalendarBusinessDaysBetween(Calendar,Settlementdate,DATE(RIGHT(LEFT(B17,5),4),LEFT(RIGHT(B17,4),2),RIGHT(B17,2)),,TRUE,Trigger)-1)&amp;"D",B17)</f>
        <v>#N/A</v>
      </c>
      <c r="D17" s="104" t="e">
        <f t="shared" si="0"/>
        <v>#N/A</v>
      </c>
      <c r="E17" s="105" t="e">
        <f t="shared" si="1"/>
        <v>#N/A</v>
      </c>
      <c r="F17" s="106" t="e">
        <f t="shared" si="2"/>
        <v>#N/A</v>
      </c>
      <c r="G17" s="104" t="s">
        <v>50</v>
      </c>
      <c r="H17" s="108" t="e">
        <v>#N/A</v>
      </c>
      <c r="I17" s="109" t="e">
        <f>_xll.qlDepositRateHelper2(,H17,IF(RIGHT(C17,1)="N","1D",C17),D17,Calendar,E17,F17,G17,,Trigger)</f>
        <v>#VALUE!</v>
      </c>
      <c r="J17" s="104" t="b">
        <f t="shared" si="3"/>
        <v>0</v>
      </c>
      <c r="K17" s="77"/>
      <c r="L17" s="25" t="str">
        <f>A17</f>
        <v>Dp</v>
      </c>
      <c r="M17" s="25" t="e">
        <f>C17</f>
        <v>#N/A</v>
      </c>
      <c r="N17" s="14" t="e">
        <f>I17</f>
        <v>#VALUE!</v>
      </c>
      <c r="O17" s="14" t="b">
        <f>J17</f>
        <v>0</v>
      </c>
      <c r="P17" s="14" t="str">
        <v>Sf</v>
      </c>
      <c r="Q17" s="14" t="str">
        <v>H6</v>
      </c>
      <c r="R17" s="14" t="str">
        <v>obj_00811#0019</v>
      </c>
      <c r="S17" s="21">
        <f>_xll.qlRateHelperQuoteValue(R17,Trigger)</f>
        <v>99.977000000000004</v>
      </c>
      <c r="T17" s="15">
        <f>_xll.qlRateHelperEarliestDate(R17,Trigger)</f>
        <v>42445</v>
      </c>
      <c r="U17" s="15">
        <f>_xll.qlRateHelperLatestDate(R17,Trigger)</f>
        <v>42537</v>
      </c>
      <c r="V17" s="119">
        <v>2.5006997102655997E-5</v>
      </c>
    </row>
    <row r="18" spans="1:22" ht="11.25" customHeight="1" x14ac:dyDescent="0.2">
      <c r="A18" s="4" t="s">
        <v>46</v>
      </c>
      <c r="B18" s="4" t="e">
        <v>#N/A</v>
      </c>
      <c r="C18" s="22" t="e">
        <f>IF(LEFT(B18,1)="#",(_xll.qlCalendarBusinessDaysBetween(Calendar,Settlementdate,DATE(RIGHT(LEFT(B18,5),4),LEFT(RIGHT(B18,4),2),RIGHT(B18,2)),,TRUE,Trigger)-1)&amp;"D",B18)</f>
        <v>#N/A</v>
      </c>
      <c r="D18" s="19" t="e">
        <f t="shared" si="0"/>
        <v>#N/A</v>
      </c>
      <c r="E18" s="20" t="e">
        <f t="shared" si="1"/>
        <v>#N/A</v>
      </c>
      <c r="F18" s="23" t="e">
        <f t="shared" si="2"/>
        <v>#N/A</v>
      </c>
      <c r="G18" s="19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3"/>
        <v>0</v>
      </c>
      <c r="K18" s="77"/>
      <c r="L18" s="26" t="str">
        <f>A18</f>
        <v>Dp</v>
      </c>
      <c r="M18" s="26" t="e">
        <f>C18</f>
        <v>#N/A</v>
      </c>
      <c r="N18" s="16" t="e">
        <f>I18</f>
        <v>#VALUE!</v>
      </c>
      <c r="O18" s="16" t="b">
        <f>J18</f>
        <v>0</v>
      </c>
      <c r="P18" s="14" t="str">
        <v>Sf</v>
      </c>
      <c r="Q18" s="14" t="str">
        <v>M6</v>
      </c>
      <c r="R18" s="14" t="str">
        <v>obj_00810#0019</v>
      </c>
      <c r="S18" s="21">
        <f>_xll.qlRateHelperQuoteValue(R18,Trigger)</f>
        <v>99.962500000000006</v>
      </c>
      <c r="T18" s="15">
        <f>_xll.qlRateHelperEarliestDate(R18,Trigger)</f>
        <v>42536</v>
      </c>
      <c r="U18" s="15">
        <f>_xll.qlRateHelperLatestDate(R18,Trigger)</f>
        <v>42628</v>
      </c>
      <c r="V18" s="119">
        <v>9.1823360910379021E-5</v>
      </c>
    </row>
    <row r="19" spans="1:22" ht="11.25" customHeight="1" x14ac:dyDescent="0.2">
      <c r="A19" s="85"/>
      <c r="B19" s="85"/>
      <c r="C19" s="86"/>
      <c r="D19" s="87"/>
      <c r="E19" s="88"/>
      <c r="F19" s="85"/>
      <c r="G19" s="89"/>
      <c r="J19" s="82"/>
      <c r="K19" s="77"/>
      <c r="L19" s="25" t="str">
        <f>A21</f>
        <v>Sf</v>
      </c>
      <c r="M19" s="25" t="str">
        <f>D21</f>
        <v>Z5</v>
      </c>
      <c r="N19" s="25" t="str">
        <f>I21</f>
        <v>obj_00812#0019</v>
      </c>
      <c r="O19" s="14" t="b">
        <f>J21</f>
        <v>1</v>
      </c>
      <c r="P19" s="14" t="str">
        <v>Sf</v>
      </c>
      <c r="Q19" s="14" t="str">
        <v>U6</v>
      </c>
      <c r="R19" s="14" t="str">
        <v>obj_00824#0019</v>
      </c>
      <c r="S19" s="21">
        <f>_xll.qlRateHelperQuoteValue(R19,Trigger)</f>
        <v>99.9375</v>
      </c>
      <c r="T19" s="15">
        <f>_xll.qlRateHelperEarliestDate(R19,Trigger)</f>
        <v>42634</v>
      </c>
      <c r="U19" s="15">
        <f>_xll.qlRateHelperLatestDate(R19,Trigger)</f>
        <v>42725</v>
      </c>
      <c r="V19" s="119">
        <v>1.8120311078151084E-4</v>
      </c>
    </row>
    <row r="20" spans="1:22" ht="11.25" customHeight="1" x14ac:dyDescent="0.2">
      <c r="A20" s="110" t="s">
        <v>18</v>
      </c>
      <c r="B20" s="110" t="s">
        <v>35</v>
      </c>
      <c r="C20" s="110" t="s">
        <v>35</v>
      </c>
      <c r="D20" s="110" t="s">
        <v>195</v>
      </c>
      <c r="E20" s="110" t="s">
        <v>13</v>
      </c>
      <c r="F20" s="110" t="s">
        <v>9</v>
      </c>
      <c r="G20" s="110" t="s">
        <v>5</v>
      </c>
      <c r="H20" s="110" t="s">
        <v>10</v>
      </c>
      <c r="I20" s="110" t="s">
        <v>43</v>
      </c>
      <c r="J20" s="110" t="s">
        <v>47</v>
      </c>
      <c r="K20" s="77"/>
      <c r="L20" s="25" t="str">
        <f>A22</f>
        <v>Sf</v>
      </c>
      <c r="M20" s="25" t="str">
        <f>D22</f>
        <v>H6</v>
      </c>
      <c r="N20" s="25" t="str">
        <f>I22</f>
        <v>obj_00811#0019</v>
      </c>
      <c r="O20" s="14" t="b">
        <f>J22</f>
        <v>1</v>
      </c>
      <c r="P20" s="14" t="str">
        <v>Sf</v>
      </c>
      <c r="Q20" s="14" t="str">
        <v>Z6</v>
      </c>
      <c r="R20" s="14" t="str">
        <v>obj_0081e#0019</v>
      </c>
      <c r="S20" s="21">
        <f>_xll.qlRateHelperQuoteValue(R20,Trigger)</f>
        <v>99.897750000000002</v>
      </c>
      <c r="T20" s="15">
        <f>_xll.qlRateHelperEarliestDate(R20,Trigger)</f>
        <v>42725</v>
      </c>
      <c r="U20" s="15">
        <f>_xll.qlRateHelperLatestDate(R20,Trigger)</f>
        <v>42815</v>
      </c>
      <c r="V20" s="119">
        <v>2.9576103005248097E-4</v>
      </c>
    </row>
    <row r="21" spans="1:22" ht="11.25" customHeight="1" x14ac:dyDescent="0.2">
      <c r="A21" s="122" t="s">
        <v>44</v>
      </c>
      <c r="B21" s="123">
        <f t="shared" ref="B21:B28" si="4">DATE(2000+RIGHT(C21,2),RIGHT(LEFT(C21,5),2),LEFT(C21,2))</f>
        <v>57903</v>
      </c>
      <c r="C21" s="150">
        <f t="array" ref="C21:C28">_xll.ohFilter(PastedValue!B2:B62,PastedValue!A2:A62="Sf")</f>
        <v>42354</v>
      </c>
      <c r="D21" s="124" t="str">
        <f>_xll.qlIMMcode(C21)</f>
        <v>Z5</v>
      </c>
      <c r="E21" s="97" t="s">
        <v>15</v>
      </c>
      <c r="F21" s="125" t="s">
        <v>53</v>
      </c>
      <c r="G21" s="126">
        <f t="array" ref="G21:G28">_xll.ohFilter(PastedValue!H2:H62,PastedValue!A2:A62="Sf")</f>
        <v>99.986999999999995</v>
      </c>
      <c r="H21" s="127">
        <v>0</v>
      </c>
      <c r="I21" s="128" t="str">
        <f>_xll.qlFuturesRateHelper(,$G21,"IMM",$D21,$F21,$H21,Permanent,Trigger,ObjectOverwrite)</f>
        <v>obj_00812#0019</v>
      </c>
      <c r="J21" s="96" t="b">
        <f>IF(ISNUMBER(G21),TRUE,FALSE)</f>
        <v>1</v>
      </c>
      <c r="K21" s="77"/>
      <c r="L21" s="25" t="str">
        <f>A23</f>
        <v>Sf</v>
      </c>
      <c r="M21" s="25" t="str">
        <f>D23</f>
        <v>M6</v>
      </c>
      <c r="N21" s="25" t="str">
        <f>I23</f>
        <v>obj_00810#0019</v>
      </c>
      <c r="O21" s="14" t="b">
        <f>J23</f>
        <v>1</v>
      </c>
      <c r="P21" s="14" t="str">
        <v>Sf</v>
      </c>
      <c r="Q21" s="14" t="str">
        <v>H7</v>
      </c>
      <c r="R21" s="14" t="str">
        <v>obj_0081b#0019</v>
      </c>
      <c r="S21" s="21">
        <f>_xll.qlRateHelperQuoteValue(R21,Trigger)</f>
        <v>99.859250000000003</v>
      </c>
      <c r="T21" s="15">
        <f>_xll.qlRateHelperEarliestDate(R21,Trigger)</f>
        <v>42809</v>
      </c>
      <c r="U21" s="15">
        <f>_xll.qlRateHelperLatestDate(R21,Trigger)</f>
        <v>42901</v>
      </c>
      <c r="V21" s="119">
        <v>4.2632630661208092E-4</v>
      </c>
    </row>
    <row r="22" spans="1:22" ht="11.25" customHeight="1" x14ac:dyDescent="0.2">
      <c r="A22" s="129" t="s">
        <v>44</v>
      </c>
      <c r="B22" s="130">
        <f t="shared" si="4"/>
        <v>54343</v>
      </c>
      <c r="C22" s="151">
        <v>42445</v>
      </c>
      <c r="D22" s="131" t="str">
        <f>_xll.qlIMMcode(C22)</f>
        <v>H6</v>
      </c>
      <c r="E22" s="105" t="s">
        <v>15</v>
      </c>
      <c r="F22" s="132" t="s">
        <v>53</v>
      </c>
      <c r="G22" s="133">
        <v>99.977000000000004</v>
      </c>
      <c r="H22" s="134">
        <v>0</v>
      </c>
      <c r="I22" s="135" t="str">
        <f>_xll.qlFuturesRateHelper(,$G22,"IMM",$D22,$F22,$H22,Permanent,Trigger,ObjectOverwrite)</f>
        <v>obj_00811#0019</v>
      </c>
      <c r="J22" s="104" t="b">
        <f t="shared" ref="J22:J28" si="5">IF(ISNUMBER(G22),TRUE,FALSE)</f>
        <v>1</v>
      </c>
      <c r="K22" s="77"/>
      <c r="L22" s="25" t="str">
        <f>A24</f>
        <v>Sf</v>
      </c>
      <c r="M22" s="25" t="str">
        <f>D24</f>
        <v>U6</v>
      </c>
      <c r="N22" s="25" t="str">
        <f>I24</f>
        <v>obj_00824#0019</v>
      </c>
      <c r="O22" s="14" t="b">
        <f>J24</f>
        <v>1</v>
      </c>
      <c r="P22" s="14" t="str">
        <v>Sw</v>
      </c>
      <c r="Q22" s="14" t="str">
        <v>3Y</v>
      </c>
      <c r="R22" s="14" t="str">
        <v>obj_008ff#0015</v>
      </c>
      <c r="S22" s="21">
        <f>_xll.qlRateHelperQuoteValue(R22,Trigger)</f>
        <v>1.14E-3</v>
      </c>
      <c r="T22" s="15">
        <f>_xll.qlRateHelperEarliestDate(R22,Trigger)</f>
        <v>42145</v>
      </c>
      <c r="U22" s="15">
        <f>_xll.qlRateHelperLatestDate(R22,Trigger)</f>
        <v>43241</v>
      </c>
      <c r="V22" s="119">
        <v>1.1345999181964588E-3</v>
      </c>
    </row>
    <row r="23" spans="1:22" ht="11.25" customHeight="1" x14ac:dyDescent="0.2">
      <c r="A23" s="129" t="s">
        <v>44</v>
      </c>
      <c r="B23" s="130">
        <f t="shared" si="4"/>
        <v>50781</v>
      </c>
      <c r="C23" s="151">
        <v>42536</v>
      </c>
      <c r="D23" s="131" t="str">
        <f>_xll.qlIMMcode(C23)</f>
        <v>M6</v>
      </c>
      <c r="E23" s="105" t="s">
        <v>15</v>
      </c>
      <c r="F23" s="132" t="s">
        <v>53</v>
      </c>
      <c r="G23" s="133">
        <v>99.962500000000006</v>
      </c>
      <c r="H23" s="134">
        <v>0</v>
      </c>
      <c r="I23" s="135" t="str">
        <f>_xll.qlFuturesRateHelper(,$G23,"IMM",$D23,$F23,$H23,Permanent,Trigger,ObjectOverwrite)</f>
        <v>obj_00810#0019</v>
      </c>
      <c r="J23" s="104" t="b">
        <f t="shared" si="5"/>
        <v>1</v>
      </c>
      <c r="K23" s="77"/>
      <c r="L23" s="25" t="str">
        <f>A25</f>
        <v>Sf</v>
      </c>
      <c r="M23" s="25" t="str">
        <f>D25</f>
        <v>Z6</v>
      </c>
      <c r="N23" s="25" t="str">
        <f>I25</f>
        <v>obj_0081e#0019</v>
      </c>
      <c r="O23" s="14" t="b">
        <f>J25</f>
        <v>1</v>
      </c>
      <c r="P23" s="14" t="str">
        <v>Sw</v>
      </c>
      <c r="Q23" s="14" t="str">
        <v>4Y</v>
      </c>
      <c r="R23" s="14" t="str">
        <v>obj_008d9#0016</v>
      </c>
      <c r="S23" s="21">
        <f>_xll.qlRateHelperQuoteValue(R23,Trigger)</f>
        <v>2.0899999999999998E-3</v>
      </c>
      <c r="T23" s="15">
        <f>_xll.qlRateHelperEarliestDate(R23,Trigger)</f>
        <v>42145</v>
      </c>
      <c r="U23" s="15">
        <f>_xll.qlRateHelperLatestDate(R23,Trigger)</f>
        <v>43606</v>
      </c>
      <c r="V23" s="119">
        <v>2.0843079031171389E-3</v>
      </c>
    </row>
    <row r="24" spans="1:22" ht="11.25" customHeight="1" x14ac:dyDescent="0.2">
      <c r="A24" s="129" t="s">
        <v>44</v>
      </c>
      <c r="B24" s="130">
        <f t="shared" si="4"/>
        <v>49990</v>
      </c>
      <c r="C24" s="151">
        <v>42634</v>
      </c>
      <c r="D24" s="131" t="str">
        <f>_xll.qlIMMcode(C24)</f>
        <v>U6</v>
      </c>
      <c r="E24" s="105" t="s">
        <v>15</v>
      </c>
      <c r="F24" s="132" t="s">
        <v>53</v>
      </c>
      <c r="G24" s="133">
        <v>99.9375</v>
      </c>
      <c r="H24" s="134">
        <v>0</v>
      </c>
      <c r="I24" s="135" t="str">
        <f>_xll.qlFuturesRateHelper(,$G24,"IMM",$D24,$F24,$H24,Permanent,Trigger,ObjectOverwrite)</f>
        <v>obj_00824#0019</v>
      </c>
      <c r="J24" s="104" t="b">
        <f t="shared" si="5"/>
        <v>1</v>
      </c>
      <c r="K24" s="77"/>
      <c r="L24" s="25" t="str">
        <f>A26</f>
        <v>Sf</v>
      </c>
      <c r="M24" s="25" t="str">
        <f>D26</f>
        <v>H7</v>
      </c>
      <c r="N24" s="25" t="str">
        <f>I26</f>
        <v>obj_0081b#0019</v>
      </c>
      <c r="O24" s="14" t="b">
        <f>J26</f>
        <v>1</v>
      </c>
      <c r="P24" s="14" t="str">
        <v>Sw</v>
      </c>
      <c r="Q24" s="14" t="str">
        <v>5Y</v>
      </c>
      <c r="R24" s="14" t="str">
        <v>obj_0090c#0015</v>
      </c>
      <c r="S24" s="21">
        <f>_xll.qlRateHelperQuoteValue(R24,Trigger)</f>
        <v>3.2200000000000002E-3</v>
      </c>
      <c r="T24" s="15">
        <f>_xll.qlRateHelperEarliestDate(R24,Trigger)</f>
        <v>42145</v>
      </c>
      <c r="U24" s="15">
        <f>_xll.qlRateHelperLatestDate(R24,Trigger)</f>
        <v>43972</v>
      </c>
      <c r="V24" s="119">
        <v>3.2148633864235738E-3</v>
      </c>
    </row>
    <row r="25" spans="1:22" ht="11.25" customHeight="1" x14ac:dyDescent="0.2">
      <c r="A25" s="129" t="s">
        <v>44</v>
      </c>
      <c r="B25" s="130">
        <f t="shared" si="4"/>
        <v>46429</v>
      </c>
      <c r="C25" s="151">
        <v>42725</v>
      </c>
      <c r="D25" s="131" t="str">
        <f>_xll.qlIMMcode(C25)</f>
        <v>Z6</v>
      </c>
      <c r="E25" s="105" t="s">
        <v>15</v>
      </c>
      <c r="F25" s="132" t="s">
        <v>53</v>
      </c>
      <c r="G25" s="133">
        <v>99.897750000000002</v>
      </c>
      <c r="H25" s="134">
        <v>0</v>
      </c>
      <c r="I25" s="135" t="str">
        <f>_xll.qlFuturesRateHelper(,$G25,"IMM",$D25,$F25,$H25,Permanent,Trigger,ObjectOverwrite)</f>
        <v>obj_0081e#0019</v>
      </c>
      <c r="J25" s="104" t="b">
        <f t="shared" si="5"/>
        <v>1</v>
      </c>
      <c r="K25" s="77"/>
      <c r="L25" s="25" t="str">
        <f>A27</f>
        <v>Sf</v>
      </c>
      <c r="M25" s="25" t="e">
        <f>D27</f>
        <v>#NUM!</v>
      </c>
      <c r="N25" s="25" t="e">
        <f>I27</f>
        <v>#NUM!</v>
      </c>
      <c r="O25" s="14" t="b">
        <f>J27</f>
        <v>0</v>
      </c>
      <c r="P25" s="14" t="str">
        <v>Sw</v>
      </c>
      <c r="Q25" s="14" t="str">
        <v>6Y</v>
      </c>
      <c r="R25" s="14" t="str">
        <v>obj_00911#0015</v>
      </c>
      <c r="S25" s="21">
        <f>_xll.qlRateHelperQuoteValue(R25,Trigger)</f>
        <v>4.4200000000000003E-3</v>
      </c>
      <c r="T25" s="15">
        <f>_xll.qlRateHelperEarliestDate(R25,Trigger)</f>
        <v>42145</v>
      </c>
      <c r="U25" s="15">
        <f>_xll.qlRateHelperLatestDate(R25,Trigger)</f>
        <v>44337</v>
      </c>
      <c r="V25" s="119">
        <v>4.4216391547135768E-3</v>
      </c>
    </row>
    <row r="26" spans="1:22" ht="11.25" customHeight="1" x14ac:dyDescent="0.2">
      <c r="A26" s="129" t="s">
        <v>44</v>
      </c>
      <c r="B26" s="130">
        <f t="shared" si="4"/>
        <v>40098</v>
      </c>
      <c r="C26" s="151">
        <v>42809</v>
      </c>
      <c r="D26" s="131" t="str">
        <f>_xll.qlIMMcode(C26)</f>
        <v>H7</v>
      </c>
      <c r="E26" s="105" t="s">
        <v>15</v>
      </c>
      <c r="F26" s="132" t="s">
        <v>53</v>
      </c>
      <c r="G26" s="133">
        <v>99.859250000000003</v>
      </c>
      <c r="H26" s="134">
        <v>0</v>
      </c>
      <c r="I26" s="135" t="str">
        <f>_xll.qlFuturesRateHelper(,$G26,"IMM",$D26,$F26,$H26,Permanent,Trigger,ObjectOverwrite)</f>
        <v>obj_0081b#0019</v>
      </c>
      <c r="J26" s="104" t="b">
        <f t="shared" si="5"/>
        <v>1</v>
      </c>
      <c r="K26" s="77"/>
      <c r="L26" s="26" t="str">
        <f>A28</f>
        <v>Sf</v>
      </c>
      <c r="M26" s="26" t="e">
        <f>D28</f>
        <v>#NUM!</v>
      </c>
      <c r="N26" s="26" t="e">
        <f>I28</f>
        <v>#NUM!</v>
      </c>
      <c r="O26" s="16" t="b">
        <f>J28</f>
        <v>0</v>
      </c>
      <c r="P26" s="14" t="str">
        <v>Sw</v>
      </c>
      <c r="Q26" s="14" t="str">
        <v>7Y</v>
      </c>
      <c r="R26" s="14" t="str">
        <v>obj_008d2#0016</v>
      </c>
      <c r="S26" s="21">
        <f>_xll.qlRateHelperQuoteValue(R26,Trigger)</f>
        <v>5.6299999999999996E-3</v>
      </c>
      <c r="T26" s="15">
        <f>_xll.qlRateHelperEarliestDate(R26,Trigger)</f>
        <v>42145</v>
      </c>
      <c r="U26" s="15">
        <f>_xll.qlRateHelperLatestDate(R26,Trigger)</f>
        <v>44704</v>
      </c>
      <c r="V26" s="119">
        <v>5.6446746777926628E-3</v>
      </c>
    </row>
    <row r="27" spans="1:22" ht="11.25" customHeight="1" x14ac:dyDescent="0.2">
      <c r="A27" s="129" t="s">
        <v>44</v>
      </c>
      <c r="B27" s="130" t="e">
        <f t="shared" si="4"/>
        <v>#N/A</v>
      </c>
      <c r="C27" s="151" t="e">
        <v>#N/A</v>
      </c>
      <c r="D27" s="131" t="e">
        <f>_xll.qlIMMcode(C27)</f>
        <v>#NUM!</v>
      </c>
      <c r="E27" s="105" t="s">
        <v>15</v>
      </c>
      <c r="F27" s="132" t="s">
        <v>53</v>
      </c>
      <c r="G27" s="133" t="e">
        <v>#N/A</v>
      </c>
      <c r="H27" s="134">
        <v>0</v>
      </c>
      <c r="I27" s="135" t="e">
        <f>_xll.qlFuturesRateHelper(,$G27,"IMM",$D27,$F27,$H27,Permanent,Trigger,ObjectOverwrite)</f>
        <v>#NUM!</v>
      </c>
      <c r="J27" s="104" t="b">
        <f t="shared" si="5"/>
        <v>0</v>
      </c>
      <c r="K27" s="77"/>
      <c r="L27" s="25" t="str">
        <f>A32</f>
        <v>Sw</v>
      </c>
      <c r="M27" s="25" t="str">
        <f>D32</f>
        <v>3Y</v>
      </c>
      <c r="N27" s="25" t="str">
        <f>I32</f>
        <v>obj_008ff#0015</v>
      </c>
      <c r="O27" s="25" t="b">
        <f>J32</f>
        <v>1</v>
      </c>
      <c r="P27" s="14" t="str">
        <v>Sw</v>
      </c>
      <c r="Q27" s="14" t="str">
        <v>8Y</v>
      </c>
      <c r="R27" s="14" t="str">
        <v>obj_0091b#0015</v>
      </c>
      <c r="S27" s="21">
        <f>_xll.qlRateHelperQuoteValue(R27,Trigger)</f>
        <v>6.7600000000000004E-3</v>
      </c>
      <c r="T27" s="15">
        <f>_xll.qlRateHelperEarliestDate(R27,Trigger)</f>
        <v>42145</v>
      </c>
      <c r="U27" s="15">
        <f>_xll.qlRateHelperLatestDate(R27,Trigger)</f>
        <v>45068</v>
      </c>
      <c r="V27" s="119">
        <v>6.7932670419683632E-3</v>
      </c>
    </row>
    <row r="28" spans="1:22" ht="11.25" customHeight="1" x14ac:dyDescent="0.2">
      <c r="A28" s="24" t="s">
        <v>44</v>
      </c>
      <c r="B28" s="10" t="e">
        <f t="shared" si="4"/>
        <v>#N/A</v>
      </c>
      <c r="C28" s="152" t="e">
        <v>#N/A</v>
      </c>
      <c r="D28" s="9" t="e">
        <f>_xll.qlIMMcode(C28)</f>
        <v>#NUM!</v>
      </c>
      <c r="E28" s="20" t="s">
        <v>15</v>
      </c>
      <c r="F28" s="3" t="s">
        <v>53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9" t="b">
        <f t="shared" si="5"/>
        <v>0</v>
      </c>
      <c r="K28" s="77"/>
      <c r="L28" s="25" t="str">
        <f>A33</f>
        <v>Sw</v>
      </c>
      <c r="M28" s="25" t="str">
        <f>D33</f>
        <v>4Y</v>
      </c>
      <c r="N28" s="25" t="str">
        <f>I33</f>
        <v>obj_008d9#0016</v>
      </c>
      <c r="O28" s="25" t="b">
        <f>J33</f>
        <v>1</v>
      </c>
      <c r="P28" s="14" t="str">
        <v>Sw</v>
      </c>
      <c r="Q28" s="14" t="str">
        <v>9Y</v>
      </c>
      <c r="R28" s="14" t="str">
        <v>obj_008ce#0016</v>
      </c>
      <c r="S28" s="21">
        <f>_xll.qlRateHelperQuoteValue(R28,Trigger)</f>
        <v>7.77E-3</v>
      </c>
      <c r="T28" s="15">
        <f>_xll.qlRateHelperEarliestDate(R28,Trigger)</f>
        <v>42145</v>
      </c>
      <c r="U28" s="15">
        <f>_xll.qlRateHelperLatestDate(R28,Trigger)</f>
        <v>45433</v>
      </c>
      <c r="V28" s="119">
        <v>7.8232769293369777E-3</v>
      </c>
    </row>
    <row r="29" spans="1:22" ht="11.25" customHeight="1" x14ac:dyDescent="0.2">
      <c r="K29" s="77"/>
      <c r="L29" s="25" t="str">
        <f>A34</f>
        <v>Sw</v>
      </c>
      <c r="M29" s="25" t="str">
        <f>D34</f>
        <v>5Y</v>
      </c>
      <c r="N29" s="25" t="str">
        <f>I34</f>
        <v>obj_0090c#0015</v>
      </c>
      <c r="O29" s="25" t="b">
        <f>J34</f>
        <v>1</v>
      </c>
      <c r="P29" s="14" t="str">
        <v>Sw</v>
      </c>
      <c r="Q29" s="14" t="str">
        <v>10Y</v>
      </c>
      <c r="R29" s="14" t="str">
        <v>obj_008cf#0016</v>
      </c>
      <c r="S29" s="21">
        <f>_xll.qlRateHelperQuoteValue(R29,Trigger)</f>
        <v>8.6300000000000005E-3</v>
      </c>
      <c r="T29" s="15">
        <f>_xll.qlRateHelperEarliestDate(R29,Trigger)</f>
        <v>42145</v>
      </c>
      <c r="U29" s="15">
        <f>_xll.qlRateHelperLatestDate(R29,Trigger)</f>
        <v>45798</v>
      </c>
      <c r="V29" s="119">
        <v>8.706632663563401E-3</v>
      </c>
    </row>
    <row r="30" spans="1:22" ht="11.25" customHeight="1" x14ac:dyDescent="0.2">
      <c r="C30" s="74"/>
      <c r="D30" s="74"/>
      <c r="E30" s="74"/>
      <c r="G30" s="93" t="s">
        <v>0</v>
      </c>
      <c r="H30" s="110" t="s">
        <v>9</v>
      </c>
      <c r="I30" s="2" t="str">
        <f>_xll.qlEuribor(,G30,,,Trigger)</f>
        <v>obj_008cc#0014</v>
      </c>
      <c r="J30" s="74"/>
      <c r="K30" s="77"/>
      <c r="L30" s="25" t="str">
        <f>A35</f>
        <v>Sw</v>
      </c>
      <c r="M30" s="25" t="str">
        <f>D35</f>
        <v>6Y</v>
      </c>
      <c r="N30" s="25" t="str">
        <f>I35</f>
        <v>obj_00911#0015</v>
      </c>
      <c r="O30" s="25" t="b">
        <f>J35</f>
        <v>1</v>
      </c>
      <c r="P30" s="14" t="str">
        <v>Sw</v>
      </c>
      <c r="Q30" s="14" t="str">
        <v>11Y</v>
      </c>
      <c r="R30" s="14" t="str">
        <v>obj_008ec#0016</v>
      </c>
      <c r="S30" s="21">
        <f>_xll.qlRateHelperQuoteValue(R30,Trigger)</f>
        <v>9.4031549000000002E-3</v>
      </c>
      <c r="T30" s="15">
        <f>_xll.qlRateHelperEarliestDate(R30,Trigger)</f>
        <v>42145</v>
      </c>
      <c r="U30" s="15">
        <f>_xll.qlRateHelperLatestDate(R30,Trigger)</f>
        <v>46163</v>
      </c>
      <c r="V30" s="119">
        <v>9.5049987109379237E-3</v>
      </c>
    </row>
    <row r="31" spans="1:22" ht="11.25" customHeight="1" x14ac:dyDescent="0.2">
      <c r="A31" s="110" t="s">
        <v>18</v>
      </c>
      <c r="B31" s="110"/>
      <c r="C31" s="110" t="s">
        <v>11</v>
      </c>
      <c r="D31" s="110" t="s">
        <v>1</v>
      </c>
      <c r="E31" s="110" t="s">
        <v>13</v>
      </c>
      <c r="F31" s="110" t="s">
        <v>12</v>
      </c>
      <c r="G31" s="110" t="s">
        <v>4</v>
      </c>
      <c r="H31" s="110" t="s">
        <v>5</v>
      </c>
      <c r="I31" s="110" t="s">
        <v>43</v>
      </c>
      <c r="J31" s="110" t="s">
        <v>47</v>
      </c>
      <c r="K31" s="77"/>
      <c r="L31" s="25" t="str">
        <f>A36</f>
        <v>Sw</v>
      </c>
      <c r="M31" s="25" t="str">
        <f>D36</f>
        <v>7Y</v>
      </c>
      <c r="N31" s="25" t="str">
        <f>I36</f>
        <v>obj_008d2#0016</v>
      </c>
      <c r="O31" s="25" t="b">
        <f>J36</f>
        <v>1</v>
      </c>
      <c r="P31" s="14" t="str">
        <v>Sw</v>
      </c>
      <c r="Q31" s="14" t="str">
        <v>12Y</v>
      </c>
      <c r="R31" s="14" t="str">
        <v>obj_00905#0015</v>
      </c>
      <c r="S31" s="21">
        <f>_xll.qlRateHelperQuoteValue(R31,Trigger)</f>
        <v>1.0089999999999998E-2</v>
      </c>
      <c r="T31" s="15">
        <f>_xll.qlRateHelperEarliestDate(R31,Trigger)</f>
        <v>42145</v>
      </c>
      <c r="U31" s="15">
        <f>_xll.qlRateHelperLatestDate(R31,Trigger)</f>
        <v>46528</v>
      </c>
      <c r="V31" s="119">
        <v>1.0217779888486917E-2</v>
      </c>
    </row>
    <row r="32" spans="1:22" ht="11.25" customHeight="1" x14ac:dyDescent="0.2">
      <c r="A32" s="101" t="s">
        <v>45</v>
      </c>
      <c r="B32" s="136"/>
      <c r="C32" s="136" t="s">
        <v>14</v>
      </c>
      <c r="D32" s="137" t="str">
        <f t="array" ref="D32:D76">_xll.ohFilter(PastedValue!E2:E62,PastedValue!A2:A62="Sw")</f>
        <v>3Y</v>
      </c>
      <c r="E32" s="125" t="s">
        <v>15</v>
      </c>
      <c r="F32" s="136" t="s">
        <v>16</v>
      </c>
      <c r="G32" s="125" t="s">
        <v>17</v>
      </c>
      <c r="H32" s="138">
        <f t="array" ref="H32:H76">_xll.ohFilter(PastedValue!H2:H62,PastedValue!A2:A62="Sw")/100</f>
        <v>1.14E-3</v>
      </c>
      <c r="I32" s="99" t="str">
        <f>_xll.qlSwapRateHelper2(,$H32,,$D32,Calendar,$F32,$E32,$G32,$I$30,0,C32,Discounting,Permanent,Trigger,ObjectOverwrite)</f>
        <v>obj_008ff#0015</v>
      </c>
      <c r="J32" s="96" t="b">
        <f>IF(ISNUMBER(H32),TRUE,FALSE)</f>
        <v>1</v>
      </c>
      <c r="K32" s="77"/>
      <c r="L32" s="25" t="str">
        <f>A37</f>
        <v>Sw</v>
      </c>
      <c r="M32" s="25" t="str">
        <f>D37</f>
        <v>8Y</v>
      </c>
      <c r="N32" s="25" t="str">
        <f>I37</f>
        <v>obj_0091b#0015</v>
      </c>
      <c r="O32" s="25" t="b">
        <f>J37</f>
        <v>1</v>
      </c>
      <c r="P32" s="14" t="str">
        <v>Sw</v>
      </c>
      <c r="Q32" s="14" t="str">
        <v>13Y</v>
      </c>
      <c r="R32" s="14" t="str">
        <v>obj_00929#0015</v>
      </c>
      <c r="S32" s="21">
        <f>_xll.qlRateHelperQuoteValue(R32,Trigger)</f>
        <v>1.0686575030000001E-2</v>
      </c>
      <c r="T32" s="15">
        <f>_xll.qlRateHelperEarliestDate(R32,Trigger)</f>
        <v>42145</v>
      </c>
      <c r="U32" s="15">
        <f>_xll.qlRateHelperLatestDate(R32,Trigger)</f>
        <v>46895</v>
      </c>
      <c r="V32" s="119">
        <v>1.0837064416620062E-2</v>
      </c>
    </row>
    <row r="33" spans="1:22" ht="11.25" customHeight="1" x14ac:dyDescent="0.2">
      <c r="A33" s="109" t="s">
        <v>45</v>
      </c>
      <c r="B33" s="139"/>
      <c r="C33" s="139" t="s">
        <v>14</v>
      </c>
      <c r="D33" s="140" t="str">
        <v>4Y</v>
      </c>
      <c r="E33" s="132" t="s">
        <v>15</v>
      </c>
      <c r="F33" s="139" t="s">
        <v>16</v>
      </c>
      <c r="G33" s="132" t="s">
        <v>17</v>
      </c>
      <c r="H33" s="141">
        <v>2.0899999999999998E-3</v>
      </c>
      <c r="I33" s="107" t="str">
        <f>_xll.qlSwapRateHelper2(,$H33,,$D33,Calendar,$F33,$E33,$G33,$I$30,0,C33,Discounting,Permanent,Trigger,ObjectOverwrite)</f>
        <v>obj_008d9#0016</v>
      </c>
      <c r="J33" s="104" t="b">
        <f t="shared" ref="J33:J76" si="6">IF(ISNUMBER(H33),TRUE,FALSE)</f>
        <v>1</v>
      </c>
      <c r="L33" s="25" t="str">
        <f>A38</f>
        <v>Sw</v>
      </c>
      <c r="M33" s="25" t="str">
        <f>D38</f>
        <v>9Y</v>
      </c>
      <c r="N33" s="25" t="str">
        <f>I38</f>
        <v>obj_008ce#0016</v>
      </c>
      <c r="O33" s="25" t="b">
        <f>J38</f>
        <v>1</v>
      </c>
      <c r="P33" s="14" t="str">
        <v>Sw</v>
      </c>
      <c r="Q33" s="14" t="str">
        <v>14Y</v>
      </c>
      <c r="R33" s="14" t="str">
        <v>obj_00920#0015</v>
      </c>
      <c r="S33" s="21">
        <f>_xll.qlRateHelperQuoteValue(R33,Trigger)</f>
        <v>1.118677761E-2</v>
      </c>
      <c r="T33" s="15">
        <f>_xll.qlRateHelperEarliestDate(R33,Trigger)</f>
        <v>42145</v>
      </c>
      <c r="U33" s="15">
        <f>_xll.qlRateHelperLatestDate(R33,Trigger)</f>
        <v>47259</v>
      </c>
      <c r="V33" s="119">
        <v>1.135949866876162E-2</v>
      </c>
    </row>
    <row r="34" spans="1:22" ht="11.25" customHeight="1" x14ac:dyDescent="0.2">
      <c r="A34" s="109" t="s">
        <v>45</v>
      </c>
      <c r="B34" s="139"/>
      <c r="C34" s="139" t="s">
        <v>14</v>
      </c>
      <c r="D34" s="140" t="str">
        <v>5Y</v>
      </c>
      <c r="E34" s="132" t="s">
        <v>15</v>
      </c>
      <c r="F34" s="139" t="s">
        <v>16</v>
      </c>
      <c r="G34" s="132" t="s">
        <v>17</v>
      </c>
      <c r="H34" s="141">
        <v>3.2200000000000002E-3</v>
      </c>
      <c r="I34" s="107" t="str">
        <f>_xll.qlSwapRateHelper2(,$H34,,$D34,Calendar,$F34,$E34,$G34,$I$30,0,C34,Discounting,Permanent,Trigger,ObjectOverwrite)</f>
        <v>obj_0090c#0015</v>
      </c>
      <c r="J34" s="104" t="b">
        <f t="shared" si="6"/>
        <v>1</v>
      </c>
      <c r="L34" s="25" t="str">
        <f>A39</f>
        <v>Sw</v>
      </c>
      <c r="M34" s="25" t="str">
        <f>D39</f>
        <v>10Y</v>
      </c>
      <c r="N34" s="25" t="str">
        <f>I39</f>
        <v>obj_008cf#0016</v>
      </c>
      <c r="O34" s="25" t="b">
        <f>J39</f>
        <v>1</v>
      </c>
      <c r="P34" s="14" t="str">
        <v>Sw</v>
      </c>
      <c r="Q34" s="14" t="str">
        <v>15Y</v>
      </c>
      <c r="R34" s="14" t="str">
        <v>obj_008db#0016</v>
      </c>
      <c r="S34" s="21">
        <f>_xll.qlRateHelperQuoteValue(R34,Trigger)</f>
        <v>1.1610000000000001E-2</v>
      </c>
      <c r="T34" s="15">
        <f>_xll.qlRateHelperEarliestDate(R34,Trigger)</f>
        <v>42145</v>
      </c>
      <c r="U34" s="15">
        <f>_xll.qlRateHelperLatestDate(R34,Trigger)</f>
        <v>47624</v>
      </c>
      <c r="V34" s="119">
        <v>1.1802224167976317E-2</v>
      </c>
    </row>
    <row r="35" spans="1:22" ht="11.25" customHeight="1" x14ac:dyDescent="0.2">
      <c r="A35" s="109" t="s">
        <v>45</v>
      </c>
      <c r="B35" s="139"/>
      <c r="C35" s="139" t="s">
        <v>14</v>
      </c>
      <c r="D35" s="140" t="str">
        <v>6Y</v>
      </c>
      <c r="E35" s="132" t="s">
        <v>15</v>
      </c>
      <c r="F35" s="139" t="s">
        <v>16</v>
      </c>
      <c r="G35" s="132" t="s">
        <v>17</v>
      </c>
      <c r="H35" s="141">
        <v>4.4200000000000003E-3</v>
      </c>
      <c r="I35" s="107" t="str">
        <f>_xll.qlSwapRateHelper2(,$H35,,$D35,Calendar,$F35,$E35,$G35,$I$30,0,C35,Discounting,Permanent,Trigger,ObjectOverwrite)</f>
        <v>obj_00911#0015</v>
      </c>
      <c r="J35" s="104" t="b">
        <f t="shared" si="6"/>
        <v>1</v>
      </c>
      <c r="L35" s="25" t="str">
        <f>A40</f>
        <v>Sw</v>
      </c>
      <c r="M35" s="25" t="str">
        <f>D40</f>
        <v>11Y</v>
      </c>
      <c r="N35" s="25" t="str">
        <f>I40</f>
        <v>obj_008ec#0016</v>
      </c>
      <c r="O35" s="25" t="b">
        <f>J40</f>
        <v>1</v>
      </c>
      <c r="P35" s="14" t="str">
        <v>Sw</v>
      </c>
      <c r="Q35" s="14" t="str">
        <v>16Y</v>
      </c>
      <c r="R35" s="14" t="str">
        <v>obj_008d7#0016</v>
      </c>
      <c r="S35" s="21">
        <f>_xll.qlRateHelperQuoteValue(R35,Trigger)</f>
        <v>1.1965594459999999E-2</v>
      </c>
      <c r="T35" s="15">
        <f>_xll.qlRateHelperEarliestDate(R35,Trigger)</f>
        <v>42145</v>
      </c>
      <c r="U35" s="15">
        <f>_xll.qlRateHelperLatestDate(R35,Trigger)</f>
        <v>47989</v>
      </c>
      <c r="V35" s="119">
        <v>1.2174333662383024E-2</v>
      </c>
    </row>
    <row r="36" spans="1:22" ht="11.25" customHeight="1" x14ac:dyDescent="0.2">
      <c r="A36" s="109" t="s">
        <v>45</v>
      </c>
      <c r="B36" s="139"/>
      <c r="C36" s="139" t="s">
        <v>14</v>
      </c>
      <c r="D36" s="140" t="str">
        <v>7Y</v>
      </c>
      <c r="E36" s="132" t="s">
        <v>15</v>
      </c>
      <c r="F36" s="139" t="s">
        <v>16</v>
      </c>
      <c r="G36" s="132" t="s">
        <v>17</v>
      </c>
      <c r="H36" s="141">
        <v>5.6299999999999996E-3</v>
      </c>
      <c r="I36" s="107" t="str">
        <f>_xll.qlSwapRateHelper2(,$H36,,$D36,Calendar,$F36,$E36,$G36,$I$30,0,C36,Discounting,Permanent,Trigger,ObjectOverwrite)</f>
        <v>obj_008d2#0016</v>
      </c>
      <c r="J36" s="104" t="b">
        <f t="shared" si="6"/>
        <v>1</v>
      </c>
      <c r="L36" s="25" t="str">
        <f>A41</f>
        <v>Sw</v>
      </c>
      <c r="M36" s="25" t="str">
        <f>D41</f>
        <v>12Y</v>
      </c>
      <c r="N36" s="25" t="str">
        <f>I41</f>
        <v>obj_00905#0015</v>
      </c>
      <c r="O36" s="25" t="b">
        <f>J41</f>
        <v>1</v>
      </c>
      <c r="P36" s="14" t="str">
        <v>Sw</v>
      </c>
      <c r="Q36" s="14" t="str">
        <v>17Y</v>
      </c>
      <c r="R36" s="14" t="str">
        <v>obj_0090a#0015</v>
      </c>
      <c r="S36" s="21">
        <f>_xll.qlRateHelperQuoteValue(R36,Trigger)</f>
        <v>1.2263809569999999E-2</v>
      </c>
      <c r="T36" s="15">
        <f>_xll.qlRateHelperEarliestDate(R36,Trigger)</f>
        <v>42145</v>
      </c>
      <c r="U36" s="15">
        <f>_xll.qlRateHelperLatestDate(R36,Trigger)</f>
        <v>48355</v>
      </c>
      <c r="V36" s="119">
        <v>1.2484118152639254E-2</v>
      </c>
    </row>
    <row r="37" spans="1:22" ht="11.25" customHeight="1" x14ac:dyDescent="0.2">
      <c r="A37" s="109" t="s">
        <v>45</v>
      </c>
      <c r="B37" s="139"/>
      <c r="C37" s="139" t="s">
        <v>14</v>
      </c>
      <c r="D37" s="140" t="str">
        <v>8Y</v>
      </c>
      <c r="E37" s="132" t="s">
        <v>15</v>
      </c>
      <c r="F37" s="139" t="s">
        <v>16</v>
      </c>
      <c r="G37" s="132" t="s">
        <v>17</v>
      </c>
      <c r="H37" s="141">
        <v>6.7600000000000004E-3</v>
      </c>
      <c r="I37" s="107" t="str">
        <f>_xll.qlSwapRateHelper2(,$H37,,$D37,Calendar,$F37,$E37,$G37,$I$30,0,C37,Discounting,Permanent,Trigger,ObjectOverwrite)</f>
        <v>obj_0091b#0015</v>
      </c>
      <c r="J37" s="104" t="b">
        <f t="shared" si="6"/>
        <v>1</v>
      </c>
      <c r="L37" s="25" t="str">
        <f>A42</f>
        <v>Sw</v>
      </c>
      <c r="M37" s="25" t="str">
        <f>D42</f>
        <v>13Y</v>
      </c>
      <c r="N37" s="25" t="str">
        <f>I42</f>
        <v>obj_00929#0015</v>
      </c>
      <c r="O37" s="25" t="b">
        <f>J42</f>
        <v>1</v>
      </c>
      <c r="P37" s="14" t="str">
        <v>Sw</v>
      </c>
      <c r="Q37" s="14" t="str">
        <v>18Y</v>
      </c>
      <c r="R37" s="14" t="str">
        <v>obj_008d8#0016</v>
      </c>
      <c r="S37" s="21">
        <f>_xll.qlRateHelperQuoteValue(R37,Trigger)</f>
        <v>1.2507057699999999E-2</v>
      </c>
      <c r="T37" s="15">
        <f>_xll.qlRateHelperEarliestDate(R37,Trigger)</f>
        <v>42145</v>
      </c>
      <c r="U37" s="15">
        <f>_xll.qlRateHelperLatestDate(R37,Trigger)</f>
        <v>48722</v>
      </c>
      <c r="V37" s="119">
        <v>1.273744662975522E-2</v>
      </c>
    </row>
    <row r="38" spans="1:22" ht="11.25" customHeight="1" x14ac:dyDescent="0.2">
      <c r="A38" s="109" t="s">
        <v>45</v>
      </c>
      <c r="B38" s="139"/>
      <c r="C38" s="139" t="s">
        <v>14</v>
      </c>
      <c r="D38" s="140" t="str">
        <v>9Y</v>
      </c>
      <c r="E38" s="132" t="s">
        <v>15</v>
      </c>
      <c r="F38" s="139" t="s">
        <v>16</v>
      </c>
      <c r="G38" s="132" t="s">
        <v>17</v>
      </c>
      <c r="H38" s="141">
        <v>7.77E-3</v>
      </c>
      <c r="I38" s="107" t="str">
        <f>_xll.qlSwapRateHelper2(,$H38,,$D38,Calendar,$F38,$E38,$G38,$I$30,0,C38,Discounting,Permanent,Trigger,ObjectOverwrite)</f>
        <v>obj_008ce#0016</v>
      </c>
      <c r="J38" s="104" t="b">
        <f t="shared" si="6"/>
        <v>1</v>
      </c>
      <c r="L38" s="25" t="str">
        <f>A43</f>
        <v>Sw</v>
      </c>
      <c r="M38" s="25" t="str">
        <f>D43</f>
        <v>14Y</v>
      </c>
      <c r="N38" s="25" t="str">
        <f>I43</f>
        <v>obj_00920#0015</v>
      </c>
      <c r="O38" s="25" t="b">
        <f>J43</f>
        <v>1</v>
      </c>
      <c r="P38" s="14" t="str">
        <v>Sw</v>
      </c>
      <c r="Q38" s="14" t="str">
        <v>19Y</v>
      </c>
      <c r="R38" s="14" t="str">
        <v>obj_008f0#0016</v>
      </c>
      <c r="S38" s="21">
        <f>_xll.qlRateHelperQuoteValue(R38,Trigger)</f>
        <v>1.2705000840000001E-2</v>
      </c>
      <c r="T38" s="15">
        <f>_xll.qlRateHelperEarliestDate(R38,Trigger)</f>
        <v>42145</v>
      </c>
      <c r="U38" s="15">
        <f>_xll.qlRateHelperLatestDate(R38,Trigger)</f>
        <v>49086</v>
      </c>
      <c r="V38" s="119">
        <v>1.2942442194061678E-2</v>
      </c>
    </row>
    <row r="39" spans="1:22" ht="11.25" customHeight="1" x14ac:dyDescent="0.2">
      <c r="A39" s="109" t="s">
        <v>45</v>
      </c>
      <c r="B39" s="139"/>
      <c r="C39" s="139" t="s">
        <v>14</v>
      </c>
      <c r="D39" s="140" t="str">
        <v>10Y</v>
      </c>
      <c r="E39" s="132" t="s">
        <v>15</v>
      </c>
      <c r="F39" s="139" t="s">
        <v>16</v>
      </c>
      <c r="G39" s="132" t="s">
        <v>17</v>
      </c>
      <c r="H39" s="141">
        <v>8.6300000000000005E-3</v>
      </c>
      <c r="I39" s="107" t="str">
        <f>_xll.qlSwapRateHelper2(,$H39,,$D39,Calendar,$F39,$E39,$G39,$I$30,0,C39,Discounting,Permanent,Trigger,ObjectOverwrite)</f>
        <v>obj_008cf#0016</v>
      </c>
      <c r="J39" s="104" t="b">
        <f t="shared" si="6"/>
        <v>1</v>
      </c>
      <c r="L39" s="25" t="str">
        <f>A44</f>
        <v>Sw</v>
      </c>
      <c r="M39" s="25" t="str">
        <f>D44</f>
        <v>15Y</v>
      </c>
      <c r="N39" s="25" t="str">
        <f>I44</f>
        <v>obj_008db#0016</v>
      </c>
      <c r="O39" s="25" t="b">
        <f>J44</f>
        <v>1</v>
      </c>
      <c r="P39" s="14" t="str">
        <v>Sw</v>
      </c>
      <c r="Q39" s="14" t="str">
        <v>20Y</v>
      </c>
      <c r="R39" s="14" t="str">
        <v>obj_00906#0015</v>
      </c>
      <c r="S39" s="21">
        <f>_xll.qlRateHelperQuoteValue(R39,Trigger)</f>
        <v>1.286E-2</v>
      </c>
      <c r="T39" s="15">
        <f>_xll.qlRateHelperEarliestDate(R39,Trigger)</f>
        <v>42145</v>
      </c>
      <c r="U39" s="15">
        <f>_xll.qlRateHelperLatestDate(R39,Trigger)</f>
        <v>49450</v>
      </c>
      <c r="V39" s="119">
        <v>1.3101035484456229E-2</v>
      </c>
    </row>
    <row r="40" spans="1:22" ht="11.25" customHeight="1" x14ac:dyDescent="0.2">
      <c r="A40" s="109" t="s">
        <v>45</v>
      </c>
      <c r="B40" s="139"/>
      <c r="C40" s="139" t="s">
        <v>14</v>
      </c>
      <c r="D40" s="140" t="str">
        <v>11Y</v>
      </c>
      <c r="E40" s="132" t="s">
        <v>15</v>
      </c>
      <c r="F40" s="139" t="s">
        <v>16</v>
      </c>
      <c r="G40" s="132" t="s">
        <v>17</v>
      </c>
      <c r="H40" s="141">
        <v>9.4031549000000002E-3</v>
      </c>
      <c r="I40" s="107" t="str">
        <f>_xll.qlSwapRateHelper2(,$H40,,$D40,Calendar,$F40,$E40,$G40,$I$30,0,C40,Discounting,Permanent,Trigger,ObjectOverwrite)</f>
        <v>obj_008ec#0016</v>
      </c>
      <c r="J40" s="104" t="b">
        <f t="shared" si="6"/>
        <v>1</v>
      </c>
      <c r="L40" s="25" t="str">
        <f>A45</f>
        <v>Sw</v>
      </c>
      <c r="M40" s="25" t="str">
        <f>D45</f>
        <v>16Y</v>
      </c>
      <c r="N40" s="25" t="str">
        <f>I45</f>
        <v>obj_008d7#0016</v>
      </c>
      <c r="O40" s="25" t="b">
        <f>J45</f>
        <v>1</v>
      </c>
      <c r="P40" s="14" t="str">
        <v>Sw</v>
      </c>
      <c r="Q40" s="14" t="str">
        <v>21Y</v>
      </c>
      <c r="R40" s="14" t="str">
        <v>obj_008d1#0016</v>
      </c>
      <c r="S40" s="21">
        <f>_xll.qlRateHelperQuoteValue(R40,Trigger)</f>
        <v>1.2980469100000001E-2</v>
      </c>
      <c r="T40" s="15">
        <f>_xll.qlRateHelperEarliestDate(R40,Trigger)</f>
        <v>42145</v>
      </c>
      <c r="U40" s="15">
        <f>_xll.qlRateHelperLatestDate(R40,Trigger)</f>
        <v>49816</v>
      </c>
      <c r="V40" s="119">
        <v>1.3220475887643709E-2</v>
      </c>
    </row>
    <row r="41" spans="1:22" ht="11.25" customHeight="1" x14ac:dyDescent="0.2">
      <c r="A41" s="109" t="s">
        <v>45</v>
      </c>
      <c r="B41" s="139"/>
      <c r="C41" s="139" t="s">
        <v>14</v>
      </c>
      <c r="D41" s="140" t="str">
        <v>12Y</v>
      </c>
      <c r="E41" s="132" t="s">
        <v>15</v>
      </c>
      <c r="F41" s="139" t="s">
        <v>16</v>
      </c>
      <c r="G41" s="132" t="s">
        <v>17</v>
      </c>
      <c r="H41" s="141">
        <v>1.0089999999999998E-2</v>
      </c>
      <c r="I41" s="107" t="str">
        <f>_xll.qlSwapRateHelper2(,$H41,,$D41,Calendar,$F41,$E41,$G41,$I$30,0,C41,Discounting,Permanent,Trigger,ObjectOverwrite)</f>
        <v>obj_00905#0015</v>
      </c>
      <c r="J41" s="104" t="b">
        <f t="shared" si="6"/>
        <v>1</v>
      </c>
      <c r="L41" s="25" t="str">
        <f>A46</f>
        <v>Sw</v>
      </c>
      <c r="M41" s="25" t="str">
        <f>D46</f>
        <v>17Y</v>
      </c>
      <c r="N41" s="25" t="str">
        <f>I46</f>
        <v>obj_0090a#0015</v>
      </c>
      <c r="O41" s="25" t="b">
        <f>J46</f>
        <v>1</v>
      </c>
      <c r="P41" s="14" t="str">
        <v>Sw</v>
      </c>
      <c r="Q41" s="14" t="str">
        <v>22Y</v>
      </c>
      <c r="R41" s="14" t="str">
        <v>obj_00923#0015</v>
      </c>
      <c r="S41" s="21">
        <f>_xll.qlRateHelperQuoteValue(R41,Trigger)</f>
        <v>1.3070878939999999E-2</v>
      </c>
      <c r="T41" s="15">
        <f>_xll.qlRateHelperEarliestDate(R41,Trigger)</f>
        <v>42145</v>
      </c>
      <c r="U41" s="15">
        <f>_xll.qlRateHelperLatestDate(R41,Trigger)</f>
        <v>50181</v>
      </c>
      <c r="V41" s="119">
        <v>1.3308956908209922E-2</v>
      </c>
    </row>
    <row r="42" spans="1:22" ht="11.25" customHeight="1" x14ac:dyDescent="0.2">
      <c r="A42" s="109" t="s">
        <v>45</v>
      </c>
      <c r="B42" s="139"/>
      <c r="C42" s="139" t="s">
        <v>14</v>
      </c>
      <c r="D42" s="140" t="str">
        <v>13Y</v>
      </c>
      <c r="E42" s="132" t="s">
        <v>15</v>
      </c>
      <c r="F42" s="139" t="s">
        <v>16</v>
      </c>
      <c r="G42" s="132" t="s">
        <v>17</v>
      </c>
      <c r="H42" s="141">
        <v>1.0686575030000001E-2</v>
      </c>
      <c r="I42" s="107" t="str">
        <f>_xll.qlSwapRateHelper2(,$H42,,$D42,Calendar,$F42,$E42,$G42,$I$30,0,C42,Discounting,Permanent,Trigger,ObjectOverwrite)</f>
        <v>obj_00929#0015</v>
      </c>
      <c r="J42" s="104" t="b">
        <f t="shared" si="6"/>
        <v>1</v>
      </c>
      <c r="L42" s="25" t="str">
        <f>A47</f>
        <v>Sw</v>
      </c>
      <c r="M42" s="25" t="str">
        <f>D47</f>
        <v>18Y</v>
      </c>
      <c r="N42" s="25" t="str">
        <f>I47</f>
        <v>obj_008d8#0016</v>
      </c>
      <c r="O42" s="25" t="b">
        <f>J47</f>
        <v>1</v>
      </c>
      <c r="P42" s="14" t="str">
        <v>Sw</v>
      </c>
      <c r="Q42" s="14" t="str">
        <v>23Y</v>
      </c>
      <c r="R42" s="14" t="str">
        <v>obj_008e0#0016</v>
      </c>
      <c r="S42" s="21">
        <f>_xll.qlRateHelperQuoteValue(R42,Trigger)</f>
        <v>1.3140142649999999E-2</v>
      </c>
      <c r="T42" s="15">
        <f>_xll.qlRateHelperEarliestDate(R42,Trigger)</f>
        <v>42145</v>
      </c>
      <c r="U42" s="15">
        <f>_xll.qlRateHelperLatestDate(R42,Trigger)</f>
        <v>50546</v>
      </c>
      <c r="V42" s="119">
        <v>1.3374602771190512E-2</v>
      </c>
    </row>
    <row r="43" spans="1:22" ht="11.25" customHeight="1" x14ac:dyDescent="0.2">
      <c r="A43" s="109" t="s">
        <v>45</v>
      </c>
      <c r="B43" s="139"/>
      <c r="C43" s="139" t="s">
        <v>14</v>
      </c>
      <c r="D43" s="140" t="str">
        <v>14Y</v>
      </c>
      <c r="E43" s="132" t="s">
        <v>15</v>
      </c>
      <c r="F43" s="139" t="s">
        <v>16</v>
      </c>
      <c r="G43" s="132" t="s">
        <v>17</v>
      </c>
      <c r="H43" s="141">
        <v>1.118677761E-2</v>
      </c>
      <c r="I43" s="107" t="str">
        <f>_xll.qlSwapRateHelper2(,$H43,,$D43,Calendar,$F43,$E43,$G43,$I$30,0,C43,Discounting,Permanent,Trigger,ObjectOverwrite)</f>
        <v>obj_00920#0015</v>
      </c>
      <c r="J43" s="104" t="b">
        <f t="shared" si="6"/>
        <v>1</v>
      </c>
      <c r="L43" s="25" t="str">
        <f>A48</f>
        <v>Sw</v>
      </c>
      <c r="M43" s="25" t="str">
        <f>D48</f>
        <v>19Y</v>
      </c>
      <c r="N43" s="25" t="str">
        <f>I48</f>
        <v>obj_008f0#0016</v>
      </c>
      <c r="O43" s="25" t="b">
        <f>J48</f>
        <v>1</v>
      </c>
      <c r="P43" s="14" t="str">
        <v>Sw</v>
      </c>
      <c r="Q43" s="14" t="str">
        <v>24Y</v>
      </c>
      <c r="R43" s="14" t="str">
        <v>obj_008f8#0015</v>
      </c>
      <c r="S43" s="21">
        <f>_xll.qlRateHelperQuoteValue(R43,Trigger)</f>
        <v>1.319435291E-2</v>
      </c>
      <c r="T43" s="15">
        <f>_xll.qlRateHelperEarliestDate(R43,Trigger)</f>
        <v>42145</v>
      </c>
      <c r="U43" s="15">
        <f>_xll.qlRateHelperLatestDate(R43,Trigger)</f>
        <v>50913</v>
      </c>
      <c r="V43" s="119">
        <v>1.3423988059198351E-2</v>
      </c>
    </row>
    <row r="44" spans="1:22" ht="11.25" customHeight="1" x14ac:dyDescent="0.2">
      <c r="A44" s="109" t="s">
        <v>45</v>
      </c>
      <c r="B44" s="139"/>
      <c r="C44" s="139" t="s">
        <v>14</v>
      </c>
      <c r="D44" s="140" t="str">
        <v>15Y</v>
      </c>
      <c r="E44" s="132" t="s">
        <v>15</v>
      </c>
      <c r="F44" s="139" t="s">
        <v>16</v>
      </c>
      <c r="G44" s="132" t="s">
        <v>17</v>
      </c>
      <c r="H44" s="141">
        <v>1.1610000000000001E-2</v>
      </c>
      <c r="I44" s="107" t="str">
        <f>_xll.qlSwapRateHelper2(,$H44,,$D44,Calendar,$F44,$E44,$G44,$I$30,0,C44,Discounting,Permanent,Trigger,ObjectOverwrite)</f>
        <v>obj_008db#0016</v>
      </c>
      <c r="J44" s="104" t="b">
        <f t="shared" si="6"/>
        <v>1</v>
      </c>
      <c r="L44" s="25" t="str">
        <f>A49</f>
        <v>Sw</v>
      </c>
      <c r="M44" s="25" t="str">
        <f>D49</f>
        <v>20Y</v>
      </c>
      <c r="N44" s="25" t="str">
        <f>I49</f>
        <v>obj_00906#0015</v>
      </c>
      <c r="O44" s="25" t="b">
        <f>J49</f>
        <v>1</v>
      </c>
      <c r="P44" s="14" t="str">
        <v>Sw</v>
      </c>
      <c r="Q44" s="14" t="str">
        <v>25Y</v>
      </c>
      <c r="R44" s="14" t="str">
        <v>obj_008f3#0015</v>
      </c>
      <c r="S44" s="21">
        <f>_xll.qlRateHelperQuoteValue(R44,Trigger)</f>
        <v>1.324E-2</v>
      </c>
      <c r="T44" s="15">
        <f>_xll.qlRateHelperEarliestDate(R44,Trigger)</f>
        <v>42145</v>
      </c>
      <c r="U44" s="15">
        <f>_xll.qlRateHelperLatestDate(R44,Trigger)</f>
        <v>51277</v>
      </c>
      <c r="V44" s="119">
        <v>1.3463159493455766E-2</v>
      </c>
    </row>
    <row r="45" spans="1:22" ht="11.25" customHeight="1" x14ac:dyDescent="0.2">
      <c r="A45" s="109" t="s">
        <v>45</v>
      </c>
      <c r="B45" s="139"/>
      <c r="C45" s="139" t="s">
        <v>14</v>
      </c>
      <c r="D45" s="140" t="str">
        <v>16Y</v>
      </c>
      <c r="E45" s="132" t="s">
        <v>15</v>
      </c>
      <c r="F45" s="139" t="s">
        <v>16</v>
      </c>
      <c r="G45" s="132" t="s">
        <v>17</v>
      </c>
      <c r="H45" s="141">
        <v>1.1965594459999999E-2</v>
      </c>
      <c r="I45" s="107" t="str">
        <f>_xll.qlSwapRateHelper2(,$H45,,$D45,Calendar,$F45,$E45,$G45,$I$30,0,C45,Discounting,Permanent,Trigger,ObjectOverwrite)</f>
        <v>obj_008d7#0016</v>
      </c>
      <c r="J45" s="104" t="b">
        <f t="shared" si="6"/>
        <v>1</v>
      </c>
      <c r="L45" s="25" t="str">
        <f>A50</f>
        <v>Sw</v>
      </c>
      <c r="M45" s="25" t="str">
        <f>D50</f>
        <v>21Y</v>
      </c>
      <c r="N45" s="25" t="str">
        <f>I50</f>
        <v>obj_008d1#0016</v>
      </c>
      <c r="O45" s="25" t="b">
        <f>J50</f>
        <v>1</v>
      </c>
      <c r="P45" s="14" t="str">
        <v>Sw</v>
      </c>
      <c r="Q45" s="14" t="str">
        <v>26Y</v>
      </c>
      <c r="R45" s="14" t="str">
        <v>obj_008df#0016</v>
      </c>
      <c r="S45" s="21">
        <f>_xll.qlRateHelperQuoteValue(R45,Trigger)</f>
        <v>1.3278037229999999E-2</v>
      </c>
      <c r="T45" s="15">
        <f>_xll.qlRateHelperEarliestDate(R45,Trigger)</f>
        <v>42145</v>
      </c>
      <c r="U45" s="15">
        <f>_xll.qlRateHelperLatestDate(R45,Trigger)</f>
        <v>51642</v>
      </c>
      <c r="V45" s="119">
        <v>1.3495881920371874E-2</v>
      </c>
    </row>
    <row r="46" spans="1:22" ht="11.25" customHeight="1" x14ac:dyDescent="0.2">
      <c r="A46" s="109" t="s">
        <v>45</v>
      </c>
      <c r="B46" s="139"/>
      <c r="C46" s="139" t="s">
        <v>14</v>
      </c>
      <c r="D46" s="140" t="str">
        <v>17Y</v>
      </c>
      <c r="E46" s="132" t="s">
        <v>15</v>
      </c>
      <c r="F46" s="139" t="s">
        <v>16</v>
      </c>
      <c r="G46" s="132" t="s">
        <v>17</v>
      </c>
      <c r="H46" s="141">
        <v>1.2263809569999999E-2</v>
      </c>
      <c r="I46" s="107" t="str">
        <f>_xll.qlSwapRateHelper2(,$H46,,$D46,Calendar,$F46,$E46,$G46,$I$30,0,C46,Discounting,Permanent,Trigger,ObjectOverwrite)</f>
        <v>obj_0090a#0015</v>
      </c>
      <c r="J46" s="104" t="b">
        <f t="shared" si="6"/>
        <v>1</v>
      </c>
      <c r="L46" s="25" t="str">
        <f>A51</f>
        <v>Sw</v>
      </c>
      <c r="M46" s="25" t="str">
        <f>D51</f>
        <v>22Y</v>
      </c>
      <c r="N46" s="25" t="str">
        <f>I51</f>
        <v>obj_00923#0015</v>
      </c>
      <c r="O46" s="25" t="b">
        <f>J51</f>
        <v>1</v>
      </c>
      <c r="P46" s="14" t="str">
        <v>Sw</v>
      </c>
      <c r="Q46" s="14" t="str">
        <v>27Y</v>
      </c>
      <c r="R46" s="14" t="str">
        <v>obj_0091e#0015</v>
      </c>
      <c r="S46" s="21">
        <f>_xll.qlRateHelperQuoteValue(R46,Trigger)</f>
        <v>1.3312436169999999E-2</v>
      </c>
      <c r="T46" s="15">
        <f>_xll.qlRateHelperEarliestDate(R46,Trigger)</f>
        <v>42145</v>
      </c>
      <c r="U46" s="15">
        <f>_xll.qlRateHelperLatestDate(R46,Trigger)</f>
        <v>52007</v>
      </c>
      <c r="V46" s="119">
        <v>1.3525190545696498E-2</v>
      </c>
    </row>
    <row r="47" spans="1:22" ht="11.25" customHeight="1" x14ac:dyDescent="0.2">
      <c r="A47" s="109" t="s">
        <v>45</v>
      </c>
      <c r="B47" s="139"/>
      <c r="C47" s="139" t="s">
        <v>14</v>
      </c>
      <c r="D47" s="140" t="str">
        <v>18Y</v>
      </c>
      <c r="E47" s="132" t="s">
        <v>15</v>
      </c>
      <c r="F47" s="139" t="s">
        <v>16</v>
      </c>
      <c r="G47" s="132" t="s">
        <v>17</v>
      </c>
      <c r="H47" s="141">
        <v>1.2507057699999999E-2</v>
      </c>
      <c r="I47" s="107" t="str">
        <f>_xll.qlSwapRateHelper2(,$H47,,$D47,Calendar,$F47,$E47,$G47,$I$30,0,C47,Discounting,Permanent,Trigger,ObjectOverwrite)</f>
        <v>obj_008d8#0016</v>
      </c>
      <c r="J47" s="104" t="b">
        <f t="shared" si="6"/>
        <v>1</v>
      </c>
      <c r="L47" s="25" t="str">
        <f>A52</f>
        <v>Sw</v>
      </c>
      <c r="M47" s="25" t="str">
        <f>D52</f>
        <v>23Y</v>
      </c>
      <c r="N47" s="25" t="str">
        <f>I52</f>
        <v>obj_008e0#0016</v>
      </c>
      <c r="O47" s="25" t="b">
        <f>J52</f>
        <v>1</v>
      </c>
      <c r="P47" s="14" t="str">
        <v>Sw</v>
      </c>
      <c r="Q47" s="14" t="str">
        <v>28Y</v>
      </c>
      <c r="R47" s="14" t="str">
        <v>obj_00915#0015</v>
      </c>
      <c r="S47" s="21">
        <f>_xll.qlRateHelperQuoteValue(R47,Trigger)</f>
        <v>1.3344769750000001E-2</v>
      </c>
      <c r="T47" s="15">
        <f>_xll.qlRateHelperEarliestDate(R47,Trigger)</f>
        <v>42145</v>
      </c>
      <c r="U47" s="15">
        <f>_xll.qlRateHelperLatestDate(R47,Trigger)</f>
        <v>52372</v>
      </c>
      <c r="V47" s="119">
        <v>1.3552862731949316E-2</v>
      </c>
    </row>
    <row r="48" spans="1:22" ht="11.25" customHeight="1" x14ac:dyDescent="0.2">
      <c r="A48" s="109" t="s">
        <v>45</v>
      </c>
      <c r="B48" s="139"/>
      <c r="C48" s="139" t="s">
        <v>14</v>
      </c>
      <c r="D48" s="140" t="str">
        <v>19Y</v>
      </c>
      <c r="E48" s="132" t="s">
        <v>15</v>
      </c>
      <c r="F48" s="139" t="s">
        <v>16</v>
      </c>
      <c r="G48" s="132" t="s">
        <v>17</v>
      </c>
      <c r="H48" s="141">
        <v>1.2705000840000001E-2</v>
      </c>
      <c r="I48" s="107" t="str">
        <f>_xll.qlSwapRateHelper2(,$H48,,$D48,Calendar,$F48,$E48,$G48,$I$30,0,C48,Discounting,Permanent,Trigger,ObjectOverwrite)</f>
        <v>obj_008f0#0016</v>
      </c>
      <c r="J48" s="104" t="b">
        <f t="shared" si="6"/>
        <v>1</v>
      </c>
      <c r="L48" s="25" t="str">
        <f>A53</f>
        <v>Sw</v>
      </c>
      <c r="M48" s="25" t="str">
        <f>D53</f>
        <v>24Y</v>
      </c>
      <c r="N48" s="25" t="str">
        <f>I53</f>
        <v>obj_008f8#0015</v>
      </c>
      <c r="O48" s="25" t="b">
        <f>J53</f>
        <v>1</v>
      </c>
      <c r="P48" s="14" t="str">
        <v>Sw</v>
      </c>
      <c r="Q48" s="14" t="str">
        <v>29Y</v>
      </c>
      <c r="R48" s="14" t="str">
        <v>obj_008da#0016</v>
      </c>
      <c r="S48" s="21">
        <f>_xll.qlRateHelperQuoteValue(R48,Trigger)</f>
        <v>1.3377579930000001E-2</v>
      </c>
      <c r="T48" s="15">
        <f>_xll.qlRateHelperEarliestDate(R48,Trigger)</f>
        <v>42145</v>
      </c>
      <c r="U48" s="15">
        <f>_xll.qlRateHelperLatestDate(R48,Trigger)</f>
        <v>52740</v>
      </c>
      <c r="V48" s="119">
        <v>1.3580432839878143E-2</v>
      </c>
    </row>
    <row r="49" spans="1:22" ht="11.25" customHeight="1" x14ac:dyDescent="0.2">
      <c r="A49" s="109" t="s">
        <v>45</v>
      </c>
      <c r="B49" s="139"/>
      <c r="C49" s="139" t="s">
        <v>14</v>
      </c>
      <c r="D49" s="140" t="str">
        <v>20Y</v>
      </c>
      <c r="E49" s="132" t="s">
        <v>15</v>
      </c>
      <c r="F49" s="139" t="s">
        <v>16</v>
      </c>
      <c r="G49" s="132" t="s">
        <v>17</v>
      </c>
      <c r="H49" s="141">
        <v>1.286E-2</v>
      </c>
      <c r="I49" s="107" t="str">
        <f>_xll.qlSwapRateHelper2(,$H49,,$D49,Calendar,$F49,$E49,$G49,$I$30,0,C49,Discounting,Permanent,Trigger,ObjectOverwrite)</f>
        <v>obj_00906#0015</v>
      </c>
      <c r="J49" s="104" t="b">
        <f t="shared" si="6"/>
        <v>1</v>
      </c>
      <c r="L49" s="25" t="str">
        <f>A54</f>
        <v>Sw</v>
      </c>
      <c r="M49" s="25" t="str">
        <f>D54</f>
        <v>25Y</v>
      </c>
      <c r="N49" s="25" t="str">
        <f>I54</f>
        <v>obj_008f3#0015</v>
      </c>
      <c r="O49" s="25" t="b">
        <f>J54</f>
        <v>1</v>
      </c>
      <c r="P49" s="14" t="str">
        <v>Sw</v>
      </c>
      <c r="Q49" s="14" t="str">
        <v>30Y</v>
      </c>
      <c r="R49" s="14" t="str">
        <v>obj_00926#0015</v>
      </c>
      <c r="S49" s="21">
        <f>_xll.qlRateHelperQuoteValue(R49,Trigger)</f>
        <v>1.341E-2</v>
      </c>
      <c r="T49" s="15">
        <f>_xll.qlRateHelperEarliestDate(R49,Trigger)</f>
        <v>42145</v>
      </c>
      <c r="U49" s="15">
        <f>_xll.qlRateHelperLatestDate(R49,Trigger)</f>
        <v>53104</v>
      </c>
      <c r="V49" s="119">
        <v>1.360959357721199E-2</v>
      </c>
    </row>
    <row r="50" spans="1:22" ht="11.25" customHeight="1" x14ac:dyDescent="0.2">
      <c r="A50" s="109" t="s">
        <v>45</v>
      </c>
      <c r="B50" s="139"/>
      <c r="C50" s="139" t="s">
        <v>14</v>
      </c>
      <c r="D50" s="140" t="str">
        <v>21Y</v>
      </c>
      <c r="E50" s="132" t="s">
        <v>15</v>
      </c>
      <c r="F50" s="139" t="s">
        <v>16</v>
      </c>
      <c r="G50" s="132" t="s">
        <v>17</v>
      </c>
      <c r="H50" s="141">
        <v>1.2980469100000001E-2</v>
      </c>
      <c r="I50" s="107" t="str">
        <f>_xll.qlSwapRateHelper2(,$H50,,$D50,Calendar,$F50,$E50,$G50,$I$30,0,C50,Discounting,Permanent,Trigger,ObjectOverwrite)</f>
        <v>obj_008d1#0016</v>
      </c>
      <c r="J50" s="104" t="b">
        <f t="shared" si="6"/>
        <v>1</v>
      </c>
      <c r="L50" s="25" t="str">
        <f>A55</f>
        <v>Sw</v>
      </c>
      <c r="M50" s="25" t="str">
        <f>D55</f>
        <v>26Y</v>
      </c>
      <c r="N50" s="25" t="str">
        <f>I55</f>
        <v>obj_008df#0016</v>
      </c>
      <c r="O50" s="25" t="b">
        <f>J55</f>
        <v>1</v>
      </c>
      <c r="P50" s="14" t="str">
        <v>Sw</v>
      </c>
      <c r="Q50" s="14" t="str">
        <v>31Y</v>
      </c>
      <c r="R50" s="14" t="str">
        <v>obj_008fb#0015</v>
      </c>
      <c r="S50" s="21">
        <f>_xll.qlRateHelperQuoteValue(R50,Trigger)</f>
        <v>1.34432727E-2</v>
      </c>
      <c r="T50" s="15">
        <f>_xll.qlRateHelperEarliestDate(R50,Trigger)</f>
        <v>42145</v>
      </c>
      <c r="U50" s="15">
        <f>_xll.qlRateHelperLatestDate(R50,Trigger)</f>
        <v>53468</v>
      </c>
      <c r="V50" s="119">
        <v>1.3640338565301753E-2</v>
      </c>
    </row>
    <row r="51" spans="1:22" ht="11.25" customHeight="1" x14ac:dyDescent="0.2">
      <c r="A51" s="109" t="s">
        <v>45</v>
      </c>
      <c r="B51" s="139"/>
      <c r="C51" s="139" t="s">
        <v>14</v>
      </c>
      <c r="D51" s="140" t="str">
        <v>22Y</v>
      </c>
      <c r="E51" s="132" t="s">
        <v>15</v>
      </c>
      <c r="F51" s="139" t="s">
        <v>16</v>
      </c>
      <c r="G51" s="132" t="s">
        <v>17</v>
      </c>
      <c r="H51" s="141">
        <v>1.3070878939999999E-2</v>
      </c>
      <c r="I51" s="107" t="str">
        <f>_xll.qlSwapRateHelper2(,$H51,,$D51,Calendar,$F51,$E51,$G51,$I$30,0,C51,Discounting,Permanent,Trigger,ObjectOverwrite)</f>
        <v>obj_00923#0015</v>
      </c>
      <c r="J51" s="104" t="b">
        <f t="shared" si="6"/>
        <v>1</v>
      </c>
      <c r="L51" s="25" t="str">
        <f>A56</f>
        <v>Sw</v>
      </c>
      <c r="M51" s="25" t="str">
        <f>D56</f>
        <v>27Y</v>
      </c>
      <c r="N51" s="25" t="str">
        <f>I56</f>
        <v>obj_0091e#0015</v>
      </c>
      <c r="O51" s="25" t="b">
        <f>J56</f>
        <v>1</v>
      </c>
      <c r="P51" s="14" t="str">
        <v>Sw</v>
      </c>
      <c r="Q51" s="14" t="str">
        <v>32Y</v>
      </c>
      <c r="R51" s="14" t="str">
        <v>obj_00910#0015</v>
      </c>
      <c r="S51" s="21">
        <f>_xll.qlRateHelperQuoteValue(R51,Trigger)</f>
        <v>1.347603501E-2</v>
      </c>
      <c r="T51" s="15">
        <f>_xll.qlRateHelperEarliestDate(R51,Trigger)</f>
        <v>42145</v>
      </c>
      <c r="U51" s="15">
        <f>_xll.qlRateHelperLatestDate(R51,Trigger)</f>
        <v>53833</v>
      </c>
      <c r="V51" s="119">
        <v>1.3670991834342167E-2</v>
      </c>
    </row>
    <row r="52" spans="1:22" ht="11.25" customHeight="1" x14ac:dyDescent="0.2">
      <c r="A52" s="109" t="s">
        <v>45</v>
      </c>
      <c r="B52" s="139"/>
      <c r="C52" s="139" t="s">
        <v>14</v>
      </c>
      <c r="D52" s="140" t="str">
        <v>23Y</v>
      </c>
      <c r="E52" s="132" t="s">
        <v>15</v>
      </c>
      <c r="F52" s="139" t="s">
        <v>16</v>
      </c>
      <c r="G52" s="132" t="s">
        <v>17</v>
      </c>
      <c r="H52" s="141">
        <v>1.3140142649999999E-2</v>
      </c>
      <c r="I52" s="107" t="str">
        <f>_xll.qlSwapRateHelper2(,$H52,,$D52,Calendar,$F52,$E52,$G52,$I$30,0,C52,Discounting,Permanent,Trigger,ObjectOverwrite)</f>
        <v>obj_008e0#0016</v>
      </c>
      <c r="J52" s="104" t="b">
        <f t="shared" si="6"/>
        <v>1</v>
      </c>
      <c r="L52" s="25" t="str">
        <f>A57</f>
        <v>Sw</v>
      </c>
      <c r="M52" s="25" t="str">
        <f>D57</f>
        <v>28Y</v>
      </c>
      <c r="N52" s="25" t="str">
        <f>I57</f>
        <v>obj_00915#0015</v>
      </c>
      <c r="O52" s="25" t="b">
        <f>J57</f>
        <v>1</v>
      </c>
      <c r="P52" s="14" t="str">
        <v>Sw</v>
      </c>
      <c r="Q52" s="14" t="str">
        <v>33Y</v>
      </c>
      <c r="R52" s="14" t="str">
        <v>obj_00901#0015</v>
      </c>
      <c r="S52" s="21">
        <f>_xll.qlRateHelperQuoteValue(R52,Trigger)</f>
        <v>1.350744787E-2</v>
      </c>
      <c r="T52" s="15">
        <f>_xll.qlRateHelperEarliestDate(R52,Trigger)</f>
        <v>42145</v>
      </c>
      <c r="U52" s="15">
        <f>_xll.qlRateHelperLatestDate(R52,Trigger)</f>
        <v>54199</v>
      </c>
      <c r="V52" s="119">
        <v>1.3699399879314558E-2</v>
      </c>
    </row>
    <row r="53" spans="1:22" ht="11.25" customHeight="1" x14ac:dyDescent="0.2">
      <c r="A53" s="109" t="s">
        <v>45</v>
      </c>
      <c r="B53" s="139"/>
      <c r="C53" s="139" t="s">
        <v>14</v>
      </c>
      <c r="D53" s="140" t="str">
        <v>24Y</v>
      </c>
      <c r="E53" s="132" t="s">
        <v>15</v>
      </c>
      <c r="F53" s="139" t="s">
        <v>16</v>
      </c>
      <c r="G53" s="132" t="s">
        <v>17</v>
      </c>
      <c r="H53" s="141">
        <v>1.319435291E-2</v>
      </c>
      <c r="I53" s="107" t="str">
        <f>_xll.qlSwapRateHelper2(,$H53,,$D53,Calendar,$F53,$E53,$G53,$I$30,0,C53,Discounting,Permanent,Trigger,ObjectOverwrite)</f>
        <v>obj_008f8#0015</v>
      </c>
      <c r="J53" s="104" t="b">
        <f t="shared" si="6"/>
        <v>1</v>
      </c>
      <c r="L53" s="25" t="str">
        <f>A58</f>
        <v>Sw</v>
      </c>
      <c r="M53" s="25" t="str">
        <f>D58</f>
        <v>29Y</v>
      </c>
      <c r="N53" s="25" t="str">
        <f>I58</f>
        <v>obj_008da#0016</v>
      </c>
      <c r="O53" s="25" t="b">
        <f>J58</f>
        <v>1</v>
      </c>
      <c r="P53" s="14" t="str">
        <v>Sw</v>
      </c>
      <c r="Q53" s="14" t="str">
        <v>34Y</v>
      </c>
      <c r="R53" s="14" t="str">
        <v>obj_008e4#0016</v>
      </c>
      <c r="S53" s="21">
        <f>_xll.qlRateHelperQuoteValue(R53,Trigger)</f>
        <v>1.353383124E-2</v>
      </c>
      <c r="T53" s="15">
        <f>_xll.qlRateHelperEarliestDate(R53,Trigger)</f>
        <v>42145</v>
      </c>
      <c r="U53" s="15">
        <f>_xll.qlRateHelperLatestDate(R53,Trigger)</f>
        <v>54564</v>
      </c>
      <c r="V53" s="119">
        <v>1.3723414202903371E-2</v>
      </c>
    </row>
    <row r="54" spans="1:22" ht="11.25" customHeight="1" x14ac:dyDescent="0.2">
      <c r="A54" s="109" t="s">
        <v>45</v>
      </c>
      <c r="B54" s="139"/>
      <c r="C54" s="139" t="s">
        <v>14</v>
      </c>
      <c r="D54" s="140" t="str">
        <v>25Y</v>
      </c>
      <c r="E54" s="132" t="s">
        <v>15</v>
      </c>
      <c r="F54" s="139" t="s">
        <v>16</v>
      </c>
      <c r="G54" s="132" t="s">
        <v>17</v>
      </c>
      <c r="H54" s="141">
        <v>1.324E-2</v>
      </c>
      <c r="I54" s="107" t="str">
        <f>_xll.qlSwapRateHelper2(,$H54,,$D54,Calendar,$F54,$E54,$G54,$I$30,0,C54,Discounting,Permanent,Trigger,ObjectOverwrite)</f>
        <v>obj_008f3#0015</v>
      </c>
      <c r="J54" s="104" t="b">
        <f t="shared" si="6"/>
        <v>1</v>
      </c>
      <c r="L54" s="25" t="str">
        <f>A59</f>
        <v>Sw</v>
      </c>
      <c r="M54" s="25" t="str">
        <f>D59</f>
        <v>30Y</v>
      </c>
      <c r="N54" s="25" t="str">
        <f>I59</f>
        <v>obj_00926#0015</v>
      </c>
      <c r="O54" s="25" t="b">
        <f>J59</f>
        <v>1</v>
      </c>
      <c r="P54" s="14" t="str">
        <v>Sw</v>
      </c>
      <c r="Q54" s="14" t="str">
        <v>35Y</v>
      </c>
      <c r="R54" s="14" t="str">
        <v>obj_008d0#0016</v>
      </c>
      <c r="S54" s="21">
        <f>_xll.qlRateHelperQuoteValue(R54,Trigger)</f>
        <v>1.355475858E-2</v>
      </c>
      <c r="T54" s="15">
        <f>_xll.qlRateHelperEarliestDate(R54,Trigger)</f>
        <v>42145</v>
      </c>
      <c r="U54" s="15">
        <f>_xll.qlRateHelperLatestDate(R54,Trigger)</f>
        <v>54931</v>
      </c>
      <c r="V54" s="119">
        <v>1.3741276011090786E-2</v>
      </c>
    </row>
    <row r="55" spans="1:22" ht="11.25" customHeight="1" x14ac:dyDescent="0.2">
      <c r="A55" s="109" t="s">
        <v>45</v>
      </c>
      <c r="B55" s="139"/>
      <c r="C55" s="139" t="s">
        <v>14</v>
      </c>
      <c r="D55" s="140" t="str">
        <v>26Y</v>
      </c>
      <c r="E55" s="132" t="s">
        <v>15</v>
      </c>
      <c r="F55" s="139" t="s">
        <v>16</v>
      </c>
      <c r="G55" s="132" t="s">
        <v>17</v>
      </c>
      <c r="H55" s="141">
        <v>1.3278037229999999E-2</v>
      </c>
      <c r="I55" s="107" t="str">
        <f>_xll.qlSwapRateHelper2(,$H55,,$D55,Calendar,$F55,$E55,$G55,$I$30,0,C55,Discounting,Permanent,Trigger,ObjectOverwrite)</f>
        <v>obj_008df#0016</v>
      </c>
      <c r="J55" s="104" t="b">
        <f t="shared" si="6"/>
        <v>1</v>
      </c>
      <c r="L55" s="25" t="str">
        <f>A60</f>
        <v>Sw</v>
      </c>
      <c r="M55" s="25" t="str">
        <f>D60</f>
        <v>31Y</v>
      </c>
      <c r="N55" s="25" t="str">
        <f>I60</f>
        <v>obj_008fb#0015</v>
      </c>
      <c r="O55" s="25" t="b">
        <f>J60</f>
        <v>1</v>
      </c>
      <c r="P55" s="14" t="str">
        <v>Sw</v>
      </c>
      <c r="Q55" s="14" t="str">
        <v>36Y</v>
      </c>
      <c r="R55" s="14" t="str">
        <v>obj_00918#0015</v>
      </c>
      <c r="S55" s="21">
        <f>_xll.qlRateHelperQuoteValue(R55,Trigger)</f>
        <v>1.3569042890000001E-2</v>
      </c>
      <c r="T55" s="15">
        <f>_xll.qlRateHelperEarliestDate(R55,Trigger)</f>
        <v>42145</v>
      </c>
      <c r="U55" s="15">
        <f>_xll.qlRateHelperLatestDate(R55,Trigger)</f>
        <v>55295</v>
      </c>
      <c r="V55" s="119">
        <v>1.3751512428792018E-2</v>
      </c>
    </row>
    <row r="56" spans="1:22" ht="11.25" customHeight="1" x14ac:dyDescent="0.2">
      <c r="A56" s="109" t="s">
        <v>45</v>
      </c>
      <c r="B56" s="139"/>
      <c r="C56" s="139" t="s">
        <v>14</v>
      </c>
      <c r="D56" s="140" t="str">
        <v>27Y</v>
      </c>
      <c r="E56" s="132" t="s">
        <v>15</v>
      </c>
      <c r="F56" s="139" t="s">
        <v>16</v>
      </c>
      <c r="G56" s="132" t="s">
        <v>17</v>
      </c>
      <c r="H56" s="141">
        <v>1.3312436169999999E-2</v>
      </c>
      <c r="I56" s="107" t="str">
        <f>_xll.qlSwapRateHelper2(,$H56,,$D56,Calendar,$F56,$E56,$G56,$I$30,0,C56,Discounting,Permanent,Trigger,ObjectOverwrite)</f>
        <v>obj_0091e#0015</v>
      </c>
      <c r="J56" s="104" t="b">
        <f t="shared" si="6"/>
        <v>1</v>
      </c>
      <c r="L56" s="25" t="str">
        <f>A61</f>
        <v>Sw</v>
      </c>
      <c r="M56" s="25" t="str">
        <f>D61</f>
        <v>32Y</v>
      </c>
      <c r="N56" s="25" t="str">
        <f>I61</f>
        <v>obj_00910#0015</v>
      </c>
      <c r="O56" s="25" t="b">
        <f>J61</f>
        <v>1</v>
      </c>
      <c r="P56" s="14" t="str">
        <v>Sw</v>
      </c>
      <c r="Q56" s="14" t="str">
        <v>37Y</v>
      </c>
      <c r="R56" s="14" t="str">
        <v>obj_008f9#0015</v>
      </c>
      <c r="S56" s="21">
        <f>_xll.qlRateHelperQuoteValue(R56,Trigger)</f>
        <v>1.357624331E-2</v>
      </c>
      <c r="T56" s="15">
        <f>_xll.qlRateHelperEarliestDate(R56,Trigger)</f>
        <v>42145</v>
      </c>
      <c r="U56" s="15">
        <f>_xll.qlRateHelperLatestDate(R56,Trigger)</f>
        <v>55660</v>
      </c>
      <c r="V56" s="119">
        <v>1.3752473889316288E-2</v>
      </c>
    </row>
    <row r="57" spans="1:22" ht="11.25" customHeight="1" x14ac:dyDescent="0.2">
      <c r="A57" s="109" t="s">
        <v>45</v>
      </c>
      <c r="B57" s="139"/>
      <c r="C57" s="139" t="s">
        <v>14</v>
      </c>
      <c r="D57" s="140" t="str">
        <v>28Y</v>
      </c>
      <c r="E57" s="132" t="s">
        <v>15</v>
      </c>
      <c r="F57" s="139" t="s">
        <v>16</v>
      </c>
      <c r="G57" s="132" t="s">
        <v>17</v>
      </c>
      <c r="H57" s="141">
        <v>1.3344769750000001E-2</v>
      </c>
      <c r="I57" s="107" t="str">
        <f>_xll.qlSwapRateHelper2(,$H57,,$D57,Calendar,$F57,$E57,$G57,$I$30,0,C57,Discounting,Permanent,Trigger,ObjectOverwrite)</f>
        <v>obj_00915#0015</v>
      </c>
      <c r="J57" s="104" t="b">
        <f t="shared" si="6"/>
        <v>1</v>
      </c>
      <c r="L57" s="25" t="str">
        <f>A62</f>
        <v>Sw</v>
      </c>
      <c r="M57" s="25" t="str">
        <f>D62</f>
        <v>33Y</v>
      </c>
      <c r="N57" s="25" t="str">
        <f>I62</f>
        <v>obj_00901#0015</v>
      </c>
      <c r="O57" s="25" t="b">
        <f>J62</f>
        <v>1</v>
      </c>
      <c r="P57" s="14" t="str">
        <v>Sw</v>
      </c>
      <c r="Q57" s="14" t="str">
        <v>38Y</v>
      </c>
      <c r="R57" s="14" t="str">
        <v>obj_0090e#0015</v>
      </c>
      <c r="S57" s="21">
        <f>_xll.qlRateHelperQuoteValue(R57,Trigger)</f>
        <v>1.3573961020000001E-2</v>
      </c>
      <c r="T57" s="15">
        <f>_xll.qlRateHelperEarliestDate(R57,Trigger)</f>
        <v>42145</v>
      </c>
      <c r="U57" s="15">
        <f>_xll.qlRateHelperLatestDate(R57,Trigger)</f>
        <v>56025</v>
      </c>
      <c r="V57" s="119">
        <v>1.374324344991988E-2</v>
      </c>
    </row>
    <row r="58" spans="1:22" ht="11.25" customHeight="1" x14ac:dyDescent="0.2">
      <c r="A58" s="109" t="s">
        <v>45</v>
      </c>
      <c r="B58" s="139"/>
      <c r="C58" s="139" t="s">
        <v>14</v>
      </c>
      <c r="D58" s="140" t="str">
        <v>29Y</v>
      </c>
      <c r="E58" s="132" t="s">
        <v>15</v>
      </c>
      <c r="F58" s="139" t="s">
        <v>16</v>
      </c>
      <c r="G58" s="132" t="s">
        <v>17</v>
      </c>
      <c r="H58" s="141">
        <v>1.3377579930000001E-2</v>
      </c>
      <c r="I58" s="107" t="str">
        <f>_xll.qlSwapRateHelper2(,$H58,,$D58,Calendar,$F58,$E58,$G58,$I$30,0,C58,Discounting,Permanent,Trigger,ObjectOverwrite)</f>
        <v>obj_008da#0016</v>
      </c>
      <c r="J58" s="104" t="b">
        <f t="shared" si="6"/>
        <v>1</v>
      </c>
      <c r="L58" s="25" t="str">
        <f>A63</f>
        <v>Sw</v>
      </c>
      <c r="M58" s="25" t="str">
        <f>D63</f>
        <v>34Y</v>
      </c>
      <c r="N58" s="25" t="str">
        <f>I63</f>
        <v>obj_008e4#0016</v>
      </c>
      <c r="O58" s="25" t="b">
        <f>J63</f>
        <v>1</v>
      </c>
      <c r="P58" s="14" t="str">
        <v>Sw</v>
      </c>
      <c r="Q58" s="14" t="str">
        <v>39Y</v>
      </c>
      <c r="R58" s="14" t="str">
        <v>obj_008e7#0016</v>
      </c>
      <c r="S58" s="21">
        <f>_xll.qlRateHelperQuoteValue(R58,Trigger)</f>
        <v>1.3562128350000001E-2</v>
      </c>
      <c r="T58" s="15">
        <f>_xll.qlRateHelperEarliestDate(R58,Trigger)</f>
        <v>42145</v>
      </c>
      <c r="U58" s="15">
        <f>_xll.qlRateHelperLatestDate(R58,Trigger)</f>
        <v>56390</v>
      </c>
      <c r="V58" s="119">
        <v>1.3722654135390101E-2</v>
      </c>
    </row>
    <row r="59" spans="1:22" ht="11.25" customHeight="1" x14ac:dyDescent="0.2">
      <c r="A59" s="109" t="s">
        <v>45</v>
      </c>
      <c r="B59" s="139"/>
      <c r="C59" s="139" t="s">
        <v>14</v>
      </c>
      <c r="D59" s="140" t="str">
        <v>30Y</v>
      </c>
      <c r="E59" s="132" t="s">
        <v>15</v>
      </c>
      <c r="F59" s="139" t="s">
        <v>16</v>
      </c>
      <c r="G59" s="132" t="s">
        <v>17</v>
      </c>
      <c r="H59" s="141">
        <v>1.341E-2</v>
      </c>
      <c r="I59" s="107" t="str">
        <f>_xll.qlSwapRateHelper2(,$H59,,$D59,Calendar,$F59,$E59,$G59,$I$30,0,C59,Discounting,Permanent,Trigger,ObjectOverwrite)</f>
        <v>obj_00926#0015</v>
      </c>
      <c r="J59" s="104" t="b">
        <f t="shared" si="6"/>
        <v>1</v>
      </c>
      <c r="L59" s="25" t="str">
        <f>A64</f>
        <v>Sw</v>
      </c>
      <c r="M59" s="25" t="str">
        <f>D64</f>
        <v>35Y</v>
      </c>
      <c r="N59" s="25" t="str">
        <f>I64</f>
        <v>obj_008d0#0016</v>
      </c>
      <c r="O59" s="25" t="b">
        <f>J64</f>
        <v>1</v>
      </c>
      <c r="P59" s="14" t="str">
        <v>Sw</v>
      </c>
      <c r="Q59" s="14" t="str">
        <v>40Y</v>
      </c>
      <c r="R59" s="14" t="str">
        <v>obj_008fd#0015</v>
      </c>
      <c r="S59" s="21">
        <f>_xll.qlRateHelperQuoteValue(R59,Trigger)</f>
        <v>1.3540000000000002E-2</v>
      </c>
      <c r="T59" s="15">
        <f>_xll.qlRateHelperEarliestDate(R59,Trigger)</f>
        <v>42145</v>
      </c>
      <c r="U59" s="15">
        <f>_xll.qlRateHelperLatestDate(R59,Trigger)</f>
        <v>56755</v>
      </c>
      <c r="V59" s="119">
        <v>1.3689751094327848E-2</v>
      </c>
    </row>
    <row r="60" spans="1:22" ht="11.25" customHeight="1" x14ac:dyDescent="0.2">
      <c r="A60" s="109" t="s">
        <v>45</v>
      </c>
      <c r="B60" s="139"/>
      <c r="C60" s="139" t="s">
        <v>14</v>
      </c>
      <c r="D60" s="140" t="str">
        <v>31Y</v>
      </c>
      <c r="E60" s="132" t="s">
        <v>15</v>
      </c>
      <c r="F60" s="139" t="s">
        <v>16</v>
      </c>
      <c r="G60" s="132" t="s">
        <v>17</v>
      </c>
      <c r="H60" s="141">
        <v>1.34432727E-2</v>
      </c>
      <c r="I60" s="107" t="str">
        <f>_xll.qlSwapRateHelper2(,$H60,,$D60,Calendar,$F60,$E60,$G60,$I$30,0,C60,Discounting,Permanent,Trigger,ObjectOverwrite)</f>
        <v>obj_008fb#0015</v>
      </c>
      <c r="J60" s="104" t="b">
        <f t="shared" si="6"/>
        <v>1</v>
      </c>
      <c r="L60" s="25" t="str">
        <f>A65</f>
        <v>Sw</v>
      </c>
      <c r="M60" s="25" t="str">
        <f>D65</f>
        <v>36Y</v>
      </c>
      <c r="N60" s="25" t="str">
        <f>I65</f>
        <v>obj_00918#0015</v>
      </c>
      <c r="O60" s="25" t="b">
        <f>J65</f>
        <v>1</v>
      </c>
      <c r="P60" s="14" t="str">
        <v>Sw</v>
      </c>
      <c r="Q60" s="14" t="str">
        <v>50Y</v>
      </c>
      <c r="R60" s="14" t="str">
        <v>obj_008f4#0015</v>
      </c>
      <c r="S60" s="21">
        <f>_xll.qlRateHelperQuoteValue(R60,Trigger)</f>
        <v>1.3089999999999999E-2</v>
      </c>
      <c r="T60" s="15">
        <f>_xll.qlRateHelperEarliestDate(R60,Trigger)</f>
        <v>42145</v>
      </c>
      <c r="U60" s="15">
        <f>_xll.qlRateHelperLatestDate(R60,Trigger)</f>
        <v>60408</v>
      </c>
      <c r="V60" s="119">
        <v>1.3093018671736978E-2</v>
      </c>
    </row>
    <row r="61" spans="1:22" ht="11.25" customHeight="1" x14ac:dyDescent="0.2">
      <c r="A61" s="109" t="s">
        <v>45</v>
      </c>
      <c r="B61" s="139"/>
      <c r="C61" s="139" t="s">
        <v>14</v>
      </c>
      <c r="D61" s="140" t="str">
        <v>32Y</v>
      </c>
      <c r="E61" s="132" t="s">
        <v>15</v>
      </c>
      <c r="F61" s="139" t="s">
        <v>16</v>
      </c>
      <c r="G61" s="132" t="s">
        <v>17</v>
      </c>
      <c r="H61" s="141">
        <v>1.347603501E-2</v>
      </c>
      <c r="I61" s="107" t="str">
        <f>_xll.qlSwapRateHelper2(,$H61,,$D61,Calendar,$F61,$E61,$G61,$I$30,0,C61,Discounting,Permanent,Trigger,ObjectOverwrite)</f>
        <v>obj_00910#0015</v>
      </c>
      <c r="J61" s="104" t="b">
        <f t="shared" si="6"/>
        <v>1</v>
      </c>
      <c r="L61" s="25" t="str">
        <f>A66</f>
        <v>Sw</v>
      </c>
      <c r="M61" s="25" t="str">
        <f>D66</f>
        <v>37Y</v>
      </c>
      <c r="N61" s="25" t="str">
        <f>I66</f>
        <v>obj_008f9#0015</v>
      </c>
      <c r="O61" s="25" t="b">
        <f>J66</f>
        <v>1</v>
      </c>
      <c r="P61" s="14" t="str">
        <v>Sw</v>
      </c>
      <c r="Q61" s="14" t="str">
        <v>60Y</v>
      </c>
      <c r="R61" s="14" t="str">
        <v>obj_008e6#0016</v>
      </c>
      <c r="S61" s="21">
        <f>_xll.qlRateHelperQuoteValue(R61,Trigger)</f>
        <v>1.2969999999999999E-2</v>
      </c>
      <c r="T61" s="15">
        <f>_xll.qlRateHelperEarliestDate(R61,Trigger)</f>
        <v>42145</v>
      </c>
      <c r="U61" s="15">
        <f>_xll.qlRateHelperLatestDate(R61,Trigger)</f>
        <v>64060</v>
      </c>
      <c r="V61" s="119">
        <v>1.2930244487375016E-2</v>
      </c>
    </row>
    <row r="62" spans="1:22" ht="11.25" customHeight="1" x14ac:dyDescent="0.2">
      <c r="A62" s="109" t="s">
        <v>45</v>
      </c>
      <c r="B62" s="139"/>
      <c r="C62" s="139" t="s">
        <v>14</v>
      </c>
      <c r="D62" s="140" t="str">
        <v>33Y</v>
      </c>
      <c r="E62" s="132" t="s">
        <v>15</v>
      </c>
      <c r="F62" s="139" t="s">
        <v>16</v>
      </c>
      <c r="G62" s="132" t="s">
        <v>17</v>
      </c>
      <c r="H62" s="141">
        <v>1.350744787E-2</v>
      </c>
      <c r="I62" s="107" t="str">
        <f>_xll.qlSwapRateHelper2(,$H62,,$D62,Calendar,$F62,$E62,$G62,$I$30,0,C62,Discounting,Permanent,Trigger,ObjectOverwrite)</f>
        <v>obj_00901#0015</v>
      </c>
      <c r="J62" s="104" t="b">
        <f t="shared" si="6"/>
        <v>1</v>
      </c>
      <c r="L62" s="25" t="str">
        <f>A67</f>
        <v>Sw</v>
      </c>
      <c r="M62" s="25" t="str">
        <f>D67</f>
        <v>38Y</v>
      </c>
      <c r="N62" s="25" t="str">
        <f>I67</f>
        <v>obj_0090e#0015</v>
      </c>
      <c r="O62" s="25" t="b">
        <f>J67</f>
        <v>1</v>
      </c>
      <c r="P62" s="14" t="e">
        <v>#N/A</v>
      </c>
      <c r="Q62" s="14" t="e">
        <v>#N/A</v>
      </c>
      <c r="R62" s="14" t="e">
        <v>#N/A</v>
      </c>
      <c r="S62" s="21" t="e">
        <f>_xll.qlRateHelperQuoteValue(R62,Trigger)</f>
        <v>#VALUE!</v>
      </c>
      <c r="T62" s="15" t="e">
        <f>_xll.qlRateHelperEarliestDate(R62,Trigger)</f>
        <v>#VALUE!</v>
      </c>
      <c r="U62" s="15" t="e">
        <f>_xll.qlRateHelperLatestDate(R62,Trigger)</f>
        <v>#VALUE!</v>
      </c>
      <c r="V62" s="119" t="e">
        <v>#N/A</v>
      </c>
    </row>
    <row r="63" spans="1:22" ht="11.25" customHeight="1" x14ac:dyDescent="0.2">
      <c r="A63" s="109" t="s">
        <v>45</v>
      </c>
      <c r="B63" s="139"/>
      <c r="C63" s="139" t="s">
        <v>14</v>
      </c>
      <c r="D63" s="140" t="str">
        <v>34Y</v>
      </c>
      <c r="E63" s="132" t="s">
        <v>15</v>
      </c>
      <c r="F63" s="139" t="s">
        <v>16</v>
      </c>
      <c r="G63" s="132" t="s">
        <v>17</v>
      </c>
      <c r="H63" s="141">
        <v>1.353383124E-2</v>
      </c>
      <c r="I63" s="107" t="str">
        <f>_xll.qlSwapRateHelper2(,$H63,,$D63,Calendar,$F63,$E63,$G63,$I$30,0,C63,Discounting,Permanent,Trigger,ObjectOverwrite)</f>
        <v>obj_008e4#0016</v>
      </c>
      <c r="J63" s="104" t="b">
        <f t="shared" si="6"/>
        <v>1</v>
      </c>
      <c r="L63" s="25" t="str">
        <f>A68</f>
        <v>Sw</v>
      </c>
      <c r="M63" s="25" t="str">
        <f>D68</f>
        <v>39Y</v>
      </c>
      <c r="N63" s="25" t="str">
        <f>I68</f>
        <v>obj_008e7#0016</v>
      </c>
      <c r="O63" s="25" t="b">
        <f>J68</f>
        <v>1</v>
      </c>
      <c r="P63" s="14" t="e">
        <v>#N/A</v>
      </c>
      <c r="Q63" s="14" t="e">
        <v>#N/A</v>
      </c>
      <c r="R63" s="14" t="e">
        <v>#N/A</v>
      </c>
      <c r="S63" s="21" t="e">
        <f>_xll.qlRateHelperQuoteValue(R63,Trigger)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9" t="e">
        <v>#N/A</v>
      </c>
    </row>
    <row r="64" spans="1:22" ht="11.25" customHeight="1" x14ac:dyDescent="0.2">
      <c r="A64" s="109" t="s">
        <v>45</v>
      </c>
      <c r="B64" s="139"/>
      <c r="C64" s="139" t="s">
        <v>14</v>
      </c>
      <c r="D64" s="140" t="str">
        <v>35Y</v>
      </c>
      <c r="E64" s="132" t="s">
        <v>15</v>
      </c>
      <c r="F64" s="139" t="s">
        <v>16</v>
      </c>
      <c r="G64" s="132" t="s">
        <v>17</v>
      </c>
      <c r="H64" s="141">
        <v>1.355475858E-2</v>
      </c>
      <c r="I64" s="107" t="str">
        <f>_xll.qlSwapRateHelper2(,$H64,,$D64,Calendar,$F64,$E64,$G64,$I$30,0,C64,Discounting,Permanent,Trigger,ObjectOverwrite)</f>
        <v>obj_008d0#0016</v>
      </c>
      <c r="J64" s="104" t="b">
        <f t="shared" si="6"/>
        <v>1</v>
      </c>
      <c r="L64" s="25" t="str">
        <f>A69</f>
        <v>Sw</v>
      </c>
      <c r="M64" s="25" t="str">
        <f>D69</f>
        <v>40Y</v>
      </c>
      <c r="N64" s="25" t="str">
        <f>I69</f>
        <v>obj_008fd#0015</v>
      </c>
      <c r="O64" s="25" t="b">
        <f>J69</f>
        <v>1</v>
      </c>
      <c r="P64" s="14" t="e">
        <v>#N/A</v>
      </c>
      <c r="Q64" s="14" t="e">
        <v>#N/A</v>
      </c>
      <c r="R64" s="14" t="e">
        <v>#N/A</v>
      </c>
      <c r="S64" s="21" t="e">
        <f>_xll.qlRateHelperQuoteValue(R64,Trigger)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9" t="s">
        <v>45</v>
      </c>
      <c r="B65" s="139"/>
      <c r="C65" s="139" t="s">
        <v>14</v>
      </c>
      <c r="D65" s="140" t="str">
        <v>36Y</v>
      </c>
      <c r="E65" s="132" t="s">
        <v>15</v>
      </c>
      <c r="F65" s="139" t="s">
        <v>16</v>
      </c>
      <c r="G65" s="132" t="s">
        <v>17</v>
      </c>
      <c r="H65" s="141">
        <v>1.3569042890000001E-2</v>
      </c>
      <c r="I65" s="107" t="str">
        <f>_xll.qlSwapRateHelper2(,$H65,,$D65,Calendar,$F65,$E65,$G65,$I$30,0,C65,Discounting,Permanent,Trigger,ObjectOverwrite)</f>
        <v>obj_00918#0015</v>
      </c>
      <c r="J65" s="104" t="b">
        <f t="shared" si="6"/>
        <v>1</v>
      </c>
      <c r="L65" s="25" t="str">
        <f>A70</f>
        <v>Sw</v>
      </c>
      <c r="M65" s="25" t="str">
        <f>D70</f>
        <v>50Y</v>
      </c>
      <c r="N65" s="25" t="str">
        <f>I70</f>
        <v>obj_008f4#0015</v>
      </c>
      <c r="O65" s="25" t="b">
        <f>J70</f>
        <v>1</v>
      </c>
      <c r="P65" s="14" t="e">
        <v>#N/A</v>
      </c>
      <c r="Q65" s="14" t="e">
        <v>#N/A</v>
      </c>
      <c r="R65" s="14" t="e">
        <v>#N/A</v>
      </c>
      <c r="S65" s="21" t="e">
        <f>_xll.qlRateHelperQuoteValue(R65,Trigger)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9" t="s">
        <v>45</v>
      </c>
      <c r="B66" s="139"/>
      <c r="C66" s="139" t="s">
        <v>14</v>
      </c>
      <c r="D66" s="140" t="str">
        <v>37Y</v>
      </c>
      <c r="E66" s="132" t="s">
        <v>15</v>
      </c>
      <c r="F66" s="139" t="s">
        <v>16</v>
      </c>
      <c r="G66" s="132" t="s">
        <v>17</v>
      </c>
      <c r="H66" s="141">
        <v>1.357624331E-2</v>
      </c>
      <c r="I66" s="107" t="str">
        <f>_xll.qlSwapRateHelper2(,$H66,,$D66,Calendar,$F66,$E66,$G66,$I$30,0,C66,Discounting,Permanent,Trigger,ObjectOverwrite)</f>
        <v>obj_008f9#0015</v>
      </c>
      <c r="J66" s="104" t="b">
        <f t="shared" si="6"/>
        <v>1</v>
      </c>
      <c r="L66" s="25" t="str">
        <f>A71</f>
        <v>Sw</v>
      </c>
      <c r="M66" s="25" t="str">
        <f>D71</f>
        <v>60Y</v>
      </c>
      <c r="N66" s="25" t="str">
        <f>I71</f>
        <v>obj_008e6#0016</v>
      </c>
      <c r="O66" s="25" t="b">
        <f>J71</f>
        <v>1</v>
      </c>
      <c r="P66" s="14" t="e">
        <v>#N/A</v>
      </c>
      <c r="Q66" s="14" t="e">
        <v>#N/A</v>
      </c>
      <c r="R66" s="14" t="e">
        <v>#N/A</v>
      </c>
      <c r="S66" s="21" t="e">
        <f>_xll.qlRateHelperQuoteValue(R66,Trigger)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9" t="s">
        <v>45</v>
      </c>
      <c r="B67" s="139"/>
      <c r="C67" s="139" t="s">
        <v>14</v>
      </c>
      <c r="D67" s="140" t="str">
        <v>38Y</v>
      </c>
      <c r="E67" s="132" t="s">
        <v>15</v>
      </c>
      <c r="F67" s="139" t="s">
        <v>16</v>
      </c>
      <c r="G67" s="132" t="s">
        <v>17</v>
      </c>
      <c r="H67" s="141">
        <v>1.3573961020000001E-2</v>
      </c>
      <c r="I67" s="107" t="str">
        <f>_xll.qlSwapRateHelper2(,$H67,,$D67,Calendar,$F67,$E67,$G67,$I$30,0,C67,Discounting,Permanent,Trigger,ObjectOverwrite)</f>
        <v>obj_0090e#0015</v>
      </c>
      <c r="J67" s="104" t="b">
        <f t="shared" si="6"/>
        <v>1</v>
      </c>
      <c r="L67" s="25" t="str">
        <f>A72</f>
        <v>Sw</v>
      </c>
      <c r="M67" s="25" t="e">
        <f>D72</f>
        <v>#N/A</v>
      </c>
      <c r="N67" s="25" t="e">
        <f>I72</f>
        <v>#VALUE!</v>
      </c>
      <c r="O67" s="25" t="b">
        <f>J72</f>
        <v>0</v>
      </c>
      <c r="P67" s="14" t="e">
        <v>#N/A</v>
      </c>
      <c r="Q67" s="14" t="e">
        <v>#N/A</v>
      </c>
      <c r="R67" s="14" t="e">
        <v>#N/A</v>
      </c>
      <c r="S67" s="21" t="e">
        <f>_xll.qlRateHelperQuoteValue(R67,Trigger)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9" t="s">
        <v>45</v>
      </c>
      <c r="B68" s="139"/>
      <c r="C68" s="139" t="s">
        <v>14</v>
      </c>
      <c r="D68" s="140" t="str">
        <v>39Y</v>
      </c>
      <c r="E68" s="132" t="s">
        <v>15</v>
      </c>
      <c r="F68" s="139" t="s">
        <v>16</v>
      </c>
      <c r="G68" s="132" t="s">
        <v>17</v>
      </c>
      <c r="H68" s="141">
        <v>1.3562128350000001E-2</v>
      </c>
      <c r="I68" s="107" t="str">
        <f>_xll.qlSwapRateHelper2(,$H68,,$D68,Calendar,$F68,$E68,$G68,$I$30,0,C68,Discounting,Permanent,Trigger,ObjectOverwrite)</f>
        <v>obj_008e7#0016</v>
      </c>
      <c r="J68" s="104" t="b">
        <f t="shared" si="6"/>
        <v>1</v>
      </c>
      <c r="L68" s="25" t="str">
        <f>A73</f>
        <v>Sw</v>
      </c>
      <c r="M68" s="25" t="e">
        <f>D73</f>
        <v>#N/A</v>
      </c>
      <c r="N68" s="25" t="e">
        <f>I73</f>
        <v>#VALUE!</v>
      </c>
      <c r="O68" s="25" t="b">
        <f>J73</f>
        <v>0</v>
      </c>
      <c r="P68" s="14" t="e">
        <v>#N/A</v>
      </c>
      <c r="Q68" s="14" t="e">
        <v>#N/A</v>
      </c>
      <c r="R68" s="14" t="e">
        <v>#N/A</v>
      </c>
      <c r="S68" s="21" t="e">
        <f>_xll.qlRateHelperQuoteValue(R68,Trigger)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9" t="s">
        <v>45</v>
      </c>
      <c r="B69" s="139"/>
      <c r="C69" s="139" t="s">
        <v>14</v>
      </c>
      <c r="D69" s="140" t="str">
        <v>40Y</v>
      </c>
      <c r="E69" s="132" t="s">
        <v>15</v>
      </c>
      <c r="F69" s="139" t="s">
        <v>16</v>
      </c>
      <c r="G69" s="132" t="s">
        <v>17</v>
      </c>
      <c r="H69" s="141">
        <v>1.3540000000000002E-2</v>
      </c>
      <c r="I69" s="107" t="str">
        <f>_xll.qlSwapRateHelper2(,$H69,,$D69,Calendar,$F69,$E69,$G69,$I$30,0,C69,Discounting,Permanent,Trigger,ObjectOverwrite)</f>
        <v>obj_008fd#0015</v>
      </c>
      <c r="J69" s="104" t="b">
        <f t="shared" si="6"/>
        <v>1</v>
      </c>
      <c r="L69" s="25" t="str">
        <f>A74</f>
        <v>Sw</v>
      </c>
      <c r="M69" s="25" t="e">
        <f>D74</f>
        <v>#N/A</v>
      </c>
      <c r="N69" s="25" t="e">
        <f>I74</f>
        <v>#VALUE!</v>
      </c>
      <c r="O69" s="25" t="b">
        <f>J74</f>
        <v>0</v>
      </c>
      <c r="P69" s="14" t="e">
        <v>#N/A</v>
      </c>
      <c r="Q69" s="14" t="e">
        <v>#N/A</v>
      </c>
      <c r="R69" s="14" t="e">
        <v>#N/A</v>
      </c>
      <c r="S69" s="21" t="e">
        <f>_xll.qlRateHelperQuoteValue(R69,Trigger)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9" t="s">
        <v>45</v>
      </c>
      <c r="B70" s="139"/>
      <c r="C70" s="139" t="s">
        <v>14</v>
      </c>
      <c r="D70" s="140" t="str">
        <v>50Y</v>
      </c>
      <c r="E70" s="132" t="s">
        <v>15</v>
      </c>
      <c r="F70" s="139" t="s">
        <v>16</v>
      </c>
      <c r="G70" s="132" t="s">
        <v>17</v>
      </c>
      <c r="H70" s="141">
        <v>1.3089999999999999E-2</v>
      </c>
      <c r="I70" s="107" t="str">
        <f>_xll.qlSwapRateHelper2(,$H70,,$D70,Calendar,$F70,$E70,$G70,$I$30,0,C70,Discounting,Permanent,Trigger,ObjectOverwrite)</f>
        <v>obj_008f4#0015</v>
      </c>
      <c r="J70" s="104" t="b">
        <f t="shared" si="6"/>
        <v>1</v>
      </c>
      <c r="L70" s="25" t="str">
        <f>A75</f>
        <v>Sw</v>
      </c>
      <c r="M70" s="25" t="e">
        <f>D75</f>
        <v>#N/A</v>
      </c>
      <c r="N70" s="25" t="e">
        <f>I75</f>
        <v>#VALUE!</v>
      </c>
      <c r="O70" s="25" t="b">
        <f>J75</f>
        <v>0</v>
      </c>
      <c r="P70" s="14" t="e">
        <v>#N/A</v>
      </c>
      <c r="Q70" s="14" t="e">
        <v>#N/A</v>
      </c>
      <c r="R70" s="14" t="e">
        <v>#N/A</v>
      </c>
      <c r="S70" s="21" t="e">
        <f>_xll.qlRateHelperQuoteValue(R70,Trigger)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9" t="s">
        <v>45</v>
      </c>
      <c r="B71" s="139"/>
      <c r="C71" s="139" t="s">
        <v>14</v>
      </c>
      <c r="D71" s="140" t="str">
        <v>60Y</v>
      </c>
      <c r="E71" s="132" t="s">
        <v>15</v>
      </c>
      <c r="F71" s="139" t="s">
        <v>16</v>
      </c>
      <c r="G71" s="132" t="s">
        <v>17</v>
      </c>
      <c r="H71" s="141">
        <v>1.2969999999999999E-2</v>
      </c>
      <c r="I71" s="107" t="str">
        <f>_xll.qlSwapRateHelper2(,$H71,,$D71,Calendar,$F71,$E71,$G71,$I$30,0,C71,Discounting,Permanent,Trigger,ObjectOverwrite)</f>
        <v>obj_008e6#0016</v>
      </c>
      <c r="J71" s="104" t="b">
        <f t="shared" si="6"/>
        <v>1</v>
      </c>
      <c r="L71" s="26" t="str">
        <f>A76</f>
        <v>Sw</v>
      </c>
      <c r="M71" s="26" t="e">
        <f>D76</f>
        <v>#N/A</v>
      </c>
      <c r="N71" s="26" t="e">
        <f>I76</f>
        <v>#VALUE!</v>
      </c>
      <c r="O71" s="26" t="b">
        <f>J76</f>
        <v>0</v>
      </c>
      <c r="P71" s="16" t="e">
        <v>#N/A</v>
      </c>
      <c r="Q71" s="16" t="e">
        <v>#N/A</v>
      </c>
      <c r="R71" s="16" t="e">
        <v>#N/A</v>
      </c>
      <c r="S71" s="31" t="e">
        <f>_xll.qlRateHelperQuoteValue(R71,Trigger)</f>
        <v>#VALUE!</v>
      </c>
      <c r="T71" s="32" t="e">
        <f>_xll.qlRateHelperEarliestDate(R71,Trigger)</f>
        <v>#VALUE!</v>
      </c>
      <c r="U71" s="32" t="e">
        <f>_xll.qlRateHelperLatestDate(R71,Trigger)</f>
        <v>#VALUE!</v>
      </c>
      <c r="V71" s="16" t="e">
        <v>#N/A</v>
      </c>
    </row>
    <row r="72" spans="1:22" ht="11.25" customHeight="1" x14ac:dyDescent="0.2">
      <c r="A72" s="109" t="s">
        <v>45</v>
      </c>
      <c r="B72" s="139"/>
      <c r="C72" s="139" t="s">
        <v>14</v>
      </c>
      <c r="D72" s="140" t="e">
        <v>#N/A</v>
      </c>
      <c r="E72" s="132" t="s">
        <v>15</v>
      </c>
      <c r="F72" s="139" t="s">
        <v>16</v>
      </c>
      <c r="G72" s="132" t="s">
        <v>17</v>
      </c>
      <c r="H72" s="141" t="e">
        <v>#N/A</v>
      </c>
      <c r="I72" s="107" t="e">
        <f>_xll.qlSwapRateHelper2(,$H72,,$D72,Calendar,$F72,$E72,$G72,$I$30,0,C72,Discounting,Permanent,Trigger,ObjectOverwrite)</f>
        <v>#VALUE!</v>
      </c>
      <c r="J72" s="104" t="b">
        <f t="shared" si="6"/>
        <v>0</v>
      </c>
    </row>
    <row r="73" spans="1:22" ht="11.25" customHeight="1" x14ac:dyDescent="0.2">
      <c r="A73" s="109" t="s">
        <v>45</v>
      </c>
      <c r="B73" s="139"/>
      <c r="C73" s="139" t="s">
        <v>14</v>
      </c>
      <c r="D73" s="140" t="e">
        <v>#N/A</v>
      </c>
      <c r="E73" s="132" t="s">
        <v>15</v>
      </c>
      <c r="F73" s="139" t="s">
        <v>16</v>
      </c>
      <c r="G73" s="132" t="s">
        <v>17</v>
      </c>
      <c r="H73" s="141" t="e">
        <v>#N/A</v>
      </c>
      <c r="I73" s="107" t="e">
        <f>_xll.qlSwapRateHelper2(,$H73,,$D73,Calendar,$F73,$E73,$G73,$I$30,0,C73,Discounting,Permanent,Trigger,ObjectOverwrite)</f>
        <v>#VALUE!</v>
      </c>
      <c r="J73" s="104" t="b">
        <f t="shared" si="6"/>
        <v>0</v>
      </c>
    </row>
    <row r="74" spans="1:22" ht="11.25" customHeight="1" x14ac:dyDescent="0.2">
      <c r="A74" s="109" t="s">
        <v>45</v>
      </c>
      <c r="B74" s="139"/>
      <c r="C74" s="139" t="s">
        <v>14</v>
      </c>
      <c r="D74" s="140" t="e">
        <v>#N/A</v>
      </c>
      <c r="E74" s="132" t="s">
        <v>15</v>
      </c>
      <c r="F74" s="139" t="s">
        <v>16</v>
      </c>
      <c r="G74" s="132" t="s">
        <v>17</v>
      </c>
      <c r="H74" s="141" t="e">
        <v>#N/A</v>
      </c>
      <c r="I74" s="107" t="e">
        <f>_xll.qlSwapRateHelper2(,$H74,,$D74,Calendar,$F74,$E74,$G74,$I$30,0,C74,Discounting,Permanent,Trigger,ObjectOverwrite)</f>
        <v>#VALUE!</v>
      </c>
      <c r="J74" s="104" t="b">
        <f t="shared" si="6"/>
        <v>0</v>
      </c>
    </row>
    <row r="75" spans="1:22" ht="11.25" customHeight="1" x14ac:dyDescent="0.2">
      <c r="A75" s="109" t="s">
        <v>45</v>
      </c>
      <c r="B75" s="139"/>
      <c r="C75" s="139" t="s">
        <v>14</v>
      </c>
      <c r="D75" s="140" t="e">
        <v>#N/A</v>
      </c>
      <c r="E75" s="132" t="s">
        <v>15</v>
      </c>
      <c r="F75" s="139" t="s">
        <v>16</v>
      </c>
      <c r="G75" s="132" t="s">
        <v>17</v>
      </c>
      <c r="H75" s="141" t="e">
        <v>#N/A</v>
      </c>
      <c r="I75" s="107" t="e">
        <f>_xll.qlSwapRateHelper2(,$H75,,$D75,Calendar,$F75,$E75,$G75,$I$30,0,C75,Discounting,Permanent,Trigger,ObjectOverwrite)</f>
        <v>#VALUE!</v>
      </c>
      <c r="J75" s="104" t="b">
        <f t="shared" si="6"/>
        <v>0</v>
      </c>
    </row>
    <row r="76" spans="1:22" ht="11.25" customHeight="1" x14ac:dyDescent="0.2">
      <c r="A76" s="7" t="s">
        <v>45</v>
      </c>
      <c r="B76" s="142"/>
      <c r="C76" s="142" t="s">
        <v>14</v>
      </c>
      <c r="D76" s="143" t="e">
        <v>#N/A</v>
      </c>
      <c r="E76" s="3" t="s">
        <v>15</v>
      </c>
      <c r="F76" s="142" t="s">
        <v>16</v>
      </c>
      <c r="G76" s="3" t="s">
        <v>17</v>
      </c>
      <c r="H76" s="144" t="e">
        <v>#N/A</v>
      </c>
      <c r="I76" s="5" t="e">
        <f>_xll.qlSwapRateHelper2(,$H76,,$D76,Calendar,$F76,$E76,$G76,$I$30,0,C76,Discounting,Permanent,Trigger,ObjectOverwrite)</f>
        <v>#VALUE!</v>
      </c>
      <c r="J76" s="19" t="b">
        <f t="shared" si="6"/>
        <v>0</v>
      </c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4">
    <dataValidation type="list" allowBlank="1" showInputMessage="1" showErrorMessage="1" sqref="E21:E28">
      <formula1>"Following,Modified Following,Preceding,Modified Preceding,Unadjusted"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E32:E76">
      <formula1>"Following,Modified Following,Preceding,Modified Preceding,Month End Reference,Unadjusted Month End,Unadjusted"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81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4" hidden="1" customWidth="1" outlineLevel="1"/>
    <col min="2" max="2" width="17.28515625" style="74" hidden="1" customWidth="1" outlineLevel="2"/>
    <col min="3" max="3" width="10" style="91" hidden="1" customWidth="1" outlineLevel="1" collapsed="1"/>
    <col min="4" max="4" width="8.7109375" style="90" hidden="1" customWidth="1" outlineLevel="1"/>
    <col min="5" max="5" width="19" style="92" hidden="1" customWidth="1" outlineLevel="1"/>
    <col min="6" max="6" width="10" style="74" hidden="1" customWidth="1" outlineLevel="1"/>
    <col min="7" max="7" width="20.28515625" style="74" hidden="1" customWidth="1" outlineLevel="1"/>
    <col min="8" max="8" width="11.5703125" style="74" hidden="1" customWidth="1" outlineLevel="1"/>
    <col min="9" max="9" width="15.140625" style="74" hidden="1" customWidth="1" outlineLevel="1"/>
    <col min="10" max="10" width="9" style="90" hidden="1" customWidth="1" outlineLevel="1"/>
    <col min="11" max="11" width="2.7109375" style="74" customWidth="1" collapsed="1"/>
    <col min="12" max="12" width="5" style="74" hidden="1" customWidth="1" outlineLevel="1"/>
    <col min="13" max="13" width="6" style="74" hidden="1" customWidth="1" outlineLevel="1"/>
    <col min="14" max="14" width="15.140625" style="74" hidden="1" customWidth="1" outlineLevel="1"/>
    <col min="15" max="15" width="6" style="74" hidden="1" customWidth="1" outlineLevel="1"/>
    <col min="16" max="16" width="5" style="74" bestFit="1" customWidth="1" collapsed="1"/>
    <col min="17" max="17" width="6" style="74" customWidth="1"/>
    <col min="18" max="18" width="15.140625" style="74" hidden="1" customWidth="1" outlineLevel="1"/>
    <col min="19" max="19" width="10" style="74" bestFit="1" customWidth="1" collapsed="1"/>
    <col min="20" max="21" width="17.28515625" style="74" bestFit="1" customWidth="1"/>
    <col min="22" max="22" width="9" style="74" customWidth="1"/>
    <col min="23" max="23" width="15.140625" style="74" bestFit="1" customWidth="1"/>
    <col min="24" max="24" width="9" style="74" bestFit="1" customWidth="1"/>
    <col min="25" max="16384" width="9.140625" style="74"/>
  </cols>
  <sheetData>
    <row r="1" spans="1:22" ht="21" customHeight="1" x14ac:dyDescent="0.2">
      <c r="B1" s="80"/>
      <c r="C1" s="81"/>
      <c r="D1" s="82"/>
      <c r="E1" s="83"/>
      <c r="F1" s="84"/>
      <c r="J1" s="82"/>
      <c r="L1" s="111"/>
      <c r="M1" s="112"/>
      <c r="N1" s="112"/>
      <c r="O1" s="113"/>
      <c r="P1" s="149" t="s">
        <v>180</v>
      </c>
      <c r="Q1" s="112"/>
      <c r="R1" s="112"/>
      <c r="S1" s="117"/>
      <c r="T1" s="112"/>
      <c r="U1" s="112"/>
      <c r="V1" s="148" t="s">
        <v>197</v>
      </c>
    </row>
    <row r="2" spans="1:22" ht="21" customHeight="1" x14ac:dyDescent="0.2">
      <c r="A2" s="110" t="s">
        <v>18</v>
      </c>
      <c r="B2" s="110"/>
      <c r="C2" s="110" t="s">
        <v>1</v>
      </c>
      <c r="D2" s="110" t="s">
        <v>2</v>
      </c>
      <c r="E2" s="110" t="s">
        <v>13</v>
      </c>
      <c r="F2" s="110" t="s">
        <v>3</v>
      </c>
      <c r="G2" s="110" t="s">
        <v>4</v>
      </c>
      <c r="H2" s="110" t="s">
        <v>5</v>
      </c>
      <c r="I2" s="110" t="s">
        <v>43</v>
      </c>
      <c r="J2" s="110" t="s">
        <v>47</v>
      </c>
      <c r="L2" s="148" t="s">
        <v>18</v>
      </c>
      <c r="M2" s="148"/>
      <c r="N2" s="148" t="s">
        <v>43</v>
      </c>
      <c r="O2" s="148"/>
      <c r="P2" s="148" t="s">
        <v>18</v>
      </c>
      <c r="Q2" s="148" t="s">
        <v>58</v>
      </c>
      <c r="R2" s="148" t="s">
        <v>43</v>
      </c>
      <c r="S2" s="160" t="s">
        <v>39</v>
      </c>
      <c r="T2" s="148" t="s">
        <v>37</v>
      </c>
      <c r="U2" s="148" t="s">
        <v>38</v>
      </c>
      <c r="V2" s="118">
        <f t="array" ref="V2:V71">_xll.qlPiecewiseYieldCurveData(YieldCurve_6M,Trigger)</f>
        <v>-1.0138892832213192E-3</v>
      </c>
    </row>
    <row r="3" spans="1:22" ht="11.25" customHeight="1" x14ac:dyDescent="0.2">
      <c r="A3" s="94" t="s">
        <v>46</v>
      </c>
      <c r="B3" s="94" t="str">
        <f t="array" ref="B3:B18">_xll.ohFilter(PastedValue!Y2:Y62,PastedValue!U2:U62="Dp")</f>
        <v>O/N</v>
      </c>
      <c r="C3" s="95" t="str">
        <f>IF(LEFT(B3,1)="#",(_xll.qlCalendarBusinessDaysBetween(Calendar,Settlementdate,DATE(RIGHT(LEFT(B3,5),4),LEFT(RIGHT(B3,4),2),RIGHT(B3,2)),,TRUE,Trigger)-1)&amp;"D",B3)</f>
        <v>O/N</v>
      </c>
      <c r="D3" s="96">
        <f>IF(C3="O/N",0,IF(C3="T/N",1,2))</f>
        <v>0</v>
      </c>
      <c r="E3" s="97" t="str">
        <f>IF(OR(RIGHT(C3,1)="M",RIGHT(C3,1)="D"),"Modified Following","Following")</f>
        <v>Following</v>
      </c>
      <c r="F3" s="98" t="str">
        <f>IF(OR(RIGHT(C3,1)="M",RIGHT(C3,1)="D"),"TRUE","FALSE")</f>
        <v>FALSE</v>
      </c>
      <c r="G3" s="99" t="s">
        <v>50</v>
      </c>
      <c r="H3" s="100">
        <f t="array" ref="H3:H18">_xll.ohFilter(PastedValue!AB2:AB62,PastedValue!U2:U62="Dp")/100</f>
        <v>-9.9999900000000011E-4</v>
      </c>
      <c r="I3" s="101" t="str">
        <f>_xll.qlDepositRateHelper2(,H3,IF(RIGHT(C3,1)="N","1D",C3),D3,Calendar,E3,F3,G3,,Trigger)</f>
        <v>obj_0093e#0014</v>
      </c>
      <c r="J3" s="96" t="b">
        <f>IF(ISNUMBER(H3),TRUE,FALSE)</f>
        <v>1</v>
      </c>
      <c r="K3" s="80"/>
      <c r="L3" s="25" t="str">
        <f>A3</f>
        <v>Dp</v>
      </c>
      <c r="M3" s="25" t="str">
        <f>C3</f>
        <v>O/N</v>
      </c>
      <c r="N3" s="14" t="str">
        <f>I3</f>
        <v>obj_0093e#0014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obj_0093e#0014</v>
      </c>
      <c r="S3" s="21">
        <f>_xll.qlRateHelperQuoteValue(R3,Trigger)</f>
        <v>-9.9999900000000011E-4</v>
      </c>
      <c r="T3" s="15">
        <f>_xll.qlRateHelperEarliestDate(R3,Trigger)</f>
        <v>42143</v>
      </c>
      <c r="U3" s="15">
        <f>_xll.qlRateHelperLatestDate(R3,Trigger)</f>
        <v>42144</v>
      </c>
      <c r="V3" s="119">
        <v>-1.0138892832213192E-3</v>
      </c>
    </row>
    <row r="4" spans="1:22" ht="11.25" customHeight="1" x14ac:dyDescent="0.2">
      <c r="A4" s="102" t="s">
        <v>46</v>
      </c>
      <c r="B4" s="102" t="str">
        <v>T/N</v>
      </c>
      <c r="C4" s="103" t="str">
        <f>IF(LEFT(B4,1)="#",(_xll.qlCalendarBusinessDaysBetween(Calendar,Settlementdate,DATE(RIGHT(LEFT(B4,5),4),LEFT(RIGHT(B4,4),2),RIGHT(B4,2)),,TRUE,Trigger)-1)&amp;"D",B4)</f>
        <v>T/N</v>
      </c>
      <c r="D4" s="104">
        <f t="shared" ref="D4:D18" si="0">IF(C4="O/N",0,IF(C4="T/N",1,2))</f>
        <v>1</v>
      </c>
      <c r="E4" s="105" t="str">
        <f t="shared" ref="E4:E18" si="1">IF(OR(RIGHT(C4,1)="M",RIGHT(C4,1)="D"),"Modified Following","Following")</f>
        <v>Following</v>
      </c>
      <c r="F4" s="106" t="str">
        <f t="shared" ref="F4:F18" si="2">IF(OR(RIGHT(C4,1)="M",RIGHT(C4,1)="D"),"TRUE","FALSE")</f>
        <v>FALSE</v>
      </c>
      <c r="G4" s="107" t="s">
        <v>50</v>
      </c>
      <c r="H4" s="108">
        <v>-1E-3</v>
      </c>
      <c r="I4" s="109" t="str">
        <f>_xll.qlDepositRateHelper2(,H4,IF(RIGHT(C4,1)="N","1D",C4),D4,Calendar,E4,F4,G4,,Trigger)</f>
        <v>obj_00940#0014</v>
      </c>
      <c r="J4" s="104" t="b">
        <f t="shared" ref="J4:J18" si="3">IF(ISNUMBER(H4),TRUE,FALSE)</f>
        <v>1</v>
      </c>
      <c r="K4" s="77"/>
      <c r="L4" s="25" t="str">
        <f t="shared" ref="L4:L18" si="4">A4</f>
        <v>Dp</v>
      </c>
      <c r="M4" s="25" t="str">
        <f t="shared" ref="M4:M18" si="5">C4</f>
        <v>T/N</v>
      </c>
      <c r="N4" s="14" t="str">
        <f t="shared" ref="N4:O18" si="6">I4</f>
        <v>obj_00940#0014</v>
      </c>
      <c r="O4" s="14" t="b">
        <f t="shared" si="6"/>
        <v>1</v>
      </c>
      <c r="P4" s="14" t="str">
        <v>Dp</v>
      </c>
      <c r="Q4" s="14" t="str">
        <v>T/N</v>
      </c>
      <c r="R4" s="14" t="str">
        <v>obj_00940#0014</v>
      </c>
      <c r="S4" s="21">
        <f>_xll.qlRateHelperQuoteValue(R4,Trigger)</f>
        <v>-1E-3</v>
      </c>
      <c r="T4" s="15">
        <f>_xll.qlRateHelperEarliestDate(R4,Trigger)</f>
        <v>42144</v>
      </c>
      <c r="U4" s="15">
        <f>_xll.qlRateHelperLatestDate(R4,Trigger)</f>
        <v>42145</v>
      </c>
      <c r="V4" s="119">
        <v>-1.0138897901325011E-3</v>
      </c>
    </row>
    <row r="5" spans="1:22" ht="11.25" customHeight="1" x14ac:dyDescent="0.2">
      <c r="A5" s="102" t="s">
        <v>46</v>
      </c>
      <c r="B5" s="102" t="str">
        <v>S/N</v>
      </c>
      <c r="C5" s="103" t="str">
        <f>IF(LEFT(B5,1)="#",(_xll.qlCalendarBusinessDaysBetween(Calendar,Settlementdate,DATE(RIGHT(LEFT(B5,5),4),LEFT(RIGHT(B5,4),2),RIGHT(B5,2)),,TRUE,Trigger)-1)&amp;"D",B5)</f>
        <v>S/N</v>
      </c>
      <c r="D5" s="104">
        <f t="shared" si="0"/>
        <v>2</v>
      </c>
      <c r="E5" s="105" t="str">
        <f t="shared" si="1"/>
        <v>Following</v>
      </c>
      <c r="F5" s="106" t="str">
        <f t="shared" si="2"/>
        <v>FALSE</v>
      </c>
      <c r="G5" s="107" t="s">
        <v>50</v>
      </c>
      <c r="H5" s="108">
        <v>1.8400000000000001E-3</v>
      </c>
      <c r="I5" s="109" t="str">
        <f>_xll.qlDepositRateHelper2(,H5,IF(RIGHT(C5,1)="N","1D",C5),D5,Calendar,E5,F5,G5,,Trigger)</f>
        <v>obj_0094a#0014</v>
      </c>
      <c r="J5" s="104" t="b">
        <f t="shared" si="3"/>
        <v>1</v>
      </c>
      <c r="K5" s="77"/>
      <c r="L5" s="25" t="str">
        <f t="shared" si="4"/>
        <v>Dp</v>
      </c>
      <c r="M5" s="25" t="str">
        <f t="shared" si="5"/>
        <v>S/N</v>
      </c>
      <c r="N5" s="14" t="str">
        <f t="shared" si="6"/>
        <v>obj_0094a#0014</v>
      </c>
      <c r="O5" s="14" t="b">
        <f t="shared" si="6"/>
        <v>1</v>
      </c>
      <c r="P5" s="14" t="str">
        <v>Dp</v>
      </c>
      <c r="Q5" s="14" t="str">
        <v>S/N</v>
      </c>
      <c r="R5" s="14" t="str">
        <v>obj_0094a#0014</v>
      </c>
      <c r="S5" s="21">
        <f>_xll.qlRateHelperQuoteValue(R5,Trigger)</f>
        <v>1.8400000000000001E-3</v>
      </c>
      <c r="T5" s="15">
        <f>_xll.qlRateHelperEarliestDate(R5,Trigger)</f>
        <v>42145</v>
      </c>
      <c r="U5" s="15">
        <f>_xll.qlRateHelperLatestDate(R5,Trigger)</f>
        <v>42146</v>
      </c>
      <c r="V5" s="119">
        <v>-5.4076263958019066E-5</v>
      </c>
    </row>
    <row r="6" spans="1:22" ht="11.25" customHeight="1" x14ac:dyDescent="0.2">
      <c r="A6" s="102" t="s">
        <v>46</v>
      </c>
      <c r="B6" s="102" t="str">
        <v>1W</v>
      </c>
      <c r="C6" s="103" t="str">
        <f>IF(LEFT(B6,1)="#",(_xll.qlCalendarBusinessDaysBetween(Calendar,Settlementdate,DATE(RIGHT(LEFT(B6,5),4),LEFT(RIGHT(B6,4),2),RIGHT(B6,2)),,TRUE,Trigger)-1)&amp;"D",B6)</f>
        <v>1W</v>
      </c>
      <c r="D6" s="104">
        <f t="shared" si="0"/>
        <v>2</v>
      </c>
      <c r="E6" s="105" t="str">
        <f t="shared" si="1"/>
        <v>Following</v>
      </c>
      <c r="F6" s="106" t="str">
        <f t="shared" si="2"/>
        <v>FALSE</v>
      </c>
      <c r="G6" s="107" t="s">
        <v>50</v>
      </c>
      <c r="H6" s="108">
        <v>-2.1100000000000001E-4</v>
      </c>
      <c r="I6" s="109" t="str">
        <f>_xll.qlDepositRateHelper2(,H6,IF(RIGHT(C6,1)="N","1D",C6),D6,Calendar,E6,F6,G6,,Trigger)</f>
        <v>obj_0094e#0014</v>
      </c>
      <c r="J6" s="104" t="b">
        <f t="shared" si="3"/>
        <v>1</v>
      </c>
      <c r="K6" s="77"/>
      <c r="L6" s="25" t="str">
        <f t="shared" si="4"/>
        <v>Dp</v>
      </c>
      <c r="M6" s="25" t="str">
        <f t="shared" si="5"/>
        <v>1W</v>
      </c>
      <c r="N6" s="14" t="str">
        <f t="shared" si="6"/>
        <v>obj_0094e#0014</v>
      </c>
      <c r="O6" s="14" t="b">
        <f t="shared" si="6"/>
        <v>1</v>
      </c>
      <c r="P6" s="14" t="str">
        <v>Dp</v>
      </c>
      <c r="Q6" s="14" t="str">
        <v>1W</v>
      </c>
      <c r="R6" s="14" t="str">
        <v>obj_0094e#0014</v>
      </c>
      <c r="S6" s="21">
        <f>_xll.qlRateHelperQuoteValue(R6,Trigger)</f>
        <v>-2.1100000000000001E-4</v>
      </c>
      <c r="T6" s="15">
        <f>_xll.qlRateHelperEarliestDate(R6,Trigger)</f>
        <v>42145</v>
      </c>
      <c r="U6" s="15">
        <f>_xll.qlRateHelperLatestDate(R6,Trigger)</f>
        <v>42152</v>
      </c>
      <c r="V6" s="119">
        <v>-3.9169961568361251E-4</v>
      </c>
    </row>
    <row r="7" spans="1:22" ht="11.25" customHeight="1" x14ac:dyDescent="0.2">
      <c r="A7" s="102" t="s">
        <v>46</v>
      </c>
      <c r="B7" s="102" t="str">
        <v>2W</v>
      </c>
      <c r="C7" s="103" t="str">
        <f>IF(LEFT(B7,1)="#",(_xll.qlCalendarBusinessDaysBetween(Calendar,Settlementdate,DATE(RIGHT(LEFT(B7,5),4),LEFT(RIGHT(B7,4),2),RIGHT(B7,2)),,TRUE,Trigger)-1)&amp;"D",B7)</f>
        <v>2W</v>
      </c>
      <c r="D7" s="104">
        <f t="shared" si="0"/>
        <v>2</v>
      </c>
      <c r="E7" s="105" t="str">
        <f t="shared" si="1"/>
        <v>Following</v>
      </c>
      <c r="F7" s="106" t="str">
        <f t="shared" si="2"/>
        <v>FALSE</v>
      </c>
      <c r="G7" s="107" t="s">
        <v>50</v>
      </c>
      <c r="H7" s="108">
        <v>-5.4999999999999995E-5</v>
      </c>
      <c r="I7" s="109" t="str">
        <f>_xll.qlDepositRateHelper2(,H7,IF(RIGHT(C7,1)="N","1D",C7),D7,Calendar,E7,F7,G7,,Trigger)</f>
        <v>obj_00942#0014</v>
      </c>
      <c r="J7" s="104" t="b">
        <f t="shared" si="3"/>
        <v>1</v>
      </c>
      <c r="K7" s="77"/>
      <c r="L7" s="25" t="str">
        <f t="shared" si="4"/>
        <v>Dp</v>
      </c>
      <c r="M7" s="25" t="str">
        <f t="shared" si="5"/>
        <v>2W</v>
      </c>
      <c r="N7" s="14" t="str">
        <f t="shared" si="6"/>
        <v>obj_00942#0014</v>
      </c>
      <c r="O7" s="14" t="b">
        <f t="shared" si="6"/>
        <v>1</v>
      </c>
      <c r="P7" s="14" t="str">
        <v>Dp</v>
      </c>
      <c r="Q7" s="14" t="str">
        <v>2W</v>
      </c>
      <c r="R7" s="14" t="str">
        <v>obj_00942#0014</v>
      </c>
      <c r="S7" s="21">
        <f>_xll.qlRateHelperQuoteValue(R7,Trigger)</f>
        <v>-5.4999999999999995E-5</v>
      </c>
      <c r="T7" s="15">
        <f>_xll.qlRateHelperEarliestDate(R7,Trigger)</f>
        <v>42145</v>
      </c>
      <c r="U7" s="15">
        <f>_xll.qlRateHelperLatestDate(R7,Trigger)</f>
        <v>42159</v>
      </c>
      <c r="V7" s="119">
        <v>-1.7552967872468643E-4</v>
      </c>
    </row>
    <row r="8" spans="1:22" ht="11.25" customHeight="1" x14ac:dyDescent="0.2">
      <c r="A8" s="102" t="s">
        <v>46</v>
      </c>
      <c r="B8" s="102" t="str">
        <v>3W</v>
      </c>
      <c r="C8" s="103" t="str">
        <f>IF(LEFT(B8,1)="#",(_xll.qlCalendarBusinessDaysBetween(Calendar,Settlementdate,DATE(RIGHT(LEFT(B8,5),4),LEFT(RIGHT(B8,4),2),RIGHT(B8,2)),,TRUE,Trigger)-1)&amp;"D",B8)</f>
        <v>3W</v>
      </c>
      <c r="D8" s="104">
        <f t="shared" si="0"/>
        <v>2</v>
      </c>
      <c r="E8" s="105" t="str">
        <f t="shared" si="1"/>
        <v>Following</v>
      </c>
      <c r="F8" s="106" t="str">
        <f t="shared" si="2"/>
        <v>FALSE</v>
      </c>
      <c r="G8" s="107" t="s">
        <v>50</v>
      </c>
      <c r="H8" s="108">
        <v>1.0000000000000001E-5</v>
      </c>
      <c r="I8" s="109" t="str">
        <f>_xll.qlDepositRateHelper2(,H8,IF(RIGHT(C8,1)="N","1D",C8),D8,Calendar,E8,F8,G8,,Trigger)</f>
        <v>obj_00952#0014</v>
      </c>
      <c r="J8" s="104" t="b">
        <f t="shared" si="3"/>
        <v>1</v>
      </c>
      <c r="K8" s="77"/>
      <c r="L8" s="25" t="str">
        <f t="shared" si="4"/>
        <v>Dp</v>
      </c>
      <c r="M8" s="25" t="str">
        <f t="shared" si="5"/>
        <v>3W</v>
      </c>
      <c r="N8" s="14" t="str">
        <f t="shared" si="6"/>
        <v>obj_00952#0014</v>
      </c>
      <c r="O8" s="14" t="b">
        <f t="shared" si="6"/>
        <v>1</v>
      </c>
      <c r="P8" s="14" t="str">
        <v>Dp</v>
      </c>
      <c r="Q8" s="14" t="str">
        <v>3W</v>
      </c>
      <c r="R8" s="14" t="str">
        <v>obj_00952#0014</v>
      </c>
      <c r="S8" s="21">
        <f>_xll.qlRateHelperQuoteValue(R8,Trigger)</f>
        <v>1.0000000000000001E-5</v>
      </c>
      <c r="T8" s="15">
        <f>_xll.qlRateHelperEarliestDate(R8,Trigger)</f>
        <v>42145</v>
      </c>
      <c r="U8" s="15">
        <f>_xll.qlRateHelperLatestDate(R8,Trigger)</f>
        <v>42166</v>
      </c>
      <c r="V8" s="119">
        <v>-7.8907085897227938E-5</v>
      </c>
    </row>
    <row r="9" spans="1:22" ht="11.25" customHeight="1" x14ac:dyDescent="0.2">
      <c r="A9" s="102" t="s">
        <v>46</v>
      </c>
      <c r="B9" s="102" t="str">
        <v>1M</v>
      </c>
      <c r="C9" s="103" t="str">
        <f>IF(LEFT(B9,1)="#",(_xll.qlCalendarBusinessDaysBetween(Calendar,Settlementdate,DATE(RIGHT(LEFT(B9,5),4),LEFT(RIGHT(B9,4),2),RIGHT(B9,2)),,TRUE,Trigger)-1)&amp;"D",B9)</f>
        <v>1M</v>
      </c>
      <c r="D9" s="104">
        <f t="shared" si="0"/>
        <v>2</v>
      </c>
      <c r="E9" s="105" t="str">
        <f t="shared" si="1"/>
        <v>Modified Following</v>
      </c>
      <c r="F9" s="106" t="str">
        <f t="shared" si="2"/>
        <v>TRUE</v>
      </c>
      <c r="G9" s="107" t="s">
        <v>50</v>
      </c>
      <c r="H9" s="108">
        <v>1.4300000000000001E-4</v>
      </c>
      <c r="I9" s="109" t="str">
        <f>_xll.qlDepositRateHelper2(,H9,IF(RIGHT(C9,1)="N","1D",C9),D9,Calendar,E9,F9,G9,,Trigger)</f>
        <v>obj_00954#0014</v>
      </c>
      <c r="J9" s="104" t="b">
        <f t="shared" si="3"/>
        <v>1</v>
      </c>
      <c r="K9" s="77"/>
      <c r="L9" s="25" t="str">
        <f t="shared" si="4"/>
        <v>Dp</v>
      </c>
      <c r="M9" s="25" t="str">
        <f t="shared" si="5"/>
        <v>1M</v>
      </c>
      <c r="N9" s="14" t="str">
        <f t="shared" si="6"/>
        <v>obj_00954#0014</v>
      </c>
      <c r="O9" s="14" t="b">
        <f t="shared" si="6"/>
        <v>1</v>
      </c>
      <c r="P9" s="14" t="str">
        <v>Dp</v>
      </c>
      <c r="Q9" s="14" t="str">
        <v>1M</v>
      </c>
      <c r="R9" s="14" t="str">
        <v>obj_00954#0014</v>
      </c>
      <c r="S9" s="21">
        <f>_xll.qlRateHelperQuoteValue(R9,Trigger)</f>
        <v>1.4300000000000001E-4</v>
      </c>
      <c r="T9" s="15">
        <f>_xll.qlRateHelperEarliestDate(R9,Trigger)</f>
        <v>42145</v>
      </c>
      <c r="U9" s="15">
        <f>_xll.qlRateHelperLatestDate(R9,Trigger)</f>
        <v>42177</v>
      </c>
      <c r="V9" s="119">
        <v>7.6816073196584893E-5</v>
      </c>
    </row>
    <row r="10" spans="1:22" ht="11.25" customHeight="1" x14ac:dyDescent="0.2">
      <c r="A10" s="102" t="s">
        <v>46</v>
      </c>
      <c r="B10" s="102" t="str">
        <v>2M</v>
      </c>
      <c r="C10" s="103" t="str">
        <f>IF(LEFT(B10,1)="#",(_xll.qlCalendarBusinessDaysBetween(Calendar,Settlementdate,DATE(RIGHT(LEFT(B10,5),4),LEFT(RIGHT(B10,4),2),RIGHT(B10,2)),,TRUE,Trigger)-1)&amp;"D",B10)</f>
        <v>2M</v>
      </c>
      <c r="D10" s="104">
        <f t="shared" si="0"/>
        <v>2</v>
      </c>
      <c r="E10" s="105" t="str">
        <f t="shared" si="1"/>
        <v>Modified Following</v>
      </c>
      <c r="F10" s="106" t="str">
        <f t="shared" si="2"/>
        <v>TRUE</v>
      </c>
      <c r="G10" s="107" t="s">
        <v>50</v>
      </c>
      <c r="H10" s="108">
        <v>3.3599999999999998E-4</v>
      </c>
      <c r="I10" s="109" t="str">
        <f>_xll.qlDepositRateHelper2(,H10,IF(RIGHT(C10,1)="N","1D",C10),D10,Calendar,E10,F10,G10,,Trigger)</f>
        <v>obj_00953#0014</v>
      </c>
      <c r="J10" s="104" t="b">
        <f t="shared" si="3"/>
        <v>1</v>
      </c>
      <c r="K10" s="77"/>
      <c r="L10" s="25" t="str">
        <f t="shared" si="4"/>
        <v>Dp</v>
      </c>
      <c r="M10" s="25" t="str">
        <f t="shared" si="5"/>
        <v>2M</v>
      </c>
      <c r="N10" s="14" t="str">
        <f t="shared" si="6"/>
        <v>obj_00953#0014</v>
      </c>
      <c r="O10" s="14" t="b">
        <f t="shared" si="6"/>
        <v>1</v>
      </c>
      <c r="P10" s="14" t="str">
        <v>Dp</v>
      </c>
      <c r="Q10" s="14" t="str">
        <v>2M</v>
      </c>
      <c r="R10" s="14" t="str">
        <v>obj_00953#0014</v>
      </c>
      <c r="S10" s="21">
        <f>_xll.qlRateHelperQuoteValue(R10,Trigger)</f>
        <v>3.3599999999999998E-4</v>
      </c>
      <c r="T10" s="15">
        <f>_xll.qlRateHelperEarliestDate(R10,Trigger)</f>
        <v>42145</v>
      </c>
      <c r="U10" s="15">
        <f>_xll.qlRateHelperLatestDate(R10,Trigger)</f>
        <v>42206</v>
      </c>
      <c r="V10" s="119">
        <v>2.9765548496099543E-4</v>
      </c>
    </row>
    <row r="11" spans="1:22" ht="11.25" customHeight="1" x14ac:dyDescent="0.2">
      <c r="A11" s="102" t="s">
        <v>46</v>
      </c>
      <c r="B11" s="102" t="str">
        <v>3M</v>
      </c>
      <c r="C11" s="103" t="str">
        <f>IF(LEFT(B11,1)="#",(_xll.qlCalendarBusinessDaysBetween(Calendar,Settlementdate,DATE(RIGHT(LEFT(B11,5),4),LEFT(RIGHT(B11,4),2),RIGHT(B11,2)),,TRUE,Trigger)-1)&amp;"D",B11)</f>
        <v>3M</v>
      </c>
      <c r="D11" s="104">
        <f t="shared" si="0"/>
        <v>2</v>
      </c>
      <c r="E11" s="105" t="str">
        <f t="shared" si="1"/>
        <v>Modified Following</v>
      </c>
      <c r="F11" s="106" t="str">
        <f t="shared" si="2"/>
        <v>TRUE</v>
      </c>
      <c r="G11" s="107" t="s">
        <v>50</v>
      </c>
      <c r="H11" s="108">
        <v>4.4799999999999999E-4</v>
      </c>
      <c r="I11" s="109" t="str">
        <f>_xll.qlDepositRateHelper2(,H11,IF(RIGHT(C11,1)="N","1D",C11),D11,Calendar,E11,F11,G11,,Trigger)</f>
        <v>obj_0093f#0014</v>
      </c>
      <c r="J11" s="104" t="b">
        <f t="shared" si="3"/>
        <v>1</v>
      </c>
      <c r="K11" s="77"/>
      <c r="L11" s="25" t="str">
        <f t="shared" si="4"/>
        <v>Dp</v>
      </c>
      <c r="M11" s="25" t="str">
        <f t="shared" si="5"/>
        <v>3M</v>
      </c>
      <c r="N11" s="14" t="str">
        <f t="shared" si="6"/>
        <v>obj_0093f#0014</v>
      </c>
      <c r="O11" s="14" t="b">
        <f t="shared" si="6"/>
        <v>1</v>
      </c>
      <c r="P11" s="14" t="str">
        <v>Dp</v>
      </c>
      <c r="Q11" s="14" t="str">
        <v>3M</v>
      </c>
      <c r="R11" s="14" t="str">
        <v>obj_0093f#0014</v>
      </c>
      <c r="S11" s="21">
        <f>_xll.qlRateHelperQuoteValue(R11,Trigger)</f>
        <v>4.4799999999999999E-4</v>
      </c>
      <c r="T11" s="15">
        <f>_xll.qlRateHelperEarliestDate(R11,Trigger)</f>
        <v>42145</v>
      </c>
      <c r="U11" s="15">
        <f>_xll.qlRateHelperLatestDate(R11,Trigger)</f>
        <v>42237</v>
      </c>
      <c r="V11" s="119">
        <v>4.229603498985619E-4</v>
      </c>
    </row>
    <row r="12" spans="1:22" ht="11.25" customHeight="1" x14ac:dyDescent="0.2">
      <c r="A12" s="102" t="s">
        <v>46</v>
      </c>
      <c r="B12" s="102" t="str">
        <v>4M</v>
      </c>
      <c r="C12" s="103" t="str">
        <f>IF(LEFT(B12,1)="#",(_xll.qlCalendarBusinessDaysBetween(Calendar,Settlementdate,DATE(RIGHT(LEFT(B12,5),4),LEFT(RIGHT(B12,4),2),RIGHT(B12,2)),,TRUE,Trigger)-1)&amp;"D",B12)</f>
        <v>4M</v>
      </c>
      <c r="D12" s="104">
        <f t="shared" si="0"/>
        <v>2</v>
      </c>
      <c r="E12" s="105" t="str">
        <f t="shared" si="1"/>
        <v>Modified Following</v>
      </c>
      <c r="F12" s="106" t="str">
        <f t="shared" si="2"/>
        <v>TRUE</v>
      </c>
      <c r="G12" s="107" t="s">
        <v>50</v>
      </c>
      <c r="H12" s="108">
        <v>4.9600000000000002E-4</v>
      </c>
      <c r="I12" s="109" t="str">
        <f>_xll.qlDepositRateHelper2(,H12,IF(RIGHT(C12,1)="N","1D",C12),D12,Calendar,E12,F12,G12,,Trigger)</f>
        <v>obj_00941#0014</v>
      </c>
      <c r="J12" s="104" t="b">
        <f t="shared" si="3"/>
        <v>1</v>
      </c>
      <c r="K12" s="77"/>
      <c r="L12" s="25" t="str">
        <f t="shared" si="4"/>
        <v>Dp</v>
      </c>
      <c r="M12" s="25" t="str">
        <f t="shared" si="5"/>
        <v>4M</v>
      </c>
      <c r="N12" s="14" t="str">
        <f t="shared" si="6"/>
        <v>obj_00941#0014</v>
      </c>
      <c r="O12" s="14" t="b">
        <f t="shared" si="6"/>
        <v>1</v>
      </c>
      <c r="P12" s="14" t="str">
        <v>Dp</v>
      </c>
      <c r="Q12" s="14" t="str">
        <v>4M</v>
      </c>
      <c r="R12" s="14" t="str">
        <v>obj_00941#0014</v>
      </c>
      <c r="S12" s="21">
        <f>_xll.qlRateHelperQuoteValue(R12,Trigger)</f>
        <v>4.9600000000000002E-4</v>
      </c>
      <c r="T12" s="15">
        <f>_xll.qlRateHelperEarliestDate(R12,Trigger)</f>
        <v>42145</v>
      </c>
      <c r="U12" s="15">
        <f>_xll.qlRateHelperLatestDate(R12,Trigger)</f>
        <v>42268</v>
      </c>
      <c r="V12" s="119">
        <v>4.7857850509288859E-4</v>
      </c>
    </row>
    <row r="13" spans="1:22" ht="11.25" customHeight="1" x14ac:dyDescent="0.2">
      <c r="A13" s="102" t="s">
        <v>46</v>
      </c>
      <c r="B13" s="102" t="str">
        <v>5M</v>
      </c>
      <c r="C13" s="103" t="str">
        <f>IF(LEFT(B13,1)="#",(_xll.qlCalendarBusinessDaysBetween(Calendar,Settlementdate,DATE(RIGHT(LEFT(B13,5),4),LEFT(RIGHT(B13,4),2),RIGHT(B13,2)),,TRUE,Trigger)-1)&amp;"D",B13)</f>
        <v>5M</v>
      </c>
      <c r="D13" s="104">
        <f t="shared" si="0"/>
        <v>2</v>
      </c>
      <c r="E13" s="105" t="str">
        <f t="shared" si="1"/>
        <v>Modified Following</v>
      </c>
      <c r="F13" s="106" t="str">
        <f t="shared" si="2"/>
        <v>TRUE</v>
      </c>
      <c r="G13" s="107" t="s">
        <v>50</v>
      </c>
      <c r="H13" s="108">
        <v>5.3499999999999999E-4</v>
      </c>
      <c r="I13" s="109" t="str">
        <f>_xll.qlDepositRateHelper2(,H13,IF(RIGHT(C13,1)="N","1D",C13),D13,Calendar,E13,F13,G13,,Trigger)</f>
        <v>obj_00955#0014</v>
      </c>
      <c r="J13" s="104" t="b">
        <f t="shared" si="3"/>
        <v>1</v>
      </c>
      <c r="K13" s="77"/>
      <c r="L13" s="25" t="str">
        <f t="shared" si="4"/>
        <v>Dp</v>
      </c>
      <c r="M13" s="25" t="str">
        <f t="shared" si="5"/>
        <v>5M</v>
      </c>
      <c r="N13" s="14" t="str">
        <f t="shared" si="6"/>
        <v>obj_00955#0014</v>
      </c>
      <c r="O13" s="14" t="b">
        <f t="shared" si="6"/>
        <v>1</v>
      </c>
      <c r="P13" s="14" t="str">
        <v>Dp</v>
      </c>
      <c r="Q13" s="14" t="str">
        <v>5M</v>
      </c>
      <c r="R13" s="14" t="str">
        <v>obj_00955#0014</v>
      </c>
      <c r="S13" s="21">
        <f>_xll.qlRateHelperQuoteValue(R13,Trigger)</f>
        <v>5.3499999999999999E-4</v>
      </c>
      <c r="T13" s="15">
        <f>_xll.qlRateHelperEarliestDate(R13,Trigger)</f>
        <v>42145</v>
      </c>
      <c r="U13" s="15">
        <f>_xll.qlRateHelperLatestDate(R13,Trigger)</f>
        <v>42298</v>
      </c>
      <c r="V13" s="119">
        <v>5.2228814007053003E-4</v>
      </c>
    </row>
    <row r="14" spans="1:22" ht="11.25" customHeight="1" x14ac:dyDescent="0.2">
      <c r="A14" s="102" t="s">
        <v>46</v>
      </c>
      <c r="B14" s="102" t="str">
        <v>6M</v>
      </c>
      <c r="C14" s="103" t="str">
        <f>IF(LEFT(B14,1)="#",(_xll.qlCalendarBusinessDaysBetween(Calendar,Settlementdate,DATE(RIGHT(LEFT(B14,5),4),LEFT(RIGHT(B14,4),2),RIGHT(B14,2)),,TRUE,Trigger)-1)&amp;"D",B14)</f>
        <v>6M</v>
      </c>
      <c r="D14" s="104">
        <f t="shared" si="0"/>
        <v>2</v>
      </c>
      <c r="E14" s="105" t="str">
        <f t="shared" si="1"/>
        <v>Modified Following</v>
      </c>
      <c r="F14" s="106" t="str">
        <f t="shared" si="2"/>
        <v>TRUE</v>
      </c>
      <c r="G14" s="107" t="s">
        <v>50</v>
      </c>
      <c r="H14" s="108">
        <v>5.5699999999999999E-4</v>
      </c>
      <c r="I14" s="109" t="str">
        <f>_xll.qlDepositRateHelper2(,H14,IF(RIGHT(C14,1)="N","1D",C14),D14,Calendar,E14,F14,G14,,Trigger)</f>
        <v>obj_00956#0014</v>
      </c>
      <c r="J14" s="104" t="b">
        <f t="shared" si="3"/>
        <v>1</v>
      </c>
      <c r="K14" s="77"/>
      <c r="L14" s="25" t="str">
        <f t="shared" si="4"/>
        <v>Dp</v>
      </c>
      <c r="M14" s="25" t="str">
        <f t="shared" si="5"/>
        <v>6M</v>
      </c>
      <c r="N14" s="14" t="str">
        <f t="shared" si="6"/>
        <v>obj_00956#0014</v>
      </c>
      <c r="O14" s="14" t="b">
        <f t="shared" si="6"/>
        <v>1</v>
      </c>
      <c r="P14" s="14" t="str">
        <v>Dp</v>
      </c>
      <c r="Q14" s="14" t="str">
        <v>6M</v>
      </c>
      <c r="R14" s="14" t="str">
        <v>obj_00956#0014</v>
      </c>
      <c r="S14" s="21">
        <f>_xll.qlRateHelperQuoteValue(R14,Trigger)</f>
        <v>5.5699999999999999E-4</v>
      </c>
      <c r="T14" s="15">
        <f>_xll.qlRateHelperEarliestDate(R14,Trigger)</f>
        <v>42145</v>
      </c>
      <c r="U14" s="15">
        <f>_xll.qlRateHelperLatestDate(R14,Trigger)</f>
        <v>42331</v>
      </c>
      <c r="V14" s="119">
        <v>5.4786183762271508E-4</v>
      </c>
    </row>
    <row r="15" spans="1:22" ht="11.25" customHeight="1" x14ac:dyDescent="0.2">
      <c r="A15" s="102" t="s">
        <v>46</v>
      </c>
      <c r="B15" s="102" t="str">
        <v>#20151216</v>
      </c>
      <c r="C15" s="103" t="str">
        <f>IF(LEFT(B15,1)="#",(_xll.qlCalendarBusinessDaysBetween(Calendar,Settlementdate,DATE(RIGHT(LEFT(B15,5),4),LEFT(RIGHT(B15,4),2),RIGHT(B15,2)),,TRUE,Trigger)-1)&amp;"D",B15)</f>
        <v>149D</v>
      </c>
      <c r="D15" s="104">
        <f t="shared" si="0"/>
        <v>2</v>
      </c>
      <c r="E15" s="105" t="str">
        <f t="shared" si="1"/>
        <v>Modified Following</v>
      </c>
      <c r="F15" s="106" t="str">
        <f t="shared" si="2"/>
        <v>TRUE</v>
      </c>
      <c r="G15" s="107" t="s">
        <v>50</v>
      </c>
      <c r="H15" s="108">
        <v>5.6722599999999999E-4</v>
      </c>
      <c r="I15" s="109" t="str">
        <f>_xll.qlDepositRateHelper2(,H15,IF(RIGHT(C15,1)="N","1D",C15),D15,Calendar,E15,F15,G15,,Trigger)</f>
        <v>obj_0094c#0014</v>
      </c>
      <c r="J15" s="104" t="b">
        <f t="shared" si="3"/>
        <v>1</v>
      </c>
      <c r="K15" s="77"/>
      <c r="L15" s="25" t="str">
        <f t="shared" si="4"/>
        <v>Dp</v>
      </c>
      <c r="M15" s="25" t="str">
        <f t="shared" si="5"/>
        <v>149D</v>
      </c>
      <c r="N15" s="14" t="str">
        <f t="shared" si="6"/>
        <v>obj_0094c#0014</v>
      </c>
      <c r="O15" s="14" t="b">
        <f t="shared" si="6"/>
        <v>1</v>
      </c>
      <c r="P15" s="14" t="str">
        <v>Dp</v>
      </c>
      <c r="Q15" s="14" t="str">
        <v>149D</v>
      </c>
      <c r="R15" s="14" t="str">
        <v>obj_0094c#0014</v>
      </c>
      <c r="S15" s="21">
        <f>_xll.qlRateHelperQuoteValue(R15,Trigger)</f>
        <v>5.6722599999999999E-4</v>
      </c>
      <c r="T15" s="15">
        <f>_xll.qlRateHelperEarliestDate(R15,Trigger)</f>
        <v>42145</v>
      </c>
      <c r="U15" s="15">
        <f>_xll.qlRateHelperLatestDate(R15,Trigger)</f>
        <v>42354</v>
      </c>
      <c r="V15" s="119">
        <v>5.5994881052589629E-4</v>
      </c>
    </row>
    <row r="16" spans="1:22" ht="11.25" customHeight="1" x14ac:dyDescent="0.2">
      <c r="A16" s="102" t="s">
        <v>46</v>
      </c>
      <c r="B16" s="102" t="e">
        <v>#N/A</v>
      </c>
      <c r="C16" s="103" t="e">
        <f>IF(LEFT(B16,1)="#",(_xll.qlCalendarBusinessDaysBetween(Calendar,Settlementdate,DATE(RIGHT(LEFT(B16,5),4),LEFT(RIGHT(B16,4),2),RIGHT(B16,2)),,TRUE,Trigger)-1)&amp;"D",B16)</f>
        <v>#N/A</v>
      </c>
      <c r="D16" s="104" t="e">
        <f t="shared" si="0"/>
        <v>#N/A</v>
      </c>
      <c r="E16" s="105" t="e">
        <f t="shared" si="1"/>
        <v>#N/A</v>
      </c>
      <c r="F16" s="106" t="e">
        <f t="shared" si="2"/>
        <v>#N/A</v>
      </c>
      <c r="G16" s="107" t="s">
        <v>50</v>
      </c>
      <c r="H16" s="108" t="e">
        <v>#N/A</v>
      </c>
      <c r="I16" s="109" t="e">
        <f>_xll.qlDepositRateHelper2(,H16,IF(RIGHT(C16,1)="N","1D",C16),D16,Calendar,E16,F16,G16,,Trigger)</f>
        <v>#VALUE!</v>
      </c>
      <c r="J16" s="104" t="b">
        <f t="shared" si="3"/>
        <v>0</v>
      </c>
      <c r="K16" s="77"/>
      <c r="L16" s="25" t="str">
        <f t="shared" si="4"/>
        <v>Dp</v>
      </c>
      <c r="M16" s="25" t="e">
        <f t="shared" si="5"/>
        <v>#N/A</v>
      </c>
      <c r="N16" s="14" t="e">
        <f t="shared" si="6"/>
        <v>#VALUE!</v>
      </c>
      <c r="O16" s="14" t="b">
        <f t="shared" si="6"/>
        <v>0</v>
      </c>
      <c r="P16" s="14" t="str">
        <v>Sf</v>
      </c>
      <c r="Q16" s="14" t="str">
        <v>Z5</v>
      </c>
      <c r="R16" s="14" t="str">
        <v>obj_0080f#0020</v>
      </c>
      <c r="S16" s="21">
        <f>_xll.qlRateHelperQuoteValue(R16,Trigger)</f>
        <v>99.912099999999995</v>
      </c>
      <c r="T16" s="15">
        <f>_xll.qlRateHelperEarliestDate(R16,Trigger)</f>
        <v>42354</v>
      </c>
      <c r="U16" s="15">
        <f>_xll.qlRateHelperLatestDate(R16,Trigger)</f>
        <v>42537</v>
      </c>
      <c r="V16" s="119">
        <v>7.1371547784983931E-4</v>
      </c>
    </row>
    <row r="17" spans="1:22" ht="11.25" customHeight="1" x14ac:dyDescent="0.2">
      <c r="A17" s="102" t="s">
        <v>46</v>
      </c>
      <c r="B17" s="102" t="e">
        <v>#N/A</v>
      </c>
      <c r="C17" s="103" t="e">
        <f>IF(LEFT(B17,1)="#",(_xll.qlCalendarBusinessDaysBetween(Calendar,Settlementdate,DATE(RIGHT(LEFT(B17,5),4),LEFT(RIGHT(B17,4),2),RIGHT(B17,2)),,TRUE,Trigger)-1)&amp;"D",B17)</f>
        <v>#N/A</v>
      </c>
      <c r="D17" s="104" t="e">
        <f t="shared" si="0"/>
        <v>#N/A</v>
      </c>
      <c r="E17" s="105" t="e">
        <f t="shared" si="1"/>
        <v>#N/A</v>
      </c>
      <c r="F17" s="106" t="e">
        <f t="shared" si="2"/>
        <v>#N/A</v>
      </c>
      <c r="G17" s="107" t="s">
        <v>50</v>
      </c>
      <c r="H17" s="108" t="e">
        <v>#N/A</v>
      </c>
      <c r="I17" s="109" t="e">
        <f>_xll.qlDepositRateHelper2(,H17,IF(RIGHT(C17,1)="N","1D",C17),D17,Calendar,E17,F17,G17,,Trigger)</f>
        <v>#VALUE!</v>
      </c>
      <c r="J17" s="104" t="b">
        <f t="shared" si="3"/>
        <v>0</v>
      </c>
      <c r="K17" s="77"/>
      <c r="L17" s="25" t="str">
        <f t="shared" si="4"/>
        <v>Dp</v>
      </c>
      <c r="M17" s="25" t="e">
        <f t="shared" si="5"/>
        <v>#N/A</v>
      </c>
      <c r="N17" s="14" t="e">
        <f t="shared" si="6"/>
        <v>#VALUE!</v>
      </c>
      <c r="O17" s="14" t="b">
        <f t="shared" si="6"/>
        <v>0</v>
      </c>
      <c r="P17" s="14" t="str">
        <v>Sf</v>
      </c>
      <c r="Q17" s="14" t="str">
        <v>H6</v>
      </c>
      <c r="R17" s="14" t="str">
        <v>obj_00823#0020</v>
      </c>
      <c r="S17" s="21">
        <f>_xll.qlRateHelperQuoteValue(R17,Trigger)</f>
        <v>99.902000000000001</v>
      </c>
      <c r="T17" s="15">
        <f>_xll.qlRateHelperEarliestDate(R17,Trigger)</f>
        <v>42445</v>
      </c>
      <c r="U17" s="15">
        <f>_xll.qlRateHelperLatestDate(R17,Trigger)</f>
        <v>42629</v>
      </c>
      <c r="V17" s="119">
        <v>7.7155370658363992E-4</v>
      </c>
    </row>
    <row r="18" spans="1:22" ht="11.25" customHeight="1" x14ac:dyDescent="0.2">
      <c r="A18" s="4" t="s">
        <v>46</v>
      </c>
      <c r="B18" s="4" t="e">
        <v>#N/A</v>
      </c>
      <c r="C18" s="22" t="e">
        <f>IF(LEFT(B18,1)="#",(_xll.qlCalendarBusinessDaysBetween(Calendar,Settlementdate,DATE(RIGHT(LEFT(B18,5),4),LEFT(RIGHT(B18,4),2),RIGHT(B18,2)),,TRUE,Trigger)-1)&amp;"D",B18)</f>
        <v>#N/A</v>
      </c>
      <c r="D18" s="19" t="e">
        <f t="shared" si="0"/>
        <v>#N/A</v>
      </c>
      <c r="E18" s="20" t="e">
        <f t="shared" si="1"/>
        <v>#N/A</v>
      </c>
      <c r="F18" s="23" t="e">
        <f t="shared" si="2"/>
        <v>#N/A</v>
      </c>
      <c r="G18" s="5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3"/>
        <v>0</v>
      </c>
      <c r="K18" s="77"/>
      <c r="L18" s="26" t="str">
        <f t="shared" si="4"/>
        <v>Dp</v>
      </c>
      <c r="M18" s="26" t="e">
        <f t="shared" si="5"/>
        <v>#N/A</v>
      </c>
      <c r="N18" s="16" t="e">
        <f t="shared" si="6"/>
        <v>#VALUE!</v>
      </c>
      <c r="O18" s="16" t="b">
        <f t="shared" si="6"/>
        <v>0</v>
      </c>
      <c r="P18" s="14" t="str">
        <v>Sf</v>
      </c>
      <c r="Q18" s="14" t="str">
        <v>M6</v>
      </c>
      <c r="R18" s="14" t="str">
        <v>obj_0081d#0020</v>
      </c>
      <c r="S18" s="21">
        <f>_xll.qlRateHelperQuoteValue(R18,Trigger)</f>
        <v>99.887500000000003</v>
      </c>
      <c r="T18" s="15">
        <f>_xll.qlRateHelperEarliestDate(R18,Trigger)</f>
        <v>42536</v>
      </c>
      <c r="U18" s="15">
        <f>_xll.qlRateHelperLatestDate(R18,Trigger)</f>
        <v>42719</v>
      </c>
      <c r="V18" s="119">
        <v>8.4867131134380746E-4</v>
      </c>
    </row>
    <row r="19" spans="1:22" ht="11.25" customHeight="1" x14ac:dyDescent="0.2">
      <c r="C19" s="74"/>
      <c r="D19" s="74"/>
      <c r="E19" s="74"/>
      <c r="K19" s="77"/>
      <c r="L19" s="25" t="str">
        <f>A21</f>
        <v>Sf</v>
      </c>
      <c r="M19" s="25" t="str">
        <f>D21</f>
        <v>Z5</v>
      </c>
      <c r="N19" s="25" t="str">
        <f>I21</f>
        <v>obj_0080f#0020</v>
      </c>
      <c r="O19" s="14" t="b">
        <f>J21</f>
        <v>1</v>
      </c>
      <c r="P19" s="14" t="str">
        <v>Sf</v>
      </c>
      <c r="Q19" s="14" t="str">
        <v>U6</v>
      </c>
      <c r="R19" s="14" t="str">
        <v>obj_0081a#0020</v>
      </c>
      <c r="S19" s="21">
        <f>_xll.qlRateHelperQuoteValue(R19,Trigger)</f>
        <v>99.862499999999997</v>
      </c>
      <c r="T19" s="15">
        <f>_xll.qlRateHelperEarliestDate(R19,Trigger)</f>
        <v>42634</v>
      </c>
      <c r="U19" s="15">
        <f>_xll.qlRateHelperLatestDate(R19,Trigger)</f>
        <v>42815</v>
      </c>
      <c r="V19" s="119">
        <v>9.422334573625311E-4</v>
      </c>
    </row>
    <row r="20" spans="1:22" ht="11.25" customHeight="1" x14ac:dyDescent="0.2">
      <c r="A20" s="110" t="s">
        <v>18</v>
      </c>
      <c r="B20" s="110" t="s">
        <v>35</v>
      </c>
      <c r="C20" s="110" t="s">
        <v>35</v>
      </c>
      <c r="D20" s="110" t="s">
        <v>195</v>
      </c>
      <c r="E20" s="110" t="s">
        <v>13</v>
      </c>
      <c r="F20" s="110" t="s">
        <v>9</v>
      </c>
      <c r="G20" s="110" t="s">
        <v>5</v>
      </c>
      <c r="H20" s="110" t="s">
        <v>10</v>
      </c>
      <c r="I20" s="110" t="s">
        <v>43</v>
      </c>
      <c r="J20" s="110" t="s">
        <v>47</v>
      </c>
      <c r="K20" s="77"/>
      <c r="L20" s="25" t="str">
        <f t="shared" ref="L20:L26" si="7">A22</f>
        <v>Sf</v>
      </c>
      <c r="M20" s="25" t="str">
        <f t="shared" ref="M20:M26" si="8">D22</f>
        <v>H6</v>
      </c>
      <c r="N20" s="25" t="str">
        <f t="shared" ref="N20:O26" si="9">I22</f>
        <v>obj_00823#0020</v>
      </c>
      <c r="O20" s="14" t="b">
        <f t="shared" si="9"/>
        <v>1</v>
      </c>
      <c r="P20" s="14" t="str">
        <v>Sf</v>
      </c>
      <c r="Q20" s="14" t="str">
        <v>Z6</v>
      </c>
      <c r="R20" s="14" t="str">
        <v>obj_00818#0020</v>
      </c>
      <c r="S20" s="21">
        <f>_xll.qlRateHelperQuoteValue(R20,Trigger)</f>
        <v>99.822749999999999</v>
      </c>
      <c r="T20" s="15">
        <f>_xll.qlRateHelperEarliestDate(R20,Trigger)</f>
        <v>42725</v>
      </c>
      <c r="U20" s="15">
        <f>_xll.qlRateHelperLatestDate(R20,Trigger)</f>
        <v>42907</v>
      </c>
      <c r="V20" s="119">
        <v>1.0788731074739912E-3</v>
      </c>
    </row>
    <row r="21" spans="1:22" ht="11.25" customHeight="1" x14ac:dyDescent="0.2">
      <c r="A21" s="122" t="s">
        <v>44</v>
      </c>
      <c r="B21" s="123">
        <f t="shared" ref="B21:B28" si="10">DATE(2000+RIGHT(C21,2),RIGHT(LEFT(C21,5),2),LEFT(C21,2))</f>
        <v>57903</v>
      </c>
      <c r="C21" s="150">
        <f t="array" ref="C21:C28">_xll.ohFilter(PastedValue!V2:V62,PastedValue!U2:U62="Sf")</f>
        <v>42354</v>
      </c>
      <c r="D21" s="124" t="str">
        <f>_xll.qlIMMcode(C21)</f>
        <v>Z5</v>
      </c>
      <c r="E21" s="97" t="s">
        <v>15</v>
      </c>
      <c r="F21" s="153" t="s">
        <v>54</v>
      </c>
      <c r="G21" s="126">
        <f t="array" ref="G21:G28">_xll.ohFilter(PastedValue!AB2:AB62,PastedValue!U2:U62="Sf")</f>
        <v>99.912099999999995</v>
      </c>
      <c r="H21" s="127">
        <v>0</v>
      </c>
      <c r="I21" s="128" t="str">
        <f>_xll.qlFuturesRateHelper(,$G21,"IMM",$D21,$F21,$H21,Permanent,Trigger,ObjectOverwrite)</f>
        <v>obj_0080f#0020</v>
      </c>
      <c r="J21" s="96" t="b">
        <f>IF(ISNUMBER(G21),TRUE,FALSE)</f>
        <v>1</v>
      </c>
      <c r="K21" s="77"/>
      <c r="L21" s="25" t="str">
        <f t="shared" si="7"/>
        <v>Sf</v>
      </c>
      <c r="M21" s="25" t="str">
        <f t="shared" si="8"/>
        <v>M6</v>
      </c>
      <c r="N21" s="25" t="str">
        <f t="shared" si="9"/>
        <v>obj_0081d#0020</v>
      </c>
      <c r="O21" s="14" t="b">
        <f t="shared" si="9"/>
        <v>1</v>
      </c>
      <c r="P21" s="14" t="str">
        <v>Sf</v>
      </c>
      <c r="Q21" s="14" t="str">
        <v>H7</v>
      </c>
      <c r="R21" s="14" t="str">
        <v>obj_00815#0020</v>
      </c>
      <c r="S21" s="21">
        <f>_xll.qlRateHelperQuoteValue(R21,Trigger)</f>
        <v>99.78425</v>
      </c>
      <c r="T21" s="15">
        <f>_xll.qlRateHelperEarliestDate(R21,Trigger)</f>
        <v>42809</v>
      </c>
      <c r="U21" s="15">
        <f>_xll.qlRateHelperLatestDate(R21,Trigger)</f>
        <v>42993</v>
      </c>
      <c r="V21" s="119">
        <v>1.2069468389939119E-3</v>
      </c>
    </row>
    <row r="22" spans="1:22" ht="11.25" customHeight="1" x14ac:dyDescent="0.2">
      <c r="A22" s="129" t="s">
        <v>44</v>
      </c>
      <c r="B22" s="130">
        <f t="shared" si="10"/>
        <v>54343</v>
      </c>
      <c r="C22" s="151">
        <v>42445</v>
      </c>
      <c r="D22" s="131" t="str">
        <f>_xll.qlIMMcode(C22)</f>
        <v>H6</v>
      </c>
      <c r="E22" s="105" t="s">
        <v>15</v>
      </c>
      <c r="F22" s="154" t="s">
        <v>54</v>
      </c>
      <c r="G22" s="133">
        <v>99.902000000000001</v>
      </c>
      <c r="H22" s="134">
        <v>0</v>
      </c>
      <c r="I22" s="135" t="str">
        <f>_xll.qlFuturesRateHelper(,$G22,"IMM",$D22,$F22,$H22,Permanent,Trigger,ObjectOverwrite)</f>
        <v>obj_00823#0020</v>
      </c>
      <c r="J22" s="135" t="b">
        <f t="shared" ref="J22:J28" si="11">IF(ISNUMBER(G22),TRUE,FALSE)</f>
        <v>1</v>
      </c>
      <c r="K22" s="77"/>
      <c r="L22" s="25" t="str">
        <f t="shared" si="7"/>
        <v>Sf</v>
      </c>
      <c r="M22" s="25" t="str">
        <f t="shared" si="8"/>
        <v>U6</v>
      </c>
      <c r="N22" s="25" t="str">
        <f t="shared" si="9"/>
        <v>obj_0081a#0020</v>
      </c>
      <c r="O22" s="14" t="b">
        <f t="shared" si="9"/>
        <v>1</v>
      </c>
      <c r="P22" s="14" t="str">
        <v>Sw</v>
      </c>
      <c r="Q22" s="14" t="str">
        <v>3Y</v>
      </c>
      <c r="R22" s="14" t="str">
        <v>obj_00909#0015</v>
      </c>
      <c r="S22" s="21">
        <f>_xll.qlRateHelperQuoteValue(R22,Trigger)</f>
        <v>1.9E-3</v>
      </c>
      <c r="T22" s="15">
        <f>_xll.qlRateHelperEarliestDate(R22,Trigger)</f>
        <v>42145</v>
      </c>
      <c r="U22" s="15">
        <f>_xll.qlRateHelperLatestDate(R22,Trigger)</f>
        <v>43241</v>
      </c>
      <c r="V22" s="119">
        <v>1.891714848791461E-3</v>
      </c>
    </row>
    <row r="23" spans="1:22" ht="11.25" customHeight="1" x14ac:dyDescent="0.2">
      <c r="A23" s="129" t="s">
        <v>44</v>
      </c>
      <c r="B23" s="130">
        <f t="shared" si="10"/>
        <v>50781</v>
      </c>
      <c r="C23" s="151">
        <v>42536</v>
      </c>
      <c r="D23" s="131" t="str">
        <f>_xll.qlIMMcode(C23)</f>
        <v>M6</v>
      </c>
      <c r="E23" s="105" t="s">
        <v>15</v>
      </c>
      <c r="F23" s="154" t="s">
        <v>54</v>
      </c>
      <c r="G23" s="133">
        <v>99.887500000000003</v>
      </c>
      <c r="H23" s="134">
        <v>0</v>
      </c>
      <c r="I23" s="135" t="str">
        <f>_xll.qlFuturesRateHelper(,$G23,"IMM",$D23,$F23,$H23,Permanent,Trigger,ObjectOverwrite)</f>
        <v>obj_0081d#0020</v>
      </c>
      <c r="J23" s="135" t="b">
        <f t="shared" si="11"/>
        <v>1</v>
      </c>
      <c r="K23" s="77"/>
      <c r="L23" s="25" t="str">
        <f t="shared" si="7"/>
        <v>Sf</v>
      </c>
      <c r="M23" s="25" t="str">
        <f t="shared" si="8"/>
        <v>Z6</v>
      </c>
      <c r="N23" s="25" t="str">
        <f t="shared" si="9"/>
        <v>obj_00818#0020</v>
      </c>
      <c r="O23" s="14" t="b">
        <f t="shared" si="9"/>
        <v>1</v>
      </c>
      <c r="P23" s="14" t="str">
        <v>Sw</v>
      </c>
      <c r="Q23" s="14" t="str">
        <v>4Y</v>
      </c>
      <c r="R23" s="14" t="str">
        <v>obj_008f5#0016</v>
      </c>
      <c r="S23" s="21">
        <f>_xll.qlRateHelperQuoteValue(R23,Trigger)</f>
        <v>2.8899999999999998E-3</v>
      </c>
      <c r="T23" s="15">
        <f>_xll.qlRateHelperEarliestDate(R23,Trigger)</f>
        <v>42145</v>
      </c>
      <c r="U23" s="15">
        <f>_xll.qlRateHelperLatestDate(R23,Trigger)</f>
        <v>43606</v>
      </c>
      <c r="V23" s="119">
        <v>2.8811223483513997E-3</v>
      </c>
    </row>
    <row r="24" spans="1:22" ht="11.25" customHeight="1" x14ac:dyDescent="0.2">
      <c r="A24" s="129" t="s">
        <v>44</v>
      </c>
      <c r="B24" s="130">
        <f t="shared" si="10"/>
        <v>49990</v>
      </c>
      <c r="C24" s="151">
        <v>42634</v>
      </c>
      <c r="D24" s="131" t="str">
        <f>_xll.qlIMMcode(C24)</f>
        <v>U6</v>
      </c>
      <c r="E24" s="105" t="s">
        <v>15</v>
      </c>
      <c r="F24" s="154" t="s">
        <v>54</v>
      </c>
      <c r="G24" s="133">
        <v>99.862499999999997</v>
      </c>
      <c r="H24" s="134">
        <v>0</v>
      </c>
      <c r="I24" s="135" t="str">
        <f>_xll.qlFuturesRateHelper(,$G24,"IMM",$D24,$F24,$H24,Permanent,Trigger,ObjectOverwrite)</f>
        <v>obj_0081a#0020</v>
      </c>
      <c r="J24" s="135" t="b">
        <f t="shared" si="11"/>
        <v>1</v>
      </c>
      <c r="K24" s="77"/>
      <c r="L24" s="25" t="str">
        <f t="shared" si="7"/>
        <v>Sf</v>
      </c>
      <c r="M24" s="25" t="str">
        <f t="shared" si="8"/>
        <v>H7</v>
      </c>
      <c r="N24" s="25" t="str">
        <f t="shared" si="9"/>
        <v>obj_00815#0020</v>
      </c>
      <c r="O24" s="14" t="b">
        <f t="shared" si="9"/>
        <v>1</v>
      </c>
      <c r="P24" s="14" t="str">
        <v>Sw</v>
      </c>
      <c r="Q24" s="14" t="str">
        <v>5Y</v>
      </c>
      <c r="R24" s="14" t="str">
        <v>obj_00925#0015</v>
      </c>
      <c r="S24" s="21">
        <f>_xll.qlRateHelperQuoteValue(R24,Trigger)</f>
        <v>4.0500000000000006E-3</v>
      </c>
      <c r="T24" s="15">
        <f>_xll.qlRateHelperEarliestDate(R24,Trigger)</f>
        <v>42145</v>
      </c>
      <c r="U24" s="15">
        <f>_xll.qlRateHelperLatestDate(R24,Trigger)</f>
        <v>43972</v>
      </c>
      <c r="V24" s="119">
        <v>4.0406490519059365E-3</v>
      </c>
    </row>
    <row r="25" spans="1:22" ht="11.25" customHeight="1" x14ac:dyDescent="0.2">
      <c r="A25" s="129" t="s">
        <v>44</v>
      </c>
      <c r="B25" s="130">
        <f t="shared" si="10"/>
        <v>46429</v>
      </c>
      <c r="C25" s="151">
        <v>42725</v>
      </c>
      <c r="D25" s="131" t="str">
        <f>_xll.qlIMMcode(C25)</f>
        <v>Z6</v>
      </c>
      <c r="E25" s="105" t="s">
        <v>15</v>
      </c>
      <c r="F25" s="154" t="s">
        <v>54</v>
      </c>
      <c r="G25" s="133">
        <v>99.822749999999999</v>
      </c>
      <c r="H25" s="134">
        <v>0</v>
      </c>
      <c r="I25" s="135" t="str">
        <f>_xll.qlFuturesRateHelper(,$G25,"IMM",$D25,$F25,$H25,Permanent,Trigger,ObjectOverwrite)</f>
        <v>obj_00818#0020</v>
      </c>
      <c r="J25" s="135" t="b">
        <f t="shared" si="11"/>
        <v>1</v>
      </c>
      <c r="K25" s="77"/>
      <c r="L25" s="25" t="str">
        <f t="shared" si="7"/>
        <v>Sf</v>
      </c>
      <c r="M25" s="25" t="e">
        <f t="shared" si="8"/>
        <v>#NUM!</v>
      </c>
      <c r="N25" s="25" t="e">
        <f t="shared" si="9"/>
        <v>#NUM!</v>
      </c>
      <c r="O25" s="14" t="b">
        <f t="shared" si="9"/>
        <v>0</v>
      </c>
      <c r="P25" s="14" t="str">
        <v>Sw</v>
      </c>
      <c r="Q25" s="14" t="str">
        <v>6Y</v>
      </c>
      <c r="R25" s="14" t="str">
        <v>obj_0092f#0015</v>
      </c>
      <c r="S25" s="21">
        <f>_xll.qlRateHelperQuoteValue(R25,Trigger)</f>
        <v>5.2599999999999999E-3</v>
      </c>
      <c r="T25" s="15">
        <f>_xll.qlRateHelperEarliestDate(R25,Trigger)</f>
        <v>42145</v>
      </c>
      <c r="U25" s="15">
        <f>_xll.qlRateHelperLatestDate(R25,Trigger)</f>
        <v>44337</v>
      </c>
      <c r="V25" s="119">
        <v>5.2567716223755855E-3</v>
      </c>
    </row>
    <row r="26" spans="1:22" ht="11.25" customHeight="1" x14ac:dyDescent="0.2">
      <c r="A26" s="129" t="s">
        <v>44</v>
      </c>
      <c r="B26" s="130">
        <f t="shared" si="10"/>
        <v>40098</v>
      </c>
      <c r="C26" s="151">
        <v>42809</v>
      </c>
      <c r="D26" s="131" t="str">
        <f>_xll.qlIMMcode(C26)</f>
        <v>H7</v>
      </c>
      <c r="E26" s="105" t="s">
        <v>15</v>
      </c>
      <c r="F26" s="154" t="s">
        <v>54</v>
      </c>
      <c r="G26" s="133">
        <v>99.78425</v>
      </c>
      <c r="H26" s="134">
        <v>0</v>
      </c>
      <c r="I26" s="135" t="str">
        <f>_xll.qlFuturesRateHelper(,$G26,"IMM",$D26,$F26,$H26,Permanent,Trigger,ObjectOverwrite)</f>
        <v>obj_00815#0020</v>
      </c>
      <c r="J26" s="135" t="b">
        <f t="shared" si="11"/>
        <v>1</v>
      </c>
      <c r="K26" s="77"/>
      <c r="L26" s="26" t="str">
        <f t="shared" si="7"/>
        <v>Sf</v>
      </c>
      <c r="M26" s="26" t="e">
        <f t="shared" si="8"/>
        <v>#NUM!</v>
      </c>
      <c r="N26" s="26" t="e">
        <f t="shared" si="9"/>
        <v>#NUM!</v>
      </c>
      <c r="O26" s="16" t="b">
        <f t="shared" si="9"/>
        <v>0</v>
      </c>
      <c r="P26" s="14" t="str">
        <v>Sw</v>
      </c>
      <c r="Q26" s="14" t="str">
        <v>7Y</v>
      </c>
      <c r="R26" s="14" t="str">
        <v>obj_00939#0015</v>
      </c>
      <c r="S26" s="21">
        <f>_xll.qlRateHelperQuoteValue(R26,Trigger)</f>
        <v>6.4700000000000001E-3</v>
      </c>
      <c r="T26" s="15">
        <f>_xll.qlRateHelperEarliestDate(R26,Trigger)</f>
        <v>42145</v>
      </c>
      <c r="U26" s="15">
        <f>_xll.qlRateHelperLatestDate(R26,Trigger)</f>
        <v>44704</v>
      </c>
      <c r="V26" s="119">
        <v>6.478942621623714E-3</v>
      </c>
    </row>
    <row r="27" spans="1:22" ht="11.25" customHeight="1" x14ac:dyDescent="0.2">
      <c r="A27" s="129" t="s">
        <v>44</v>
      </c>
      <c r="B27" s="130" t="e">
        <f t="shared" si="10"/>
        <v>#N/A</v>
      </c>
      <c r="C27" s="151" t="e">
        <v>#N/A</v>
      </c>
      <c r="D27" s="131" t="e">
        <f>_xll.qlIMMcode(C27)</f>
        <v>#NUM!</v>
      </c>
      <c r="E27" s="105" t="s">
        <v>15</v>
      </c>
      <c r="F27" s="154" t="s">
        <v>54</v>
      </c>
      <c r="G27" s="133" t="e">
        <v>#N/A</v>
      </c>
      <c r="H27" s="134">
        <v>0</v>
      </c>
      <c r="I27" s="135" t="e">
        <f>_xll.qlFuturesRateHelper(,$G27,"IMM",$D27,$F27,$H27,Permanent,Trigger,ObjectOverwrite)</f>
        <v>#NUM!</v>
      </c>
      <c r="J27" s="135" t="b">
        <f t="shared" si="11"/>
        <v>0</v>
      </c>
      <c r="K27" s="77"/>
      <c r="L27" s="25" t="str">
        <f>A32</f>
        <v>Sw</v>
      </c>
      <c r="M27" s="25" t="str">
        <f>D32</f>
        <v>3Y</v>
      </c>
      <c r="N27" s="25" t="str">
        <f>I32</f>
        <v>obj_00909#0015</v>
      </c>
      <c r="O27" s="25" t="b">
        <f>J32</f>
        <v>1</v>
      </c>
      <c r="P27" s="14" t="str">
        <v>Sw</v>
      </c>
      <c r="Q27" s="14" t="str">
        <v>8Y</v>
      </c>
      <c r="R27" s="14" t="str">
        <v>obj_00934#0016</v>
      </c>
      <c r="S27" s="21">
        <f>_xll.qlRateHelperQuoteValue(R27,Trigger)</f>
        <v>7.5900000000000004E-3</v>
      </c>
      <c r="T27" s="15">
        <f>_xll.qlRateHelperEarliestDate(R27,Trigger)</f>
        <v>42145</v>
      </c>
      <c r="U27" s="15">
        <f>_xll.qlRateHelperLatestDate(R27,Trigger)</f>
        <v>45068</v>
      </c>
      <c r="V27" s="119">
        <v>7.6164437992117598E-3</v>
      </c>
    </row>
    <row r="28" spans="1:22" ht="11.25" customHeight="1" x14ac:dyDescent="0.2">
      <c r="A28" s="24" t="s">
        <v>44</v>
      </c>
      <c r="B28" s="10" t="e">
        <f t="shared" si="10"/>
        <v>#N/A</v>
      </c>
      <c r="C28" s="152" t="e">
        <v>#N/A</v>
      </c>
      <c r="D28" s="9" t="e">
        <f>_xll.qlIMMcode(C28)</f>
        <v>#NUM!</v>
      </c>
      <c r="E28" s="20" t="s">
        <v>15</v>
      </c>
      <c r="F28" s="29" t="s">
        <v>54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2" t="b">
        <f t="shared" si="11"/>
        <v>0</v>
      </c>
      <c r="K28" s="77"/>
      <c r="L28" s="25" t="str">
        <f t="shared" ref="L28:L71" si="12">A33</f>
        <v>Sw</v>
      </c>
      <c r="M28" s="25" t="str">
        <f t="shared" ref="M28:M71" si="13">D33</f>
        <v>4Y</v>
      </c>
      <c r="N28" s="25" t="str">
        <f t="shared" ref="N28:O43" si="14">I33</f>
        <v>obj_008f5#0016</v>
      </c>
      <c r="O28" s="25" t="b">
        <f t="shared" si="14"/>
        <v>1</v>
      </c>
      <c r="P28" s="14" t="str">
        <v>Sw</v>
      </c>
      <c r="Q28" s="14" t="str">
        <v>9Y</v>
      </c>
      <c r="R28" s="14" t="str">
        <v>obj_008f2#0015</v>
      </c>
      <c r="S28" s="21">
        <f>_xll.qlRateHelperQuoteValue(R28,Trigger)</f>
        <v>8.5799999999999991E-3</v>
      </c>
      <c r="T28" s="15">
        <f>_xll.qlRateHelperEarliestDate(R28,Trigger)</f>
        <v>42145</v>
      </c>
      <c r="U28" s="15">
        <f>_xll.qlRateHelperLatestDate(R28,Trigger)</f>
        <v>45433</v>
      </c>
      <c r="V28" s="119">
        <v>8.6248030975589422E-3</v>
      </c>
    </row>
    <row r="29" spans="1:22" ht="11.25" customHeight="1" x14ac:dyDescent="0.2">
      <c r="K29" s="77"/>
      <c r="L29" s="25" t="str">
        <f t="shared" si="12"/>
        <v>Sw</v>
      </c>
      <c r="M29" s="25" t="str">
        <f t="shared" si="13"/>
        <v>5Y</v>
      </c>
      <c r="N29" s="25" t="str">
        <f t="shared" si="14"/>
        <v>obj_00925#0015</v>
      </c>
      <c r="O29" s="25" t="b">
        <f t="shared" si="14"/>
        <v>1</v>
      </c>
      <c r="P29" s="14" t="str">
        <v>Sw</v>
      </c>
      <c r="Q29" s="14" t="str">
        <v>10Y</v>
      </c>
      <c r="R29" s="14" t="str">
        <v>obj_00937#0015</v>
      </c>
      <c r="S29" s="21">
        <f>_xll.qlRateHelperQuoteValue(R29,Trigger)</f>
        <v>9.4199999999999996E-3</v>
      </c>
      <c r="T29" s="15">
        <f>_xll.qlRateHelperEarliestDate(R29,Trigger)</f>
        <v>42145</v>
      </c>
      <c r="U29" s="15">
        <f>_xll.qlRateHelperLatestDate(R29,Trigger)</f>
        <v>45798</v>
      </c>
      <c r="V29" s="119">
        <v>9.4867828012249189E-3</v>
      </c>
    </row>
    <row r="30" spans="1:22" ht="11.25" customHeight="1" x14ac:dyDescent="0.2">
      <c r="C30" s="74"/>
      <c r="D30" s="74"/>
      <c r="E30" s="74"/>
      <c r="G30" s="93" t="s">
        <v>7</v>
      </c>
      <c r="H30" s="110" t="s">
        <v>9</v>
      </c>
      <c r="I30" s="2" t="str">
        <f>_xll.qlEuribor(,G30,,,Trigger)</f>
        <v>obj_008e8#0015</v>
      </c>
      <c r="J30" s="74"/>
      <c r="K30" s="77"/>
      <c r="L30" s="25" t="str">
        <f t="shared" si="12"/>
        <v>Sw</v>
      </c>
      <c r="M30" s="25" t="str">
        <f t="shared" si="13"/>
        <v>6Y</v>
      </c>
      <c r="N30" s="25" t="str">
        <f t="shared" si="14"/>
        <v>obj_0092f#0015</v>
      </c>
      <c r="O30" s="25" t="b">
        <f t="shared" si="14"/>
        <v>1</v>
      </c>
      <c r="P30" s="14" t="str">
        <v>Sw</v>
      </c>
      <c r="Q30" s="14" t="str">
        <v>11Y</v>
      </c>
      <c r="R30" s="14" t="str">
        <v>obj_0092a#0015</v>
      </c>
      <c r="S30" s="21">
        <f>_xll.qlRateHelperQuoteValue(R30,Trigger)</f>
        <v>1.017007032E-2</v>
      </c>
      <c r="T30" s="15">
        <f>_xll.qlRateHelperEarliestDate(R30,Trigger)</f>
        <v>42145</v>
      </c>
      <c r="U30" s="15">
        <f>_xll.qlRateHelperLatestDate(R30,Trigger)</f>
        <v>46163</v>
      </c>
      <c r="V30" s="119">
        <v>1.0260466278371759E-2</v>
      </c>
    </row>
    <row r="31" spans="1:22" ht="11.25" customHeight="1" x14ac:dyDescent="0.2">
      <c r="A31" s="110" t="s">
        <v>18</v>
      </c>
      <c r="B31" s="110"/>
      <c r="C31" s="110" t="s">
        <v>11</v>
      </c>
      <c r="D31" s="110" t="s">
        <v>1</v>
      </c>
      <c r="E31" s="110" t="s">
        <v>13</v>
      </c>
      <c r="F31" s="110" t="s">
        <v>12</v>
      </c>
      <c r="G31" s="110" t="s">
        <v>4</v>
      </c>
      <c r="H31" s="110" t="s">
        <v>5</v>
      </c>
      <c r="I31" s="110" t="s">
        <v>43</v>
      </c>
      <c r="J31" s="110" t="s">
        <v>47</v>
      </c>
      <c r="K31" s="77"/>
      <c r="L31" s="25" t="str">
        <f t="shared" si="12"/>
        <v>Sw</v>
      </c>
      <c r="M31" s="25" t="str">
        <f t="shared" si="13"/>
        <v>7Y</v>
      </c>
      <c r="N31" s="25" t="str">
        <f t="shared" si="14"/>
        <v>obj_00939#0015</v>
      </c>
      <c r="O31" s="25" t="b">
        <f t="shared" si="14"/>
        <v>1</v>
      </c>
      <c r="P31" s="14" t="str">
        <v>Sw</v>
      </c>
      <c r="Q31" s="14" t="str">
        <v>12Y</v>
      </c>
      <c r="R31" s="14" t="str">
        <v>obj_00933#0015</v>
      </c>
      <c r="S31" s="21">
        <f>_xll.qlRateHelperQuoteValue(R31,Trigger)</f>
        <v>1.0829999999999999E-2</v>
      </c>
      <c r="T31" s="15">
        <f>_xll.qlRateHelperEarliestDate(R31,Trigger)</f>
        <v>42145</v>
      </c>
      <c r="U31" s="15">
        <f>_xll.qlRateHelperLatestDate(R31,Trigger)</f>
        <v>46528</v>
      </c>
      <c r="V31" s="119">
        <v>1.0944412578448007E-2</v>
      </c>
    </row>
    <row r="32" spans="1:22" ht="11.25" customHeight="1" x14ac:dyDescent="0.2">
      <c r="A32" s="101" t="s">
        <v>45</v>
      </c>
      <c r="B32" s="136"/>
      <c r="C32" s="136" t="s">
        <v>14</v>
      </c>
      <c r="D32" s="137" t="str">
        <f t="array" ref="D32:D76">_xll.ohFilter(PastedValue!Y2:Y62,PastedValue!U2:U62="Sw")</f>
        <v>3Y</v>
      </c>
      <c r="E32" s="125" t="s">
        <v>15</v>
      </c>
      <c r="F32" s="136" t="s">
        <v>16</v>
      </c>
      <c r="G32" s="125" t="s">
        <v>17</v>
      </c>
      <c r="H32" s="138">
        <f t="array" ref="H32:H76">_xll.ohFilter(PastedValue!AB2:AB62,PastedValue!U2:U62="Sw")/100</f>
        <v>1.9E-3</v>
      </c>
      <c r="I32" s="99" t="str">
        <f>_xll.qlSwapRateHelper2(,$H32,,$D32,Calendar,$F32,$E32,$G32,$I$30,0,C32,Discounting,Permanent,Trigger,ObjectOverwrite)</f>
        <v>obj_00909#0015</v>
      </c>
      <c r="J32" s="96" t="b">
        <f t="shared" ref="J32:J76" si="15">IF(ISNUMBER(H32),TRUE,FALSE)</f>
        <v>1</v>
      </c>
      <c r="L32" s="25" t="str">
        <f t="shared" si="12"/>
        <v>Sw</v>
      </c>
      <c r="M32" s="25" t="str">
        <f t="shared" si="13"/>
        <v>8Y</v>
      </c>
      <c r="N32" s="25" t="str">
        <f t="shared" si="14"/>
        <v>obj_00934#0016</v>
      </c>
      <c r="O32" s="25" t="b">
        <f t="shared" si="14"/>
        <v>1</v>
      </c>
      <c r="P32" s="14" t="str">
        <v>Sw</v>
      </c>
      <c r="Q32" s="14" t="str">
        <v>13Y</v>
      </c>
      <c r="R32" s="14" t="str">
        <v>obj_0091d#0016</v>
      </c>
      <c r="S32" s="21">
        <f>_xll.qlRateHelperQuoteValue(R32,Trigger)</f>
        <v>1.139669246E-2</v>
      </c>
      <c r="T32" s="15">
        <f>_xll.qlRateHelperEarliestDate(R32,Trigger)</f>
        <v>42145</v>
      </c>
      <c r="U32" s="15">
        <f>_xll.qlRateHelperLatestDate(R32,Trigger)</f>
        <v>46895</v>
      </c>
      <c r="V32" s="119">
        <v>1.153144494401582E-2</v>
      </c>
    </row>
    <row r="33" spans="1:22" ht="11.25" customHeight="1" x14ac:dyDescent="0.2">
      <c r="A33" s="109" t="s">
        <v>45</v>
      </c>
      <c r="B33" s="139"/>
      <c r="C33" s="139" t="s">
        <v>14</v>
      </c>
      <c r="D33" s="140" t="str">
        <v>4Y</v>
      </c>
      <c r="E33" s="132" t="s">
        <v>15</v>
      </c>
      <c r="F33" s="139" t="s">
        <v>16</v>
      </c>
      <c r="G33" s="132" t="s">
        <v>17</v>
      </c>
      <c r="H33" s="141">
        <v>2.8899999999999998E-3</v>
      </c>
      <c r="I33" s="107" t="str">
        <f>_xll.qlSwapRateHelper2(,$H33,,$D33,Calendar,$F33,$E33,$G33,$I$30,0,C33,Discounting,Permanent,Trigger,ObjectOverwrite)</f>
        <v>obj_008f5#0016</v>
      </c>
      <c r="J33" s="104" t="b">
        <f t="shared" si="15"/>
        <v>1</v>
      </c>
      <c r="L33" s="25" t="str">
        <f t="shared" si="12"/>
        <v>Sw</v>
      </c>
      <c r="M33" s="25" t="str">
        <f t="shared" si="13"/>
        <v>9Y</v>
      </c>
      <c r="N33" s="25" t="str">
        <f t="shared" si="14"/>
        <v>obj_008f2#0015</v>
      </c>
      <c r="O33" s="25" t="b">
        <f t="shared" si="14"/>
        <v>1</v>
      </c>
      <c r="P33" s="14" t="str">
        <v>Sw</v>
      </c>
      <c r="Q33" s="14" t="str">
        <v>14Y</v>
      </c>
      <c r="R33" s="14" t="str">
        <v>obj_00914#0015</v>
      </c>
      <c r="S33" s="21">
        <f>_xll.qlRateHelperQuoteValue(R33,Trigger)</f>
        <v>1.1866365160000001E-2</v>
      </c>
      <c r="T33" s="15">
        <f>_xll.qlRateHelperEarliestDate(R33,Trigger)</f>
        <v>42145</v>
      </c>
      <c r="U33" s="15">
        <f>_xll.qlRateHelperLatestDate(R33,Trigger)</f>
        <v>47259</v>
      </c>
      <c r="V33" s="119">
        <v>1.2021035851379352E-2</v>
      </c>
    </row>
    <row r="34" spans="1:22" ht="11.25" customHeight="1" x14ac:dyDescent="0.2">
      <c r="A34" s="109" t="s">
        <v>45</v>
      </c>
      <c r="B34" s="139"/>
      <c r="C34" s="139" t="s">
        <v>14</v>
      </c>
      <c r="D34" s="140" t="str">
        <v>5Y</v>
      </c>
      <c r="E34" s="132" t="s">
        <v>15</v>
      </c>
      <c r="F34" s="139" t="s">
        <v>16</v>
      </c>
      <c r="G34" s="132" t="s">
        <v>17</v>
      </c>
      <c r="H34" s="141">
        <v>4.0500000000000006E-3</v>
      </c>
      <c r="I34" s="107" t="str">
        <f>_xll.qlSwapRateHelper2(,$H34,,$D34,Calendar,$F34,$E34,$G34,$I$30,0,C34,Discounting,Permanent,Trigger,ObjectOverwrite)</f>
        <v>obj_00925#0015</v>
      </c>
      <c r="J34" s="104" t="b">
        <f t="shared" si="15"/>
        <v>1</v>
      </c>
      <c r="L34" s="25" t="str">
        <f t="shared" si="12"/>
        <v>Sw</v>
      </c>
      <c r="M34" s="25" t="str">
        <f t="shared" si="13"/>
        <v>10Y</v>
      </c>
      <c r="N34" s="25" t="str">
        <f t="shared" si="14"/>
        <v>obj_00937#0015</v>
      </c>
      <c r="O34" s="25" t="b">
        <f t="shared" si="14"/>
        <v>1</v>
      </c>
      <c r="P34" s="14" t="str">
        <v>Sw</v>
      </c>
      <c r="Q34" s="14" t="str">
        <v>15Y</v>
      </c>
      <c r="R34" s="14" t="str">
        <v>obj_00935#0015</v>
      </c>
      <c r="S34" s="21">
        <f>_xll.qlRateHelperQuoteValue(R34,Trigger)</f>
        <v>1.226E-2</v>
      </c>
      <c r="T34" s="15">
        <f>_xll.qlRateHelperEarliestDate(R34,Trigger)</f>
        <v>42145</v>
      </c>
      <c r="U34" s="15">
        <f>_xll.qlRateHelperLatestDate(R34,Trigger)</f>
        <v>47624</v>
      </c>
      <c r="V34" s="119">
        <v>1.2431848503244292E-2</v>
      </c>
    </row>
    <row r="35" spans="1:22" ht="11.25" customHeight="1" x14ac:dyDescent="0.2">
      <c r="A35" s="109" t="s">
        <v>45</v>
      </c>
      <c r="B35" s="139"/>
      <c r="C35" s="139" t="s">
        <v>14</v>
      </c>
      <c r="D35" s="140" t="str">
        <v>6Y</v>
      </c>
      <c r="E35" s="132" t="s">
        <v>15</v>
      </c>
      <c r="F35" s="139" t="s">
        <v>16</v>
      </c>
      <c r="G35" s="132" t="s">
        <v>17</v>
      </c>
      <c r="H35" s="141">
        <v>5.2599999999999999E-3</v>
      </c>
      <c r="I35" s="107" t="str">
        <f>_xll.qlSwapRateHelper2(,$H35,,$D35,Calendar,$F35,$E35,$G35,$I$30,0,C35,Discounting,Permanent,Trigger,ObjectOverwrite)</f>
        <v>obj_0092f#0015</v>
      </c>
      <c r="J35" s="104" t="b">
        <f t="shared" si="15"/>
        <v>1</v>
      </c>
      <c r="L35" s="25" t="str">
        <f t="shared" si="12"/>
        <v>Sw</v>
      </c>
      <c r="M35" s="25" t="str">
        <f t="shared" si="13"/>
        <v>11Y</v>
      </c>
      <c r="N35" s="25" t="str">
        <f t="shared" si="14"/>
        <v>obj_0092a#0015</v>
      </c>
      <c r="O35" s="25" t="b">
        <f t="shared" si="14"/>
        <v>1</v>
      </c>
      <c r="P35" s="14" t="str">
        <v>Sw</v>
      </c>
      <c r="Q35" s="14" t="str">
        <v>16Y</v>
      </c>
      <c r="R35" s="14" t="str">
        <v>obj_00931#0015</v>
      </c>
      <c r="S35" s="21">
        <f>_xll.qlRateHelperQuoteValue(R35,Trigger)</f>
        <v>1.2587940820000001E-2</v>
      </c>
      <c r="T35" s="15">
        <f>_xll.qlRateHelperEarliestDate(R35,Trigger)</f>
        <v>42145</v>
      </c>
      <c r="U35" s="15">
        <f>_xll.qlRateHelperLatestDate(R35,Trigger)</f>
        <v>47989</v>
      </c>
      <c r="V35" s="119">
        <v>1.2774068197045393E-2</v>
      </c>
    </row>
    <row r="36" spans="1:22" ht="11.25" customHeight="1" x14ac:dyDescent="0.2">
      <c r="A36" s="109" t="s">
        <v>45</v>
      </c>
      <c r="B36" s="139"/>
      <c r="C36" s="139" t="s">
        <v>14</v>
      </c>
      <c r="D36" s="140" t="str">
        <v>7Y</v>
      </c>
      <c r="E36" s="132" t="s">
        <v>15</v>
      </c>
      <c r="F36" s="139" t="s">
        <v>16</v>
      </c>
      <c r="G36" s="132" t="s">
        <v>17</v>
      </c>
      <c r="H36" s="141">
        <v>6.4700000000000001E-3</v>
      </c>
      <c r="I36" s="107" t="str">
        <f>_xll.qlSwapRateHelper2(,$H36,,$D36,Calendar,$F36,$E36,$G36,$I$30,0,C36,Discounting,Permanent,Trigger,ObjectOverwrite)</f>
        <v>obj_00939#0015</v>
      </c>
      <c r="J36" s="104" t="b">
        <f t="shared" si="15"/>
        <v>1</v>
      </c>
      <c r="L36" s="25" t="str">
        <f t="shared" si="12"/>
        <v>Sw</v>
      </c>
      <c r="M36" s="25" t="str">
        <f t="shared" si="13"/>
        <v>12Y</v>
      </c>
      <c r="N36" s="25" t="str">
        <f t="shared" si="14"/>
        <v>obj_00933#0015</v>
      </c>
      <c r="O36" s="25" t="b">
        <f t="shared" si="14"/>
        <v>1</v>
      </c>
      <c r="P36" s="14" t="str">
        <v>Sw</v>
      </c>
      <c r="Q36" s="14" t="str">
        <v>17Y</v>
      </c>
      <c r="R36" s="14" t="str">
        <v>obj_0091a#0015</v>
      </c>
      <c r="S36" s="21">
        <f>_xll.qlRateHelperQuoteValue(R36,Trigger)</f>
        <v>1.2860533139999998E-2</v>
      </c>
      <c r="T36" s="15">
        <f>_xll.qlRateHelperEarliestDate(R36,Trigger)</f>
        <v>42145</v>
      </c>
      <c r="U36" s="15">
        <f>_xll.qlRateHelperLatestDate(R36,Trigger)</f>
        <v>48355</v>
      </c>
      <c r="V36" s="119">
        <v>1.3056007530416478E-2</v>
      </c>
    </row>
    <row r="37" spans="1:22" ht="11.25" customHeight="1" x14ac:dyDescent="0.2">
      <c r="A37" s="109" t="s">
        <v>45</v>
      </c>
      <c r="B37" s="139"/>
      <c r="C37" s="139" t="s">
        <v>14</v>
      </c>
      <c r="D37" s="140" t="str">
        <v>8Y</v>
      </c>
      <c r="E37" s="132" t="s">
        <v>15</v>
      </c>
      <c r="F37" s="139" t="s">
        <v>16</v>
      </c>
      <c r="G37" s="132" t="s">
        <v>17</v>
      </c>
      <c r="H37" s="141">
        <v>7.5900000000000004E-3</v>
      </c>
      <c r="I37" s="107" t="str">
        <f>_xll.qlSwapRateHelper2(,$H37,,$D37,Calendar,$F37,$E37,$G37,$I$30,0,C37,Discounting,Permanent,Trigger,ObjectOverwrite)</f>
        <v>obj_00934#0016</v>
      </c>
      <c r="J37" s="104" t="b">
        <f t="shared" si="15"/>
        <v>1</v>
      </c>
      <c r="L37" s="25" t="str">
        <f t="shared" si="12"/>
        <v>Sw</v>
      </c>
      <c r="M37" s="25" t="str">
        <f t="shared" si="13"/>
        <v>13Y</v>
      </c>
      <c r="N37" s="25" t="str">
        <f t="shared" si="14"/>
        <v>obj_0091d#0016</v>
      </c>
      <c r="O37" s="25" t="b">
        <f t="shared" si="14"/>
        <v>1</v>
      </c>
      <c r="P37" s="14" t="str">
        <v>Sw</v>
      </c>
      <c r="Q37" s="14" t="str">
        <v>18Y</v>
      </c>
      <c r="R37" s="14" t="str">
        <v>obj_008f7#0015</v>
      </c>
      <c r="S37" s="21">
        <f>_xll.qlRateHelperQuoteValue(R37,Trigger)</f>
        <v>1.3079950159999999E-2</v>
      </c>
      <c r="T37" s="15">
        <f>_xll.qlRateHelperEarliestDate(R37,Trigger)</f>
        <v>42145</v>
      </c>
      <c r="U37" s="15">
        <f>_xll.qlRateHelperLatestDate(R37,Trigger)</f>
        <v>48722</v>
      </c>
      <c r="V37" s="119">
        <v>1.3283506207072889E-2</v>
      </c>
    </row>
    <row r="38" spans="1:22" ht="11.25" customHeight="1" x14ac:dyDescent="0.2">
      <c r="A38" s="109" t="s">
        <v>45</v>
      </c>
      <c r="B38" s="139"/>
      <c r="C38" s="139" t="s">
        <v>14</v>
      </c>
      <c r="D38" s="140" t="str">
        <v>9Y</v>
      </c>
      <c r="E38" s="132" t="s">
        <v>15</v>
      </c>
      <c r="F38" s="139" t="s">
        <v>16</v>
      </c>
      <c r="G38" s="132" t="s">
        <v>17</v>
      </c>
      <c r="H38" s="141">
        <v>8.5799999999999991E-3</v>
      </c>
      <c r="I38" s="107" t="str">
        <f>_xll.qlSwapRateHelper2(,$H38,,$D38,Calendar,$F38,$E38,$G38,$I$30,0,C38,Discounting,Permanent,Trigger,ObjectOverwrite)</f>
        <v>obj_008f2#0015</v>
      </c>
      <c r="J38" s="104" t="b">
        <f t="shared" si="15"/>
        <v>1</v>
      </c>
      <c r="L38" s="25" t="str">
        <f t="shared" si="12"/>
        <v>Sw</v>
      </c>
      <c r="M38" s="25" t="str">
        <f t="shared" si="13"/>
        <v>14Y</v>
      </c>
      <c r="N38" s="25" t="str">
        <f t="shared" si="14"/>
        <v>obj_00914#0015</v>
      </c>
      <c r="O38" s="25" t="b">
        <f t="shared" si="14"/>
        <v>1</v>
      </c>
      <c r="P38" s="14" t="str">
        <v>Sw</v>
      </c>
      <c r="Q38" s="14" t="str">
        <v>19Y</v>
      </c>
      <c r="R38" s="14" t="str">
        <v>obj_0092b#0015</v>
      </c>
      <c r="S38" s="21">
        <f>_xll.qlRateHelperQuoteValue(R38,Trigger)</f>
        <v>1.3255596769999999E-2</v>
      </c>
      <c r="T38" s="15">
        <f>_xll.qlRateHelperEarliestDate(R38,Trigger)</f>
        <v>42145</v>
      </c>
      <c r="U38" s="15">
        <f>_xll.qlRateHelperLatestDate(R38,Trigger)</f>
        <v>49086</v>
      </c>
      <c r="V38" s="119">
        <v>1.3464295521816595E-2</v>
      </c>
    </row>
    <row r="39" spans="1:22" ht="11.25" customHeight="1" x14ac:dyDescent="0.2">
      <c r="A39" s="109" t="s">
        <v>45</v>
      </c>
      <c r="B39" s="139"/>
      <c r="C39" s="139" t="s">
        <v>14</v>
      </c>
      <c r="D39" s="140" t="str">
        <v>10Y</v>
      </c>
      <c r="E39" s="132" t="s">
        <v>15</v>
      </c>
      <c r="F39" s="139" t="s">
        <v>16</v>
      </c>
      <c r="G39" s="132" t="s">
        <v>17</v>
      </c>
      <c r="H39" s="141">
        <v>9.4199999999999996E-3</v>
      </c>
      <c r="I39" s="107" t="str">
        <f>_xll.qlSwapRateHelper2(,$H39,,$D39,Calendar,$F39,$E39,$G39,$I$30,0,C39,Discounting,Permanent,Trigger,ObjectOverwrite)</f>
        <v>obj_00937#0015</v>
      </c>
      <c r="J39" s="104" t="b">
        <f t="shared" si="15"/>
        <v>1</v>
      </c>
      <c r="L39" s="25" t="str">
        <f t="shared" si="12"/>
        <v>Sw</v>
      </c>
      <c r="M39" s="25" t="str">
        <f t="shared" si="13"/>
        <v>15Y</v>
      </c>
      <c r="N39" s="25" t="str">
        <f t="shared" si="14"/>
        <v>obj_00935#0015</v>
      </c>
      <c r="O39" s="25" t="b">
        <f t="shared" si="14"/>
        <v>1</v>
      </c>
      <c r="P39" s="14" t="str">
        <v>Sw</v>
      </c>
      <c r="Q39" s="14" t="str">
        <v>20Y</v>
      </c>
      <c r="R39" s="14" t="str">
        <v>obj_0090f#0015</v>
      </c>
      <c r="S39" s="21">
        <f>_xll.qlRateHelperQuoteValue(R39,Trigger)</f>
        <v>1.3389999999999999E-2</v>
      </c>
      <c r="T39" s="15">
        <f>_xll.qlRateHelperEarliestDate(R39,Trigger)</f>
        <v>42145</v>
      </c>
      <c r="U39" s="15">
        <f>_xll.qlRateHelperLatestDate(R39,Trigger)</f>
        <v>49450</v>
      </c>
      <c r="V39" s="119">
        <v>1.3600533321541198E-2</v>
      </c>
    </row>
    <row r="40" spans="1:22" ht="11.25" customHeight="1" x14ac:dyDescent="0.2">
      <c r="A40" s="109" t="s">
        <v>45</v>
      </c>
      <c r="B40" s="139"/>
      <c r="C40" s="139" t="s">
        <v>14</v>
      </c>
      <c r="D40" s="140" t="str">
        <v>11Y</v>
      </c>
      <c r="E40" s="132" t="s">
        <v>15</v>
      </c>
      <c r="F40" s="139" t="s">
        <v>16</v>
      </c>
      <c r="G40" s="132" t="s">
        <v>17</v>
      </c>
      <c r="H40" s="141">
        <v>1.017007032E-2</v>
      </c>
      <c r="I40" s="107" t="str">
        <f>_xll.qlSwapRateHelper2(,$H40,,$D40,Calendar,$F40,$E40,$G40,$I$30,0,C40,Discounting,Permanent,Trigger,ObjectOverwrite)</f>
        <v>obj_0092a#0015</v>
      </c>
      <c r="J40" s="104" t="b">
        <f t="shared" si="15"/>
        <v>1</v>
      </c>
      <c r="L40" s="25" t="str">
        <f t="shared" si="12"/>
        <v>Sw</v>
      </c>
      <c r="M40" s="25" t="str">
        <f t="shared" si="13"/>
        <v>16Y</v>
      </c>
      <c r="N40" s="25" t="str">
        <f t="shared" si="14"/>
        <v>obj_00931#0015</v>
      </c>
      <c r="O40" s="25" t="b">
        <f t="shared" si="14"/>
        <v>1</v>
      </c>
      <c r="P40" s="14" t="str">
        <v>Sw</v>
      </c>
      <c r="Q40" s="14" t="str">
        <v>21Y</v>
      </c>
      <c r="R40" s="14" t="str">
        <v>obj_0093a#0016</v>
      </c>
      <c r="S40" s="21">
        <f>_xll.qlRateHelperQuoteValue(R40,Trigger)</f>
        <v>1.349131762E-2</v>
      </c>
      <c r="T40" s="15">
        <f>_xll.qlRateHelperEarliestDate(R40,Trigger)</f>
        <v>42145</v>
      </c>
      <c r="U40" s="15">
        <f>_xll.qlRateHelperLatestDate(R40,Trigger)</f>
        <v>49816</v>
      </c>
      <c r="V40" s="119">
        <v>1.3699124206214332E-2</v>
      </c>
    </row>
    <row r="41" spans="1:22" ht="11.25" customHeight="1" x14ac:dyDescent="0.2">
      <c r="A41" s="109" t="s">
        <v>45</v>
      </c>
      <c r="B41" s="139"/>
      <c r="C41" s="139" t="s">
        <v>14</v>
      </c>
      <c r="D41" s="140" t="str">
        <v>12Y</v>
      </c>
      <c r="E41" s="132" t="s">
        <v>15</v>
      </c>
      <c r="F41" s="139" t="s">
        <v>16</v>
      </c>
      <c r="G41" s="132" t="s">
        <v>17</v>
      </c>
      <c r="H41" s="141">
        <v>1.0829999999999999E-2</v>
      </c>
      <c r="I41" s="107" t="str">
        <f>_xll.qlSwapRateHelper2(,$H41,,$D41,Calendar,$F41,$E41,$G41,$I$30,0,C41,Discounting,Permanent,Trigger,ObjectOverwrite)</f>
        <v>obj_00933#0015</v>
      </c>
      <c r="J41" s="104" t="b">
        <f t="shared" si="15"/>
        <v>1</v>
      </c>
      <c r="L41" s="25" t="str">
        <f t="shared" si="12"/>
        <v>Sw</v>
      </c>
      <c r="M41" s="25" t="str">
        <f t="shared" si="13"/>
        <v>17Y</v>
      </c>
      <c r="N41" s="25" t="str">
        <f t="shared" si="14"/>
        <v>obj_0091a#0015</v>
      </c>
      <c r="O41" s="25" t="b">
        <f t="shared" si="14"/>
        <v>1</v>
      </c>
      <c r="P41" s="14" t="str">
        <v>Sw</v>
      </c>
      <c r="Q41" s="14" t="str">
        <v>22Y</v>
      </c>
      <c r="R41" s="14" t="str">
        <v>obj_008eb#0016</v>
      </c>
      <c r="S41" s="21">
        <f>_xll.qlRateHelperQuoteValue(R41,Trigger)</f>
        <v>1.3564033159999999E-2</v>
      </c>
      <c r="T41" s="15">
        <f>_xll.qlRateHelperEarliestDate(R41,Trigger)</f>
        <v>42145</v>
      </c>
      <c r="U41" s="15">
        <f>_xll.qlRateHelperLatestDate(R41,Trigger)</f>
        <v>50181</v>
      </c>
      <c r="V41" s="119">
        <v>1.3768431727924644E-2</v>
      </c>
    </row>
    <row r="42" spans="1:22" ht="11.25" customHeight="1" x14ac:dyDescent="0.2">
      <c r="A42" s="109" t="s">
        <v>45</v>
      </c>
      <c r="B42" s="139"/>
      <c r="C42" s="139" t="s">
        <v>14</v>
      </c>
      <c r="D42" s="140" t="str">
        <v>13Y</v>
      </c>
      <c r="E42" s="132" t="s">
        <v>15</v>
      </c>
      <c r="F42" s="139" t="s">
        <v>16</v>
      </c>
      <c r="G42" s="132" t="s">
        <v>17</v>
      </c>
      <c r="H42" s="141">
        <v>1.139669246E-2</v>
      </c>
      <c r="I42" s="107" t="str">
        <f>_xll.qlSwapRateHelper2(,$H42,,$D42,Calendar,$F42,$E42,$G42,$I$30,0,C42,Discounting,Permanent,Trigger,ObjectOverwrite)</f>
        <v>obj_0091d#0016</v>
      </c>
      <c r="J42" s="104" t="b">
        <f t="shared" si="15"/>
        <v>1</v>
      </c>
      <c r="L42" s="25" t="str">
        <f t="shared" si="12"/>
        <v>Sw</v>
      </c>
      <c r="M42" s="25" t="str">
        <f t="shared" si="13"/>
        <v>18Y</v>
      </c>
      <c r="N42" s="25" t="str">
        <f t="shared" si="14"/>
        <v>obj_008f7#0015</v>
      </c>
      <c r="O42" s="25" t="b">
        <f t="shared" si="14"/>
        <v>1</v>
      </c>
      <c r="P42" s="14" t="str">
        <v>Sw</v>
      </c>
      <c r="Q42" s="14" t="str">
        <v>23Y</v>
      </c>
      <c r="R42" s="14" t="str">
        <v>obj_00932#0015</v>
      </c>
      <c r="S42" s="21">
        <f>_xll.qlRateHelperQuoteValue(R42,Trigger)</f>
        <v>1.361721382E-2</v>
      </c>
      <c r="T42" s="15">
        <f>_xll.qlRateHelperEarliestDate(R42,Trigger)</f>
        <v>42145</v>
      </c>
      <c r="U42" s="15">
        <f>_xll.qlRateHelperLatestDate(R42,Trigger)</f>
        <v>50546</v>
      </c>
      <c r="V42" s="119">
        <v>1.381665971955259E-2</v>
      </c>
    </row>
    <row r="43" spans="1:22" ht="11.25" customHeight="1" x14ac:dyDescent="0.2">
      <c r="A43" s="109" t="s">
        <v>45</v>
      </c>
      <c r="B43" s="139"/>
      <c r="C43" s="139" t="s">
        <v>14</v>
      </c>
      <c r="D43" s="140" t="str">
        <v>14Y</v>
      </c>
      <c r="E43" s="132" t="s">
        <v>15</v>
      </c>
      <c r="F43" s="139" t="s">
        <v>16</v>
      </c>
      <c r="G43" s="132" t="s">
        <v>17</v>
      </c>
      <c r="H43" s="141">
        <v>1.1866365160000001E-2</v>
      </c>
      <c r="I43" s="107" t="str">
        <f>_xll.qlSwapRateHelper2(,$H43,,$D43,Calendar,$F43,$E43,$G43,$I$30,0,C43,Discounting,Permanent,Trigger,ObjectOverwrite)</f>
        <v>obj_00914#0015</v>
      </c>
      <c r="J43" s="104" t="b">
        <f t="shared" si="15"/>
        <v>1</v>
      </c>
      <c r="L43" s="25" t="str">
        <f t="shared" si="12"/>
        <v>Sw</v>
      </c>
      <c r="M43" s="25" t="str">
        <f t="shared" si="13"/>
        <v>19Y</v>
      </c>
      <c r="N43" s="25" t="str">
        <f t="shared" si="14"/>
        <v>obj_0092b#0015</v>
      </c>
      <c r="O43" s="25" t="b">
        <f t="shared" si="14"/>
        <v>1</v>
      </c>
      <c r="P43" s="14" t="str">
        <v>Sw</v>
      </c>
      <c r="Q43" s="14" t="str">
        <v>24Y</v>
      </c>
      <c r="R43" s="14" t="str">
        <v>obj_008ee#0016</v>
      </c>
      <c r="S43" s="21">
        <f>_xll.qlRateHelperQuoteValue(R43,Trigger)</f>
        <v>1.365702689E-2</v>
      </c>
      <c r="T43" s="15">
        <f>_xll.qlRateHelperEarliestDate(R43,Trigger)</f>
        <v>42145</v>
      </c>
      <c r="U43" s="15">
        <f>_xll.qlRateHelperLatestDate(R43,Trigger)</f>
        <v>50913</v>
      </c>
      <c r="V43" s="119">
        <v>1.385052420948886E-2</v>
      </c>
    </row>
    <row r="44" spans="1:22" ht="11.25" customHeight="1" x14ac:dyDescent="0.2">
      <c r="A44" s="109" t="s">
        <v>45</v>
      </c>
      <c r="B44" s="139"/>
      <c r="C44" s="139" t="s">
        <v>14</v>
      </c>
      <c r="D44" s="140" t="str">
        <v>15Y</v>
      </c>
      <c r="E44" s="132" t="s">
        <v>15</v>
      </c>
      <c r="F44" s="139" t="s">
        <v>16</v>
      </c>
      <c r="G44" s="132" t="s">
        <v>17</v>
      </c>
      <c r="H44" s="141">
        <v>1.226E-2</v>
      </c>
      <c r="I44" s="107" t="str">
        <f>_xll.qlSwapRateHelper2(,$H44,,$D44,Calendar,$F44,$E44,$G44,$I$30,0,C44,Discounting,Permanent,Trigger,ObjectOverwrite)</f>
        <v>obj_00935#0015</v>
      </c>
      <c r="J44" s="104" t="b">
        <f t="shared" si="15"/>
        <v>1</v>
      </c>
      <c r="L44" s="25" t="str">
        <f t="shared" si="12"/>
        <v>Sw</v>
      </c>
      <c r="M44" s="25" t="str">
        <f t="shared" si="13"/>
        <v>20Y</v>
      </c>
      <c r="N44" s="25" t="str">
        <f t="shared" ref="N44:O59" si="16">I49</f>
        <v>obj_0090f#0015</v>
      </c>
      <c r="O44" s="25" t="b">
        <f t="shared" si="16"/>
        <v>1</v>
      </c>
      <c r="P44" s="14" t="str">
        <v>Sw</v>
      </c>
      <c r="Q44" s="14" t="str">
        <v>25Y</v>
      </c>
      <c r="R44" s="14" t="str">
        <v>obj_0093d#0016</v>
      </c>
      <c r="S44" s="21">
        <f>_xll.qlRateHelperQuoteValue(R44,Trigger)</f>
        <v>1.3690000000000001E-2</v>
      </c>
      <c r="T44" s="15">
        <f>_xll.qlRateHelperEarliestDate(R44,Trigger)</f>
        <v>42145</v>
      </c>
      <c r="U44" s="15">
        <f>_xll.qlRateHelperLatestDate(R44,Trigger)</f>
        <v>51277</v>
      </c>
      <c r="V44" s="119">
        <v>1.3876024527571449E-2</v>
      </c>
    </row>
    <row r="45" spans="1:22" ht="11.25" customHeight="1" x14ac:dyDescent="0.2">
      <c r="A45" s="109" t="s">
        <v>45</v>
      </c>
      <c r="B45" s="139"/>
      <c r="C45" s="139" t="s">
        <v>14</v>
      </c>
      <c r="D45" s="140" t="str">
        <v>16Y</v>
      </c>
      <c r="E45" s="132" t="s">
        <v>15</v>
      </c>
      <c r="F45" s="139" t="s">
        <v>16</v>
      </c>
      <c r="G45" s="132" t="s">
        <v>17</v>
      </c>
      <c r="H45" s="141">
        <v>1.2587940820000001E-2</v>
      </c>
      <c r="I45" s="107" t="str">
        <f>_xll.qlSwapRateHelper2(,$H45,,$D45,Calendar,$F45,$E45,$G45,$I$30,0,C45,Discounting,Permanent,Trigger,ObjectOverwrite)</f>
        <v>obj_00931#0015</v>
      </c>
      <c r="J45" s="104" t="b">
        <f t="shared" si="15"/>
        <v>1</v>
      </c>
      <c r="L45" s="25" t="str">
        <f t="shared" si="12"/>
        <v>Sw</v>
      </c>
      <c r="M45" s="25" t="str">
        <f t="shared" si="13"/>
        <v>21Y</v>
      </c>
      <c r="N45" s="25" t="str">
        <f t="shared" si="16"/>
        <v>obj_0093a#0016</v>
      </c>
      <c r="O45" s="25" t="b">
        <f t="shared" si="16"/>
        <v>1</v>
      </c>
      <c r="P45" s="14" t="str">
        <v>Sw</v>
      </c>
      <c r="Q45" s="14" t="str">
        <v>26Y</v>
      </c>
      <c r="R45" s="14" t="str">
        <v>obj_00930#0016</v>
      </c>
      <c r="S45" s="21">
        <f>_xll.qlRateHelperQuoteValue(R45,Trigger)</f>
        <v>1.3717083830000001E-2</v>
      </c>
      <c r="T45" s="15">
        <f>_xll.qlRateHelperEarliestDate(R45,Trigger)</f>
        <v>42145</v>
      </c>
      <c r="U45" s="15">
        <f>_xll.qlRateHelperLatestDate(R45,Trigger)</f>
        <v>51642</v>
      </c>
      <c r="V45" s="119">
        <v>1.3897065096097507E-2</v>
      </c>
    </row>
    <row r="46" spans="1:22" ht="11.25" customHeight="1" x14ac:dyDescent="0.2">
      <c r="A46" s="109" t="s">
        <v>45</v>
      </c>
      <c r="B46" s="139"/>
      <c r="C46" s="139" t="s">
        <v>14</v>
      </c>
      <c r="D46" s="140" t="str">
        <v>17Y</v>
      </c>
      <c r="E46" s="132" t="s">
        <v>15</v>
      </c>
      <c r="F46" s="139" t="s">
        <v>16</v>
      </c>
      <c r="G46" s="132" t="s">
        <v>17</v>
      </c>
      <c r="H46" s="141">
        <v>1.2860533139999998E-2</v>
      </c>
      <c r="I46" s="107" t="str">
        <f>_xll.qlSwapRateHelper2(,$H46,,$D46,Calendar,$F46,$E46,$G46,$I$30,0,C46,Discounting,Permanent,Trigger,ObjectOverwrite)</f>
        <v>obj_0091a#0015</v>
      </c>
      <c r="J46" s="104" t="b">
        <f t="shared" si="15"/>
        <v>1</v>
      </c>
      <c r="L46" s="25" t="str">
        <f t="shared" si="12"/>
        <v>Sw</v>
      </c>
      <c r="M46" s="25" t="str">
        <f t="shared" si="13"/>
        <v>22Y</v>
      </c>
      <c r="N46" s="25" t="str">
        <f t="shared" si="16"/>
        <v>obj_008eb#0016</v>
      </c>
      <c r="O46" s="25" t="b">
        <f t="shared" si="16"/>
        <v>1</v>
      </c>
      <c r="P46" s="14" t="str">
        <v>Sw</v>
      </c>
      <c r="Q46" s="14" t="str">
        <v>27Y</v>
      </c>
      <c r="R46" s="14" t="str">
        <v>obj_0093b#0015</v>
      </c>
      <c r="S46" s="21">
        <f>_xll.qlRateHelperQuoteValue(R46,Trigger)</f>
        <v>1.374157109E-2</v>
      </c>
      <c r="T46" s="15">
        <f>_xll.qlRateHelperEarliestDate(R46,Trigger)</f>
        <v>42145</v>
      </c>
      <c r="U46" s="15">
        <f>_xll.qlRateHelperLatestDate(R46,Trigger)</f>
        <v>52007</v>
      </c>
      <c r="V46" s="119">
        <v>1.3915837131771445E-2</v>
      </c>
    </row>
    <row r="47" spans="1:22" ht="11.25" customHeight="1" x14ac:dyDescent="0.2">
      <c r="A47" s="109" t="s">
        <v>45</v>
      </c>
      <c r="B47" s="139"/>
      <c r="C47" s="139" t="s">
        <v>14</v>
      </c>
      <c r="D47" s="140" t="str">
        <v>18Y</v>
      </c>
      <c r="E47" s="132" t="s">
        <v>15</v>
      </c>
      <c r="F47" s="139" t="s">
        <v>16</v>
      </c>
      <c r="G47" s="132" t="s">
        <v>17</v>
      </c>
      <c r="H47" s="141">
        <v>1.3079950159999999E-2</v>
      </c>
      <c r="I47" s="107" t="str">
        <f>_xll.qlSwapRateHelper2(,$H47,,$D47,Calendar,$F47,$E47,$G47,$I$30,0,C47,Discounting,Permanent,Trigger,ObjectOverwrite)</f>
        <v>obj_008f7#0015</v>
      </c>
      <c r="J47" s="104" t="b">
        <f t="shared" si="15"/>
        <v>1</v>
      </c>
      <c r="L47" s="25" t="str">
        <f t="shared" si="12"/>
        <v>Sw</v>
      </c>
      <c r="M47" s="25" t="str">
        <f t="shared" si="13"/>
        <v>23Y</v>
      </c>
      <c r="N47" s="25" t="str">
        <f t="shared" si="16"/>
        <v>obj_00932#0015</v>
      </c>
      <c r="O47" s="25" t="b">
        <f t="shared" si="16"/>
        <v>1</v>
      </c>
      <c r="P47" s="14" t="str">
        <v>Sw</v>
      </c>
      <c r="Q47" s="14" t="str">
        <v>28Y</v>
      </c>
      <c r="R47" s="14" t="str">
        <v>obj_0092c#0015</v>
      </c>
      <c r="S47" s="21">
        <f>_xll.qlRateHelperQuoteValue(R47,Trigger)</f>
        <v>1.376444317E-2</v>
      </c>
      <c r="T47" s="15">
        <f>_xll.qlRateHelperEarliestDate(R47,Trigger)</f>
        <v>42145</v>
      </c>
      <c r="U47" s="15">
        <f>_xll.qlRateHelperLatestDate(R47,Trigger)</f>
        <v>52372</v>
      </c>
      <c r="V47" s="119">
        <v>1.3933421471698154E-2</v>
      </c>
    </row>
    <row r="48" spans="1:22" ht="11.25" customHeight="1" x14ac:dyDescent="0.2">
      <c r="A48" s="109" t="s">
        <v>45</v>
      </c>
      <c r="B48" s="139"/>
      <c r="C48" s="139" t="s">
        <v>14</v>
      </c>
      <c r="D48" s="140" t="str">
        <v>19Y</v>
      </c>
      <c r="E48" s="132" t="s">
        <v>15</v>
      </c>
      <c r="F48" s="139" t="s">
        <v>16</v>
      </c>
      <c r="G48" s="132" t="s">
        <v>17</v>
      </c>
      <c r="H48" s="141">
        <v>1.3255596769999999E-2</v>
      </c>
      <c r="I48" s="107" t="str">
        <f>_xll.qlSwapRateHelper2(,$H48,,$D48,Calendar,$F48,$E48,$G48,$I$30,0,C48,Discounting,Permanent,Trigger,ObjectOverwrite)</f>
        <v>obj_0092b#0015</v>
      </c>
      <c r="J48" s="104" t="b">
        <f t="shared" si="15"/>
        <v>1</v>
      </c>
      <c r="L48" s="25" t="str">
        <f t="shared" si="12"/>
        <v>Sw</v>
      </c>
      <c r="M48" s="25" t="str">
        <f t="shared" si="13"/>
        <v>24Y</v>
      </c>
      <c r="N48" s="25" t="str">
        <f t="shared" si="16"/>
        <v>obj_008ee#0016</v>
      </c>
      <c r="O48" s="25" t="b">
        <f t="shared" si="16"/>
        <v>1</v>
      </c>
      <c r="P48" s="14" t="str">
        <v>Sw</v>
      </c>
      <c r="Q48" s="14" t="str">
        <v>29Y</v>
      </c>
      <c r="R48" s="14" t="str">
        <v>obj_00936#0015</v>
      </c>
      <c r="S48" s="21">
        <f>_xll.qlRateHelperQuoteValue(R48,Trigger)</f>
        <v>1.3787716279999999E-2</v>
      </c>
      <c r="T48" s="15">
        <f>_xll.qlRateHelperEarliestDate(R48,Trigger)</f>
        <v>42145</v>
      </c>
      <c r="U48" s="15">
        <f>_xll.qlRateHelperLatestDate(R48,Trigger)</f>
        <v>52740</v>
      </c>
      <c r="V48" s="119">
        <v>1.3950727511311295E-2</v>
      </c>
    </row>
    <row r="49" spans="1:22" ht="11.25" customHeight="1" x14ac:dyDescent="0.2">
      <c r="A49" s="109" t="s">
        <v>45</v>
      </c>
      <c r="B49" s="139"/>
      <c r="C49" s="139" t="s">
        <v>14</v>
      </c>
      <c r="D49" s="140" t="str">
        <v>20Y</v>
      </c>
      <c r="E49" s="132" t="s">
        <v>15</v>
      </c>
      <c r="F49" s="139" t="s">
        <v>16</v>
      </c>
      <c r="G49" s="132" t="s">
        <v>17</v>
      </c>
      <c r="H49" s="141">
        <v>1.3389999999999999E-2</v>
      </c>
      <c r="I49" s="107" t="str">
        <f>_xll.qlSwapRateHelper2(,$H49,,$D49,Calendar,$F49,$E49,$G49,$I$30,0,C49,Discounting,Permanent,Trigger,ObjectOverwrite)</f>
        <v>obj_0090f#0015</v>
      </c>
      <c r="J49" s="104" t="b">
        <f t="shared" si="15"/>
        <v>1</v>
      </c>
      <c r="L49" s="25" t="str">
        <f t="shared" si="12"/>
        <v>Sw</v>
      </c>
      <c r="M49" s="25" t="str">
        <f t="shared" si="13"/>
        <v>25Y</v>
      </c>
      <c r="N49" s="25" t="str">
        <f t="shared" si="16"/>
        <v>obj_0093d#0016</v>
      </c>
      <c r="O49" s="25" t="b">
        <f t="shared" si="16"/>
        <v>1</v>
      </c>
      <c r="P49" s="14" t="str">
        <v>Sw</v>
      </c>
      <c r="Q49" s="14" t="str">
        <v>30Y</v>
      </c>
      <c r="R49" s="14" t="str">
        <v>obj_008ef#0017</v>
      </c>
      <c r="S49" s="21">
        <f>_xll.qlRateHelperQuoteValue(R49,Trigger)</f>
        <v>1.3809999999999999E-2</v>
      </c>
      <c r="T49" s="15">
        <f>_xll.qlRateHelperEarliestDate(R49,Trigger)</f>
        <v>42145</v>
      </c>
      <c r="U49" s="15">
        <f>_xll.qlRateHelperLatestDate(R49,Trigger)</f>
        <v>53104</v>
      </c>
      <c r="V49" s="119">
        <v>1.3968867070320211E-2</v>
      </c>
    </row>
    <row r="50" spans="1:22" ht="11.25" customHeight="1" x14ac:dyDescent="0.2">
      <c r="A50" s="109" t="s">
        <v>45</v>
      </c>
      <c r="B50" s="139"/>
      <c r="C50" s="139" t="s">
        <v>14</v>
      </c>
      <c r="D50" s="140" t="str">
        <v>21Y</v>
      </c>
      <c r="E50" s="132" t="s">
        <v>15</v>
      </c>
      <c r="F50" s="139" t="s">
        <v>16</v>
      </c>
      <c r="G50" s="132" t="s">
        <v>17</v>
      </c>
      <c r="H50" s="141">
        <v>1.349131762E-2</v>
      </c>
      <c r="I50" s="107" t="str">
        <f>_xll.qlSwapRateHelper2(,$H50,,$D50,Calendar,$F50,$E50,$G50,$I$30,0,C50,Discounting,Permanent,Trigger,ObjectOverwrite)</f>
        <v>obj_0093a#0016</v>
      </c>
      <c r="J50" s="104" t="b">
        <f t="shared" si="15"/>
        <v>1</v>
      </c>
      <c r="L50" s="25" t="str">
        <f t="shared" si="12"/>
        <v>Sw</v>
      </c>
      <c r="M50" s="25" t="str">
        <f t="shared" si="13"/>
        <v>26Y</v>
      </c>
      <c r="N50" s="25" t="str">
        <f t="shared" si="16"/>
        <v>obj_00930#0016</v>
      </c>
      <c r="O50" s="25" t="b">
        <f t="shared" si="16"/>
        <v>1</v>
      </c>
      <c r="P50" s="14" t="str">
        <v>Sw</v>
      </c>
      <c r="Q50" s="14" t="str">
        <v>31Y</v>
      </c>
      <c r="R50" s="14" t="str">
        <v>obj_0092e#0015</v>
      </c>
      <c r="S50" s="21">
        <f>_xll.qlRateHelperQuoteValue(R50,Trigger)</f>
        <v>1.38324396E-2</v>
      </c>
      <c r="T50" s="15">
        <f>_xll.qlRateHelperEarliestDate(R50,Trigger)</f>
        <v>42145</v>
      </c>
      <c r="U50" s="15">
        <f>_xll.qlRateHelperLatestDate(R50,Trigger)</f>
        <v>53468</v>
      </c>
      <c r="V50" s="119">
        <v>1.3987701162737853E-2</v>
      </c>
    </row>
    <row r="51" spans="1:22" ht="11.25" customHeight="1" x14ac:dyDescent="0.2">
      <c r="A51" s="109" t="s">
        <v>45</v>
      </c>
      <c r="B51" s="139"/>
      <c r="C51" s="139" t="s">
        <v>14</v>
      </c>
      <c r="D51" s="140" t="str">
        <v>22Y</v>
      </c>
      <c r="E51" s="132" t="s">
        <v>15</v>
      </c>
      <c r="F51" s="139" t="s">
        <v>16</v>
      </c>
      <c r="G51" s="132" t="s">
        <v>17</v>
      </c>
      <c r="H51" s="141">
        <v>1.3564033159999999E-2</v>
      </c>
      <c r="I51" s="107" t="str">
        <f>_xll.qlSwapRateHelper2(,$H51,,$D51,Calendar,$F51,$E51,$G51,$I$30,0,C51,Discounting,Permanent,Trigger,ObjectOverwrite)</f>
        <v>obj_008eb#0016</v>
      </c>
      <c r="J51" s="104" t="b">
        <f t="shared" si="15"/>
        <v>1</v>
      </c>
      <c r="L51" s="25" t="str">
        <f t="shared" si="12"/>
        <v>Sw</v>
      </c>
      <c r="M51" s="25" t="str">
        <f t="shared" si="13"/>
        <v>27Y</v>
      </c>
      <c r="N51" s="25" t="str">
        <f t="shared" si="16"/>
        <v>obj_0093b#0015</v>
      </c>
      <c r="O51" s="25" t="b">
        <f t="shared" si="16"/>
        <v>1</v>
      </c>
      <c r="P51" s="14" t="str">
        <v>Sw</v>
      </c>
      <c r="Q51" s="14" t="str">
        <v>32Y</v>
      </c>
      <c r="R51" s="14" t="str">
        <v>obj_00913#0015</v>
      </c>
      <c r="S51" s="21">
        <f>_xll.qlRateHelperQuoteValue(R51,Trigger)</f>
        <v>1.3853925460000001E-2</v>
      </c>
      <c r="T51" s="15">
        <f>_xll.qlRateHelperEarliestDate(R51,Trigger)</f>
        <v>42145</v>
      </c>
      <c r="U51" s="15">
        <f>_xll.qlRateHelperLatestDate(R51,Trigger)</f>
        <v>53833</v>
      </c>
      <c r="V51" s="119">
        <v>1.4005861883590614E-2</v>
      </c>
    </row>
    <row r="52" spans="1:22" ht="11.25" customHeight="1" x14ac:dyDescent="0.2">
      <c r="A52" s="109" t="s">
        <v>45</v>
      </c>
      <c r="B52" s="139"/>
      <c r="C52" s="139" t="s">
        <v>14</v>
      </c>
      <c r="D52" s="140" t="str">
        <v>23Y</v>
      </c>
      <c r="E52" s="132" t="s">
        <v>15</v>
      </c>
      <c r="F52" s="139" t="s">
        <v>16</v>
      </c>
      <c r="G52" s="132" t="s">
        <v>17</v>
      </c>
      <c r="H52" s="141">
        <v>1.361721382E-2</v>
      </c>
      <c r="I52" s="107" t="str">
        <f>_xll.qlSwapRateHelper2(,$H52,,$D52,Calendar,$F52,$E52,$G52,$I$30,0,C52,Discounting,Permanent,Trigger,ObjectOverwrite)</f>
        <v>obj_00932#0015</v>
      </c>
      <c r="J52" s="104" t="b">
        <f t="shared" si="15"/>
        <v>1</v>
      </c>
      <c r="L52" s="25" t="str">
        <f t="shared" si="12"/>
        <v>Sw</v>
      </c>
      <c r="M52" s="25" t="str">
        <f t="shared" si="13"/>
        <v>28Y</v>
      </c>
      <c r="N52" s="25" t="str">
        <f t="shared" si="16"/>
        <v>obj_0092c#0015</v>
      </c>
      <c r="O52" s="25" t="b">
        <f t="shared" si="16"/>
        <v>1</v>
      </c>
      <c r="P52" s="14" t="str">
        <v>Sw</v>
      </c>
      <c r="Q52" s="14" t="str">
        <v>33Y</v>
      </c>
      <c r="R52" s="14" t="str">
        <v>obj_0090d#0016</v>
      </c>
      <c r="S52" s="21">
        <f>_xll.qlRateHelperQuoteValue(R52,Trigger)</f>
        <v>1.3874000840000001E-2</v>
      </c>
      <c r="T52" s="15">
        <f>_xll.qlRateHelperEarliestDate(R52,Trigger)</f>
        <v>42145</v>
      </c>
      <c r="U52" s="15">
        <f>_xll.qlRateHelperLatestDate(R52,Trigger)</f>
        <v>54199</v>
      </c>
      <c r="V52" s="119">
        <v>1.4021620876742332E-2</v>
      </c>
    </row>
    <row r="53" spans="1:22" ht="11.25" customHeight="1" x14ac:dyDescent="0.2">
      <c r="A53" s="109" t="s">
        <v>45</v>
      </c>
      <c r="B53" s="139"/>
      <c r="C53" s="139" t="s">
        <v>14</v>
      </c>
      <c r="D53" s="140" t="str">
        <v>24Y</v>
      </c>
      <c r="E53" s="132" t="s">
        <v>15</v>
      </c>
      <c r="F53" s="139" t="s">
        <v>16</v>
      </c>
      <c r="G53" s="132" t="s">
        <v>17</v>
      </c>
      <c r="H53" s="141">
        <v>1.365702689E-2</v>
      </c>
      <c r="I53" s="107" t="str">
        <f>_xll.qlSwapRateHelper2(,$H53,,$D53,Calendar,$F53,$E53,$G53,$I$30,0,C53,Discounting,Permanent,Trigger,ObjectOverwrite)</f>
        <v>obj_008ee#0016</v>
      </c>
      <c r="J53" s="104" t="b">
        <f t="shared" si="15"/>
        <v>1</v>
      </c>
      <c r="L53" s="25" t="str">
        <f t="shared" si="12"/>
        <v>Sw</v>
      </c>
      <c r="M53" s="25" t="str">
        <f t="shared" si="13"/>
        <v>29Y</v>
      </c>
      <c r="N53" s="25" t="str">
        <f t="shared" si="16"/>
        <v>obj_00936#0015</v>
      </c>
      <c r="O53" s="25" t="b">
        <f t="shared" si="16"/>
        <v>1</v>
      </c>
      <c r="P53" s="14" t="str">
        <v>Sw</v>
      </c>
      <c r="Q53" s="14" t="str">
        <v>34Y</v>
      </c>
      <c r="R53" s="14" t="str">
        <v>obj_0092d#0016</v>
      </c>
      <c r="S53" s="21">
        <f>_xll.qlRateHelperQuoteValue(R53,Trigger)</f>
        <v>1.388939699E-2</v>
      </c>
      <c r="T53" s="15">
        <f>_xll.qlRateHelperEarliestDate(R53,Trigger)</f>
        <v>42145</v>
      </c>
      <c r="U53" s="15">
        <f>_xll.qlRateHelperLatestDate(R53,Trigger)</f>
        <v>54564</v>
      </c>
      <c r="V53" s="119">
        <v>1.4033384124220073E-2</v>
      </c>
    </row>
    <row r="54" spans="1:22" ht="11.25" customHeight="1" x14ac:dyDescent="0.2">
      <c r="A54" s="109" t="s">
        <v>45</v>
      </c>
      <c r="B54" s="139"/>
      <c r="C54" s="139" t="s">
        <v>14</v>
      </c>
      <c r="D54" s="140" t="str">
        <v>25Y</v>
      </c>
      <c r="E54" s="132" t="s">
        <v>15</v>
      </c>
      <c r="F54" s="139" t="s">
        <v>16</v>
      </c>
      <c r="G54" s="132" t="s">
        <v>17</v>
      </c>
      <c r="H54" s="141">
        <v>1.3690000000000001E-2</v>
      </c>
      <c r="I54" s="107" t="str">
        <f>_xll.qlSwapRateHelper2(,$H54,,$D54,Calendar,$F54,$E54,$G54,$I$30,0,C54,Discounting,Permanent,Trigger,ObjectOverwrite)</f>
        <v>obj_0093d#0016</v>
      </c>
      <c r="J54" s="104" t="b">
        <f t="shared" si="15"/>
        <v>1</v>
      </c>
      <c r="L54" s="25" t="str">
        <f t="shared" si="12"/>
        <v>Sw</v>
      </c>
      <c r="M54" s="25" t="str">
        <f t="shared" si="13"/>
        <v>30Y</v>
      </c>
      <c r="N54" s="25" t="str">
        <f t="shared" si="16"/>
        <v>obj_008ef#0017</v>
      </c>
      <c r="O54" s="25" t="b">
        <f t="shared" si="16"/>
        <v>1</v>
      </c>
      <c r="P54" s="14" t="str">
        <v>Sw</v>
      </c>
      <c r="Q54" s="14" t="str">
        <v>35Y</v>
      </c>
      <c r="R54" s="14" t="str">
        <v>obj_00938#0015</v>
      </c>
      <c r="S54" s="21">
        <f>_xll.qlRateHelperQuoteValue(R54,Trigger)</f>
        <v>1.3899999999999999E-2</v>
      </c>
      <c r="T54" s="15">
        <f>_xll.qlRateHelperEarliestDate(R54,Trigger)</f>
        <v>42145</v>
      </c>
      <c r="U54" s="15">
        <f>_xll.qlRateHelperLatestDate(R54,Trigger)</f>
        <v>54931</v>
      </c>
      <c r="V54" s="119">
        <v>1.4039749968070284E-2</v>
      </c>
    </row>
    <row r="55" spans="1:22" ht="11.25" customHeight="1" x14ac:dyDescent="0.2">
      <c r="A55" s="109" t="s">
        <v>45</v>
      </c>
      <c r="B55" s="139"/>
      <c r="C55" s="139" t="s">
        <v>14</v>
      </c>
      <c r="D55" s="140" t="str">
        <v>26Y</v>
      </c>
      <c r="E55" s="132" t="s">
        <v>15</v>
      </c>
      <c r="F55" s="139" t="s">
        <v>16</v>
      </c>
      <c r="G55" s="132" t="s">
        <v>17</v>
      </c>
      <c r="H55" s="141">
        <v>1.3717083830000001E-2</v>
      </c>
      <c r="I55" s="107" t="str">
        <f>_xll.qlSwapRateHelper2(,$H55,,$D55,Calendar,$F55,$E55,$G55,$I$30,0,C55,Discounting,Permanent,Trigger,ObjectOverwrite)</f>
        <v>obj_00930#0016</v>
      </c>
      <c r="J55" s="104" t="b">
        <f t="shared" si="15"/>
        <v>1</v>
      </c>
      <c r="L55" s="25" t="str">
        <f t="shared" si="12"/>
        <v>Sw</v>
      </c>
      <c r="M55" s="25" t="str">
        <f t="shared" si="13"/>
        <v>31Y</v>
      </c>
      <c r="N55" s="25" t="str">
        <f t="shared" si="16"/>
        <v>obj_0092e#0015</v>
      </c>
      <c r="O55" s="25" t="b">
        <f t="shared" si="16"/>
        <v>1</v>
      </c>
      <c r="P55" s="14" t="str">
        <v>Sw</v>
      </c>
      <c r="Q55" s="14" t="str">
        <v>36Y</v>
      </c>
      <c r="R55" s="14" t="str">
        <v>obj_00922#0015</v>
      </c>
      <c r="S55" s="21">
        <f>_xll.qlRateHelperQuoteValue(R55,Trigger)</f>
        <v>1.390501467E-2</v>
      </c>
      <c r="T55" s="15">
        <f>_xll.qlRateHelperEarliestDate(R55,Trigger)</f>
        <v>42145</v>
      </c>
      <c r="U55" s="15">
        <f>_xll.qlRateHelperLatestDate(R55,Trigger)</f>
        <v>55295</v>
      </c>
      <c r="V55" s="119">
        <v>1.4039726048739109E-2</v>
      </c>
    </row>
    <row r="56" spans="1:22" ht="11.25" customHeight="1" x14ac:dyDescent="0.2">
      <c r="A56" s="109" t="s">
        <v>45</v>
      </c>
      <c r="B56" s="139"/>
      <c r="C56" s="139" t="s">
        <v>14</v>
      </c>
      <c r="D56" s="140" t="str">
        <v>27Y</v>
      </c>
      <c r="E56" s="132" t="s">
        <v>15</v>
      </c>
      <c r="F56" s="139" t="s">
        <v>16</v>
      </c>
      <c r="G56" s="132" t="s">
        <v>17</v>
      </c>
      <c r="H56" s="141">
        <v>1.374157109E-2</v>
      </c>
      <c r="I56" s="107" t="str">
        <f>_xll.qlSwapRateHelper2(,$H56,,$D56,Calendar,$F56,$E56,$G56,$I$30,0,C56,Discounting,Permanent,Trigger,ObjectOverwrite)</f>
        <v>obj_0093b#0015</v>
      </c>
      <c r="J56" s="104" t="b">
        <f t="shared" si="15"/>
        <v>1</v>
      </c>
      <c r="L56" s="25" t="str">
        <f t="shared" si="12"/>
        <v>Sw</v>
      </c>
      <c r="M56" s="25" t="str">
        <f t="shared" si="13"/>
        <v>32Y</v>
      </c>
      <c r="N56" s="25" t="str">
        <f t="shared" si="16"/>
        <v>obj_00913#0015</v>
      </c>
      <c r="O56" s="25" t="b">
        <f t="shared" si="16"/>
        <v>1</v>
      </c>
      <c r="P56" s="14" t="str">
        <v>Sw</v>
      </c>
      <c r="Q56" s="14" t="str">
        <v>37Y</v>
      </c>
      <c r="R56" s="14" t="str">
        <v>obj_00904#0015</v>
      </c>
      <c r="S56" s="21">
        <f>_xll.qlRateHelperQuoteValue(R56,Trigger)</f>
        <v>1.3905146740000001E-2</v>
      </c>
      <c r="T56" s="15">
        <f>_xll.qlRateHelperEarliestDate(R56,Trigger)</f>
        <v>42145</v>
      </c>
      <c r="U56" s="15">
        <f>_xll.qlRateHelperLatestDate(R56,Trigger)</f>
        <v>55660</v>
      </c>
      <c r="V56" s="119">
        <v>1.4033055241466325E-2</v>
      </c>
    </row>
    <row r="57" spans="1:22" ht="11.25" customHeight="1" x14ac:dyDescent="0.2">
      <c r="A57" s="109" t="s">
        <v>45</v>
      </c>
      <c r="B57" s="139"/>
      <c r="C57" s="139" t="s">
        <v>14</v>
      </c>
      <c r="D57" s="140" t="str">
        <v>28Y</v>
      </c>
      <c r="E57" s="132" t="s">
        <v>15</v>
      </c>
      <c r="F57" s="139" t="s">
        <v>16</v>
      </c>
      <c r="G57" s="132" t="s">
        <v>17</v>
      </c>
      <c r="H57" s="141">
        <v>1.376444317E-2</v>
      </c>
      <c r="I57" s="107" t="str">
        <f>_xll.qlSwapRateHelper2(,$H57,,$D57,Calendar,$F57,$E57,$G57,$I$30,0,C57,Discounting,Permanent,Trigger,ObjectOverwrite)</f>
        <v>obj_0092c#0015</v>
      </c>
      <c r="J57" s="104" t="b">
        <f t="shared" si="15"/>
        <v>1</v>
      </c>
      <c r="L57" s="25" t="str">
        <f t="shared" si="12"/>
        <v>Sw</v>
      </c>
      <c r="M57" s="25" t="str">
        <f t="shared" si="13"/>
        <v>33Y</v>
      </c>
      <c r="N57" s="25" t="str">
        <f t="shared" si="16"/>
        <v>obj_0090d#0016</v>
      </c>
      <c r="O57" s="25" t="b">
        <f t="shared" si="16"/>
        <v>1</v>
      </c>
      <c r="P57" s="14" t="str">
        <v>Sw</v>
      </c>
      <c r="Q57" s="14" t="str">
        <v>38Y</v>
      </c>
      <c r="R57" s="14" t="str">
        <v>obj_00928#0016</v>
      </c>
      <c r="S57" s="21">
        <f>_xll.qlRateHelperQuoteValue(R57,Trigger)</f>
        <v>1.389889836E-2</v>
      </c>
      <c r="T57" s="15">
        <f>_xll.qlRateHelperEarliestDate(R57,Trigger)</f>
        <v>42145</v>
      </c>
      <c r="U57" s="15">
        <f>_xll.qlRateHelperLatestDate(R57,Trigger)</f>
        <v>56025</v>
      </c>
      <c r="V57" s="119">
        <v>1.4019977059457843E-2</v>
      </c>
    </row>
    <row r="58" spans="1:22" ht="11.25" customHeight="1" x14ac:dyDescent="0.2">
      <c r="A58" s="109" t="s">
        <v>45</v>
      </c>
      <c r="B58" s="139"/>
      <c r="C58" s="139" t="s">
        <v>14</v>
      </c>
      <c r="D58" s="140" t="str">
        <v>29Y</v>
      </c>
      <c r="E58" s="132" t="s">
        <v>15</v>
      </c>
      <c r="F58" s="139" t="s">
        <v>16</v>
      </c>
      <c r="G58" s="132" t="s">
        <v>17</v>
      </c>
      <c r="H58" s="141">
        <v>1.3787716279999999E-2</v>
      </c>
      <c r="I58" s="107" t="str">
        <f>_xll.qlSwapRateHelper2(,$H58,,$D58,Calendar,$F58,$E58,$G58,$I$30,0,C58,Discounting,Permanent,Trigger,ObjectOverwrite)</f>
        <v>obj_00936#0015</v>
      </c>
      <c r="J58" s="104" t="b">
        <f t="shared" si="15"/>
        <v>1</v>
      </c>
      <c r="L58" s="25" t="str">
        <f t="shared" si="12"/>
        <v>Sw</v>
      </c>
      <c r="M58" s="25" t="str">
        <f t="shared" si="13"/>
        <v>34Y</v>
      </c>
      <c r="N58" s="25" t="str">
        <f t="shared" si="16"/>
        <v>obj_0092d#0016</v>
      </c>
      <c r="O58" s="25" t="b">
        <f t="shared" si="16"/>
        <v>1</v>
      </c>
      <c r="P58" s="14" t="str">
        <v>Sw</v>
      </c>
      <c r="Q58" s="14" t="str">
        <v>39Y</v>
      </c>
      <c r="R58" s="14" t="str">
        <v>obj_00908#0015</v>
      </c>
      <c r="S58" s="21">
        <f>_xll.qlRateHelperQuoteValue(R58,Trigger)</f>
        <v>1.388715991E-2</v>
      </c>
      <c r="T58" s="15">
        <f>_xll.qlRateHelperEarliestDate(R58,Trigger)</f>
        <v>42145</v>
      </c>
      <c r="U58" s="15">
        <f>_xll.qlRateHelperLatestDate(R58,Trigger)</f>
        <v>56390</v>
      </c>
      <c r="V58" s="119">
        <v>1.4000487246089658E-2</v>
      </c>
    </row>
    <row r="59" spans="1:22" ht="11.25" customHeight="1" x14ac:dyDescent="0.2">
      <c r="A59" s="109" t="s">
        <v>45</v>
      </c>
      <c r="B59" s="139"/>
      <c r="C59" s="139" t="s">
        <v>14</v>
      </c>
      <c r="D59" s="140" t="str">
        <v>30Y</v>
      </c>
      <c r="E59" s="132" t="s">
        <v>15</v>
      </c>
      <c r="F59" s="139" t="s">
        <v>16</v>
      </c>
      <c r="G59" s="132" t="s">
        <v>17</v>
      </c>
      <c r="H59" s="141">
        <v>1.3809999999999999E-2</v>
      </c>
      <c r="I59" s="107" t="str">
        <f>_xll.qlSwapRateHelper2(,$H59,,$D59,Calendar,$F59,$E59,$G59,$I$30,0,C59,Discounting,Permanent,Trigger,ObjectOverwrite)</f>
        <v>obj_008ef#0017</v>
      </c>
      <c r="J59" s="104" t="b">
        <f t="shared" si="15"/>
        <v>1</v>
      </c>
      <c r="L59" s="25" t="str">
        <f t="shared" si="12"/>
        <v>Sw</v>
      </c>
      <c r="M59" s="25" t="str">
        <f t="shared" si="13"/>
        <v>35Y</v>
      </c>
      <c r="N59" s="25" t="str">
        <f t="shared" si="16"/>
        <v>obj_00938#0015</v>
      </c>
      <c r="O59" s="25" t="b">
        <f t="shared" si="16"/>
        <v>1</v>
      </c>
      <c r="P59" s="14" t="str">
        <v>Sw</v>
      </c>
      <c r="Q59" s="14" t="str">
        <v>40Y</v>
      </c>
      <c r="R59" s="14" t="str">
        <v>obj_008ea#0016</v>
      </c>
      <c r="S59" s="21">
        <f>_xll.qlRateHelperQuoteValue(R59,Trigger)</f>
        <v>1.387E-2</v>
      </c>
      <c r="T59" s="15">
        <f>_xll.qlRateHelperEarliestDate(R59,Trigger)</f>
        <v>42145</v>
      </c>
      <c r="U59" s="15">
        <f>_xll.qlRateHelperLatestDate(R59,Trigger)</f>
        <v>56755</v>
      </c>
      <c r="V59" s="119">
        <v>1.3974646321225609E-2</v>
      </c>
    </row>
    <row r="60" spans="1:22" ht="11.25" customHeight="1" x14ac:dyDescent="0.2">
      <c r="A60" s="109" t="s">
        <v>45</v>
      </c>
      <c r="B60" s="139"/>
      <c r="C60" s="139" t="s">
        <v>14</v>
      </c>
      <c r="D60" s="140" t="str">
        <v>31Y</v>
      </c>
      <c r="E60" s="132" t="s">
        <v>15</v>
      </c>
      <c r="F60" s="139" t="s">
        <v>16</v>
      </c>
      <c r="G60" s="132" t="s">
        <v>17</v>
      </c>
      <c r="H60" s="141">
        <v>1.38324396E-2</v>
      </c>
      <c r="I60" s="107" t="str">
        <f>_xll.qlSwapRateHelper2(,$H60,,$D60,Calendar,$F60,$E60,$G60,$I$30,0,C60,Discounting,Permanent,Trigger,ObjectOverwrite)</f>
        <v>obj_0092e#0015</v>
      </c>
      <c r="J60" s="104" t="b">
        <f t="shared" si="15"/>
        <v>1</v>
      </c>
      <c r="L60" s="25" t="str">
        <f t="shared" si="12"/>
        <v>Sw</v>
      </c>
      <c r="M60" s="25" t="str">
        <f t="shared" si="13"/>
        <v>36Y</v>
      </c>
      <c r="N60" s="25" t="str">
        <f t="shared" ref="N60:O71" si="17">I65</f>
        <v>obj_00922#0015</v>
      </c>
      <c r="O60" s="25" t="b">
        <f t="shared" si="17"/>
        <v>1</v>
      </c>
      <c r="P60" s="14" t="str">
        <v>Sw</v>
      </c>
      <c r="Q60" s="14" t="str">
        <v>50Y</v>
      </c>
      <c r="R60" s="14" t="str">
        <v>obj_0093c#0015</v>
      </c>
      <c r="S60" s="21">
        <f>_xll.qlRateHelperQuoteValue(R60,Trigger)</f>
        <v>1.3380000000000001E-2</v>
      </c>
      <c r="T60" s="15">
        <f>_xll.qlRateHelperEarliestDate(R60,Trigger)</f>
        <v>42145</v>
      </c>
      <c r="U60" s="15">
        <f>_xll.qlRateHelperLatestDate(R60,Trigger)</f>
        <v>60408</v>
      </c>
      <c r="V60" s="119">
        <v>1.3336367710381696E-2</v>
      </c>
    </row>
    <row r="61" spans="1:22" ht="11.25" customHeight="1" x14ac:dyDescent="0.2">
      <c r="A61" s="109" t="s">
        <v>45</v>
      </c>
      <c r="B61" s="139"/>
      <c r="C61" s="139" t="s">
        <v>14</v>
      </c>
      <c r="D61" s="140" t="str">
        <v>32Y</v>
      </c>
      <c r="E61" s="132" t="s">
        <v>15</v>
      </c>
      <c r="F61" s="139" t="s">
        <v>16</v>
      </c>
      <c r="G61" s="132" t="s">
        <v>17</v>
      </c>
      <c r="H61" s="141">
        <v>1.3853925460000001E-2</v>
      </c>
      <c r="I61" s="107" t="str">
        <f>_xll.qlSwapRateHelper2(,$H61,,$D61,Calendar,$F61,$E61,$G61,$I$30,0,C61,Discounting,Permanent,Trigger,ObjectOverwrite)</f>
        <v>obj_00913#0015</v>
      </c>
      <c r="J61" s="104" t="b">
        <f t="shared" si="15"/>
        <v>1</v>
      </c>
      <c r="L61" s="25" t="str">
        <f t="shared" si="12"/>
        <v>Sw</v>
      </c>
      <c r="M61" s="25" t="str">
        <f t="shared" si="13"/>
        <v>37Y</v>
      </c>
      <c r="N61" s="25" t="str">
        <f t="shared" si="17"/>
        <v>obj_00904#0015</v>
      </c>
      <c r="O61" s="25" t="b">
        <f t="shared" si="17"/>
        <v>1</v>
      </c>
      <c r="P61" s="14" t="str">
        <v>Sw</v>
      </c>
      <c r="Q61" s="14" t="str">
        <v>60Y</v>
      </c>
      <c r="R61" s="14" t="str">
        <v>obj_00917#0015</v>
      </c>
      <c r="S61" s="21">
        <f>_xll.qlRateHelperQuoteValue(R61,Trigger)</f>
        <v>1.3229999999999999E-2</v>
      </c>
      <c r="T61" s="15">
        <f>_xll.qlRateHelperEarliestDate(R61,Trigger)</f>
        <v>42145</v>
      </c>
      <c r="U61" s="15">
        <f>_xll.qlRateHelperLatestDate(R61,Trigger)</f>
        <v>64060</v>
      </c>
      <c r="V61" s="119">
        <v>1.3141897511200243E-2</v>
      </c>
    </row>
    <row r="62" spans="1:22" ht="11.25" customHeight="1" x14ac:dyDescent="0.2">
      <c r="A62" s="109" t="s">
        <v>45</v>
      </c>
      <c r="B62" s="139"/>
      <c r="C62" s="139" t="s">
        <v>14</v>
      </c>
      <c r="D62" s="140" t="str">
        <v>33Y</v>
      </c>
      <c r="E62" s="132" t="s">
        <v>15</v>
      </c>
      <c r="F62" s="139" t="s">
        <v>16</v>
      </c>
      <c r="G62" s="132" t="s">
        <v>17</v>
      </c>
      <c r="H62" s="141">
        <v>1.3874000840000001E-2</v>
      </c>
      <c r="I62" s="107" t="str">
        <f>_xll.qlSwapRateHelper2(,$H62,,$D62,Calendar,$F62,$E62,$G62,$I$30,0,C62,Discounting,Permanent,Trigger,ObjectOverwrite)</f>
        <v>obj_0090d#0016</v>
      </c>
      <c r="J62" s="104" t="b">
        <f t="shared" si="15"/>
        <v>1</v>
      </c>
      <c r="L62" s="25" t="str">
        <f t="shared" si="12"/>
        <v>Sw</v>
      </c>
      <c r="M62" s="25" t="str">
        <f t="shared" si="13"/>
        <v>38Y</v>
      </c>
      <c r="N62" s="25" t="str">
        <f t="shared" si="17"/>
        <v>obj_00928#0016</v>
      </c>
      <c r="O62" s="25" t="b">
        <f t="shared" si="17"/>
        <v>1</v>
      </c>
      <c r="P62" s="14" t="e">
        <v>#N/A</v>
      </c>
      <c r="Q62" s="14" t="e">
        <v>#N/A</v>
      </c>
      <c r="R62" s="14" t="e">
        <v>#N/A</v>
      </c>
      <c r="S62" s="21" t="e">
        <f>_xll.qlRateHelperQuoteValue(R62,Trigger)</f>
        <v>#VALUE!</v>
      </c>
      <c r="T62" s="15" t="e">
        <f>_xll.qlRateHelperEarliestDate(R62,Trigger)</f>
        <v>#VALUE!</v>
      </c>
      <c r="U62" s="15" t="e">
        <f>_xll.qlRateHelperLatestDate(R62,Trigger)</f>
        <v>#VALUE!</v>
      </c>
      <c r="V62" s="119" t="e">
        <v>#N/A</v>
      </c>
    </row>
    <row r="63" spans="1:22" ht="11.25" customHeight="1" x14ac:dyDescent="0.2">
      <c r="A63" s="109" t="s">
        <v>45</v>
      </c>
      <c r="B63" s="139"/>
      <c r="C63" s="139" t="s">
        <v>14</v>
      </c>
      <c r="D63" s="140" t="str">
        <v>34Y</v>
      </c>
      <c r="E63" s="132" t="s">
        <v>15</v>
      </c>
      <c r="F63" s="139" t="s">
        <v>16</v>
      </c>
      <c r="G63" s="132" t="s">
        <v>17</v>
      </c>
      <c r="H63" s="141">
        <v>1.388939699E-2</v>
      </c>
      <c r="I63" s="107" t="str">
        <f>_xll.qlSwapRateHelper2(,$H63,,$D63,Calendar,$F63,$E63,$G63,$I$30,0,C63,Discounting,Permanent,Trigger,ObjectOverwrite)</f>
        <v>obj_0092d#0016</v>
      </c>
      <c r="J63" s="104" t="b">
        <f t="shared" si="15"/>
        <v>1</v>
      </c>
      <c r="L63" s="25" t="str">
        <f t="shared" si="12"/>
        <v>Sw</v>
      </c>
      <c r="M63" s="25" t="str">
        <f t="shared" si="13"/>
        <v>39Y</v>
      </c>
      <c r="N63" s="25" t="str">
        <f t="shared" si="17"/>
        <v>obj_00908#0015</v>
      </c>
      <c r="O63" s="25" t="b">
        <f t="shared" si="17"/>
        <v>1</v>
      </c>
      <c r="P63" s="14" t="e">
        <v>#N/A</v>
      </c>
      <c r="Q63" s="14" t="e">
        <v>#N/A</v>
      </c>
      <c r="R63" s="14" t="e">
        <v>#N/A</v>
      </c>
      <c r="S63" s="21" t="e">
        <f>_xll.qlRateHelperQuoteValue(R63,Trigger)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9" t="e">
        <v>#N/A</v>
      </c>
    </row>
    <row r="64" spans="1:22" ht="11.25" customHeight="1" x14ac:dyDescent="0.2">
      <c r="A64" s="109" t="s">
        <v>45</v>
      </c>
      <c r="B64" s="139"/>
      <c r="C64" s="139" t="s">
        <v>14</v>
      </c>
      <c r="D64" s="140" t="str">
        <v>35Y</v>
      </c>
      <c r="E64" s="132" t="s">
        <v>15</v>
      </c>
      <c r="F64" s="139" t="s">
        <v>16</v>
      </c>
      <c r="G64" s="132" t="s">
        <v>17</v>
      </c>
      <c r="H64" s="141">
        <v>1.3899999999999999E-2</v>
      </c>
      <c r="I64" s="107" t="str">
        <f>_xll.qlSwapRateHelper2(,$H64,,$D64,Calendar,$F64,$E64,$G64,$I$30,0,C64,Discounting,Permanent,Trigger,ObjectOverwrite)</f>
        <v>obj_00938#0015</v>
      </c>
      <c r="J64" s="104" t="b">
        <f t="shared" si="15"/>
        <v>1</v>
      </c>
      <c r="L64" s="25" t="str">
        <f t="shared" si="12"/>
        <v>Sw</v>
      </c>
      <c r="M64" s="25" t="str">
        <f t="shared" si="13"/>
        <v>40Y</v>
      </c>
      <c r="N64" s="25" t="str">
        <f t="shared" si="17"/>
        <v>obj_008ea#0016</v>
      </c>
      <c r="O64" s="25" t="b">
        <f t="shared" si="17"/>
        <v>1</v>
      </c>
      <c r="P64" s="14" t="e">
        <v>#N/A</v>
      </c>
      <c r="Q64" s="14" t="e">
        <v>#N/A</v>
      </c>
      <c r="R64" s="14" t="e">
        <v>#N/A</v>
      </c>
      <c r="S64" s="21" t="e">
        <f>_xll.qlRateHelperQuoteValue(R64,Trigger)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9" t="s">
        <v>45</v>
      </c>
      <c r="B65" s="139"/>
      <c r="C65" s="139" t="s">
        <v>14</v>
      </c>
      <c r="D65" s="140" t="str">
        <v>36Y</v>
      </c>
      <c r="E65" s="132" t="s">
        <v>15</v>
      </c>
      <c r="F65" s="139" t="s">
        <v>16</v>
      </c>
      <c r="G65" s="132" t="s">
        <v>17</v>
      </c>
      <c r="H65" s="141">
        <v>1.390501467E-2</v>
      </c>
      <c r="I65" s="107" t="str">
        <f>_xll.qlSwapRateHelper2(,$H65,,$D65,Calendar,$F65,$E65,$G65,$I$30,0,C65,Discounting,Permanent,Trigger,ObjectOverwrite)</f>
        <v>obj_00922#0015</v>
      </c>
      <c r="J65" s="104" t="b">
        <f t="shared" si="15"/>
        <v>1</v>
      </c>
      <c r="L65" s="25" t="str">
        <f t="shared" si="12"/>
        <v>Sw</v>
      </c>
      <c r="M65" s="25" t="str">
        <f t="shared" si="13"/>
        <v>50Y</v>
      </c>
      <c r="N65" s="25" t="str">
        <f t="shared" si="17"/>
        <v>obj_0093c#0015</v>
      </c>
      <c r="O65" s="25" t="b">
        <f t="shared" si="17"/>
        <v>1</v>
      </c>
      <c r="P65" s="14" t="e">
        <v>#N/A</v>
      </c>
      <c r="Q65" s="14" t="e">
        <v>#N/A</v>
      </c>
      <c r="R65" s="14" t="e">
        <v>#N/A</v>
      </c>
      <c r="S65" s="21" t="e">
        <f>_xll.qlRateHelperQuoteValue(R65,Trigger)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9" t="s">
        <v>45</v>
      </c>
      <c r="B66" s="139"/>
      <c r="C66" s="139" t="s">
        <v>14</v>
      </c>
      <c r="D66" s="140" t="str">
        <v>37Y</v>
      </c>
      <c r="E66" s="132" t="s">
        <v>15</v>
      </c>
      <c r="F66" s="139" t="s">
        <v>16</v>
      </c>
      <c r="G66" s="132" t="s">
        <v>17</v>
      </c>
      <c r="H66" s="141">
        <v>1.3905146740000001E-2</v>
      </c>
      <c r="I66" s="107" t="str">
        <f>_xll.qlSwapRateHelper2(,$H66,,$D66,Calendar,$F66,$E66,$G66,$I$30,0,C66,Discounting,Permanent,Trigger,ObjectOverwrite)</f>
        <v>obj_00904#0015</v>
      </c>
      <c r="J66" s="104" t="b">
        <f t="shared" si="15"/>
        <v>1</v>
      </c>
      <c r="L66" s="25" t="str">
        <f t="shared" si="12"/>
        <v>Sw</v>
      </c>
      <c r="M66" s="25" t="str">
        <f t="shared" si="13"/>
        <v>60Y</v>
      </c>
      <c r="N66" s="25" t="str">
        <f t="shared" si="17"/>
        <v>obj_00917#0015</v>
      </c>
      <c r="O66" s="25" t="b">
        <f t="shared" si="17"/>
        <v>1</v>
      </c>
      <c r="P66" s="14" t="e">
        <v>#N/A</v>
      </c>
      <c r="Q66" s="14" t="e">
        <v>#N/A</v>
      </c>
      <c r="R66" s="14" t="e">
        <v>#N/A</v>
      </c>
      <c r="S66" s="21" t="e">
        <f>_xll.qlRateHelperQuoteValue(R66,Trigger)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9" t="s">
        <v>45</v>
      </c>
      <c r="B67" s="139"/>
      <c r="C67" s="139" t="s">
        <v>14</v>
      </c>
      <c r="D67" s="140" t="str">
        <v>38Y</v>
      </c>
      <c r="E67" s="132" t="s">
        <v>15</v>
      </c>
      <c r="F67" s="139" t="s">
        <v>16</v>
      </c>
      <c r="G67" s="132" t="s">
        <v>17</v>
      </c>
      <c r="H67" s="141">
        <v>1.389889836E-2</v>
      </c>
      <c r="I67" s="107" t="str">
        <f>_xll.qlSwapRateHelper2(,$H67,,$D67,Calendar,$F67,$E67,$G67,$I$30,0,C67,Discounting,Permanent,Trigger,ObjectOverwrite)</f>
        <v>obj_00928#0016</v>
      </c>
      <c r="J67" s="104" t="b">
        <f t="shared" si="15"/>
        <v>1</v>
      </c>
      <c r="L67" s="25" t="str">
        <f t="shared" si="12"/>
        <v>Sw</v>
      </c>
      <c r="M67" s="25" t="e">
        <f t="shared" si="13"/>
        <v>#N/A</v>
      </c>
      <c r="N67" s="25" t="e">
        <f t="shared" si="17"/>
        <v>#VALUE!</v>
      </c>
      <c r="O67" s="25" t="b">
        <f t="shared" si="17"/>
        <v>0</v>
      </c>
      <c r="P67" s="14" t="e">
        <v>#N/A</v>
      </c>
      <c r="Q67" s="14" t="e">
        <v>#N/A</v>
      </c>
      <c r="R67" s="14" t="e">
        <v>#N/A</v>
      </c>
      <c r="S67" s="21" t="e">
        <f>_xll.qlRateHelperQuoteValue(R67,Trigger)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9" t="s">
        <v>45</v>
      </c>
      <c r="B68" s="139"/>
      <c r="C68" s="139" t="s">
        <v>14</v>
      </c>
      <c r="D68" s="140" t="str">
        <v>39Y</v>
      </c>
      <c r="E68" s="132" t="s">
        <v>15</v>
      </c>
      <c r="F68" s="139" t="s">
        <v>16</v>
      </c>
      <c r="G68" s="132" t="s">
        <v>17</v>
      </c>
      <c r="H68" s="141">
        <v>1.388715991E-2</v>
      </c>
      <c r="I68" s="107" t="str">
        <f>_xll.qlSwapRateHelper2(,$H68,,$D68,Calendar,$F68,$E68,$G68,$I$30,0,C68,Discounting,Permanent,Trigger,ObjectOverwrite)</f>
        <v>obj_00908#0015</v>
      </c>
      <c r="J68" s="104" t="b">
        <f t="shared" si="15"/>
        <v>1</v>
      </c>
      <c r="L68" s="25" t="str">
        <f t="shared" si="12"/>
        <v>Sw</v>
      </c>
      <c r="M68" s="25" t="e">
        <f t="shared" si="13"/>
        <v>#N/A</v>
      </c>
      <c r="N68" s="25" t="e">
        <f t="shared" si="17"/>
        <v>#VALUE!</v>
      </c>
      <c r="O68" s="25" t="b">
        <f t="shared" si="17"/>
        <v>0</v>
      </c>
      <c r="P68" s="14" t="e">
        <v>#N/A</v>
      </c>
      <c r="Q68" s="14" t="e">
        <v>#N/A</v>
      </c>
      <c r="R68" s="14" t="e">
        <v>#N/A</v>
      </c>
      <c r="S68" s="21" t="e">
        <f>_xll.qlRateHelperQuoteValue(R68,Trigger)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9" t="s">
        <v>45</v>
      </c>
      <c r="B69" s="139"/>
      <c r="C69" s="139" t="s">
        <v>14</v>
      </c>
      <c r="D69" s="140" t="str">
        <v>40Y</v>
      </c>
      <c r="E69" s="132" t="s">
        <v>15</v>
      </c>
      <c r="F69" s="139" t="s">
        <v>16</v>
      </c>
      <c r="G69" s="132" t="s">
        <v>17</v>
      </c>
      <c r="H69" s="141">
        <v>1.387E-2</v>
      </c>
      <c r="I69" s="107" t="str">
        <f>_xll.qlSwapRateHelper2(,$H69,,$D69,Calendar,$F69,$E69,$G69,$I$30,0,C69,Discounting,Permanent,Trigger,ObjectOverwrite)</f>
        <v>obj_008ea#0016</v>
      </c>
      <c r="J69" s="104" t="b">
        <f t="shared" si="15"/>
        <v>1</v>
      </c>
      <c r="L69" s="25" t="str">
        <f t="shared" si="12"/>
        <v>Sw</v>
      </c>
      <c r="M69" s="25" t="e">
        <f t="shared" si="13"/>
        <v>#N/A</v>
      </c>
      <c r="N69" s="25" t="e">
        <f t="shared" si="17"/>
        <v>#VALUE!</v>
      </c>
      <c r="O69" s="25" t="b">
        <f t="shared" si="17"/>
        <v>0</v>
      </c>
      <c r="P69" s="14" t="e">
        <v>#N/A</v>
      </c>
      <c r="Q69" s="14" t="e">
        <v>#N/A</v>
      </c>
      <c r="R69" s="14" t="e">
        <v>#N/A</v>
      </c>
      <c r="S69" s="21" t="e">
        <f>_xll.qlRateHelperQuoteValue(R69,Trigger)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9" t="s">
        <v>45</v>
      </c>
      <c r="B70" s="139"/>
      <c r="C70" s="139" t="s">
        <v>14</v>
      </c>
      <c r="D70" s="140" t="str">
        <v>50Y</v>
      </c>
      <c r="E70" s="132" t="s">
        <v>15</v>
      </c>
      <c r="F70" s="139" t="s">
        <v>16</v>
      </c>
      <c r="G70" s="132" t="s">
        <v>17</v>
      </c>
      <c r="H70" s="141">
        <v>1.3380000000000001E-2</v>
      </c>
      <c r="I70" s="107" t="str">
        <f>_xll.qlSwapRateHelper2(,$H70,,$D70,Calendar,$F70,$E70,$G70,$I$30,0,C70,Discounting,Permanent,Trigger,ObjectOverwrite)</f>
        <v>obj_0093c#0015</v>
      </c>
      <c r="J70" s="104" t="b">
        <f t="shared" si="15"/>
        <v>1</v>
      </c>
      <c r="L70" s="25" t="str">
        <f t="shared" si="12"/>
        <v>Sw</v>
      </c>
      <c r="M70" s="25" t="e">
        <f t="shared" si="13"/>
        <v>#N/A</v>
      </c>
      <c r="N70" s="25" t="e">
        <f t="shared" si="17"/>
        <v>#VALUE!</v>
      </c>
      <c r="O70" s="25" t="b">
        <f t="shared" si="17"/>
        <v>0</v>
      </c>
      <c r="P70" s="14" t="e">
        <v>#N/A</v>
      </c>
      <c r="Q70" s="14" t="e">
        <v>#N/A</v>
      </c>
      <c r="R70" s="14" t="e">
        <v>#N/A</v>
      </c>
      <c r="S70" s="21" t="e">
        <f>_xll.qlRateHelperQuoteValue(R70,Trigger)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9" t="s">
        <v>45</v>
      </c>
      <c r="B71" s="139"/>
      <c r="C71" s="139" t="s">
        <v>14</v>
      </c>
      <c r="D71" s="140" t="str">
        <v>60Y</v>
      </c>
      <c r="E71" s="132" t="s">
        <v>15</v>
      </c>
      <c r="F71" s="139" t="s">
        <v>16</v>
      </c>
      <c r="G71" s="132" t="s">
        <v>17</v>
      </c>
      <c r="H71" s="141">
        <v>1.3229999999999999E-2</v>
      </c>
      <c r="I71" s="107" t="str">
        <f>_xll.qlSwapRateHelper2(,$H71,,$D71,Calendar,$F71,$E71,$G71,$I$30,0,C71,Discounting,Permanent,Trigger,ObjectOverwrite)</f>
        <v>obj_00917#0015</v>
      </c>
      <c r="J71" s="104" t="b">
        <f t="shared" si="15"/>
        <v>1</v>
      </c>
      <c r="L71" s="26" t="str">
        <f t="shared" si="12"/>
        <v>Sw</v>
      </c>
      <c r="M71" s="26" t="e">
        <f t="shared" si="13"/>
        <v>#N/A</v>
      </c>
      <c r="N71" s="26" t="e">
        <f t="shared" si="17"/>
        <v>#VALUE!</v>
      </c>
      <c r="O71" s="26" t="b">
        <f t="shared" si="17"/>
        <v>0</v>
      </c>
      <c r="P71" s="16" t="e">
        <v>#N/A</v>
      </c>
      <c r="Q71" s="16" t="e">
        <v>#N/A</v>
      </c>
      <c r="R71" s="16" t="e">
        <v>#N/A</v>
      </c>
      <c r="S71" s="31" t="e">
        <f>_xll.qlRateHelperQuoteValue(R71,Trigger)</f>
        <v>#VALUE!</v>
      </c>
      <c r="T71" s="32" t="e">
        <f>_xll.qlRateHelperEarliestDate(R71,Trigger)</f>
        <v>#VALUE!</v>
      </c>
      <c r="U71" s="32" t="e">
        <f>_xll.qlRateHelperLatestDate(R71,Trigger)</f>
        <v>#VALUE!</v>
      </c>
      <c r="V71" s="16" t="e">
        <v>#N/A</v>
      </c>
    </row>
    <row r="72" spans="1:22" ht="11.25" customHeight="1" x14ac:dyDescent="0.2">
      <c r="A72" s="109" t="s">
        <v>45</v>
      </c>
      <c r="B72" s="139"/>
      <c r="C72" s="139" t="s">
        <v>14</v>
      </c>
      <c r="D72" s="140" t="e">
        <v>#N/A</v>
      </c>
      <c r="E72" s="132" t="s">
        <v>15</v>
      </c>
      <c r="F72" s="139" t="s">
        <v>16</v>
      </c>
      <c r="G72" s="132" t="s">
        <v>17</v>
      </c>
      <c r="H72" s="141" t="e">
        <v>#N/A</v>
      </c>
      <c r="I72" s="107" t="e">
        <f>_xll.qlSwapRateHelper2(,$H72,,$D72,Calendar,$F72,$E72,$G72,$I$30,0,C72,Discounting,Permanent,Trigger,ObjectOverwrite)</f>
        <v>#VALUE!</v>
      </c>
      <c r="J72" s="104" t="b">
        <f t="shared" si="15"/>
        <v>0</v>
      </c>
    </row>
    <row r="73" spans="1:22" ht="11.25" customHeight="1" x14ac:dyDescent="0.2">
      <c r="A73" s="109" t="s">
        <v>45</v>
      </c>
      <c r="B73" s="139"/>
      <c r="C73" s="139" t="s">
        <v>14</v>
      </c>
      <c r="D73" s="140" t="e">
        <v>#N/A</v>
      </c>
      <c r="E73" s="132" t="s">
        <v>15</v>
      </c>
      <c r="F73" s="139" t="s">
        <v>16</v>
      </c>
      <c r="G73" s="132" t="s">
        <v>17</v>
      </c>
      <c r="H73" s="141" t="e">
        <v>#N/A</v>
      </c>
      <c r="I73" s="107" t="e">
        <f>_xll.qlSwapRateHelper2(,$H73,,$D73,Calendar,$F73,$E73,$G73,$I$30,0,C73,Discounting,Permanent,Trigger,ObjectOverwrite)</f>
        <v>#VALUE!</v>
      </c>
      <c r="J73" s="104" t="b">
        <f t="shared" si="15"/>
        <v>0</v>
      </c>
    </row>
    <row r="74" spans="1:22" ht="11.25" customHeight="1" x14ac:dyDescent="0.2">
      <c r="A74" s="109" t="s">
        <v>45</v>
      </c>
      <c r="B74" s="139"/>
      <c r="C74" s="139" t="s">
        <v>14</v>
      </c>
      <c r="D74" s="140" t="e">
        <v>#N/A</v>
      </c>
      <c r="E74" s="132" t="s">
        <v>15</v>
      </c>
      <c r="F74" s="139" t="s">
        <v>16</v>
      </c>
      <c r="G74" s="132" t="s">
        <v>17</v>
      </c>
      <c r="H74" s="141" t="e">
        <v>#N/A</v>
      </c>
      <c r="I74" s="107" t="e">
        <f>_xll.qlSwapRateHelper2(,$H74,,$D74,Calendar,$F74,$E74,$G74,$I$30,0,C74,Discounting,Permanent,Trigger,ObjectOverwrite)</f>
        <v>#VALUE!</v>
      </c>
      <c r="J74" s="104" t="b">
        <f t="shared" si="15"/>
        <v>0</v>
      </c>
    </row>
    <row r="75" spans="1:22" ht="11.25" customHeight="1" x14ac:dyDescent="0.2">
      <c r="A75" s="109" t="s">
        <v>45</v>
      </c>
      <c r="B75" s="139"/>
      <c r="C75" s="139" t="s">
        <v>14</v>
      </c>
      <c r="D75" s="140" t="e">
        <v>#N/A</v>
      </c>
      <c r="E75" s="132" t="s">
        <v>15</v>
      </c>
      <c r="F75" s="139" t="s">
        <v>16</v>
      </c>
      <c r="G75" s="132" t="s">
        <v>17</v>
      </c>
      <c r="H75" s="141" t="e">
        <v>#N/A</v>
      </c>
      <c r="I75" s="107" t="e">
        <f>_xll.qlSwapRateHelper2(,$H75,,$D75,Calendar,$F75,$E75,$G75,$I$30,0,C75,Discounting,Permanent,Trigger,ObjectOverwrite)</f>
        <v>#VALUE!</v>
      </c>
      <c r="J75" s="104" t="b">
        <f t="shared" si="15"/>
        <v>0</v>
      </c>
    </row>
    <row r="76" spans="1:22" ht="11.25" customHeight="1" x14ac:dyDescent="0.2">
      <c r="A76" s="7" t="s">
        <v>45</v>
      </c>
      <c r="B76" s="142"/>
      <c r="C76" s="142" t="s">
        <v>14</v>
      </c>
      <c r="D76" s="143" t="e">
        <v>#N/A</v>
      </c>
      <c r="E76" s="3" t="s">
        <v>15</v>
      </c>
      <c r="F76" s="142" t="s">
        <v>16</v>
      </c>
      <c r="G76" s="3" t="s">
        <v>17</v>
      </c>
      <c r="H76" s="144" t="e">
        <v>#N/A</v>
      </c>
      <c r="I76" s="5" t="e">
        <f>_xll.qlSwapRateHelper2(,$H76,,$D76,Calendar,$F76,$E76,$G76,$I$30,0,C76,Discounting,Permanent,Trigger,ObjectOverwrite)</f>
        <v>#VALUE!</v>
      </c>
      <c r="J76" s="19" t="b">
        <f t="shared" si="15"/>
        <v>0</v>
      </c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  <row r="81" ht="11.25" customHeight="1" x14ac:dyDescent="0.2"/>
  </sheetData>
  <dataValidations count="4">
    <dataValidation type="list" allowBlank="1" showInputMessage="1" showErrorMessage="1" sqref="E32:E76">
      <formula1>"Following,Modified Following,Preceding,Modified Preceding,Month End Reference,Unadjusted Month End,Unadjusted"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1:E28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7.5703125" style="74" hidden="1" customWidth="1" outlineLevel="1"/>
    <col min="2" max="2" width="17.28515625" style="74" hidden="1" customWidth="1" outlineLevel="2"/>
    <col min="3" max="3" width="10" style="91" hidden="1" customWidth="1" outlineLevel="1" collapsed="1"/>
    <col min="4" max="4" width="7.85546875" style="90" hidden="1" customWidth="1" outlineLevel="1"/>
    <col min="5" max="5" width="19.42578125" style="92" hidden="1" customWidth="1" outlineLevel="1"/>
    <col min="6" max="6" width="10.140625" style="74" hidden="1" customWidth="1" outlineLevel="1"/>
    <col min="7" max="7" width="19.5703125" style="74" hidden="1" customWidth="1" outlineLevel="1"/>
    <col min="8" max="8" width="11.42578125" style="74" hidden="1" customWidth="1" outlineLevel="1"/>
    <col min="9" max="9" width="15.28515625" style="74" hidden="1" customWidth="1" outlineLevel="1"/>
    <col min="10" max="10" width="9.140625" style="90" hidden="1" customWidth="1" outlineLevel="1"/>
    <col min="11" max="11" width="2.7109375" style="74" customWidth="1" collapsed="1"/>
    <col min="12" max="12" width="5" style="74" hidden="1" customWidth="1" outlineLevel="1"/>
    <col min="13" max="13" width="6" style="74" hidden="1" customWidth="1" outlineLevel="1"/>
    <col min="14" max="14" width="15.140625" style="74" hidden="1" customWidth="1" outlineLevel="1"/>
    <col min="15" max="15" width="6" style="74" hidden="1" customWidth="1" outlineLevel="1"/>
    <col min="16" max="16" width="5" style="74" bestFit="1" customWidth="1" collapsed="1"/>
    <col min="17" max="17" width="6" style="74" customWidth="1"/>
    <col min="18" max="18" width="15.140625" style="74" hidden="1" customWidth="1" outlineLevel="1"/>
    <col min="19" max="19" width="10" style="74" bestFit="1" customWidth="1" collapsed="1"/>
    <col min="20" max="21" width="17.28515625" style="74" bestFit="1" customWidth="1"/>
    <col min="22" max="22" width="9" style="74" customWidth="1"/>
    <col min="23" max="23" width="15.140625" style="74" bestFit="1" customWidth="1"/>
    <col min="24" max="24" width="9" style="74" bestFit="1" customWidth="1"/>
    <col min="25" max="16384" width="9.140625" style="74"/>
  </cols>
  <sheetData>
    <row r="1" spans="1:22" ht="21" customHeight="1" x14ac:dyDescent="0.2">
      <c r="B1" s="80"/>
      <c r="C1" s="81"/>
      <c r="D1" s="82"/>
      <c r="E1" s="83"/>
      <c r="F1" s="84"/>
      <c r="J1" s="82"/>
      <c r="L1" s="111"/>
      <c r="M1" s="112"/>
      <c r="N1" s="112"/>
      <c r="O1" s="113"/>
      <c r="P1" s="149" t="s">
        <v>179</v>
      </c>
      <c r="Q1" s="112"/>
      <c r="R1" s="112"/>
      <c r="S1" s="117"/>
      <c r="T1" s="112"/>
      <c r="U1" s="112"/>
      <c r="V1" s="148" t="s">
        <v>197</v>
      </c>
    </row>
    <row r="2" spans="1:22" ht="21" customHeight="1" x14ac:dyDescent="0.2">
      <c r="A2" s="110" t="s">
        <v>18</v>
      </c>
      <c r="B2" s="110"/>
      <c r="C2" s="110" t="s">
        <v>1</v>
      </c>
      <c r="D2" s="110" t="s">
        <v>2</v>
      </c>
      <c r="E2" s="110" t="s">
        <v>13</v>
      </c>
      <c r="F2" s="110" t="s">
        <v>3</v>
      </c>
      <c r="G2" s="110" t="s">
        <v>4</v>
      </c>
      <c r="H2" s="110" t="s">
        <v>5</v>
      </c>
      <c r="I2" s="110" t="s">
        <v>43</v>
      </c>
      <c r="J2" s="110" t="s">
        <v>47</v>
      </c>
      <c r="L2" s="145" t="s">
        <v>18</v>
      </c>
      <c r="M2" s="145"/>
      <c r="N2" s="145" t="s">
        <v>43</v>
      </c>
      <c r="O2" s="145"/>
      <c r="P2" s="145" t="s">
        <v>18</v>
      </c>
      <c r="Q2" s="145" t="s">
        <v>58</v>
      </c>
      <c r="R2" s="145" t="s">
        <v>43</v>
      </c>
      <c r="S2" s="146" t="s">
        <v>39</v>
      </c>
      <c r="T2" s="145" t="s">
        <v>37</v>
      </c>
      <c r="U2" s="145" t="s">
        <v>38</v>
      </c>
      <c r="V2" s="118">
        <f t="array" ref="V2:V71">_xll.qlPiecewiseYieldCurveData(YieldCurve_1Y,Trigger)</f>
        <v>-1.0138892832213192E-3</v>
      </c>
    </row>
    <row r="3" spans="1:22" ht="11.25" customHeight="1" x14ac:dyDescent="0.2">
      <c r="A3" s="94" t="s">
        <v>46</v>
      </c>
      <c r="B3" s="94" t="str">
        <f t="array" ref="B3:B18">_xll.ohFilter(PastedValue!AS2:AS82,PastedValue!AO2:AO82="Dp")</f>
        <v>O/N</v>
      </c>
      <c r="C3" s="95" t="str">
        <f>IF(LEFT(B3,1)="#",(_xll.qlCalendarBusinessDaysBetween(Calendar,Settlementdate,DATE(RIGHT(LEFT(B3,5),4),LEFT(RIGHT(B3,4),2),RIGHT(B3,2)),,TRUE,Trigger)-1)&amp;"D",B3)</f>
        <v>O/N</v>
      </c>
      <c r="D3" s="96">
        <f>IF(C3="O/N",0,IF(C3="T/N",1,2))</f>
        <v>0</v>
      </c>
      <c r="E3" s="97" t="str">
        <f>IF(OR(RIGHT(C3,1)="M",RIGHT(C3,1)="D"),"Modified Following","Following")</f>
        <v>Following</v>
      </c>
      <c r="F3" s="98" t="str">
        <f>IF(OR(RIGHT(C3,1)="M",RIGHT(C3,1)="D"),"TRUE","FALSE")</f>
        <v>FALSE</v>
      </c>
      <c r="G3" s="99" t="s">
        <v>50</v>
      </c>
      <c r="H3" s="100">
        <f t="array" ref="H3:H18">_xll.ohFilter(PastedValue!AV2:AV82,PastedValue!AO2:AO82="Dp")/100</f>
        <v>-9.9999900000000011E-4</v>
      </c>
      <c r="I3" s="101" t="str">
        <f>_xll.qlDepositRateHelper2(,H3,IF(RIGHT(C3,1)="N","1D",C3),D3,Calendar,E3,F3,G3,,Trigger)</f>
        <v>obj_008e1#0016</v>
      </c>
      <c r="J3" s="96" t="b">
        <f>IF(ISNUMBER(H3),TRUE,FALSE)</f>
        <v>1</v>
      </c>
      <c r="K3" s="80"/>
      <c r="L3" s="25" t="str">
        <f>A3</f>
        <v>Dp</v>
      </c>
      <c r="M3" s="25" t="str">
        <f>C3</f>
        <v>O/N</v>
      </c>
      <c r="N3" s="14" t="str">
        <f>I3</f>
        <v>obj_008e1#0016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obj_008e1#0016</v>
      </c>
      <c r="S3" s="21">
        <f>_xll.qlRateHelperQuoteValue(R3,Trigger)</f>
        <v>-9.9999900000000011E-4</v>
      </c>
      <c r="T3" s="15">
        <f>_xll.qlRateHelperEarliestDate(R3,Trigger)</f>
        <v>42143</v>
      </c>
      <c r="U3" s="15">
        <f>_xll.qlRateHelperLatestDate(R3,Trigger)</f>
        <v>42144</v>
      </c>
      <c r="V3" s="119">
        <v>-1.0138892832213192E-3</v>
      </c>
    </row>
    <row r="4" spans="1:22" ht="11.25" customHeight="1" x14ac:dyDescent="0.2">
      <c r="A4" s="102" t="s">
        <v>46</v>
      </c>
      <c r="B4" s="102" t="str">
        <v>T/N</v>
      </c>
      <c r="C4" s="103" t="str">
        <f>IF(LEFT(B4,1)="#",(_xll.qlCalendarBusinessDaysBetween(Calendar,Settlementdate,DATE(RIGHT(LEFT(B4,5),4),LEFT(RIGHT(B4,4),2),RIGHT(B4,2)),,TRUE,Trigger)-1)&amp;"D",B4)</f>
        <v>T/N</v>
      </c>
      <c r="D4" s="104">
        <f t="shared" ref="D4:D18" si="0">IF(C4="O/N",0,IF(C4="T/N",1,2))</f>
        <v>1</v>
      </c>
      <c r="E4" s="105" t="str">
        <f t="shared" ref="E4:E18" si="1">IF(OR(RIGHT(C4,1)="M",RIGHT(C4,1)="D"),"Modified Following","Following")</f>
        <v>Following</v>
      </c>
      <c r="F4" s="106" t="str">
        <f t="shared" ref="F4:F18" si="2">IF(OR(RIGHT(C4,1)="M",RIGHT(C4,1)="D"),"TRUE","FALSE")</f>
        <v>FALSE</v>
      </c>
      <c r="G4" s="107" t="s">
        <v>50</v>
      </c>
      <c r="H4" s="108">
        <v>-1E-3</v>
      </c>
      <c r="I4" s="109" t="str">
        <f>_xll.qlDepositRateHelper2(,H4,IF(RIGHT(C4,1)="N","1D",C4),D4,Calendar,E4,F4,G4,,Trigger)</f>
        <v>obj_00900#0015</v>
      </c>
      <c r="J4" s="104" t="b">
        <f t="shared" ref="J4:J18" si="3">IF(ISNUMBER(H4),TRUE,FALSE)</f>
        <v>1</v>
      </c>
      <c r="K4" s="77"/>
      <c r="L4" s="25" t="str">
        <f t="shared" ref="L4:L18" si="4">A4</f>
        <v>Dp</v>
      </c>
      <c r="M4" s="25" t="str">
        <f t="shared" ref="M4:M18" si="5">C4</f>
        <v>T/N</v>
      </c>
      <c r="N4" s="14" t="str">
        <f t="shared" ref="N4:O18" si="6">I4</f>
        <v>obj_00900#0015</v>
      </c>
      <c r="O4" s="14" t="b">
        <f t="shared" si="6"/>
        <v>1</v>
      </c>
      <c r="P4" s="14" t="str">
        <v>Dp</v>
      </c>
      <c r="Q4" s="14" t="str">
        <v>T/N</v>
      </c>
      <c r="R4" s="14" t="str">
        <v>obj_00900#0015</v>
      </c>
      <c r="S4" s="21">
        <f>_xll.qlRateHelperQuoteValue(R4,Trigger)</f>
        <v>-1E-3</v>
      </c>
      <c r="T4" s="15">
        <f>_xll.qlRateHelperEarliestDate(R4,Trigger)</f>
        <v>42144</v>
      </c>
      <c r="U4" s="15">
        <f>_xll.qlRateHelperLatestDate(R4,Trigger)</f>
        <v>42145</v>
      </c>
      <c r="V4" s="119">
        <v>-1.0138897901325011E-3</v>
      </c>
    </row>
    <row r="5" spans="1:22" ht="11.25" customHeight="1" x14ac:dyDescent="0.2">
      <c r="A5" s="102" t="s">
        <v>46</v>
      </c>
      <c r="B5" s="102" t="str">
        <v>S/N</v>
      </c>
      <c r="C5" s="103" t="str">
        <f>IF(LEFT(B5,1)="#",(_xll.qlCalendarBusinessDaysBetween(Calendar,Settlementdate,DATE(RIGHT(LEFT(B5,5),4),LEFT(RIGHT(B5,4),2),RIGHT(B5,2)),,TRUE,Trigger)-1)&amp;"D",B5)</f>
        <v>S/N</v>
      </c>
      <c r="D5" s="104">
        <f t="shared" si="0"/>
        <v>2</v>
      </c>
      <c r="E5" s="105" t="str">
        <f t="shared" si="1"/>
        <v>Following</v>
      </c>
      <c r="F5" s="106" t="str">
        <f t="shared" si="2"/>
        <v>FALSE</v>
      </c>
      <c r="G5" s="107" t="s">
        <v>50</v>
      </c>
      <c r="H5" s="108">
        <v>1.7499999999999998E-3</v>
      </c>
      <c r="I5" s="109" t="str">
        <f>_xll.qlDepositRateHelper2(,H5,IF(RIGHT(C5,1)="N","1D",C5),D5,Calendar,E5,F5,G5,,Trigger)</f>
        <v>obj_00902#0015</v>
      </c>
      <c r="J5" s="104" t="b">
        <f t="shared" si="3"/>
        <v>1</v>
      </c>
      <c r="K5" s="77"/>
      <c r="L5" s="25" t="str">
        <f t="shared" si="4"/>
        <v>Dp</v>
      </c>
      <c r="M5" s="25" t="str">
        <f t="shared" si="5"/>
        <v>S/N</v>
      </c>
      <c r="N5" s="14" t="str">
        <f t="shared" si="6"/>
        <v>obj_00902#0015</v>
      </c>
      <c r="O5" s="14" t="b">
        <f t="shared" si="6"/>
        <v>1</v>
      </c>
      <c r="P5" s="14" t="str">
        <v>Dp</v>
      </c>
      <c r="Q5" s="14" t="str">
        <v>S/N</v>
      </c>
      <c r="R5" s="14" t="str">
        <v>obj_00902#0015</v>
      </c>
      <c r="S5" s="21">
        <f>_xll.qlRateHelperQuoteValue(R5,Trigger)</f>
        <v>1.7499999999999998E-3</v>
      </c>
      <c r="T5" s="15">
        <f>_xll.qlRateHelperEarliestDate(R5,Trigger)</f>
        <v>42145</v>
      </c>
      <c r="U5" s="15">
        <f>_xll.qlRateHelperLatestDate(R5,Trigger)</f>
        <v>42146</v>
      </c>
      <c r="V5" s="119">
        <v>-8.4492779013420561E-5</v>
      </c>
    </row>
    <row r="6" spans="1:22" ht="11.25" customHeight="1" x14ac:dyDescent="0.2">
      <c r="A6" s="102" t="s">
        <v>46</v>
      </c>
      <c r="B6" s="102" t="str">
        <v>1W</v>
      </c>
      <c r="C6" s="103" t="str">
        <f>IF(LEFT(B6,1)="#",(_xll.qlCalendarBusinessDaysBetween(Calendar,Settlementdate,DATE(RIGHT(LEFT(B6,5),4),LEFT(RIGHT(B6,4),2),RIGHT(B6,2)),,TRUE,Trigger)-1)&amp;"D",B6)</f>
        <v>1W</v>
      </c>
      <c r="D6" s="104">
        <f t="shared" si="0"/>
        <v>2</v>
      </c>
      <c r="E6" s="105" t="str">
        <f t="shared" si="1"/>
        <v>Following</v>
      </c>
      <c r="F6" s="106" t="str">
        <f t="shared" si="2"/>
        <v>FALSE</v>
      </c>
      <c r="G6" s="107" t="s">
        <v>50</v>
      </c>
      <c r="H6" s="108">
        <v>1.58E-3</v>
      </c>
      <c r="I6" s="109" t="str">
        <f>_xll.qlDepositRateHelper2(,H6,IF(RIGHT(C6,1)="N","1D",C6),D6,Calendar,E6,F6,G6,,Trigger)</f>
        <v>obj_008cb#0016</v>
      </c>
      <c r="J6" s="104" t="b">
        <f t="shared" si="3"/>
        <v>1</v>
      </c>
      <c r="K6" s="77"/>
      <c r="L6" s="25" t="str">
        <f t="shared" si="4"/>
        <v>Dp</v>
      </c>
      <c r="M6" s="25" t="str">
        <f t="shared" si="5"/>
        <v>1W</v>
      </c>
      <c r="N6" s="14" t="str">
        <f t="shared" si="6"/>
        <v>obj_008cb#0016</v>
      </c>
      <c r="O6" s="14" t="b">
        <f t="shared" si="6"/>
        <v>1</v>
      </c>
      <c r="P6" s="14" t="str">
        <v>Dp</v>
      </c>
      <c r="Q6" s="14" t="str">
        <v>1W</v>
      </c>
      <c r="R6" s="14" t="str">
        <v>obj_008cb#0016</v>
      </c>
      <c r="S6" s="21">
        <f>_xll.qlRateHelperQuoteValue(R6,Trigger)</f>
        <v>1.58E-3</v>
      </c>
      <c r="T6" s="15">
        <f>_xll.qlRateHelperEarliestDate(R6,Trigger)</f>
        <v>42145</v>
      </c>
      <c r="U6" s="15">
        <f>_xll.qlRateHelperLatestDate(R6,Trigger)</f>
        <v>42152</v>
      </c>
      <c r="V6" s="119">
        <v>1.020628808983191E-3</v>
      </c>
    </row>
    <row r="7" spans="1:22" ht="11.25" customHeight="1" x14ac:dyDescent="0.2">
      <c r="A7" s="102" t="s">
        <v>46</v>
      </c>
      <c r="B7" s="102" t="str">
        <v>2W</v>
      </c>
      <c r="C7" s="103" t="str">
        <f>IF(LEFT(B7,1)="#",(_xll.qlCalendarBusinessDaysBetween(Calendar,Settlementdate,DATE(RIGHT(LEFT(B7,5),4),LEFT(RIGHT(B7,4),2),RIGHT(B7,2)),,TRUE,Trigger)-1)&amp;"D",B7)</f>
        <v>2W</v>
      </c>
      <c r="D7" s="104">
        <f t="shared" si="0"/>
        <v>2</v>
      </c>
      <c r="E7" s="105" t="str">
        <f t="shared" si="1"/>
        <v>Following</v>
      </c>
      <c r="F7" s="106" t="str">
        <f t="shared" si="2"/>
        <v>FALSE</v>
      </c>
      <c r="G7" s="107" t="s">
        <v>50</v>
      </c>
      <c r="H7" s="108">
        <v>1.72E-3</v>
      </c>
      <c r="I7" s="109" t="str">
        <f>_xll.qlDepositRateHelper2(,H7,IF(RIGHT(C7,1)="N","1D",C7),D7,Calendar,E7,F7,G7,,Trigger)</f>
        <v>obj_008dd#0016</v>
      </c>
      <c r="J7" s="104" t="b">
        <f t="shared" si="3"/>
        <v>1</v>
      </c>
      <c r="K7" s="77"/>
      <c r="L7" s="25" t="str">
        <f t="shared" si="4"/>
        <v>Dp</v>
      </c>
      <c r="M7" s="25" t="str">
        <f t="shared" si="5"/>
        <v>2W</v>
      </c>
      <c r="N7" s="14" t="str">
        <f t="shared" si="6"/>
        <v>obj_008dd#0016</v>
      </c>
      <c r="O7" s="14" t="b">
        <f t="shared" si="6"/>
        <v>1</v>
      </c>
      <c r="P7" s="14" t="str">
        <v>Dp</v>
      </c>
      <c r="Q7" s="14" t="str">
        <v>2W</v>
      </c>
      <c r="R7" s="14" t="str">
        <v>obj_008dd#0016</v>
      </c>
      <c r="S7" s="21">
        <f>_xll.qlRateHelperQuoteValue(R7,Trigger)</f>
        <v>1.72E-3</v>
      </c>
      <c r="T7" s="15">
        <f>_xll.qlRateHelperEarliestDate(R7,Trigger)</f>
        <v>42145</v>
      </c>
      <c r="U7" s="15">
        <f>_xll.qlRateHelperLatestDate(R7,Trigger)</f>
        <v>42159</v>
      </c>
      <c r="V7" s="119">
        <v>1.3991155233156949E-3</v>
      </c>
    </row>
    <row r="8" spans="1:22" ht="11.25" customHeight="1" x14ac:dyDescent="0.2">
      <c r="A8" s="102" t="s">
        <v>46</v>
      </c>
      <c r="B8" s="102" t="str">
        <v>3W</v>
      </c>
      <c r="C8" s="103" t="str">
        <f>IF(LEFT(B8,1)="#",(_xll.qlCalendarBusinessDaysBetween(Calendar,Settlementdate,DATE(RIGHT(LEFT(B8,5),4),LEFT(RIGHT(B8,4),2),RIGHT(B8,2)),,TRUE,Trigger)-1)&amp;"D",B8)</f>
        <v>3W</v>
      </c>
      <c r="D8" s="104">
        <f t="shared" si="0"/>
        <v>2</v>
      </c>
      <c r="E8" s="105" t="str">
        <f t="shared" si="1"/>
        <v>Following</v>
      </c>
      <c r="F8" s="106" t="str">
        <f t="shared" si="2"/>
        <v>FALSE</v>
      </c>
      <c r="G8" s="107" t="s">
        <v>50</v>
      </c>
      <c r="H8" s="108">
        <v>1.6900000000000001E-3</v>
      </c>
      <c r="I8" s="109" t="str">
        <f>_xll.qlDepositRateHelper2(,H8,IF(RIGHT(C8,1)="N","1D",C8),D8,Calendar,E8,F8,G8,,Trigger)</f>
        <v>obj_008ed#0016</v>
      </c>
      <c r="J8" s="104" t="b">
        <f t="shared" si="3"/>
        <v>1</v>
      </c>
      <c r="K8" s="77"/>
      <c r="L8" s="25" t="str">
        <f t="shared" si="4"/>
        <v>Dp</v>
      </c>
      <c r="M8" s="25" t="str">
        <f t="shared" si="5"/>
        <v>3W</v>
      </c>
      <c r="N8" s="14" t="str">
        <f t="shared" si="6"/>
        <v>obj_008ed#0016</v>
      </c>
      <c r="O8" s="14" t="b">
        <f t="shared" si="6"/>
        <v>1</v>
      </c>
      <c r="P8" s="14" t="str">
        <v>Dp</v>
      </c>
      <c r="Q8" s="14" t="str">
        <v>3W</v>
      </c>
      <c r="R8" s="14" t="str">
        <v>obj_008ed#0016</v>
      </c>
      <c r="S8" s="21">
        <f>_xll.qlRateHelperQuoteValue(R8,Trigger)</f>
        <v>1.6900000000000001E-3</v>
      </c>
      <c r="T8" s="15">
        <f>_xll.qlRateHelperEarliestDate(R8,Trigger)</f>
        <v>42145</v>
      </c>
      <c r="U8" s="15">
        <f>_xll.qlRateHelperLatestDate(R8,Trigger)</f>
        <v>42166</v>
      </c>
      <c r="V8" s="119">
        <v>1.476233197610145E-3</v>
      </c>
    </row>
    <row r="9" spans="1:22" ht="11.25" customHeight="1" x14ac:dyDescent="0.2">
      <c r="A9" s="102" t="s">
        <v>46</v>
      </c>
      <c r="B9" s="102" t="str">
        <v>1M</v>
      </c>
      <c r="C9" s="103" t="str">
        <f>IF(LEFT(B9,1)="#",(_xll.qlCalendarBusinessDaysBetween(Calendar,Settlementdate,DATE(RIGHT(LEFT(B9,5),4),LEFT(RIGHT(B9,4),2),RIGHT(B9,2)),,TRUE,Trigger)-1)&amp;"D",B9)</f>
        <v>1M</v>
      </c>
      <c r="D9" s="104">
        <f t="shared" si="0"/>
        <v>2</v>
      </c>
      <c r="E9" s="105" t="str">
        <f t="shared" si="1"/>
        <v>Modified Following</v>
      </c>
      <c r="F9" s="106" t="str">
        <f t="shared" si="2"/>
        <v>TRUE</v>
      </c>
      <c r="G9" s="107" t="s">
        <v>50</v>
      </c>
      <c r="H9" s="108">
        <v>1.6589999999999999E-3</v>
      </c>
      <c r="I9" s="109" t="str">
        <f>_xll.qlDepositRateHelper2(,H9,IF(RIGHT(C9,1)="N","1D",C9),D9,Calendar,E9,F9,G9,,Trigger)</f>
        <v>obj_008cd#0016</v>
      </c>
      <c r="J9" s="104" t="b">
        <f t="shared" si="3"/>
        <v>1</v>
      </c>
      <c r="K9" s="77"/>
      <c r="L9" s="25" t="str">
        <f t="shared" si="4"/>
        <v>Dp</v>
      </c>
      <c r="M9" s="25" t="str">
        <f t="shared" si="5"/>
        <v>1M</v>
      </c>
      <c r="N9" s="14" t="str">
        <f t="shared" si="6"/>
        <v>obj_008cd#0016</v>
      </c>
      <c r="O9" s="14" t="b">
        <f t="shared" si="6"/>
        <v>1</v>
      </c>
      <c r="P9" s="14" t="str">
        <v>Dp</v>
      </c>
      <c r="Q9" s="14" t="str">
        <v>1M</v>
      </c>
      <c r="R9" s="14" t="str">
        <v>obj_008cd#0016</v>
      </c>
      <c r="S9" s="21">
        <f>_xll.qlRateHelperQuoteValue(R9,Trigger)</f>
        <v>1.6589999999999999E-3</v>
      </c>
      <c r="T9" s="15">
        <f>_xll.qlRateHelperEarliestDate(R9,Trigger)</f>
        <v>42145</v>
      </c>
      <c r="U9" s="15">
        <f>_xll.qlRateHelperLatestDate(R9,Trigger)</f>
        <v>42177</v>
      </c>
      <c r="V9" s="119">
        <v>1.5233407477059215E-3</v>
      </c>
    </row>
    <row r="10" spans="1:22" ht="11.25" customHeight="1" x14ac:dyDescent="0.2">
      <c r="A10" s="102" t="s">
        <v>46</v>
      </c>
      <c r="B10" s="102" t="str">
        <v>2M</v>
      </c>
      <c r="C10" s="103" t="str">
        <f>IF(LEFT(B10,1)="#",(_xll.qlCalendarBusinessDaysBetween(Calendar,Settlementdate,DATE(RIGHT(LEFT(B10,5),4),LEFT(RIGHT(B10,4),2),RIGHT(B10,2)),,TRUE,Trigger)-1)&amp;"D",B10)</f>
        <v>2M</v>
      </c>
      <c r="D10" s="104">
        <f t="shared" si="0"/>
        <v>2</v>
      </c>
      <c r="E10" s="105" t="str">
        <f t="shared" si="1"/>
        <v>Modified Following</v>
      </c>
      <c r="F10" s="106" t="str">
        <f t="shared" si="2"/>
        <v>TRUE</v>
      </c>
      <c r="G10" s="107" t="s">
        <v>50</v>
      </c>
      <c r="H10" s="108">
        <v>1.609E-3</v>
      </c>
      <c r="I10" s="109" t="str">
        <f>_xll.qlDepositRateHelper2(,H10,IF(RIGHT(C10,1)="N","1D",C10),D10,Calendar,E10,F10,G10,,Trigger)</f>
        <v>obj_00916#0015</v>
      </c>
      <c r="J10" s="104" t="b">
        <f t="shared" si="3"/>
        <v>1</v>
      </c>
      <c r="K10" s="77"/>
      <c r="L10" s="25" t="str">
        <f t="shared" si="4"/>
        <v>Dp</v>
      </c>
      <c r="M10" s="25" t="str">
        <f t="shared" si="5"/>
        <v>2M</v>
      </c>
      <c r="N10" s="14" t="str">
        <f t="shared" si="6"/>
        <v>obj_00916#0015</v>
      </c>
      <c r="O10" s="14" t="b">
        <f t="shared" si="6"/>
        <v>1</v>
      </c>
      <c r="P10" s="14" t="str">
        <v>Dp</v>
      </c>
      <c r="Q10" s="14" t="str">
        <v>2M</v>
      </c>
      <c r="R10" s="14" t="str">
        <v>obj_00916#0015</v>
      </c>
      <c r="S10" s="21">
        <f>_xll.qlRateHelperQuoteValue(R10,Trigger)</f>
        <v>1.609E-3</v>
      </c>
      <c r="T10" s="15">
        <f>_xll.qlRateHelperEarliestDate(R10,Trigger)</f>
        <v>42145</v>
      </c>
      <c r="U10" s="15">
        <f>_xll.qlRateHelperLatestDate(R10,Trigger)</f>
        <v>42206</v>
      </c>
      <c r="V10" s="119">
        <v>1.5471561608486342E-3</v>
      </c>
    </row>
    <row r="11" spans="1:22" ht="11.25" customHeight="1" x14ac:dyDescent="0.2">
      <c r="A11" s="102" t="s">
        <v>46</v>
      </c>
      <c r="B11" s="102" t="str">
        <v>3M</v>
      </c>
      <c r="C11" s="103" t="str">
        <f>IF(LEFT(B11,1)="#",(_xll.qlCalendarBusinessDaysBetween(Calendar,Settlementdate,DATE(RIGHT(LEFT(B11,5),4),LEFT(RIGHT(B11,4),2),RIGHT(B11,2)),,TRUE,Trigger)-1)&amp;"D",B11)</f>
        <v>3M</v>
      </c>
      <c r="D11" s="104">
        <f t="shared" si="0"/>
        <v>2</v>
      </c>
      <c r="E11" s="105" t="str">
        <f t="shared" si="1"/>
        <v>Modified Following</v>
      </c>
      <c r="F11" s="106" t="str">
        <f t="shared" si="2"/>
        <v>TRUE</v>
      </c>
      <c r="G11" s="107" t="s">
        <v>50</v>
      </c>
      <c r="H11" s="108">
        <v>1.5790000000000001E-3</v>
      </c>
      <c r="I11" s="109" t="str">
        <f>_xll.qlDepositRateHelper2(,H11,IF(RIGHT(C11,1)="N","1D",C11),D11,Calendar,E11,F11,G11,,Trigger)</f>
        <v>obj_008fa#0015</v>
      </c>
      <c r="J11" s="104" t="b">
        <f t="shared" si="3"/>
        <v>1</v>
      </c>
      <c r="K11" s="77"/>
      <c r="L11" s="25" t="str">
        <f t="shared" si="4"/>
        <v>Dp</v>
      </c>
      <c r="M11" s="25" t="str">
        <f t="shared" si="5"/>
        <v>3M</v>
      </c>
      <c r="N11" s="14" t="str">
        <f t="shared" si="6"/>
        <v>obj_008fa#0015</v>
      </c>
      <c r="O11" s="14" t="b">
        <f t="shared" si="6"/>
        <v>1</v>
      </c>
      <c r="P11" s="14" t="str">
        <v>Dp</v>
      </c>
      <c r="Q11" s="14" t="str">
        <v>3M</v>
      </c>
      <c r="R11" s="14" t="str">
        <v>obj_008fa#0015</v>
      </c>
      <c r="S11" s="21">
        <f>_xll.qlRateHelperQuoteValue(R11,Trigger)</f>
        <v>1.5790000000000001E-3</v>
      </c>
      <c r="T11" s="15">
        <f>_xll.qlRateHelperEarliestDate(R11,Trigger)</f>
        <v>42145</v>
      </c>
      <c r="U11" s="15">
        <f>_xll.qlRateHelperLatestDate(R11,Trigger)</f>
        <v>42237</v>
      </c>
      <c r="V11" s="119">
        <v>1.5449800320646392E-3</v>
      </c>
    </row>
    <row r="12" spans="1:22" ht="11.25" customHeight="1" x14ac:dyDescent="0.2">
      <c r="A12" s="102" t="s">
        <v>46</v>
      </c>
      <c r="B12" s="102" t="str">
        <v>4M</v>
      </c>
      <c r="C12" s="103" t="str">
        <f>IF(LEFT(B12,1)="#",(_xll.qlCalendarBusinessDaysBetween(Calendar,Settlementdate,DATE(RIGHT(LEFT(B12,5),4),LEFT(RIGHT(B12,4),2),RIGHT(B12,2)),,TRUE,Trigger)-1)&amp;"D",B12)</f>
        <v>4M</v>
      </c>
      <c r="D12" s="104">
        <f t="shared" si="0"/>
        <v>2</v>
      </c>
      <c r="E12" s="105" t="str">
        <f t="shared" si="1"/>
        <v>Modified Following</v>
      </c>
      <c r="F12" s="106" t="str">
        <f t="shared" si="2"/>
        <v>TRUE</v>
      </c>
      <c r="G12" s="107" t="s">
        <v>50</v>
      </c>
      <c r="H12" s="108">
        <v>1.5590000000000001E-3</v>
      </c>
      <c r="I12" s="109" t="str">
        <f>_xll.qlDepositRateHelper2(,H12,IF(RIGHT(C12,1)="N","1D",C12),D12,Calendar,E12,F12,G12,,Trigger)</f>
        <v>obj_008d5#0016</v>
      </c>
      <c r="J12" s="104" t="b">
        <f t="shared" si="3"/>
        <v>1</v>
      </c>
      <c r="K12" s="77"/>
      <c r="L12" s="25" t="str">
        <f t="shared" si="4"/>
        <v>Dp</v>
      </c>
      <c r="M12" s="25" t="str">
        <f t="shared" si="5"/>
        <v>4M</v>
      </c>
      <c r="N12" s="14" t="str">
        <f t="shared" si="6"/>
        <v>obj_008d5#0016</v>
      </c>
      <c r="O12" s="14" t="b">
        <f t="shared" si="6"/>
        <v>1</v>
      </c>
      <c r="P12" s="14" t="str">
        <v>Dp</v>
      </c>
      <c r="Q12" s="14" t="str">
        <v>4M</v>
      </c>
      <c r="R12" s="14" t="str">
        <v>obj_008d5#0016</v>
      </c>
      <c r="S12" s="21">
        <f>_xll.qlRateHelperQuoteValue(R12,Trigger)</f>
        <v>1.5590000000000001E-3</v>
      </c>
      <c r="T12" s="15">
        <f>_xll.qlRateHelperEarliestDate(R12,Trigger)</f>
        <v>42145</v>
      </c>
      <c r="U12" s="15">
        <f>_xll.qlRateHelperLatestDate(R12,Trigger)</f>
        <v>42268</v>
      </c>
      <c r="V12" s="119">
        <v>1.5387260053769645E-3</v>
      </c>
    </row>
    <row r="13" spans="1:22" ht="11.25" customHeight="1" x14ac:dyDescent="0.2">
      <c r="A13" s="102" t="s">
        <v>46</v>
      </c>
      <c r="B13" s="102" t="str">
        <v>5M</v>
      </c>
      <c r="C13" s="103" t="str">
        <f>IF(LEFT(B13,1)="#",(_xll.qlCalendarBusinessDaysBetween(Calendar,Settlementdate,DATE(RIGHT(LEFT(B13,5),4),LEFT(RIGHT(B13,4),2),RIGHT(B13,2)),,TRUE,Trigger)-1)&amp;"D",B13)</f>
        <v>5M</v>
      </c>
      <c r="D13" s="104">
        <f t="shared" si="0"/>
        <v>2</v>
      </c>
      <c r="E13" s="105" t="str">
        <f t="shared" si="1"/>
        <v>Modified Following</v>
      </c>
      <c r="F13" s="106" t="str">
        <f t="shared" si="2"/>
        <v>TRUE</v>
      </c>
      <c r="G13" s="107" t="s">
        <v>50</v>
      </c>
      <c r="H13" s="108">
        <v>1.5590000000000001E-3</v>
      </c>
      <c r="I13" s="109" t="str">
        <f>_xll.qlDepositRateHelper2(,H13,IF(RIGHT(C13,1)="N","1D",C13),D13,Calendar,E13,F13,G13,,Trigger)</f>
        <v>obj_008fc#0015</v>
      </c>
      <c r="J13" s="104" t="b">
        <f t="shared" si="3"/>
        <v>1</v>
      </c>
      <c r="K13" s="77"/>
      <c r="L13" s="25" t="str">
        <f t="shared" si="4"/>
        <v>Dp</v>
      </c>
      <c r="M13" s="25" t="str">
        <f t="shared" si="5"/>
        <v>5M</v>
      </c>
      <c r="N13" s="14" t="str">
        <f t="shared" si="6"/>
        <v>obj_008fc#0015</v>
      </c>
      <c r="O13" s="14" t="b">
        <f t="shared" si="6"/>
        <v>1</v>
      </c>
      <c r="P13" s="14" t="str">
        <v>Dp</v>
      </c>
      <c r="Q13" s="14" t="str">
        <v>5M</v>
      </c>
      <c r="R13" s="14" t="str">
        <v>obj_008fc#0015</v>
      </c>
      <c r="S13" s="21">
        <f>_xll.qlRateHelperQuoteValue(R13,Trigger)</f>
        <v>1.5590000000000001E-3</v>
      </c>
      <c r="T13" s="15">
        <f>_xll.qlRateHelperEarliestDate(R13,Trigger)</f>
        <v>42145</v>
      </c>
      <c r="U13" s="15">
        <f>_xll.qlRateHelperLatestDate(R13,Trigger)</f>
        <v>42298</v>
      </c>
      <c r="V13" s="119">
        <v>1.5466581436405049E-3</v>
      </c>
    </row>
    <row r="14" spans="1:22" ht="11.25" customHeight="1" x14ac:dyDescent="0.2">
      <c r="A14" s="102" t="s">
        <v>46</v>
      </c>
      <c r="B14" s="102" t="str">
        <v>6M</v>
      </c>
      <c r="C14" s="103" t="str">
        <f>IF(LEFT(B14,1)="#",(_xll.qlCalendarBusinessDaysBetween(Calendar,Settlementdate,DATE(RIGHT(LEFT(B14,5),4),LEFT(RIGHT(B14,4),2),RIGHT(B14,2)),,TRUE,Trigger)-1)&amp;"D",B14)</f>
        <v>6M</v>
      </c>
      <c r="D14" s="104">
        <f t="shared" si="0"/>
        <v>2</v>
      </c>
      <c r="E14" s="105" t="str">
        <f t="shared" si="1"/>
        <v>Modified Following</v>
      </c>
      <c r="F14" s="106" t="str">
        <f t="shared" si="2"/>
        <v>TRUE</v>
      </c>
      <c r="G14" s="107" t="s">
        <v>50</v>
      </c>
      <c r="H14" s="108">
        <v>1.549E-3</v>
      </c>
      <c r="I14" s="109" t="str">
        <f>_xll.qlDepositRateHelper2(,H14,IF(RIGHT(C14,1)="N","1D",C14),D14,Calendar,E14,F14,G14,,Trigger)</f>
        <v>obj_00927#0015</v>
      </c>
      <c r="J14" s="104" t="b">
        <f t="shared" si="3"/>
        <v>1</v>
      </c>
      <c r="K14" s="77"/>
      <c r="L14" s="25" t="str">
        <f t="shared" si="4"/>
        <v>Dp</v>
      </c>
      <c r="M14" s="25" t="str">
        <f t="shared" si="5"/>
        <v>6M</v>
      </c>
      <c r="N14" s="14" t="str">
        <f t="shared" si="6"/>
        <v>obj_00927#0015</v>
      </c>
      <c r="O14" s="14" t="b">
        <f t="shared" si="6"/>
        <v>1</v>
      </c>
      <c r="P14" s="14" t="str">
        <v>Dp</v>
      </c>
      <c r="Q14" s="14" t="str">
        <v>6M</v>
      </c>
      <c r="R14" s="14" t="str">
        <v>obj_00927#0015</v>
      </c>
      <c r="S14" s="21">
        <f>_xll.qlRateHelperQuoteValue(R14,Trigger)</f>
        <v>1.549E-3</v>
      </c>
      <c r="T14" s="15">
        <f>_xll.qlRateHelperEarliestDate(R14,Trigger)</f>
        <v>42145</v>
      </c>
      <c r="U14" s="15">
        <f>_xll.qlRateHelperLatestDate(R14,Trigger)</f>
        <v>42331</v>
      </c>
      <c r="V14" s="119">
        <v>1.5423987957341567E-3</v>
      </c>
    </row>
    <row r="15" spans="1:22" ht="11.25" customHeight="1" x14ac:dyDescent="0.2">
      <c r="A15" s="102" t="s">
        <v>46</v>
      </c>
      <c r="B15" s="102" t="str">
        <v>#20151216</v>
      </c>
      <c r="C15" s="103" t="str">
        <f>IF(LEFT(B15,1)="#",(_xll.qlCalendarBusinessDaysBetween(Calendar,Settlementdate,DATE(RIGHT(LEFT(B15,5),4),LEFT(RIGHT(B15,4),2),RIGHT(B15,2)),,TRUE,Trigger)-1)&amp;"D",B15)</f>
        <v>149D</v>
      </c>
      <c r="D15" s="104">
        <f t="shared" si="0"/>
        <v>2</v>
      </c>
      <c r="E15" s="105" t="str">
        <f t="shared" si="1"/>
        <v>Modified Following</v>
      </c>
      <c r="F15" s="106" t="str">
        <f t="shared" si="2"/>
        <v>TRUE</v>
      </c>
      <c r="G15" s="107" t="s">
        <v>50</v>
      </c>
      <c r="H15" s="108">
        <v>1.5322259999999998E-3</v>
      </c>
      <c r="I15" s="109" t="str">
        <f>_xll.qlDepositRateHelper2(,H15,IF(RIGHT(C15,1)="N","1D",C15),D15,Calendar,E15,F15,G15,,Trigger)</f>
        <v>obj_00921#0015</v>
      </c>
      <c r="J15" s="104" t="b">
        <f t="shared" si="3"/>
        <v>1</v>
      </c>
      <c r="K15" s="77"/>
      <c r="L15" s="25" t="str">
        <f t="shared" si="4"/>
        <v>Dp</v>
      </c>
      <c r="M15" s="25" t="str">
        <f t="shared" si="5"/>
        <v>149D</v>
      </c>
      <c r="N15" s="14" t="str">
        <f t="shared" si="6"/>
        <v>obj_00921#0015</v>
      </c>
      <c r="O15" s="14" t="b">
        <f t="shared" si="6"/>
        <v>1</v>
      </c>
      <c r="P15" s="14" t="str">
        <v>Dp</v>
      </c>
      <c r="Q15" s="14" t="str">
        <v>149D</v>
      </c>
      <c r="R15" s="14" t="str">
        <v>obj_00921#0015</v>
      </c>
      <c r="S15" s="21">
        <f>_xll.qlRateHelperQuoteValue(R15,Trigger)</f>
        <v>1.5322259999999998E-3</v>
      </c>
      <c r="T15" s="15">
        <f>_xll.qlRateHelperEarliestDate(R15,Trigger)</f>
        <v>42145</v>
      </c>
      <c r="U15" s="15">
        <f>_xll.qlRateHelperLatestDate(R15,Trigger)</f>
        <v>42354</v>
      </c>
      <c r="V15" s="119">
        <v>1.5284874027259839E-3</v>
      </c>
    </row>
    <row r="16" spans="1:22" ht="11.25" customHeight="1" x14ac:dyDescent="0.2">
      <c r="A16" s="102" t="s">
        <v>46</v>
      </c>
      <c r="B16" s="102" t="e">
        <v>#N/A</v>
      </c>
      <c r="C16" s="103" t="e">
        <f>IF(LEFT(B16,1)="#",(_xll.qlCalendarBusinessDaysBetween(Calendar,Settlementdate,DATE(RIGHT(LEFT(B16,5),4),LEFT(RIGHT(B16,4),2),RIGHT(B16,2)),,TRUE,Trigger)-1)&amp;"D",B16)</f>
        <v>#N/A</v>
      </c>
      <c r="D16" s="104" t="e">
        <f t="shared" si="0"/>
        <v>#N/A</v>
      </c>
      <c r="E16" s="105" t="e">
        <f t="shared" si="1"/>
        <v>#N/A</v>
      </c>
      <c r="F16" s="106" t="e">
        <f t="shared" si="2"/>
        <v>#N/A</v>
      </c>
      <c r="G16" s="107" t="s">
        <v>50</v>
      </c>
      <c r="H16" s="108" t="e">
        <v>#N/A</v>
      </c>
      <c r="I16" s="109" t="e">
        <f>_xll.qlDepositRateHelper2(,H16,IF(RIGHT(C16,1)="N","1D",C16),D16,Calendar,E16,F16,G16,,Trigger)</f>
        <v>#VALUE!</v>
      </c>
      <c r="J16" s="104" t="b">
        <f t="shared" si="3"/>
        <v>0</v>
      </c>
      <c r="K16" s="77"/>
      <c r="L16" s="25" t="str">
        <f t="shared" si="4"/>
        <v>Dp</v>
      </c>
      <c r="M16" s="25" t="e">
        <f t="shared" si="5"/>
        <v>#N/A</v>
      </c>
      <c r="N16" s="14" t="e">
        <f t="shared" si="6"/>
        <v>#VALUE!</v>
      </c>
      <c r="O16" s="14" t="b">
        <f t="shared" si="6"/>
        <v>0</v>
      </c>
      <c r="P16" s="14" t="str">
        <v>Sf</v>
      </c>
      <c r="Q16" s="14" t="str">
        <v>Z5</v>
      </c>
      <c r="R16" s="14" t="str">
        <v>obj_0080e#0023</v>
      </c>
      <c r="S16" s="21">
        <f>_xll.qlRateHelperQuoteValue(R16,Trigger)</f>
        <v>99.812100000000001</v>
      </c>
      <c r="T16" s="15">
        <f>_xll.qlRateHelperEarliestDate(R16,Trigger)</f>
        <v>42354</v>
      </c>
      <c r="U16" s="15">
        <f>_xll.qlRateHelperLatestDate(R16,Trigger)</f>
        <v>42720</v>
      </c>
      <c r="V16" s="119">
        <v>1.7662240437470605E-3</v>
      </c>
    </row>
    <row r="17" spans="1:22" ht="11.25" customHeight="1" x14ac:dyDescent="0.2">
      <c r="A17" s="102" t="s">
        <v>46</v>
      </c>
      <c r="B17" s="102" t="e">
        <v>#N/A</v>
      </c>
      <c r="C17" s="103" t="e">
        <f>IF(LEFT(B17,1)="#",(_xll.qlCalendarBusinessDaysBetween(Calendar,Settlementdate,DATE(RIGHT(LEFT(B17,5),4),LEFT(RIGHT(B17,4),2),RIGHT(B17,2)),,TRUE,Trigger)-1)&amp;"D",B17)</f>
        <v>#N/A</v>
      </c>
      <c r="D17" s="104" t="e">
        <f t="shared" si="0"/>
        <v>#N/A</v>
      </c>
      <c r="E17" s="105" t="e">
        <f t="shared" si="1"/>
        <v>#N/A</v>
      </c>
      <c r="F17" s="106" t="e">
        <f t="shared" si="2"/>
        <v>#N/A</v>
      </c>
      <c r="G17" s="107" t="s">
        <v>50</v>
      </c>
      <c r="H17" s="108" t="e">
        <v>#N/A</v>
      </c>
      <c r="I17" s="109" t="e">
        <f>_xll.qlDepositRateHelper2(,H17,IF(RIGHT(C17,1)="N","1D",C17),D17,Calendar,E17,F17,G17,,Trigger)</f>
        <v>#VALUE!</v>
      </c>
      <c r="J17" s="104" t="b">
        <f t="shared" si="3"/>
        <v>0</v>
      </c>
      <c r="K17" s="77"/>
      <c r="L17" s="25" t="str">
        <f t="shared" si="4"/>
        <v>Dp</v>
      </c>
      <c r="M17" s="25" t="e">
        <f t="shared" si="5"/>
        <v>#N/A</v>
      </c>
      <c r="N17" s="14" t="e">
        <f t="shared" si="6"/>
        <v>#VALUE!</v>
      </c>
      <c r="O17" s="14" t="b">
        <f t="shared" si="6"/>
        <v>0</v>
      </c>
      <c r="P17" s="14" t="str">
        <v>Sf</v>
      </c>
      <c r="Q17" s="14" t="str">
        <v>H6</v>
      </c>
      <c r="R17" s="14" t="str">
        <v>obj_00820#0023</v>
      </c>
      <c r="S17" s="21">
        <f>_xll.qlRateHelperQuoteValue(R17,Trigger)</f>
        <v>99.802099999999996</v>
      </c>
      <c r="T17" s="15">
        <f>_xll.qlRateHelperEarliestDate(R17,Trigger)</f>
        <v>42445</v>
      </c>
      <c r="U17" s="15">
        <f>_xll.qlRateHelperLatestDate(R17,Trigger)</f>
        <v>42810</v>
      </c>
      <c r="V17" s="119">
        <v>1.8157239861927266E-3</v>
      </c>
    </row>
    <row r="18" spans="1:22" ht="11.25" customHeight="1" x14ac:dyDescent="0.2">
      <c r="A18" s="4" t="s">
        <v>46</v>
      </c>
      <c r="B18" s="4" t="e">
        <v>#N/A</v>
      </c>
      <c r="C18" s="22" t="e">
        <f>IF(LEFT(B18,1)="#",(_xll.qlCalendarBusinessDaysBetween(Calendar,Settlementdate,DATE(RIGHT(LEFT(B18,5),4),LEFT(RIGHT(B18,4),2),RIGHT(B18,2)),,TRUE,Trigger)-1)&amp;"D",B18)</f>
        <v>#N/A</v>
      </c>
      <c r="D18" s="19" t="e">
        <f t="shared" si="0"/>
        <v>#N/A</v>
      </c>
      <c r="E18" s="20" t="e">
        <f t="shared" si="1"/>
        <v>#N/A</v>
      </c>
      <c r="F18" s="23" t="e">
        <f t="shared" si="2"/>
        <v>#N/A</v>
      </c>
      <c r="G18" s="5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3"/>
        <v>0</v>
      </c>
      <c r="K18" s="77"/>
      <c r="L18" s="26" t="str">
        <f t="shared" si="4"/>
        <v>Dp</v>
      </c>
      <c r="M18" s="26" t="e">
        <f t="shared" si="5"/>
        <v>#N/A</v>
      </c>
      <c r="N18" s="16" t="e">
        <f t="shared" si="6"/>
        <v>#VALUE!</v>
      </c>
      <c r="O18" s="16" t="b">
        <f t="shared" si="6"/>
        <v>0</v>
      </c>
      <c r="P18" s="14" t="str">
        <v>Sf</v>
      </c>
      <c r="Q18" s="14" t="str">
        <v>M6</v>
      </c>
      <c r="R18" s="14" t="str">
        <v>obj_0081c#0023</v>
      </c>
      <c r="S18" s="21">
        <f>_xll.qlRateHelperQuoteValue(R18,Trigger)</f>
        <v>99.798000000000002</v>
      </c>
      <c r="T18" s="15">
        <f>_xll.qlRateHelperEarliestDate(R18,Trigger)</f>
        <v>42536</v>
      </c>
      <c r="U18" s="15">
        <f>_xll.qlRateHelperLatestDate(R18,Trigger)</f>
        <v>42901</v>
      </c>
      <c r="V18" s="119">
        <v>1.8389595567012979E-3</v>
      </c>
    </row>
    <row r="19" spans="1:22" ht="11.25" customHeight="1" x14ac:dyDescent="0.2">
      <c r="C19" s="74"/>
      <c r="D19" s="74"/>
      <c r="E19" s="74"/>
      <c r="K19" s="77"/>
      <c r="L19" s="25" t="str">
        <f>A21</f>
        <v>Sf</v>
      </c>
      <c r="M19" s="25" t="str">
        <f>D21</f>
        <v>Z5</v>
      </c>
      <c r="N19" s="25" t="str">
        <f>I21</f>
        <v>obj_0080e#0023</v>
      </c>
      <c r="O19" s="14" t="b">
        <f>J21</f>
        <v>1</v>
      </c>
      <c r="P19" s="14" t="str">
        <v>Sf</v>
      </c>
      <c r="Q19" s="14" t="str">
        <v>U6</v>
      </c>
      <c r="R19" s="14" t="str">
        <v>obj_00821#0023</v>
      </c>
      <c r="S19" s="21">
        <f>_xll.qlRateHelperQuoteValue(R19,Trigger)</f>
        <v>99.772999999999996</v>
      </c>
      <c r="T19" s="15">
        <f>_xll.qlRateHelperEarliestDate(R19,Trigger)</f>
        <v>42634</v>
      </c>
      <c r="U19" s="15">
        <f>_xll.qlRateHelperLatestDate(R19,Trigger)</f>
        <v>42999</v>
      </c>
      <c r="V19" s="119">
        <v>1.9613088365328644E-3</v>
      </c>
    </row>
    <row r="20" spans="1:22" ht="11.25" customHeight="1" x14ac:dyDescent="0.2">
      <c r="A20" s="110" t="s">
        <v>18</v>
      </c>
      <c r="B20" s="110" t="s">
        <v>35</v>
      </c>
      <c r="C20" s="110" t="s">
        <v>35</v>
      </c>
      <c r="D20" s="110" t="s">
        <v>8</v>
      </c>
      <c r="E20" s="110" t="s">
        <v>13</v>
      </c>
      <c r="F20" s="110" t="s">
        <v>9</v>
      </c>
      <c r="G20" s="110" t="s">
        <v>5</v>
      </c>
      <c r="H20" s="110" t="s">
        <v>10</v>
      </c>
      <c r="I20" s="110" t="s">
        <v>43</v>
      </c>
      <c r="J20" s="110" t="s">
        <v>47</v>
      </c>
      <c r="K20" s="77"/>
      <c r="L20" s="25" t="str">
        <f t="shared" ref="L20:L26" si="7">A22</f>
        <v>Sf</v>
      </c>
      <c r="M20" s="25" t="str">
        <f t="shared" ref="M20:M26" si="8">D22</f>
        <v>H6</v>
      </c>
      <c r="N20" s="25" t="str">
        <f t="shared" ref="N20:O26" si="9">I22</f>
        <v>obj_00820#0023</v>
      </c>
      <c r="O20" s="14" t="b">
        <f t="shared" si="9"/>
        <v>1</v>
      </c>
      <c r="P20" s="14" t="str">
        <v>Sf</v>
      </c>
      <c r="Q20" s="14" t="str">
        <v>Z6</v>
      </c>
      <c r="R20" s="14" t="str">
        <v>obj_00817#0023</v>
      </c>
      <c r="S20" s="21">
        <f>_xll.qlRateHelperQuoteValue(R20,Trigger)</f>
        <v>99.733249999999998</v>
      </c>
      <c r="T20" s="15">
        <f>_xll.qlRateHelperEarliestDate(R20,Trigger)</f>
        <v>42725</v>
      </c>
      <c r="U20" s="15">
        <f>_xll.qlRateHelperLatestDate(R20,Trigger)</f>
        <v>43090</v>
      </c>
      <c r="V20" s="119">
        <v>2.1281632788906026E-3</v>
      </c>
    </row>
    <row r="21" spans="1:22" ht="11.25" customHeight="1" x14ac:dyDescent="0.2">
      <c r="A21" s="122" t="s">
        <v>44</v>
      </c>
      <c r="B21" s="123">
        <f t="shared" ref="B21:B28" si="10">DATE(2000+RIGHT(C21,2),RIGHT(LEFT(C21,5),2),LEFT(C21,2))</f>
        <v>57903</v>
      </c>
      <c r="C21" s="150">
        <f t="array" ref="C21:C28">_xll.ohFilter(PastedValue!AP2:AP82,PastedValue!AO2:AO82="Sf")</f>
        <v>42354</v>
      </c>
      <c r="D21" s="124" t="str">
        <f>_xll.qlIMMcode(C21)</f>
        <v>Z5</v>
      </c>
      <c r="E21" s="97" t="s">
        <v>15</v>
      </c>
      <c r="F21" s="153" t="s">
        <v>55</v>
      </c>
      <c r="G21" s="126">
        <f t="array" ref="G21:G28">_xll.ohFilter(PastedValue!AV2:AV82,PastedValue!AO2:AO82="Sf")</f>
        <v>99.812100000000001</v>
      </c>
      <c r="H21" s="127">
        <v>0</v>
      </c>
      <c r="I21" s="128" t="str">
        <f>_xll.qlFuturesRateHelper(,$G21,"IMM",$D21,$F21,$H21,Permanent,Trigger,ObjectOverwrite)</f>
        <v>obj_0080e#0023</v>
      </c>
      <c r="J21" s="96" t="b">
        <f>IF(ISNUMBER(G21),TRUE,FALSE)</f>
        <v>1</v>
      </c>
      <c r="K21" s="77"/>
      <c r="L21" s="25" t="str">
        <f t="shared" si="7"/>
        <v>Sf</v>
      </c>
      <c r="M21" s="25" t="str">
        <f t="shared" si="8"/>
        <v>M6</v>
      </c>
      <c r="N21" s="25" t="str">
        <f t="shared" si="9"/>
        <v>obj_0081c#0023</v>
      </c>
      <c r="O21" s="14" t="b">
        <f t="shared" si="9"/>
        <v>1</v>
      </c>
      <c r="P21" s="14" t="str">
        <v>Sf</v>
      </c>
      <c r="Q21" s="14" t="str">
        <v>H7</v>
      </c>
      <c r="R21" s="14" t="str">
        <v>obj_00814#0023</v>
      </c>
      <c r="S21" s="21">
        <f>_xll.qlRateHelperQuoteValue(R21,Trigger)</f>
        <v>99.694850000000002</v>
      </c>
      <c r="T21" s="15">
        <f>_xll.qlRateHelperEarliestDate(R21,Trigger)</f>
        <v>42809</v>
      </c>
      <c r="U21" s="15">
        <f>_xll.qlRateHelperLatestDate(R21,Trigger)</f>
        <v>43174</v>
      </c>
      <c r="V21" s="119">
        <v>2.2661779539264347E-3</v>
      </c>
    </row>
    <row r="22" spans="1:22" ht="11.25" customHeight="1" x14ac:dyDescent="0.2">
      <c r="A22" s="129" t="s">
        <v>44</v>
      </c>
      <c r="B22" s="130">
        <f t="shared" si="10"/>
        <v>54343</v>
      </c>
      <c r="C22" s="151">
        <v>42445</v>
      </c>
      <c r="D22" s="131" t="str">
        <f>_xll.qlIMMcode(C22)</f>
        <v>H6</v>
      </c>
      <c r="E22" s="105" t="s">
        <v>15</v>
      </c>
      <c r="F22" s="154" t="s">
        <v>55</v>
      </c>
      <c r="G22" s="133">
        <v>99.802099999999996</v>
      </c>
      <c r="H22" s="134">
        <v>0</v>
      </c>
      <c r="I22" s="135" t="str">
        <f>_xll.qlFuturesRateHelper(,$G22,"IMM",$D22,$F22,$H22,Permanent,Trigger,ObjectOverwrite)</f>
        <v>obj_00820#0023</v>
      </c>
      <c r="J22" s="104" t="b">
        <f t="shared" ref="J22:J28" si="11">IF(ISNUMBER(G22),TRUE,FALSE)</f>
        <v>1</v>
      </c>
      <c r="K22" s="77"/>
      <c r="L22" s="25" t="str">
        <f t="shared" si="7"/>
        <v>Sf</v>
      </c>
      <c r="M22" s="25" t="str">
        <f t="shared" si="8"/>
        <v>U6</v>
      </c>
      <c r="N22" s="25" t="str">
        <f t="shared" si="9"/>
        <v>obj_00821#0023</v>
      </c>
      <c r="O22" s="14" t="b">
        <f t="shared" si="9"/>
        <v>1</v>
      </c>
      <c r="P22" s="14" t="str">
        <v>Sw</v>
      </c>
      <c r="Q22" s="14" t="str">
        <v>3Y</v>
      </c>
      <c r="R22" s="14" t="str">
        <v>obj_00859#0020</v>
      </c>
      <c r="S22" s="21">
        <f>_xll.qlRateHelperQuoteValue(R22,Trigger)</f>
        <v>2.8699999999999997E-3</v>
      </c>
      <c r="T22" s="15">
        <f>_xll.qlRateHelperEarliestDate(R22,Trigger)</f>
        <v>42145</v>
      </c>
      <c r="U22" s="15">
        <f>_xll.qlRateHelperLatestDate(R22,Trigger)</f>
        <v>43241</v>
      </c>
      <c r="V22" s="119">
        <v>2.855623454147626E-3</v>
      </c>
    </row>
    <row r="23" spans="1:22" ht="11.25" customHeight="1" x14ac:dyDescent="0.2">
      <c r="A23" s="129" t="s">
        <v>44</v>
      </c>
      <c r="B23" s="130">
        <f t="shared" si="10"/>
        <v>50781</v>
      </c>
      <c r="C23" s="151">
        <v>42536</v>
      </c>
      <c r="D23" s="131" t="str">
        <f>_xll.qlIMMcode(C23)</f>
        <v>M6</v>
      </c>
      <c r="E23" s="105" t="s">
        <v>15</v>
      </c>
      <c r="F23" s="154" t="s">
        <v>55</v>
      </c>
      <c r="G23" s="133">
        <v>99.798000000000002</v>
      </c>
      <c r="H23" s="134">
        <v>0</v>
      </c>
      <c r="I23" s="135" t="str">
        <f>_xll.qlFuturesRateHelper(,$G23,"IMM",$D23,$F23,$H23,Permanent,Trigger,ObjectOverwrite)</f>
        <v>obj_0081c#0023</v>
      </c>
      <c r="J23" s="104" t="b">
        <f t="shared" si="11"/>
        <v>1</v>
      </c>
      <c r="K23" s="77"/>
      <c r="L23" s="25" t="str">
        <f t="shared" si="7"/>
        <v>Sf</v>
      </c>
      <c r="M23" s="25" t="str">
        <f t="shared" si="8"/>
        <v>Z6</v>
      </c>
      <c r="N23" s="25" t="str">
        <f t="shared" si="9"/>
        <v>obj_00817#0023</v>
      </c>
      <c r="O23" s="14" t="b">
        <f t="shared" si="9"/>
        <v>1</v>
      </c>
      <c r="P23" s="14" t="str">
        <v>Sw</v>
      </c>
      <c r="Q23" s="14" t="str">
        <v>4Y</v>
      </c>
      <c r="R23" s="14" t="str">
        <v>obj_00849#0023</v>
      </c>
      <c r="S23" s="21">
        <f>_xll.qlRateHelperQuoteValue(R23,Trigger)</f>
        <v>3.8600000000000001E-3</v>
      </c>
      <c r="T23" s="15">
        <f>_xll.qlRateHelperEarliestDate(R23,Trigger)</f>
        <v>42145</v>
      </c>
      <c r="U23" s="15">
        <f>_xll.qlRateHelperLatestDate(R23,Trigger)</f>
        <v>43606</v>
      </c>
      <c r="V23" s="119">
        <v>3.8442764078733169E-3</v>
      </c>
    </row>
    <row r="24" spans="1:22" ht="11.25" customHeight="1" x14ac:dyDescent="0.2">
      <c r="A24" s="129" t="s">
        <v>44</v>
      </c>
      <c r="B24" s="130">
        <f t="shared" si="10"/>
        <v>49990</v>
      </c>
      <c r="C24" s="151">
        <v>42634</v>
      </c>
      <c r="D24" s="131" t="str">
        <f>_xll.qlIMMcode(C24)</f>
        <v>U6</v>
      </c>
      <c r="E24" s="105" t="s">
        <v>15</v>
      </c>
      <c r="F24" s="154" t="s">
        <v>55</v>
      </c>
      <c r="G24" s="133">
        <v>99.772999999999996</v>
      </c>
      <c r="H24" s="134">
        <v>0</v>
      </c>
      <c r="I24" s="135" t="str">
        <f>_xll.qlFuturesRateHelper(,$G24,"IMM",$D24,$F24,$H24,Permanent,Trigger,ObjectOverwrite)</f>
        <v>obj_00821#0023</v>
      </c>
      <c r="J24" s="104" t="b">
        <f t="shared" si="11"/>
        <v>1</v>
      </c>
      <c r="K24" s="77"/>
      <c r="L24" s="25" t="str">
        <f t="shared" si="7"/>
        <v>Sf</v>
      </c>
      <c r="M24" s="25" t="str">
        <f t="shared" si="8"/>
        <v>H7</v>
      </c>
      <c r="N24" s="25" t="str">
        <f t="shared" si="9"/>
        <v>obj_00814#0023</v>
      </c>
      <c r="O24" s="14" t="b">
        <f t="shared" si="9"/>
        <v>1</v>
      </c>
      <c r="P24" s="14" t="str">
        <v>Sw</v>
      </c>
      <c r="Q24" s="14" t="str">
        <v>5Y</v>
      </c>
      <c r="R24" s="14" t="str">
        <v>obj_0083a#0023</v>
      </c>
      <c r="S24" s="21">
        <f>_xll.qlRateHelperQuoteValue(R24,Trigger)</f>
        <v>5.0299999999999997E-3</v>
      </c>
      <c r="T24" s="15">
        <f>_xll.qlRateHelperEarliestDate(R24,Trigger)</f>
        <v>42145</v>
      </c>
      <c r="U24" s="15">
        <f>_xll.qlRateHelperLatestDate(R24,Trigger)</f>
        <v>43972</v>
      </c>
      <c r="V24" s="119">
        <v>5.0118591548223958E-3</v>
      </c>
    </row>
    <row r="25" spans="1:22" ht="11.25" customHeight="1" x14ac:dyDescent="0.2">
      <c r="A25" s="129" t="s">
        <v>44</v>
      </c>
      <c r="B25" s="130">
        <f t="shared" si="10"/>
        <v>46429</v>
      </c>
      <c r="C25" s="151">
        <v>42725</v>
      </c>
      <c r="D25" s="131" t="str">
        <f>_xll.qlIMMcode(C25)</f>
        <v>Z6</v>
      </c>
      <c r="E25" s="105" t="s">
        <v>15</v>
      </c>
      <c r="F25" s="154" t="s">
        <v>55</v>
      </c>
      <c r="G25" s="133">
        <v>99.733249999999998</v>
      </c>
      <c r="H25" s="134">
        <v>0</v>
      </c>
      <c r="I25" s="135" t="str">
        <f>_xll.qlFuturesRateHelper(,$G25,"IMM",$D25,$F25,$H25,Permanent,Trigger,ObjectOverwrite)</f>
        <v>obj_00817#0023</v>
      </c>
      <c r="J25" s="104" t="b">
        <f t="shared" si="11"/>
        <v>1</v>
      </c>
      <c r="K25" s="77"/>
      <c r="L25" s="25" t="str">
        <f t="shared" si="7"/>
        <v>Sf</v>
      </c>
      <c r="M25" s="25" t="e">
        <f t="shared" si="8"/>
        <v>#NUM!</v>
      </c>
      <c r="N25" s="25" t="e">
        <f t="shared" si="9"/>
        <v>#NUM!</v>
      </c>
      <c r="O25" s="14" t="b">
        <f t="shared" si="9"/>
        <v>0</v>
      </c>
      <c r="P25" s="14" t="str">
        <v>Sw</v>
      </c>
      <c r="Q25" s="14" t="str">
        <v>6Y</v>
      </c>
      <c r="R25" s="14" t="str">
        <v>obj_00852#0020</v>
      </c>
      <c r="S25" s="21">
        <f>_xll.qlRateHelperQuoteValue(R25,Trigger)</f>
        <v>6.2399999999999999E-3</v>
      </c>
      <c r="T25" s="15">
        <f>_xll.qlRateHelperEarliestDate(R25,Trigger)</f>
        <v>42145</v>
      </c>
      <c r="U25" s="15">
        <f>_xll.qlRateHelperLatestDate(R25,Trigger)</f>
        <v>44337</v>
      </c>
      <c r="V25" s="119">
        <v>6.2264826743581355E-3</v>
      </c>
    </row>
    <row r="26" spans="1:22" ht="11.25" customHeight="1" x14ac:dyDescent="0.2">
      <c r="A26" s="129" t="s">
        <v>44</v>
      </c>
      <c r="B26" s="130">
        <f t="shared" si="10"/>
        <v>40098</v>
      </c>
      <c r="C26" s="151">
        <v>42809</v>
      </c>
      <c r="D26" s="131" t="str">
        <f>_xll.qlIMMcode(C26)</f>
        <v>H7</v>
      </c>
      <c r="E26" s="105" t="s">
        <v>15</v>
      </c>
      <c r="F26" s="154" t="s">
        <v>55</v>
      </c>
      <c r="G26" s="133">
        <v>99.694850000000002</v>
      </c>
      <c r="H26" s="134">
        <v>0</v>
      </c>
      <c r="I26" s="135" t="str">
        <f>_xll.qlFuturesRateHelper(,$G26,"IMM",$D26,$F26,$H26,Permanent,Trigger,ObjectOverwrite)</f>
        <v>obj_00814#0023</v>
      </c>
      <c r="J26" s="104" t="b">
        <f t="shared" si="11"/>
        <v>1</v>
      </c>
      <c r="K26" s="77"/>
      <c r="L26" s="26" t="str">
        <f t="shared" si="7"/>
        <v>Sf</v>
      </c>
      <c r="M26" s="26" t="e">
        <f t="shared" si="8"/>
        <v>#NUM!</v>
      </c>
      <c r="N26" s="26" t="e">
        <f t="shared" si="9"/>
        <v>#NUM!</v>
      </c>
      <c r="O26" s="16" t="b">
        <f t="shared" si="9"/>
        <v>0</v>
      </c>
      <c r="P26" s="14" t="str">
        <v>Sw</v>
      </c>
      <c r="Q26" s="14" t="str">
        <v>7Y</v>
      </c>
      <c r="R26" s="14" t="str">
        <v>obj_00845#0023</v>
      </c>
      <c r="S26" s="21">
        <f>_xll.qlRateHelperQuoteValue(R26,Trigger)</f>
        <v>7.45E-3</v>
      </c>
      <c r="T26" s="15">
        <f>_xll.qlRateHelperEarliestDate(R26,Trigger)</f>
        <v>42145</v>
      </c>
      <c r="U26" s="15">
        <f>_xll.qlRateHelperLatestDate(R26,Trigger)</f>
        <v>44704</v>
      </c>
      <c r="V26" s="119">
        <v>7.4468656564582571E-3</v>
      </c>
    </row>
    <row r="27" spans="1:22" ht="11.25" customHeight="1" x14ac:dyDescent="0.2">
      <c r="A27" s="129" t="s">
        <v>44</v>
      </c>
      <c r="B27" s="130" t="e">
        <f t="shared" si="10"/>
        <v>#N/A</v>
      </c>
      <c r="C27" s="151" t="e">
        <v>#N/A</v>
      </c>
      <c r="D27" s="131" t="e">
        <f>_xll.qlIMMcode(C27)</f>
        <v>#NUM!</v>
      </c>
      <c r="E27" s="105" t="s">
        <v>15</v>
      </c>
      <c r="F27" s="154" t="s">
        <v>55</v>
      </c>
      <c r="G27" s="133" t="e">
        <v>#N/A</v>
      </c>
      <c r="H27" s="134">
        <v>0</v>
      </c>
      <c r="I27" s="135" t="e">
        <f>_xll.qlFuturesRateHelper(,$G27,"IMM",$D27,$F27,$H27,Permanent,Trigger,ObjectOverwrite)</f>
        <v>#NUM!</v>
      </c>
      <c r="J27" s="104" t="b">
        <f t="shared" si="11"/>
        <v>0</v>
      </c>
      <c r="K27" s="77"/>
      <c r="L27" s="25" t="str">
        <f>A32</f>
        <v>Sw</v>
      </c>
      <c r="M27" s="25" t="str">
        <f>D32</f>
        <v>3Y</v>
      </c>
      <c r="N27" s="25" t="str">
        <f>I32</f>
        <v>obj_00859#0020</v>
      </c>
      <c r="O27" s="25" t="b">
        <f>J32</f>
        <v>1</v>
      </c>
      <c r="P27" s="14" t="str">
        <v>Sw</v>
      </c>
      <c r="Q27" s="14" t="str">
        <v>8Y</v>
      </c>
      <c r="R27" s="14" t="str">
        <v>obj_00842#0023</v>
      </c>
      <c r="S27" s="21">
        <f>_xll.qlRateHelperQuoteValue(R27,Trigger)</f>
        <v>8.5699999999999995E-3</v>
      </c>
      <c r="T27" s="15">
        <f>_xll.qlRateHelperEarliestDate(R27,Trigger)</f>
        <v>42145</v>
      </c>
      <c r="U27" s="15">
        <f>_xll.qlRateHelperLatestDate(R27,Trigger)</f>
        <v>45068</v>
      </c>
      <c r="V27" s="119">
        <v>8.5825231773140678E-3</v>
      </c>
    </row>
    <row r="28" spans="1:22" ht="11.25" customHeight="1" x14ac:dyDescent="0.2">
      <c r="A28" s="24" t="s">
        <v>44</v>
      </c>
      <c r="B28" s="10" t="e">
        <f t="shared" si="10"/>
        <v>#N/A</v>
      </c>
      <c r="C28" s="152" t="e">
        <v>#N/A</v>
      </c>
      <c r="D28" s="9" t="e">
        <f>_xll.qlIMMcode(C28)</f>
        <v>#NUM!</v>
      </c>
      <c r="E28" s="20" t="s">
        <v>15</v>
      </c>
      <c r="F28" s="29" t="s">
        <v>55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9" t="b">
        <f t="shared" si="11"/>
        <v>0</v>
      </c>
      <c r="K28" s="77"/>
      <c r="L28" s="25" t="str">
        <f t="shared" ref="L28:L71" si="12">A33</f>
        <v>Sw</v>
      </c>
      <c r="M28" s="25" t="str">
        <f t="shared" ref="M28:M71" si="13">D33</f>
        <v>4Y</v>
      </c>
      <c r="N28" s="25" t="str">
        <f t="shared" ref="N28:O43" si="14">I33</f>
        <v>obj_00849#0023</v>
      </c>
      <c r="O28" s="25" t="b">
        <f t="shared" si="14"/>
        <v>1</v>
      </c>
      <c r="P28" s="14" t="str">
        <v>Sw</v>
      </c>
      <c r="Q28" s="14" t="str">
        <v>9Y</v>
      </c>
      <c r="R28" s="14" t="str">
        <v>obj_00841#0023</v>
      </c>
      <c r="S28" s="21">
        <f>_xll.qlRateHelperQuoteValue(R28,Trigger)</f>
        <v>9.5499999999999995E-3</v>
      </c>
      <c r="T28" s="15">
        <f>_xll.qlRateHelperEarliestDate(R28,Trigger)</f>
        <v>42145</v>
      </c>
      <c r="U28" s="15">
        <f>_xll.qlRateHelperLatestDate(R28,Trigger)</f>
        <v>45433</v>
      </c>
      <c r="V28" s="119">
        <v>9.5785795377818055E-3</v>
      </c>
    </row>
    <row r="29" spans="1:22" ht="11.25" customHeight="1" x14ac:dyDescent="0.2">
      <c r="K29" s="77"/>
      <c r="L29" s="25" t="str">
        <f t="shared" si="12"/>
        <v>Sw</v>
      </c>
      <c r="M29" s="25" t="str">
        <f t="shared" si="13"/>
        <v>5Y</v>
      </c>
      <c r="N29" s="25" t="str">
        <f t="shared" si="14"/>
        <v>obj_0083a#0023</v>
      </c>
      <c r="O29" s="25" t="b">
        <f t="shared" si="14"/>
        <v>1</v>
      </c>
      <c r="P29" s="14" t="str">
        <v>Sw</v>
      </c>
      <c r="Q29" s="14" t="str">
        <v>10Y</v>
      </c>
      <c r="R29" s="14" t="str">
        <v>obj_00857#0020</v>
      </c>
      <c r="S29" s="21">
        <f>_xll.qlRateHelperQuoteValue(R29,Trigger)</f>
        <v>1.0369999999999999E-2</v>
      </c>
      <c r="T29" s="15">
        <f>_xll.qlRateHelperEarliestDate(R29,Trigger)</f>
        <v>42145</v>
      </c>
      <c r="U29" s="15">
        <f>_xll.qlRateHelperLatestDate(R29,Trigger)</f>
        <v>45798</v>
      </c>
      <c r="V29" s="119">
        <v>1.0418476787353923E-2</v>
      </c>
    </row>
    <row r="30" spans="1:22" ht="11.25" customHeight="1" x14ac:dyDescent="0.2">
      <c r="C30" s="74"/>
      <c r="D30" s="74"/>
      <c r="E30" s="74"/>
      <c r="G30" s="93" t="s">
        <v>51</v>
      </c>
      <c r="H30" s="110" t="s">
        <v>9</v>
      </c>
      <c r="I30" s="2" t="str">
        <f>_xll.qlEuribor(,G30,,,Trigger)</f>
        <v>obj_00836#0022</v>
      </c>
      <c r="J30" s="74"/>
      <c r="K30" s="77"/>
      <c r="L30" s="25" t="str">
        <f t="shared" si="12"/>
        <v>Sw</v>
      </c>
      <c r="M30" s="25" t="str">
        <f t="shared" si="13"/>
        <v>6Y</v>
      </c>
      <c r="N30" s="25" t="str">
        <f t="shared" si="14"/>
        <v>obj_00852#0020</v>
      </c>
      <c r="O30" s="25" t="b">
        <f t="shared" si="14"/>
        <v>1</v>
      </c>
      <c r="P30" s="14" t="str">
        <v>Sw</v>
      </c>
      <c r="Q30" s="14" t="str">
        <v>11Y</v>
      </c>
      <c r="R30" s="14" t="str">
        <v>obj_00858#0020</v>
      </c>
      <c r="S30" s="21">
        <f>_xll.qlRateHelperQuoteValue(R30,Trigger)</f>
        <v>1.1096866110000001E-2</v>
      </c>
      <c r="T30" s="15">
        <f>_xll.qlRateHelperEarliestDate(R30,Trigger)</f>
        <v>42145</v>
      </c>
      <c r="U30" s="15">
        <f>_xll.qlRateHelperLatestDate(R30,Trigger)</f>
        <v>46163</v>
      </c>
      <c r="V30" s="119">
        <v>1.1166749039963526E-2</v>
      </c>
    </row>
    <row r="31" spans="1:22" ht="11.25" customHeight="1" x14ac:dyDescent="0.2">
      <c r="A31" s="110" t="s">
        <v>18</v>
      </c>
      <c r="B31" s="110"/>
      <c r="C31" s="110" t="s">
        <v>11</v>
      </c>
      <c r="D31" s="110" t="s">
        <v>1</v>
      </c>
      <c r="E31" s="110" t="s">
        <v>13</v>
      </c>
      <c r="F31" s="110" t="s">
        <v>12</v>
      </c>
      <c r="G31" s="110" t="s">
        <v>4</v>
      </c>
      <c r="H31" s="110" t="s">
        <v>5</v>
      </c>
      <c r="I31" s="110" t="s">
        <v>43</v>
      </c>
      <c r="J31" s="110" t="s">
        <v>47</v>
      </c>
      <c r="K31" s="77"/>
      <c r="L31" s="25" t="str">
        <f t="shared" si="12"/>
        <v>Sw</v>
      </c>
      <c r="M31" s="25" t="str">
        <f t="shared" si="13"/>
        <v>7Y</v>
      </c>
      <c r="N31" s="25" t="str">
        <f t="shared" si="14"/>
        <v>obj_00845#0023</v>
      </c>
      <c r="O31" s="25" t="b">
        <f t="shared" si="14"/>
        <v>1</v>
      </c>
      <c r="P31" s="14" t="str">
        <v>Sw</v>
      </c>
      <c r="Q31" s="14" t="str">
        <v>12Y</v>
      </c>
      <c r="R31" s="14" t="str">
        <v>obj_0084d#0023</v>
      </c>
      <c r="S31" s="21">
        <f>_xll.qlRateHelperQuoteValue(R31,Trigger)</f>
        <v>1.1730000000000001E-2</v>
      </c>
      <c r="T31" s="15">
        <f>_xll.qlRateHelperEarliestDate(R31,Trigger)</f>
        <v>42145</v>
      </c>
      <c r="U31" s="15">
        <f>_xll.qlRateHelperLatestDate(R31,Trigger)</f>
        <v>46528</v>
      </c>
      <c r="V31" s="119">
        <v>1.182145520086161E-2</v>
      </c>
    </row>
    <row r="32" spans="1:22" ht="11.25" customHeight="1" x14ac:dyDescent="0.2">
      <c r="A32" s="101" t="s">
        <v>45</v>
      </c>
      <c r="B32" s="136"/>
      <c r="C32" s="136" t="s">
        <v>14</v>
      </c>
      <c r="D32" s="137" t="str">
        <f t="array" ref="D32:D76">_xll.ohFilter(PastedValue!AS2:AS82,PastedValue!AO2:AO82="Sw")</f>
        <v>3Y</v>
      </c>
      <c r="E32" s="125" t="s">
        <v>15</v>
      </c>
      <c r="F32" s="136" t="s">
        <v>16</v>
      </c>
      <c r="G32" s="125" t="s">
        <v>17</v>
      </c>
      <c r="H32" s="138">
        <f t="array" ref="H32:H76">_xll.ohFilter(PastedValue!AV2:AV82,PastedValue!AO2:AO82="Sw")/100</f>
        <v>2.8699999999999997E-3</v>
      </c>
      <c r="I32" s="99" t="str">
        <f>_xll.qlSwapRateHelper2(,$H32,,$D32,Calendar,$F32,$E32,$G32,$I$30,0,C32,Discounting,Permanent,,ObjectOverwrite)</f>
        <v>obj_00859#0020</v>
      </c>
      <c r="J32" s="96" t="b">
        <f>IF(ISNUMBER(H32),TRUE,FALSE)</f>
        <v>1</v>
      </c>
      <c r="K32" s="77"/>
      <c r="L32" s="25" t="str">
        <f t="shared" si="12"/>
        <v>Sw</v>
      </c>
      <c r="M32" s="25" t="str">
        <f t="shared" si="13"/>
        <v>8Y</v>
      </c>
      <c r="N32" s="25" t="str">
        <f t="shared" si="14"/>
        <v>obj_00842#0023</v>
      </c>
      <c r="O32" s="25" t="b">
        <f t="shared" si="14"/>
        <v>1</v>
      </c>
      <c r="P32" s="14" t="str">
        <v>Sw</v>
      </c>
      <c r="Q32" s="14" t="str">
        <v>13Y</v>
      </c>
      <c r="R32" s="14" t="str">
        <v>obj_0083e#0023</v>
      </c>
      <c r="S32" s="21">
        <f>_xll.qlRateHelperQuoteValue(R32,Trigger)</f>
        <v>1.2265693479999999E-2</v>
      </c>
      <c r="T32" s="15">
        <f>_xll.qlRateHelperEarliestDate(R32,Trigger)</f>
        <v>42145</v>
      </c>
      <c r="U32" s="15">
        <f>_xll.qlRateHelperLatestDate(R32,Trigger)</f>
        <v>46895</v>
      </c>
      <c r="V32" s="119">
        <v>1.2374584438725609E-2</v>
      </c>
    </row>
    <row r="33" spans="1:22" ht="11.25" customHeight="1" x14ac:dyDescent="0.2">
      <c r="A33" s="109" t="s">
        <v>45</v>
      </c>
      <c r="B33" s="139"/>
      <c r="C33" s="139" t="s">
        <v>14</v>
      </c>
      <c r="D33" s="140" t="str">
        <v>4Y</v>
      </c>
      <c r="E33" s="132" t="s">
        <v>15</v>
      </c>
      <c r="F33" s="139" t="s">
        <v>16</v>
      </c>
      <c r="G33" s="132" t="s">
        <v>17</v>
      </c>
      <c r="H33" s="141">
        <v>3.8600000000000001E-3</v>
      </c>
      <c r="I33" s="107" t="str">
        <f>_xll.qlSwapRateHelper2(,$H33,,$D33,Calendar,$F33,$E33,$G33,$I$30,0,C33,Discounting,Permanent,,ObjectOverwrite)</f>
        <v>obj_00849#0023</v>
      </c>
      <c r="J33" s="104" t="b">
        <f t="shared" ref="J33:J76" si="15">IF(ISNUMBER(H33),TRUE,FALSE)</f>
        <v>1</v>
      </c>
      <c r="L33" s="25" t="str">
        <f t="shared" si="12"/>
        <v>Sw</v>
      </c>
      <c r="M33" s="25" t="str">
        <f t="shared" si="13"/>
        <v>9Y</v>
      </c>
      <c r="N33" s="25" t="str">
        <f t="shared" si="14"/>
        <v>obj_00841#0023</v>
      </c>
      <c r="O33" s="25" t="b">
        <f t="shared" si="14"/>
        <v>1</v>
      </c>
      <c r="P33" s="14" t="str">
        <v>Sw</v>
      </c>
      <c r="Q33" s="14" t="str">
        <v>14Y</v>
      </c>
      <c r="R33" s="14" t="str">
        <v>obj_0085b#0020</v>
      </c>
      <c r="S33" s="21">
        <f>_xll.qlRateHelperQuoteValue(R33,Trigger)</f>
        <v>1.2704199920000001E-2</v>
      </c>
      <c r="T33" s="15">
        <f>_xll.qlRateHelperEarliestDate(R33,Trigger)</f>
        <v>42145</v>
      </c>
      <c r="U33" s="15">
        <f>_xll.qlRateHelperLatestDate(R33,Trigger)</f>
        <v>47259</v>
      </c>
      <c r="V33" s="119">
        <v>1.2830362965373847E-2</v>
      </c>
    </row>
    <row r="34" spans="1:22" ht="11.25" customHeight="1" x14ac:dyDescent="0.2">
      <c r="A34" s="109" t="s">
        <v>45</v>
      </c>
      <c r="B34" s="139"/>
      <c r="C34" s="139" t="s">
        <v>14</v>
      </c>
      <c r="D34" s="140" t="str">
        <v>5Y</v>
      </c>
      <c r="E34" s="132" t="s">
        <v>15</v>
      </c>
      <c r="F34" s="139" t="s">
        <v>16</v>
      </c>
      <c r="G34" s="132" t="s">
        <v>17</v>
      </c>
      <c r="H34" s="141">
        <v>5.0299999999999997E-3</v>
      </c>
      <c r="I34" s="107" t="str">
        <f>_xll.qlSwapRateHelper2(,$H34,,$D34,Calendar,$F34,$E34,$G34,$I$30,0,C34,Discounting,Permanent,,ObjectOverwrite)</f>
        <v>obj_0083a#0023</v>
      </c>
      <c r="J34" s="104" t="b">
        <f t="shared" si="15"/>
        <v>1</v>
      </c>
      <c r="L34" s="25" t="str">
        <f t="shared" si="12"/>
        <v>Sw</v>
      </c>
      <c r="M34" s="25" t="str">
        <f t="shared" si="13"/>
        <v>10Y</v>
      </c>
      <c r="N34" s="25" t="str">
        <f t="shared" si="14"/>
        <v>obj_00857#0020</v>
      </c>
      <c r="O34" s="25" t="b">
        <f t="shared" si="14"/>
        <v>1</v>
      </c>
      <c r="P34" s="14" t="str">
        <v>Sw</v>
      </c>
      <c r="Q34" s="14" t="str">
        <v>15Y</v>
      </c>
      <c r="R34" s="14" t="str">
        <v>obj_00855#0020</v>
      </c>
      <c r="S34" s="21">
        <f>_xll.qlRateHelperQuoteValue(R34,Trigger)</f>
        <v>1.307E-2</v>
      </c>
      <c r="T34" s="15">
        <f>_xll.qlRateHelperEarliestDate(R34,Trigger)</f>
        <v>42145</v>
      </c>
      <c r="U34" s="15">
        <f>_xll.qlRateHelperLatestDate(R34,Trigger)</f>
        <v>47624</v>
      </c>
      <c r="V34" s="119">
        <v>1.3210931831728799E-2</v>
      </c>
    </row>
    <row r="35" spans="1:22" ht="11.25" customHeight="1" x14ac:dyDescent="0.2">
      <c r="A35" s="109" t="s">
        <v>45</v>
      </c>
      <c r="B35" s="139"/>
      <c r="C35" s="139" t="s">
        <v>14</v>
      </c>
      <c r="D35" s="140" t="str">
        <v>6Y</v>
      </c>
      <c r="E35" s="132" t="s">
        <v>15</v>
      </c>
      <c r="F35" s="139" t="s">
        <v>16</v>
      </c>
      <c r="G35" s="132" t="s">
        <v>17</v>
      </c>
      <c r="H35" s="141">
        <v>6.2399999999999999E-3</v>
      </c>
      <c r="I35" s="107" t="str">
        <f>_xll.qlSwapRateHelper2(,$H35,,$D35,Calendar,$F35,$E35,$G35,$I$30,0,C35,Discounting,Permanent,,ObjectOverwrite)</f>
        <v>obj_00852#0020</v>
      </c>
      <c r="J35" s="104" t="b">
        <f t="shared" si="15"/>
        <v>1</v>
      </c>
      <c r="L35" s="25" t="str">
        <f t="shared" si="12"/>
        <v>Sw</v>
      </c>
      <c r="M35" s="25" t="str">
        <f t="shared" si="13"/>
        <v>11Y</v>
      </c>
      <c r="N35" s="25" t="str">
        <f t="shared" si="14"/>
        <v>obj_00858#0020</v>
      </c>
      <c r="O35" s="25" t="b">
        <f t="shared" si="14"/>
        <v>1</v>
      </c>
      <c r="P35" s="14" t="str">
        <v>Sw</v>
      </c>
      <c r="Q35" s="14" t="str">
        <v>16Y</v>
      </c>
      <c r="R35" s="14" t="str">
        <v>obj_00837#0023</v>
      </c>
      <c r="S35" s="21">
        <f>_xll.qlRateHelperQuoteValue(R35,Trigger)</f>
        <v>1.3375383890000002E-2</v>
      </c>
      <c r="T35" s="15">
        <f>_xll.qlRateHelperEarliestDate(R35,Trigger)</f>
        <v>42145</v>
      </c>
      <c r="U35" s="15">
        <f>_xll.qlRateHelperLatestDate(R35,Trigger)</f>
        <v>47989</v>
      </c>
      <c r="V35" s="119">
        <v>1.3528616450681282E-2</v>
      </c>
    </row>
    <row r="36" spans="1:22" ht="11.25" customHeight="1" x14ac:dyDescent="0.2">
      <c r="A36" s="109" t="s">
        <v>45</v>
      </c>
      <c r="B36" s="139"/>
      <c r="C36" s="139" t="s">
        <v>14</v>
      </c>
      <c r="D36" s="140" t="str">
        <v>7Y</v>
      </c>
      <c r="E36" s="132" t="s">
        <v>15</v>
      </c>
      <c r="F36" s="139" t="s">
        <v>16</v>
      </c>
      <c r="G36" s="132" t="s">
        <v>17</v>
      </c>
      <c r="H36" s="141">
        <v>7.45E-3</v>
      </c>
      <c r="I36" s="107" t="str">
        <f>_xll.qlSwapRateHelper2(,$H36,,$D36,Calendar,$F36,$E36,$G36,$I$30,0,C36,Discounting,Permanent,,ObjectOverwrite)</f>
        <v>obj_00845#0023</v>
      </c>
      <c r="J36" s="104" t="b">
        <f t="shared" si="15"/>
        <v>1</v>
      </c>
      <c r="L36" s="25" t="str">
        <f t="shared" si="12"/>
        <v>Sw</v>
      </c>
      <c r="M36" s="25" t="str">
        <f t="shared" si="13"/>
        <v>12Y</v>
      </c>
      <c r="N36" s="25" t="str">
        <f t="shared" si="14"/>
        <v>obj_0084d#0023</v>
      </c>
      <c r="O36" s="25" t="b">
        <f t="shared" si="14"/>
        <v>1</v>
      </c>
      <c r="P36" s="14" t="str">
        <v>Sw</v>
      </c>
      <c r="Q36" s="14" t="str">
        <v>17Y</v>
      </c>
      <c r="R36" s="14" t="str">
        <v>obj_0084c#0023</v>
      </c>
      <c r="S36" s="21">
        <f>_xll.qlRateHelperQuoteValue(R36,Trigger)</f>
        <v>1.3629915909999998E-2</v>
      </c>
      <c r="T36" s="15">
        <f>_xll.qlRateHelperEarliestDate(R36,Trigger)</f>
        <v>42145</v>
      </c>
      <c r="U36" s="15">
        <f>_xll.qlRateHelperLatestDate(R36,Trigger)</f>
        <v>48355</v>
      </c>
      <c r="V36" s="119">
        <v>1.3790778276062812E-2</v>
      </c>
    </row>
    <row r="37" spans="1:22" ht="11.25" customHeight="1" x14ac:dyDescent="0.2">
      <c r="A37" s="109" t="s">
        <v>45</v>
      </c>
      <c r="B37" s="139"/>
      <c r="C37" s="139" t="s">
        <v>14</v>
      </c>
      <c r="D37" s="140" t="str">
        <v>8Y</v>
      </c>
      <c r="E37" s="132" t="s">
        <v>15</v>
      </c>
      <c r="F37" s="139" t="s">
        <v>16</v>
      </c>
      <c r="G37" s="132" t="s">
        <v>17</v>
      </c>
      <c r="H37" s="141">
        <v>8.5699999999999995E-3</v>
      </c>
      <c r="I37" s="107" t="str">
        <f>_xll.qlSwapRateHelper2(,$H37,,$D37,Calendar,$F37,$E37,$G37,$I$30,0,C37,Discounting,Permanent,,ObjectOverwrite)</f>
        <v>obj_00842#0023</v>
      </c>
      <c r="J37" s="104" t="b">
        <f t="shared" si="15"/>
        <v>1</v>
      </c>
      <c r="L37" s="25" t="str">
        <f t="shared" si="12"/>
        <v>Sw</v>
      </c>
      <c r="M37" s="25" t="str">
        <f t="shared" si="13"/>
        <v>13Y</v>
      </c>
      <c r="N37" s="25" t="str">
        <f t="shared" si="14"/>
        <v>obj_0083e#0023</v>
      </c>
      <c r="O37" s="25" t="b">
        <f t="shared" si="14"/>
        <v>1</v>
      </c>
      <c r="P37" s="14" t="str">
        <v>Sw</v>
      </c>
      <c r="Q37" s="14" t="str">
        <v>18Y</v>
      </c>
      <c r="R37" s="14" t="str">
        <v>obj_00851#0020</v>
      </c>
      <c r="S37" s="21">
        <f>_xll.qlRateHelperQuoteValue(R37,Trigger)</f>
        <v>1.383434578E-2</v>
      </c>
      <c r="T37" s="15">
        <f>_xll.qlRateHelperEarliestDate(R37,Trigger)</f>
        <v>42145</v>
      </c>
      <c r="U37" s="15">
        <f>_xll.qlRateHelperLatestDate(R37,Trigger)</f>
        <v>48722</v>
      </c>
      <c r="V37" s="119">
        <v>1.4002013340958876E-2</v>
      </c>
    </row>
    <row r="38" spans="1:22" ht="11.25" customHeight="1" x14ac:dyDescent="0.2">
      <c r="A38" s="109" t="s">
        <v>45</v>
      </c>
      <c r="B38" s="139"/>
      <c r="C38" s="139" t="s">
        <v>14</v>
      </c>
      <c r="D38" s="140" t="str">
        <v>9Y</v>
      </c>
      <c r="E38" s="132" t="s">
        <v>15</v>
      </c>
      <c r="F38" s="139" t="s">
        <v>16</v>
      </c>
      <c r="G38" s="132" t="s">
        <v>17</v>
      </c>
      <c r="H38" s="141">
        <v>9.5499999999999995E-3</v>
      </c>
      <c r="I38" s="107" t="str">
        <f>_xll.qlSwapRateHelper2(,$H38,,$D38,Calendar,$F38,$E38,$G38,$I$30,0,C38,Discounting,Permanent,,ObjectOverwrite)</f>
        <v>obj_00841#0023</v>
      </c>
      <c r="J38" s="104" t="b">
        <f t="shared" si="15"/>
        <v>1</v>
      </c>
      <c r="L38" s="25" t="str">
        <f t="shared" si="12"/>
        <v>Sw</v>
      </c>
      <c r="M38" s="25" t="str">
        <f t="shared" si="13"/>
        <v>14Y</v>
      </c>
      <c r="N38" s="25" t="str">
        <f t="shared" si="14"/>
        <v>obj_0085b#0020</v>
      </c>
      <c r="O38" s="25" t="b">
        <f t="shared" si="14"/>
        <v>1</v>
      </c>
      <c r="P38" s="14" t="str">
        <v>Sw</v>
      </c>
      <c r="Q38" s="14" t="str">
        <v>19Y</v>
      </c>
      <c r="R38" s="14" t="str">
        <v>obj_00843#0023</v>
      </c>
      <c r="S38" s="21">
        <f>_xll.qlRateHelperQuoteValue(R38,Trigger)</f>
        <v>1.3997073989999999E-2</v>
      </c>
      <c r="T38" s="15">
        <f>_xll.qlRateHelperEarliestDate(R38,Trigger)</f>
        <v>42145</v>
      </c>
      <c r="U38" s="15">
        <f>_xll.qlRateHelperLatestDate(R38,Trigger)</f>
        <v>49086</v>
      </c>
      <c r="V38" s="119">
        <v>1.4168811005091608E-2</v>
      </c>
    </row>
    <row r="39" spans="1:22" ht="11.25" customHeight="1" x14ac:dyDescent="0.2">
      <c r="A39" s="109" t="s">
        <v>45</v>
      </c>
      <c r="B39" s="139"/>
      <c r="C39" s="139" t="s">
        <v>14</v>
      </c>
      <c r="D39" s="140" t="str">
        <v>10Y</v>
      </c>
      <c r="E39" s="132" t="s">
        <v>15</v>
      </c>
      <c r="F39" s="139" t="s">
        <v>16</v>
      </c>
      <c r="G39" s="132" t="s">
        <v>17</v>
      </c>
      <c r="H39" s="141">
        <v>1.0369999999999999E-2</v>
      </c>
      <c r="I39" s="107" t="str">
        <f>_xll.qlSwapRateHelper2(,$H39,,$D39,Calendar,$F39,$E39,$G39,$I$30,0,C39,Discounting,Permanent,,ObjectOverwrite)</f>
        <v>obj_00857#0020</v>
      </c>
      <c r="J39" s="104" t="b">
        <f t="shared" si="15"/>
        <v>1</v>
      </c>
      <c r="L39" s="25" t="str">
        <f t="shared" si="12"/>
        <v>Sw</v>
      </c>
      <c r="M39" s="25" t="str">
        <f t="shared" si="13"/>
        <v>15Y</v>
      </c>
      <c r="N39" s="25" t="str">
        <f t="shared" si="14"/>
        <v>obj_00855#0020</v>
      </c>
      <c r="O39" s="25" t="b">
        <f t="shared" si="14"/>
        <v>1</v>
      </c>
      <c r="P39" s="14" t="str">
        <v>Sw</v>
      </c>
      <c r="Q39" s="14" t="str">
        <v>20Y</v>
      </c>
      <c r="R39" s="14" t="str">
        <v>obj_0085c#0020</v>
      </c>
      <c r="S39" s="21">
        <f>_xll.qlRateHelperQuoteValue(R39,Trigger)</f>
        <v>1.4119999999999999E-2</v>
      </c>
      <c r="T39" s="15">
        <f>_xll.qlRateHelperEarliestDate(R39,Trigger)</f>
        <v>42145</v>
      </c>
      <c r="U39" s="15">
        <f>_xll.qlRateHelperLatestDate(R39,Trigger)</f>
        <v>49450</v>
      </c>
      <c r="V39" s="119">
        <v>1.4292679255373732E-2</v>
      </c>
    </row>
    <row r="40" spans="1:22" ht="11.25" customHeight="1" x14ac:dyDescent="0.2">
      <c r="A40" s="109" t="s">
        <v>45</v>
      </c>
      <c r="B40" s="139"/>
      <c r="C40" s="139" t="s">
        <v>14</v>
      </c>
      <c r="D40" s="140" t="str">
        <v>11Y</v>
      </c>
      <c r="E40" s="132" t="s">
        <v>15</v>
      </c>
      <c r="F40" s="139" t="s">
        <v>16</v>
      </c>
      <c r="G40" s="132" t="s">
        <v>17</v>
      </c>
      <c r="H40" s="141">
        <v>1.1096866110000001E-2</v>
      </c>
      <c r="I40" s="107" t="str">
        <f>_xll.qlSwapRateHelper2(,$H40,,$D40,Calendar,$F40,$E40,$G40,$I$30,0,C40,Discounting,Permanent,,ObjectOverwrite)</f>
        <v>obj_00858#0020</v>
      </c>
      <c r="J40" s="104" t="b">
        <f t="shared" si="15"/>
        <v>1</v>
      </c>
      <c r="L40" s="25" t="str">
        <f t="shared" si="12"/>
        <v>Sw</v>
      </c>
      <c r="M40" s="25" t="str">
        <f t="shared" si="13"/>
        <v>16Y</v>
      </c>
      <c r="N40" s="25" t="str">
        <f t="shared" si="14"/>
        <v>obj_00837#0023</v>
      </c>
      <c r="O40" s="25" t="b">
        <f t="shared" si="14"/>
        <v>1</v>
      </c>
      <c r="P40" s="14" t="str">
        <v>Sw</v>
      </c>
      <c r="Q40" s="14" t="str">
        <v>21Y</v>
      </c>
      <c r="R40" s="14" t="str">
        <v>obj_00844#0023</v>
      </c>
      <c r="S40" s="21">
        <f>_xll.qlRateHelperQuoteValue(R40,Trigger)</f>
        <v>1.421064878E-2</v>
      </c>
      <c r="T40" s="15">
        <f>_xll.qlRateHelperEarliestDate(R40,Trigger)</f>
        <v>42145</v>
      </c>
      <c r="U40" s="15">
        <f>_xll.qlRateHelperLatestDate(R40,Trigger)</f>
        <v>49816</v>
      </c>
      <c r="V40" s="119">
        <v>1.4379711217833902E-2</v>
      </c>
    </row>
    <row r="41" spans="1:22" ht="11.25" customHeight="1" x14ac:dyDescent="0.2">
      <c r="A41" s="109" t="s">
        <v>45</v>
      </c>
      <c r="B41" s="139"/>
      <c r="C41" s="139" t="s">
        <v>14</v>
      </c>
      <c r="D41" s="140" t="str">
        <v>12Y</v>
      </c>
      <c r="E41" s="132" t="s">
        <v>15</v>
      </c>
      <c r="F41" s="139" t="s">
        <v>16</v>
      </c>
      <c r="G41" s="132" t="s">
        <v>17</v>
      </c>
      <c r="H41" s="141">
        <v>1.1730000000000001E-2</v>
      </c>
      <c r="I41" s="107" t="str">
        <f>_xll.qlSwapRateHelper2(,$H41,,$D41,Calendar,$F41,$E41,$G41,$I$30,0,C41,Discounting,Permanent,,ObjectOverwrite)</f>
        <v>obj_0084d#0023</v>
      </c>
      <c r="J41" s="104" t="b">
        <f t="shared" si="15"/>
        <v>1</v>
      </c>
      <c r="L41" s="25" t="str">
        <f t="shared" si="12"/>
        <v>Sw</v>
      </c>
      <c r="M41" s="25" t="str">
        <f t="shared" si="13"/>
        <v>17Y</v>
      </c>
      <c r="N41" s="25" t="str">
        <f t="shared" si="14"/>
        <v>obj_0084c#0023</v>
      </c>
      <c r="O41" s="25" t="b">
        <f t="shared" si="14"/>
        <v>1</v>
      </c>
      <c r="P41" s="14" t="str">
        <v>Sw</v>
      </c>
      <c r="Q41" s="14" t="str">
        <v>22Y</v>
      </c>
      <c r="R41" s="14" t="str">
        <v>obj_0084f#0020</v>
      </c>
      <c r="S41" s="21">
        <f>_xll.qlRateHelperQuoteValue(R41,Trigger)</f>
        <v>1.4273117110000001E-2</v>
      </c>
      <c r="T41" s="15">
        <f>_xll.qlRateHelperEarliestDate(R41,Trigger)</f>
        <v>42145</v>
      </c>
      <c r="U41" s="15">
        <f>_xll.qlRateHelperLatestDate(R41,Trigger)</f>
        <v>50181</v>
      </c>
      <c r="V41" s="119">
        <v>1.4438049134822014E-2</v>
      </c>
    </row>
    <row r="42" spans="1:22" ht="11.25" customHeight="1" x14ac:dyDescent="0.2">
      <c r="A42" s="109" t="s">
        <v>45</v>
      </c>
      <c r="B42" s="139"/>
      <c r="C42" s="139" t="s">
        <v>14</v>
      </c>
      <c r="D42" s="140" t="str">
        <v>13Y</v>
      </c>
      <c r="E42" s="132" t="s">
        <v>15</v>
      </c>
      <c r="F42" s="139" t="s">
        <v>16</v>
      </c>
      <c r="G42" s="132" t="s">
        <v>17</v>
      </c>
      <c r="H42" s="141">
        <v>1.2265693479999999E-2</v>
      </c>
      <c r="I42" s="107" t="str">
        <f>_xll.qlSwapRateHelper2(,$H42,,$D42,Calendar,$F42,$E42,$G42,$I$30,0,C42,Discounting,Permanent,,ObjectOverwrite)</f>
        <v>obj_0083e#0023</v>
      </c>
      <c r="J42" s="104" t="b">
        <f t="shared" si="15"/>
        <v>1</v>
      </c>
      <c r="L42" s="25" t="str">
        <f t="shared" si="12"/>
        <v>Sw</v>
      </c>
      <c r="M42" s="25" t="str">
        <f t="shared" si="13"/>
        <v>18Y</v>
      </c>
      <c r="N42" s="25" t="str">
        <f t="shared" si="14"/>
        <v>obj_00851#0020</v>
      </c>
      <c r="O42" s="25" t="b">
        <f t="shared" si="14"/>
        <v>1</v>
      </c>
      <c r="P42" s="14" t="str">
        <v>Sw</v>
      </c>
      <c r="Q42" s="14" t="str">
        <v>23Y</v>
      </c>
      <c r="R42" s="14" t="str">
        <v>obj_0084b#0023</v>
      </c>
      <c r="S42" s="21">
        <f>_xll.qlRateHelperQuoteValue(R42,Trigger)</f>
        <v>1.431640501E-2</v>
      </c>
      <c r="T42" s="15">
        <f>_xll.qlRateHelperEarliestDate(R42,Trigger)</f>
        <v>42145</v>
      </c>
      <c r="U42" s="15">
        <f>_xll.qlRateHelperLatestDate(R42,Trigger)</f>
        <v>50546</v>
      </c>
      <c r="V42" s="119">
        <v>1.4475641802728402E-2</v>
      </c>
    </row>
    <row r="43" spans="1:22" ht="11.25" customHeight="1" x14ac:dyDescent="0.2">
      <c r="A43" s="109" t="s">
        <v>45</v>
      </c>
      <c r="B43" s="139"/>
      <c r="C43" s="139" t="s">
        <v>14</v>
      </c>
      <c r="D43" s="140" t="str">
        <v>14Y</v>
      </c>
      <c r="E43" s="132" t="s">
        <v>15</v>
      </c>
      <c r="F43" s="139" t="s">
        <v>16</v>
      </c>
      <c r="G43" s="132" t="s">
        <v>17</v>
      </c>
      <c r="H43" s="141">
        <v>1.2704199920000001E-2</v>
      </c>
      <c r="I43" s="107" t="str">
        <f>_xll.qlSwapRateHelper2(,$H43,,$D43,Calendar,$F43,$E43,$G43,$I$30,0,C43,Discounting,Permanent,,ObjectOverwrite)</f>
        <v>obj_0085b#0020</v>
      </c>
      <c r="J43" s="104" t="b">
        <f t="shared" si="15"/>
        <v>1</v>
      </c>
      <c r="L43" s="25" t="str">
        <f t="shared" si="12"/>
        <v>Sw</v>
      </c>
      <c r="M43" s="25" t="str">
        <f t="shared" si="13"/>
        <v>19Y</v>
      </c>
      <c r="N43" s="25" t="str">
        <f t="shared" si="14"/>
        <v>obj_00843#0023</v>
      </c>
      <c r="O43" s="25" t="b">
        <f t="shared" si="14"/>
        <v>1</v>
      </c>
      <c r="P43" s="14" t="str">
        <v>Sw</v>
      </c>
      <c r="Q43" s="14" t="str">
        <v>24Y</v>
      </c>
      <c r="R43" s="14" t="str">
        <v>obj_00856#0020</v>
      </c>
      <c r="S43" s="21">
        <f>_xll.qlRateHelperQuoteValue(R43,Trigger)</f>
        <v>1.4346554270000001E-2</v>
      </c>
      <c r="T43" s="15">
        <f>_xll.qlRateHelperEarliestDate(R43,Trigger)</f>
        <v>42145</v>
      </c>
      <c r="U43" s="15">
        <f>_xll.qlRateHelperLatestDate(R43,Trigger)</f>
        <v>50913</v>
      </c>
      <c r="V43" s="119">
        <v>1.4499148902488901E-2</v>
      </c>
    </row>
    <row r="44" spans="1:22" ht="11.25" customHeight="1" x14ac:dyDescent="0.2">
      <c r="A44" s="109" t="s">
        <v>45</v>
      </c>
      <c r="B44" s="139"/>
      <c r="C44" s="139" t="s">
        <v>14</v>
      </c>
      <c r="D44" s="140" t="str">
        <v>15Y</v>
      </c>
      <c r="E44" s="132" t="s">
        <v>15</v>
      </c>
      <c r="F44" s="139" t="s">
        <v>16</v>
      </c>
      <c r="G44" s="132" t="s">
        <v>17</v>
      </c>
      <c r="H44" s="141">
        <v>1.307E-2</v>
      </c>
      <c r="I44" s="107" t="str">
        <f>_xll.qlSwapRateHelper2(,$H44,,$D44,Calendar,$F44,$E44,$G44,$I$30,0,C44,Discounting,Permanent,,ObjectOverwrite)</f>
        <v>obj_00855#0020</v>
      </c>
      <c r="J44" s="104" t="b">
        <f t="shared" si="15"/>
        <v>1</v>
      </c>
      <c r="L44" s="25" t="str">
        <f t="shared" si="12"/>
        <v>Sw</v>
      </c>
      <c r="M44" s="25" t="str">
        <f t="shared" si="13"/>
        <v>20Y</v>
      </c>
      <c r="N44" s="25" t="str">
        <f t="shared" ref="N44:O59" si="16">I49</f>
        <v>obj_0085c#0020</v>
      </c>
      <c r="O44" s="25" t="b">
        <f t="shared" si="16"/>
        <v>1</v>
      </c>
      <c r="P44" s="14" t="str">
        <v>Sw</v>
      </c>
      <c r="Q44" s="14" t="str">
        <v>25Y</v>
      </c>
      <c r="R44" s="14" t="str">
        <v>obj_00846#0023</v>
      </c>
      <c r="S44" s="21">
        <f>_xll.qlRateHelperQuoteValue(R44,Trigger)</f>
        <v>1.4370000000000001E-2</v>
      </c>
      <c r="T44" s="15">
        <f>_xll.qlRateHelperEarliestDate(R44,Trigger)</f>
        <v>42145</v>
      </c>
      <c r="U44" s="15">
        <f>_xll.qlRateHelperLatestDate(R44,Trigger)</f>
        <v>51277</v>
      </c>
      <c r="V44" s="119">
        <v>1.4514301658575543E-2</v>
      </c>
    </row>
    <row r="45" spans="1:22" ht="11.25" customHeight="1" x14ac:dyDescent="0.2">
      <c r="A45" s="109" t="s">
        <v>45</v>
      </c>
      <c r="B45" s="139"/>
      <c r="C45" s="139" t="s">
        <v>14</v>
      </c>
      <c r="D45" s="140" t="str">
        <v>16Y</v>
      </c>
      <c r="E45" s="132" t="s">
        <v>15</v>
      </c>
      <c r="F45" s="139" t="s">
        <v>16</v>
      </c>
      <c r="G45" s="132" t="s">
        <v>17</v>
      </c>
      <c r="H45" s="141">
        <v>1.3375383890000002E-2</v>
      </c>
      <c r="I45" s="107" t="str">
        <f>_xll.qlSwapRateHelper2(,$H45,,$D45,Calendar,$F45,$E45,$G45,$I$30,0,C45,Discounting,Permanent,,ObjectOverwrite)</f>
        <v>obj_00837#0023</v>
      </c>
      <c r="J45" s="104" t="b">
        <f t="shared" si="15"/>
        <v>1</v>
      </c>
      <c r="L45" s="25" t="str">
        <f t="shared" si="12"/>
        <v>Sw</v>
      </c>
      <c r="M45" s="25" t="str">
        <f t="shared" si="13"/>
        <v>21Y</v>
      </c>
      <c r="N45" s="25" t="str">
        <f t="shared" si="16"/>
        <v>obj_00844#0023</v>
      </c>
      <c r="O45" s="25" t="b">
        <f t="shared" si="16"/>
        <v>1</v>
      </c>
      <c r="P45" s="14" t="str">
        <v>Sw</v>
      </c>
      <c r="Q45" s="14" t="str">
        <v>26Y</v>
      </c>
      <c r="R45" s="14" t="str">
        <v>obj_00839#0023</v>
      </c>
      <c r="S45" s="21">
        <f>_xll.qlRateHelperQuoteValue(R45,Trigger)</f>
        <v>1.4387686989999999E-2</v>
      </c>
      <c r="T45" s="15">
        <f>_xll.qlRateHelperEarliestDate(R45,Trigger)</f>
        <v>42145</v>
      </c>
      <c r="U45" s="15">
        <f>_xll.qlRateHelperLatestDate(R45,Trigger)</f>
        <v>51642</v>
      </c>
      <c r="V45" s="119">
        <v>1.4525197684509631E-2</v>
      </c>
    </row>
    <row r="46" spans="1:22" ht="11.25" customHeight="1" x14ac:dyDescent="0.2">
      <c r="A46" s="109" t="s">
        <v>45</v>
      </c>
      <c r="B46" s="139"/>
      <c r="C46" s="139" t="s">
        <v>14</v>
      </c>
      <c r="D46" s="140" t="str">
        <v>17Y</v>
      </c>
      <c r="E46" s="132" t="s">
        <v>15</v>
      </c>
      <c r="F46" s="139" t="s">
        <v>16</v>
      </c>
      <c r="G46" s="132" t="s">
        <v>17</v>
      </c>
      <c r="H46" s="141">
        <v>1.3629915909999998E-2</v>
      </c>
      <c r="I46" s="107" t="str">
        <f>_xll.qlSwapRateHelper2(,$H46,,$D46,Calendar,$F46,$E46,$G46,$I$30,0,C46,Discounting,Permanent,,ObjectOverwrite)</f>
        <v>obj_0084c#0023</v>
      </c>
      <c r="J46" s="104" t="b">
        <f t="shared" si="15"/>
        <v>1</v>
      </c>
      <c r="L46" s="25" t="str">
        <f t="shared" si="12"/>
        <v>Sw</v>
      </c>
      <c r="M46" s="25" t="str">
        <f t="shared" si="13"/>
        <v>22Y</v>
      </c>
      <c r="N46" s="25" t="str">
        <f t="shared" si="16"/>
        <v>obj_0084f#0020</v>
      </c>
      <c r="O46" s="25" t="b">
        <f t="shared" si="16"/>
        <v>1</v>
      </c>
      <c r="P46" s="14" t="str">
        <v>Sw</v>
      </c>
      <c r="Q46" s="14" t="str">
        <v>27Y</v>
      </c>
      <c r="R46" s="14" t="str">
        <v>obj_00850#0020</v>
      </c>
      <c r="S46" s="21">
        <f>_xll.qlRateHelperQuoteValue(R46,Trigger)</f>
        <v>1.4403163489999999E-2</v>
      </c>
      <c r="T46" s="15">
        <f>_xll.qlRateHelperEarliestDate(R46,Trigger)</f>
        <v>42145</v>
      </c>
      <c r="U46" s="15">
        <f>_xll.qlRateHelperLatestDate(R46,Trigger)</f>
        <v>52007</v>
      </c>
      <c r="V46" s="119">
        <v>1.4534225723256371E-2</v>
      </c>
    </row>
    <row r="47" spans="1:22" ht="11.25" customHeight="1" x14ac:dyDescent="0.2">
      <c r="A47" s="109" t="s">
        <v>45</v>
      </c>
      <c r="B47" s="139"/>
      <c r="C47" s="139" t="s">
        <v>14</v>
      </c>
      <c r="D47" s="140" t="str">
        <v>18Y</v>
      </c>
      <c r="E47" s="132" t="s">
        <v>15</v>
      </c>
      <c r="F47" s="139" t="s">
        <v>16</v>
      </c>
      <c r="G47" s="132" t="s">
        <v>17</v>
      </c>
      <c r="H47" s="141">
        <v>1.383434578E-2</v>
      </c>
      <c r="I47" s="107" t="str">
        <f>_xll.qlSwapRateHelper2(,$H47,,$D47,Calendar,$F47,$E47,$G47,$I$30,0,C47,Discounting,Permanent,,ObjectOverwrite)</f>
        <v>obj_00851#0020</v>
      </c>
      <c r="J47" s="104" t="b">
        <f t="shared" si="15"/>
        <v>1</v>
      </c>
      <c r="L47" s="25" t="str">
        <f t="shared" si="12"/>
        <v>Sw</v>
      </c>
      <c r="M47" s="25" t="str">
        <f t="shared" si="13"/>
        <v>23Y</v>
      </c>
      <c r="N47" s="25" t="str">
        <f t="shared" si="16"/>
        <v>obj_0084b#0023</v>
      </c>
      <c r="O47" s="25" t="b">
        <f t="shared" si="16"/>
        <v>1</v>
      </c>
      <c r="P47" s="14" t="str">
        <v>Sw</v>
      </c>
      <c r="Q47" s="14" t="str">
        <v>28Y</v>
      </c>
      <c r="R47" s="14" t="str">
        <v>obj_0085a#0020</v>
      </c>
      <c r="S47" s="21">
        <f>_xll.qlRateHelperQuoteValue(R47,Trigger)</f>
        <v>1.441775711E-2</v>
      </c>
      <c r="T47" s="15">
        <f>_xll.qlRateHelperEarliestDate(R47,Trigger)</f>
        <v>42145</v>
      </c>
      <c r="U47" s="15">
        <f>_xll.qlRateHelperLatestDate(R47,Trigger)</f>
        <v>52372</v>
      </c>
      <c r="V47" s="119">
        <v>1.4542849018382592E-2</v>
      </c>
    </row>
    <row r="48" spans="1:22" ht="11.25" customHeight="1" x14ac:dyDescent="0.2">
      <c r="A48" s="109" t="s">
        <v>45</v>
      </c>
      <c r="B48" s="139"/>
      <c r="C48" s="139" t="s">
        <v>14</v>
      </c>
      <c r="D48" s="140" t="str">
        <v>19Y</v>
      </c>
      <c r="E48" s="132" t="s">
        <v>15</v>
      </c>
      <c r="F48" s="139" t="s">
        <v>16</v>
      </c>
      <c r="G48" s="132" t="s">
        <v>17</v>
      </c>
      <c r="H48" s="141">
        <v>1.3997073989999999E-2</v>
      </c>
      <c r="I48" s="107" t="str">
        <f>_xll.qlSwapRateHelper2(,$H48,,$D48,Calendar,$F48,$E48,$G48,$I$30,0,C48,Discounting,Permanent,,ObjectOverwrite)</f>
        <v>obj_00843#0023</v>
      </c>
      <c r="J48" s="104" t="b">
        <f t="shared" si="15"/>
        <v>1</v>
      </c>
      <c r="L48" s="25" t="str">
        <f t="shared" si="12"/>
        <v>Sw</v>
      </c>
      <c r="M48" s="25" t="str">
        <f t="shared" si="13"/>
        <v>24Y</v>
      </c>
      <c r="N48" s="25" t="str">
        <f t="shared" si="16"/>
        <v>obj_00856#0020</v>
      </c>
      <c r="O48" s="25" t="b">
        <f t="shared" si="16"/>
        <v>1</v>
      </c>
      <c r="P48" s="14" t="str">
        <v>Sw</v>
      </c>
      <c r="Q48" s="14" t="str">
        <v>29Y</v>
      </c>
      <c r="R48" s="14" t="str">
        <v>obj_00840#0023</v>
      </c>
      <c r="S48" s="21">
        <f>_xll.qlRateHelperQuoteValue(R48,Trigger)</f>
        <v>1.4433786470000001E-2</v>
      </c>
      <c r="T48" s="15">
        <f>_xll.qlRateHelperEarliestDate(R48,Trigger)</f>
        <v>42145</v>
      </c>
      <c r="U48" s="15">
        <f>_xll.qlRateHelperLatestDate(R48,Trigger)</f>
        <v>52740</v>
      </c>
      <c r="V48" s="119">
        <v>1.4552319422443347E-2</v>
      </c>
    </row>
    <row r="49" spans="1:22" ht="11.25" customHeight="1" x14ac:dyDescent="0.2">
      <c r="A49" s="109" t="s">
        <v>45</v>
      </c>
      <c r="B49" s="139"/>
      <c r="C49" s="139" t="s">
        <v>14</v>
      </c>
      <c r="D49" s="140" t="str">
        <v>20Y</v>
      </c>
      <c r="E49" s="132" t="s">
        <v>15</v>
      </c>
      <c r="F49" s="139" t="s">
        <v>16</v>
      </c>
      <c r="G49" s="132" t="s">
        <v>17</v>
      </c>
      <c r="H49" s="141">
        <v>1.4119999999999999E-2</v>
      </c>
      <c r="I49" s="107" t="str">
        <f>_xll.qlSwapRateHelper2(,$H49,,$D49,Calendar,$F49,$E49,$G49,$I$30,0,C49,Discounting,Permanent,,ObjectOverwrite)</f>
        <v>obj_0085c#0020</v>
      </c>
      <c r="J49" s="104" t="b">
        <f t="shared" si="15"/>
        <v>1</v>
      </c>
      <c r="L49" s="25" t="str">
        <f t="shared" si="12"/>
        <v>Sw</v>
      </c>
      <c r="M49" s="25" t="str">
        <f t="shared" si="13"/>
        <v>25Y</v>
      </c>
      <c r="N49" s="25" t="str">
        <f t="shared" si="16"/>
        <v>obj_00846#0023</v>
      </c>
      <c r="O49" s="25" t="b">
        <f t="shared" si="16"/>
        <v>1</v>
      </c>
      <c r="P49" s="14" t="str">
        <v>Sw</v>
      </c>
      <c r="Q49" s="14" t="str">
        <v>30Y</v>
      </c>
      <c r="R49" s="14" t="str">
        <v>obj_00854#0020</v>
      </c>
      <c r="S49" s="21">
        <f>_xll.qlRateHelperQuoteValue(R49,Trigger)</f>
        <v>1.4450000000000001E-2</v>
      </c>
      <c r="T49" s="15">
        <f>_xll.qlRateHelperEarliestDate(R49,Trigger)</f>
        <v>42145</v>
      </c>
      <c r="U49" s="15">
        <f>_xll.qlRateHelperLatestDate(R49,Trigger)</f>
        <v>53104</v>
      </c>
      <c r="V49" s="119">
        <v>1.4563975638380139E-2</v>
      </c>
    </row>
    <row r="50" spans="1:22" ht="11.25" customHeight="1" x14ac:dyDescent="0.2">
      <c r="A50" s="109" t="s">
        <v>45</v>
      </c>
      <c r="B50" s="139"/>
      <c r="C50" s="139" t="s">
        <v>14</v>
      </c>
      <c r="D50" s="140" t="str">
        <v>21Y</v>
      </c>
      <c r="E50" s="132" t="s">
        <v>15</v>
      </c>
      <c r="F50" s="139" t="s">
        <v>16</v>
      </c>
      <c r="G50" s="132" t="s">
        <v>17</v>
      </c>
      <c r="H50" s="141">
        <v>1.421064878E-2</v>
      </c>
      <c r="I50" s="107" t="str">
        <f>_xll.qlSwapRateHelper2(,$H50,,$D50,Calendar,$F50,$E50,$G50,$I$30,0,C50,Discounting,Permanent,,ObjectOverwrite)</f>
        <v>obj_00844#0023</v>
      </c>
      <c r="J50" s="104" t="b">
        <f t="shared" si="15"/>
        <v>1</v>
      </c>
      <c r="L50" s="25" t="str">
        <f t="shared" si="12"/>
        <v>Sw</v>
      </c>
      <c r="M50" s="25" t="str">
        <f t="shared" si="13"/>
        <v>26Y</v>
      </c>
      <c r="N50" s="25" t="str">
        <f t="shared" si="16"/>
        <v>obj_00839#0023</v>
      </c>
      <c r="O50" s="25" t="b">
        <f t="shared" si="16"/>
        <v>1</v>
      </c>
      <c r="P50" s="14" t="str">
        <v>Sw</v>
      </c>
      <c r="Q50" s="14" t="str">
        <v>31Y</v>
      </c>
      <c r="R50" s="14" t="str">
        <v>obj_0084e#0023</v>
      </c>
      <c r="S50" s="21">
        <f>_xll.qlRateHelperQuoteValue(R50,Trigger)</f>
        <v>1.4467738189999999E-2</v>
      </c>
      <c r="T50" s="15">
        <f>_xll.qlRateHelperEarliestDate(R50,Trigger)</f>
        <v>42145</v>
      </c>
      <c r="U50" s="15">
        <f>_xll.qlRateHelperLatestDate(R50,Trigger)</f>
        <v>53468</v>
      </c>
      <c r="V50" s="119">
        <v>1.4577892625906495E-2</v>
      </c>
    </row>
    <row r="51" spans="1:22" ht="11.25" customHeight="1" x14ac:dyDescent="0.2">
      <c r="A51" s="109" t="s">
        <v>45</v>
      </c>
      <c r="B51" s="139"/>
      <c r="C51" s="139" t="s">
        <v>14</v>
      </c>
      <c r="D51" s="140" t="str">
        <v>22Y</v>
      </c>
      <c r="E51" s="132" t="s">
        <v>15</v>
      </c>
      <c r="F51" s="139" t="s">
        <v>16</v>
      </c>
      <c r="G51" s="132" t="s">
        <v>17</v>
      </c>
      <c r="H51" s="141">
        <v>1.4273117110000001E-2</v>
      </c>
      <c r="I51" s="107" t="str">
        <f>_xll.qlSwapRateHelper2(,$H51,,$D51,Calendar,$F51,$E51,$G51,$I$30,0,C51,Discounting,Permanent,,ObjectOverwrite)</f>
        <v>obj_0084f#0020</v>
      </c>
      <c r="J51" s="104" t="b">
        <f t="shared" si="15"/>
        <v>1</v>
      </c>
      <c r="L51" s="25" t="str">
        <f t="shared" si="12"/>
        <v>Sw</v>
      </c>
      <c r="M51" s="25" t="str">
        <f t="shared" si="13"/>
        <v>27Y</v>
      </c>
      <c r="N51" s="25" t="str">
        <f t="shared" si="16"/>
        <v>obj_00850#0020</v>
      </c>
      <c r="O51" s="25" t="b">
        <f t="shared" si="16"/>
        <v>1</v>
      </c>
      <c r="P51" s="14" t="str">
        <v>Sw</v>
      </c>
      <c r="Q51" s="14" t="str">
        <v>32Y</v>
      </c>
      <c r="R51" s="14" t="str">
        <v>obj_0083b#0023</v>
      </c>
      <c r="S51" s="21">
        <f>_xll.qlRateHelperQuoteValue(R51,Trigger)</f>
        <v>1.4485493359999999E-2</v>
      </c>
      <c r="T51" s="15">
        <f>_xll.qlRateHelperEarliestDate(R51,Trigger)</f>
        <v>42145</v>
      </c>
      <c r="U51" s="15">
        <f>_xll.qlRateHelperLatestDate(R51,Trigger)</f>
        <v>53833</v>
      </c>
      <c r="V51" s="119">
        <v>1.4592246536748229E-2</v>
      </c>
    </row>
    <row r="52" spans="1:22" ht="11.25" customHeight="1" x14ac:dyDescent="0.2">
      <c r="A52" s="109" t="s">
        <v>45</v>
      </c>
      <c r="B52" s="139"/>
      <c r="C52" s="139" t="s">
        <v>14</v>
      </c>
      <c r="D52" s="140" t="str">
        <v>23Y</v>
      </c>
      <c r="E52" s="132" t="s">
        <v>15</v>
      </c>
      <c r="F52" s="139" t="s">
        <v>16</v>
      </c>
      <c r="G52" s="132" t="s">
        <v>17</v>
      </c>
      <c r="H52" s="141">
        <v>1.431640501E-2</v>
      </c>
      <c r="I52" s="107" t="str">
        <f>_xll.qlSwapRateHelper2(,$H52,,$D52,Calendar,$F52,$E52,$G52,$I$30,0,C52,Discounting,Permanent,,ObjectOverwrite)</f>
        <v>obj_0084b#0023</v>
      </c>
      <c r="J52" s="104" t="b">
        <f t="shared" si="15"/>
        <v>1</v>
      </c>
      <c r="L52" s="25" t="str">
        <f t="shared" si="12"/>
        <v>Sw</v>
      </c>
      <c r="M52" s="25" t="str">
        <f t="shared" si="13"/>
        <v>28Y</v>
      </c>
      <c r="N52" s="25" t="str">
        <f t="shared" si="16"/>
        <v>obj_0085a#0020</v>
      </c>
      <c r="O52" s="25" t="b">
        <f t="shared" si="16"/>
        <v>1</v>
      </c>
      <c r="P52" s="14" t="str">
        <v>Sw</v>
      </c>
      <c r="Q52" s="14" t="str">
        <v>33Y</v>
      </c>
      <c r="R52" s="14" t="str">
        <v>obj_0085d#0020</v>
      </c>
      <c r="S52" s="21">
        <f>_xll.qlRateHelperQuoteValue(R52,Trigger)</f>
        <v>1.4502435440000001E-2</v>
      </c>
      <c r="T52" s="15">
        <f>_xll.qlRateHelperEarliestDate(R52,Trigger)</f>
        <v>42145</v>
      </c>
      <c r="U52" s="15">
        <f>_xll.qlRateHelperLatestDate(R52,Trigger)</f>
        <v>54199</v>
      </c>
      <c r="V52" s="119">
        <v>1.4604817756812693E-2</v>
      </c>
    </row>
    <row r="53" spans="1:22" ht="11.25" customHeight="1" x14ac:dyDescent="0.2">
      <c r="A53" s="109" t="s">
        <v>45</v>
      </c>
      <c r="B53" s="139"/>
      <c r="C53" s="139" t="s">
        <v>14</v>
      </c>
      <c r="D53" s="140" t="str">
        <v>24Y</v>
      </c>
      <c r="E53" s="132" t="s">
        <v>15</v>
      </c>
      <c r="F53" s="139" t="s">
        <v>16</v>
      </c>
      <c r="G53" s="132" t="s">
        <v>17</v>
      </c>
      <c r="H53" s="141">
        <v>1.4346554270000001E-2</v>
      </c>
      <c r="I53" s="107" t="str">
        <f>_xll.qlSwapRateHelper2(,$H53,,$D53,Calendar,$F53,$E53,$G53,$I$30,0,C53,Discounting,Permanent,,ObjectOverwrite)</f>
        <v>obj_00856#0020</v>
      </c>
      <c r="J53" s="104" t="b">
        <f t="shared" si="15"/>
        <v>1</v>
      </c>
      <c r="L53" s="25" t="str">
        <f t="shared" si="12"/>
        <v>Sw</v>
      </c>
      <c r="M53" s="25" t="str">
        <f t="shared" si="13"/>
        <v>29Y</v>
      </c>
      <c r="N53" s="25" t="str">
        <f t="shared" si="16"/>
        <v>obj_00840#0023</v>
      </c>
      <c r="O53" s="25" t="b">
        <f t="shared" si="16"/>
        <v>1</v>
      </c>
      <c r="P53" s="14" t="str">
        <v>Sw</v>
      </c>
      <c r="Q53" s="14" t="str">
        <v>34Y</v>
      </c>
      <c r="R53" s="14" t="str">
        <v>obj_0085e#0020</v>
      </c>
      <c r="S53" s="21">
        <f>_xll.qlRateHelperQuoteValue(R53,Trigger)</f>
        <v>1.4514889820000001E-2</v>
      </c>
      <c r="T53" s="15">
        <f>_xll.qlRateHelperEarliestDate(R53,Trigger)</f>
        <v>42145</v>
      </c>
      <c r="U53" s="15">
        <f>_xll.qlRateHelperLatestDate(R53,Trigger)</f>
        <v>54564</v>
      </c>
      <c r="V53" s="119">
        <v>1.461363663097354E-2</v>
      </c>
    </row>
    <row r="54" spans="1:22" ht="11.25" customHeight="1" x14ac:dyDescent="0.2">
      <c r="A54" s="109" t="s">
        <v>45</v>
      </c>
      <c r="B54" s="139"/>
      <c r="C54" s="139" t="s">
        <v>14</v>
      </c>
      <c r="D54" s="140" t="str">
        <v>25Y</v>
      </c>
      <c r="E54" s="132" t="s">
        <v>15</v>
      </c>
      <c r="F54" s="139" t="s">
        <v>16</v>
      </c>
      <c r="G54" s="132" t="s">
        <v>17</v>
      </c>
      <c r="H54" s="141">
        <v>1.4370000000000001E-2</v>
      </c>
      <c r="I54" s="107" t="str">
        <f>_xll.qlSwapRateHelper2(,$H54,,$D54,Calendar,$F54,$E54,$G54,$I$30,0,C54,Discounting,Permanent,,ObjectOverwrite)</f>
        <v>obj_00846#0023</v>
      </c>
      <c r="J54" s="104" t="b">
        <f t="shared" si="15"/>
        <v>1</v>
      </c>
      <c r="L54" s="25" t="str">
        <f t="shared" si="12"/>
        <v>Sw</v>
      </c>
      <c r="M54" s="25" t="str">
        <f t="shared" si="13"/>
        <v>30Y</v>
      </c>
      <c r="N54" s="25" t="str">
        <f t="shared" si="16"/>
        <v>obj_00854#0020</v>
      </c>
      <c r="O54" s="25" t="b">
        <f t="shared" si="16"/>
        <v>1</v>
      </c>
      <c r="P54" s="14" t="str">
        <v>Sw</v>
      </c>
      <c r="Q54" s="14" t="str">
        <v>35Y</v>
      </c>
      <c r="R54" s="14" t="str">
        <v>obj_00838#0023</v>
      </c>
      <c r="S54" s="21">
        <f>_xll.qlRateHelperQuoteValue(R54,Trigger)</f>
        <v>1.4522470730000001E-2</v>
      </c>
      <c r="T54" s="15">
        <f>_xll.qlRateHelperEarliestDate(R54,Trigger)</f>
        <v>42145</v>
      </c>
      <c r="U54" s="15">
        <f>_xll.qlRateHelperLatestDate(R54,Trigger)</f>
        <v>54931</v>
      </c>
      <c r="V54" s="119">
        <v>1.4616925054926145E-2</v>
      </c>
    </row>
    <row r="55" spans="1:22" ht="11.25" customHeight="1" x14ac:dyDescent="0.2">
      <c r="A55" s="109" t="s">
        <v>45</v>
      </c>
      <c r="B55" s="139"/>
      <c r="C55" s="139" t="s">
        <v>14</v>
      </c>
      <c r="D55" s="140" t="str">
        <v>26Y</v>
      </c>
      <c r="E55" s="132" t="s">
        <v>15</v>
      </c>
      <c r="F55" s="139" t="s">
        <v>16</v>
      </c>
      <c r="G55" s="132" t="s">
        <v>17</v>
      </c>
      <c r="H55" s="141">
        <v>1.4387686989999999E-2</v>
      </c>
      <c r="I55" s="107" t="str">
        <f>_xll.qlSwapRateHelper2(,$H55,,$D55,Calendar,$F55,$E55,$G55,$I$30,0,C55,Discounting,Permanent,,ObjectOverwrite)</f>
        <v>obj_00839#0023</v>
      </c>
      <c r="J55" s="104" t="b">
        <f t="shared" si="15"/>
        <v>1</v>
      </c>
      <c r="L55" s="25" t="str">
        <f t="shared" si="12"/>
        <v>Sw</v>
      </c>
      <c r="M55" s="25" t="str">
        <f t="shared" si="13"/>
        <v>31Y</v>
      </c>
      <c r="N55" s="25" t="str">
        <f t="shared" si="16"/>
        <v>obj_0084e#0023</v>
      </c>
      <c r="O55" s="25" t="b">
        <f t="shared" si="16"/>
        <v>1</v>
      </c>
      <c r="P55" s="14" t="str">
        <v>Sw</v>
      </c>
      <c r="Q55" s="14" t="str">
        <v>36Y</v>
      </c>
      <c r="R55" s="14" t="str">
        <v>obj_0083c#0023</v>
      </c>
      <c r="S55" s="21">
        <f>_xll.qlRateHelperQuoteValue(R55,Trigger)</f>
        <v>1.452393249E-2</v>
      </c>
      <c r="T55" s="15">
        <f>_xll.qlRateHelperEarliestDate(R55,Trigger)</f>
        <v>42145</v>
      </c>
      <c r="U55" s="15">
        <f>_xll.qlRateHelperLatestDate(R55,Trigger)</f>
        <v>55295</v>
      </c>
      <c r="V55" s="119">
        <v>1.4613175835585145E-2</v>
      </c>
    </row>
    <row r="56" spans="1:22" ht="11.25" customHeight="1" x14ac:dyDescent="0.2">
      <c r="A56" s="109" t="s">
        <v>45</v>
      </c>
      <c r="B56" s="139"/>
      <c r="C56" s="139" t="s">
        <v>14</v>
      </c>
      <c r="D56" s="140" t="str">
        <v>27Y</v>
      </c>
      <c r="E56" s="132" t="s">
        <v>15</v>
      </c>
      <c r="F56" s="139" t="s">
        <v>16</v>
      </c>
      <c r="G56" s="132" t="s">
        <v>17</v>
      </c>
      <c r="H56" s="141">
        <v>1.4403163489999999E-2</v>
      </c>
      <c r="I56" s="107" t="str">
        <f>_xll.qlSwapRateHelper2(,$H56,,$D56,Calendar,$F56,$E56,$G56,$I$30,0,C56,Discounting,Permanent,,ObjectOverwrite)</f>
        <v>obj_00850#0020</v>
      </c>
      <c r="J56" s="104" t="b">
        <f t="shared" si="15"/>
        <v>1</v>
      </c>
      <c r="L56" s="25" t="str">
        <f t="shared" si="12"/>
        <v>Sw</v>
      </c>
      <c r="M56" s="25" t="str">
        <f t="shared" si="13"/>
        <v>32Y</v>
      </c>
      <c r="N56" s="25" t="str">
        <f t="shared" si="16"/>
        <v>obj_0083b#0023</v>
      </c>
      <c r="O56" s="25" t="b">
        <f t="shared" si="16"/>
        <v>1</v>
      </c>
      <c r="P56" s="14" t="str">
        <v>Sw</v>
      </c>
      <c r="Q56" s="14" t="str">
        <v>37Y</v>
      </c>
      <c r="R56" s="14" t="str">
        <v>obj_0084a#0023</v>
      </c>
      <c r="S56" s="21">
        <f>_xll.qlRateHelperQuoteValue(R56,Trigger)</f>
        <v>1.4519068310000001E-2</v>
      </c>
      <c r="T56" s="15">
        <f>_xll.qlRateHelperEarliestDate(R56,Trigger)</f>
        <v>42145</v>
      </c>
      <c r="U56" s="15">
        <f>_xll.qlRateHelperLatestDate(R56,Trigger)</f>
        <v>55660</v>
      </c>
      <c r="V56" s="119">
        <v>1.4600980807134562E-2</v>
      </c>
    </row>
    <row r="57" spans="1:22" ht="11.25" customHeight="1" x14ac:dyDescent="0.2">
      <c r="A57" s="109" t="s">
        <v>45</v>
      </c>
      <c r="B57" s="139"/>
      <c r="C57" s="139" t="s">
        <v>14</v>
      </c>
      <c r="D57" s="140" t="str">
        <v>28Y</v>
      </c>
      <c r="E57" s="132" t="s">
        <v>15</v>
      </c>
      <c r="F57" s="139" t="s">
        <v>16</v>
      </c>
      <c r="G57" s="132" t="s">
        <v>17</v>
      </c>
      <c r="H57" s="141">
        <v>1.441775711E-2</v>
      </c>
      <c r="I57" s="107" t="str">
        <f>_xll.qlSwapRateHelper2(,$H57,,$D57,Calendar,$F57,$E57,$G57,$I$30,0,C57,Discounting,Permanent,,ObjectOverwrite)</f>
        <v>obj_0085a#0020</v>
      </c>
      <c r="J57" s="104" t="b">
        <f t="shared" si="15"/>
        <v>1</v>
      </c>
      <c r="L57" s="25" t="str">
        <f t="shared" si="12"/>
        <v>Sw</v>
      </c>
      <c r="M57" s="25" t="str">
        <f t="shared" si="13"/>
        <v>33Y</v>
      </c>
      <c r="N57" s="25" t="str">
        <f t="shared" si="16"/>
        <v>obj_0085d#0020</v>
      </c>
      <c r="O57" s="25" t="b">
        <f t="shared" si="16"/>
        <v>1</v>
      </c>
      <c r="P57" s="14" t="str">
        <v>Sw</v>
      </c>
      <c r="Q57" s="14" t="str">
        <v>38Y</v>
      </c>
      <c r="R57" s="14" t="str">
        <v>obj_0083f#0023</v>
      </c>
      <c r="S57" s="21">
        <f>_xll.qlRateHelperQuoteValue(R57,Trigger)</f>
        <v>1.450523609E-2</v>
      </c>
      <c r="T57" s="15">
        <f>_xll.qlRateHelperEarliestDate(R57,Trigger)</f>
        <v>42145</v>
      </c>
      <c r="U57" s="15">
        <f>_xll.qlRateHelperLatestDate(R57,Trigger)</f>
        <v>56025</v>
      </c>
      <c r="V57" s="119">
        <v>1.4579262227880363E-2</v>
      </c>
    </row>
    <row r="58" spans="1:22" ht="11.25" customHeight="1" x14ac:dyDescent="0.2">
      <c r="A58" s="109" t="s">
        <v>45</v>
      </c>
      <c r="B58" s="139"/>
      <c r="C58" s="139" t="s">
        <v>14</v>
      </c>
      <c r="D58" s="140" t="str">
        <v>29Y</v>
      </c>
      <c r="E58" s="132" t="s">
        <v>15</v>
      </c>
      <c r="F58" s="139" t="s">
        <v>16</v>
      </c>
      <c r="G58" s="132" t="s">
        <v>17</v>
      </c>
      <c r="H58" s="141">
        <v>1.4433786470000001E-2</v>
      </c>
      <c r="I58" s="107" t="str">
        <f>_xll.qlSwapRateHelper2(,$H58,,$D58,Calendar,$F58,$E58,$G58,$I$30,0,C58,Discounting,Permanent,,ObjectOverwrite)</f>
        <v>obj_00840#0023</v>
      </c>
      <c r="J58" s="104" t="b">
        <f t="shared" si="15"/>
        <v>1</v>
      </c>
      <c r="L58" s="25" t="str">
        <f t="shared" si="12"/>
        <v>Sw</v>
      </c>
      <c r="M58" s="25" t="str">
        <f t="shared" si="13"/>
        <v>34Y</v>
      </c>
      <c r="N58" s="25" t="str">
        <f t="shared" si="16"/>
        <v>obj_0085e#0020</v>
      </c>
      <c r="O58" s="25" t="b">
        <f t="shared" si="16"/>
        <v>1</v>
      </c>
      <c r="P58" s="14" t="str">
        <v>Sw</v>
      </c>
      <c r="Q58" s="14" t="str">
        <v>39Y</v>
      </c>
      <c r="R58" s="14" t="str">
        <v>obj_00853#0020</v>
      </c>
      <c r="S58" s="21">
        <f>_xll.qlRateHelperQuoteValue(R58,Trigger)</f>
        <v>1.4482461200000001E-2</v>
      </c>
      <c r="T58" s="15">
        <f>_xll.qlRateHelperEarliestDate(R58,Trigger)</f>
        <v>42145</v>
      </c>
      <c r="U58" s="15">
        <f>_xll.qlRateHelperLatestDate(R58,Trigger)</f>
        <v>56390</v>
      </c>
      <c r="V58" s="119">
        <v>1.4546894903886928E-2</v>
      </c>
    </row>
    <row r="59" spans="1:22" ht="11.25" customHeight="1" x14ac:dyDescent="0.2">
      <c r="A59" s="109" t="s">
        <v>45</v>
      </c>
      <c r="B59" s="139"/>
      <c r="C59" s="139" t="s">
        <v>14</v>
      </c>
      <c r="D59" s="140" t="str">
        <v>30Y</v>
      </c>
      <c r="E59" s="132" t="s">
        <v>15</v>
      </c>
      <c r="F59" s="139" t="s">
        <v>16</v>
      </c>
      <c r="G59" s="132" t="s">
        <v>17</v>
      </c>
      <c r="H59" s="141">
        <v>1.4450000000000001E-2</v>
      </c>
      <c r="I59" s="107" t="str">
        <f>_xll.qlSwapRateHelper2(,$H59,,$D59,Calendar,$F59,$E59,$G59,$I$30,0,C59,Discounting,Permanent,,ObjectOverwrite)</f>
        <v>obj_00854#0020</v>
      </c>
      <c r="J59" s="104" t="b">
        <f t="shared" si="15"/>
        <v>1</v>
      </c>
      <c r="L59" s="25" t="str">
        <f t="shared" si="12"/>
        <v>Sw</v>
      </c>
      <c r="M59" s="25" t="str">
        <f t="shared" si="13"/>
        <v>35Y</v>
      </c>
      <c r="N59" s="25" t="str">
        <f t="shared" si="16"/>
        <v>obj_00838#0023</v>
      </c>
      <c r="O59" s="25" t="b">
        <f t="shared" si="16"/>
        <v>1</v>
      </c>
      <c r="P59" s="14" t="str">
        <v>Sw</v>
      </c>
      <c r="Q59" s="14" t="str">
        <v>40Y</v>
      </c>
      <c r="R59" s="14" t="str">
        <v>obj_00848#0023</v>
      </c>
      <c r="S59" s="21">
        <f>_xll.qlRateHelperQuoteValue(R59,Trigger)</f>
        <v>1.4450000000000001E-2</v>
      </c>
      <c r="T59" s="15">
        <f>_xll.qlRateHelperEarliestDate(R59,Trigger)</f>
        <v>42145</v>
      </c>
      <c r="U59" s="15">
        <f>_xll.qlRateHelperLatestDate(R59,Trigger)</f>
        <v>56755</v>
      </c>
      <c r="V59" s="119">
        <v>1.4502928679920179E-2</v>
      </c>
    </row>
    <row r="60" spans="1:22" ht="11.25" customHeight="1" x14ac:dyDescent="0.2">
      <c r="A60" s="109" t="s">
        <v>45</v>
      </c>
      <c r="B60" s="139"/>
      <c r="C60" s="139" t="s">
        <v>14</v>
      </c>
      <c r="D60" s="140" t="str">
        <v>31Y</v>
      </c>
      <c r="E60" s="132" t="s">
        <v>15</v>
      </c>
      <c r="F60" s="139" t="s">
        <v>16</v>
      </c>
      <c r="G60" s="132" t="s">
        <v>17</v>
      </c>
      <c r="H60" s="141">
        <v>1.4467738189999999E-2</v>
      </c>
      <c r="I60" s="107" t="str">
        <f>_xll.qlSwapRateHelper2(,$H60,,$D60,Calendar,$F60,$E60,$G60,$I$30,0,C60,Discounting,Permanent,,ObjectOverwrite)</f>
        <v>obj_0084e#0023</v>
      </c>
      <c r="J60" s="104" t="b">
        <f t="shared" si="15"/>
        <v>1</v>
      </c>
      <c r="L60" s="25" t="str">
        <f t="shared" si="12"/>
        <v>Sw</v>
      </c>
      <c r="M60" s="25" t="str">
        <f t="shared" si="13"/>
        <v>36Y</v>
      </c>
      <c r="N60" s="25" t="str">
        <f t="shared" ref="N60:O71" si="17">I65</f>
        <v>obj_0083c#0023</v>
      </c>
      <c r="O60" s="25" t="b">
        <f t="shared" si="17"/>
        <v>1</v>
      </c>
      <c r="P60" s="14" t="str">
        <v>Sw</v>
      </c>
      <c r="Q60" s="14" t="str">
        <v>50Y</v>
      </c>
      <c r="R60" s="14" t="str">
        <v>obj_00847#0023</v>
      </c>
      <c r="S60" s="21">
        <f>_xll.qlRateHelperQuoteValue(R60,Trigger)</f>
        <v>1.3919999999999998E-2</v>
      </c>
      <c r="T60" s="15">
        <f>_xll.qlRateHelperEarliestDate(R60,Trigger)</f>
        <v>42145</v>
      </c>
      <c r="U60" s="15">
        <f>_xll.qlRateHelperLatestDate(R60,Trigger)</f>
        <v>60408</v>
      </c>
      <c r="V60" s="119">
        <v>1.3822729273471125E-2</v>
      </c>
    </row>
    <row r="61" spans="1:22" ht="11.25" customHeight="1" x14ac:dyDescent="0.2">
      <c r="A61" s="109" t="s">
        <v>45</v>
      </c>
      <c r="B61" s="139"/>
      <c r="C61" s="139" t="s">
        <v>14</v>
      </c>
      <c r="D61" s="140" t="str">
        <v>32Y</v>
      </c>
      <c r="E61" s="132" t="s">
        <v>15</v>
      </c>
      <c r="F61" s="139" t="s">
        <v>16</v>
      </c>
      <c r="G61" s="132" t="s">
        <v>17</v>
      </c>
      <c r="H61" s="141">
        <v>1.4485493359999999E-2</v>
      </c>
      <c r="I61" s="107" t="str">
        <f>_xll.qlSwapRateHelper2(,$H61,,$D61,Calendar,$F61,$E61,$G61,$I$30,0,C61,Discounting,Permanent,,ObjectOverwrite)</f>
        <v>obj_0083b#0023</v>
      </c>
      <c r="J61" s="104" t="b">
        <f t="shared" si="15"/>
        <v>1</v>
      </c>
      <c r="L61" s="25" t="str">
        <f t="shared" si="12"/>
        <v>Sw</v>
      </c>
      <c r="M61" s="25" t="str">
        <f t="shared" si="13"/>
        <v>37Y</v>
      </c>
      <c r="N61" s="25" t="str">
        <f t="shared" si="17"/>
        <v>obj_0084a#0023</v>
      </c>
      <c r="O61" s="25" t="b">
        <f t="shared" si="17"/>
        <v>1</v>
      </c>
      <c r="P61" s="14" t="str">
        <v>Sw</v>
      </c>
      <c r="Q61" s="14" t="str">
        <v>60Y</v>
      </c>
      <c r="R61" s="14" t="str">
        <v>obj_0083d#0023</v>
      </c>
      <c r="S61" s="21">
        <f>_xll.qlRateHelperQuoteValue(R61,Trigger)</f>
        <v>1.374E-2</v>
      </c>
      <c r="T61" s="15">
        <f>_xll.qlRateHelperEarliestDate(R61,Trigger)</f>
        <v>42145</v>
      </c>
      <c r="U61" s="15">
        <f>_xll.qlRateHelperLatestDate(R61,Trigger)</f>
        <v>64060</v>
      </c>
      <c r="V61" s="119">
        <v>1.3595874897088097E-2</v>
      </c>
    </row>
    <row r="62" spans="1:22" ht="11.25" customHeight="1" x14ac:dyDescent="0.2">
      <c r="A62" s="109" t="s">
        <v>45</v>
      </c>
      <c r="B62" s="139"/>
      <c r="C62" s="139" t="s">
        <v>14</v>
      </c>
      <c r="D62" s="140" t="str">
        <v>33Y</v>
      </c>
      <c r="E62" s="132" t="s">
        <v>15</v>
      </c>
      <c r="F62" s="139" t="s">
        <v>16</v>
      </c>
      <c r="G62" s="132" t="s">
        <v>17</v>
      </c>
      <c r="H62" s="141">
        <v>1.4502435440000001E-2</v>
      </c>
      <c r="I62" s="107" t="str">
        <f>_xll.qlSwapRateHelper2(,$H62,,$D62,Calendar,$F62,$E62,$G62,$I$30,0,C62,Discounting,Permanent,,ObjectOverwrite)</f>
        <v>obj_0085d#0020</v>
      </c>
      <c r="J62" s="104" t="b">
        <f t="shared" si="15"/>
        <v>1</v>
      </c>
      <c r="L62" s="25" t="str">
        <f t="shared" si="12"/>
        <v>Sw</v>
      </c>
      <c r="M62" s="25" t="str">
        <f t="shared" si="13"/>
        <v>38Y</v>
      </c>
      <c r="N62" s="25" t="str">
        <f t="shared" si="17"/>
        <v>obj_0083f#0023</v>
      </c>
      <c r="O62" s="25" t="b">
        <f t="shared" si="17"/>
        <v>1</v>
      </c>
      <c r="P62" s="14" t="e">
        <v>#N/A</v>
      </c>
      <c r="Q62" s="14" t="e">
        <v>#N/A</v>
      </c>
      <c r="R62" s="14" t="e">
        <v>#N/A</v>
      </c>
      <c r="S62" s="21" t="e">
        <f>_xll.qlRateHelperQuoteValue(R62,Trigger)</f>
        <v>#VALUE!</v>
      </c>
      <c r="T62" s="15" t="e">
        <f>_xll.qlRateHelperEarliestDate(R62,Trigger)</f>
        <v>#VALUE!</v>
      </c>
      <c r="U62" s="15" t="e">
        <f>_xll.qlRateHelperLatestDate(R62,Trigger)</f>
        <v>#VALUE!</v>
      </c>
      <c r="V62" s="119" t="e">
        <v>#N/A</v>
      </c>
    </row>
    <row r="63" spans="1:22" ht="11.25" customHeight="1" x14ac:dyDescent="0.2">
      <c r="A63" s="109" t="s">
        <v>45</v>
      </c>
      <c r="B63" s="139"/>
      <c r="C63" s="139" t="s">
        <v>14</v>
      </c>
      <c r="D63" s="140" t="str">
        <v>34Y</v>
      </c>
      <c r="E63" s="132" t="s">
        <v>15</v>
      </c>
      <c r="F63" s="139" t="s">
        <v>16</v>
      </c>
      <c r="G63" s="132" t="s">
        <v>17</v>
      </c>
      <c r="H63" s="141">
        <v>1.4514889820000001E-2</v>
      </c>
      <c r="I63" s="107" t="str">
        <f>_xll.qlSwapRateHelper2(,$H63,,$D63,Calendar,$F63,$E63,$G63,$I$30,0,C63,Discounting,Permanent,,ObjectOverwrite)</f>
        <v>obj_0085e#0020</v>
      </c>
      <c r="J63" s="104" t="b">
        <f t="shared" si="15"/>
        <v>1</v>
      </c>
      <c r="L63" s="25" t="str">
        <f t="shared" si="12"/>
        <v>Sw</v>
      </c>
      <c r="M63" s="25" t="str">
        <f t="shared" si="13"/>
        <v>39Y</v>
      </c>
      <c r="N63" s="25" t="str">
        <f t="shared" si="17"/>
        <v>obj_00853#0020</v>
      </c>
      <c r="O63" s="25" t="b">
        <f t="shared" si="17"/>
        <v>1</v>
      </c>
      <c r="P63" s="14" t="e">
        <v>#N/A</v>
      </c>
      <c r="Q63" s="14" t="e">
        <v>#N/A</v>
      </c>
      <c r="R63" s="14" t="e">
        <v>#N/A</v>
      </c>
      <c r="S63" s="21" t="e">
        <f>_xll.qlRateHelperQuoteValue(R63,Trigger)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9" t="e">
        <v>#N/A</v>
      </c>
    </row>
    <row r="64" spans="1:22" ht="11.25" customHeight="1" x14ac:dyDescent="0.2">
      <c r="A64" s="109" t="s">
        <v>45</v>
      </c>
      <c r="B64" s="139"/>
      <c r="C64" s="139" t="s">
        <v>14</v>
      </c>
      <c r="D64" s="140" t="str">
        <v>35Y</v>
      </c>
      <c r="E64" s="132" t="s">
        <v>15</v>
      </c>
      <c r="F64" s="139" t="s">
        <v>16</v>
      </c>
      <c r="G64" s="132" t="s">
        <v>17</v>
      </c>
      <c r="H64" s="141">
        <v>1.4522470730000001E-2</v>
      </c>
      <c r="I64" s="107" t="str">
        <f>_xll.qlSwapRateHelper2(,$H64,,$D64,Calendar,$F64,$E64,$G64,$I$30,0,C64,Discounting,Permanent,,ObjectOverwrite)</f>
        <v>obj_00838#0023</v>
      </c>
      <c r="J64" s="104" t="b">
        <f t="shared" si="15"/>
        <v>1</v>
      </c>
      <c r="L64" s="25" t="str">
        <f t="shared" si="12"/>
        <v>Sw</v>
      </c>
      <c r="M64" s="25" t="str">
        <f t="shared" si="13"/>
        <v>40Y</v>
      </c>
      <c r="N64" s="25" t="str">
        <f t="shared" si="17"/>
        <v>obj_00848#0023</v>
      </c>
      <c r="O64" s="25" t="b">
        <f t="shared" si="17"/>
        <v>1</v>
      </c>
      <c r="P64" s="14" t="e">
        <v>#N/A</v>
      </c>
      <c r="Q64" s="14" t="e">
        <v>#N/A</v>
      </c>
      <c r="R64" s="14" t="e">
        <v>#N/A</v>
      </c>
      <c r="S64" s="21" t="e">
        <f>_xll.qlRateHelperQuoteValue(R64,Trigger)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9" t="s">
        <v>45</v>
      </c>
      <c r="B65" s="139"/>
      <c r="C65" s="139" t="s">
        <v>14</v>
      </c>
      <c r="D65" s="140" t="str">
        <v>36Y</v>
      </c>
      <c r="E65" s="132" t="s">
        <v>15</v>
      </c>
      <c r="F65" s="139" t="s">
        <v>16</v>
      </c>
      <c r="G65" s="132" t="s">
        <v>17</v>
      </c>
      <c r="H65" s="141">
        <v>1.452393249E-2</v>
      </c>
      <c r="I65" s="107" t="str">
        <f>_xll.qlSwapRateHelper2(,$H65,,$D65,Calendar,$F65,$E65,$G65,$I$30,0,C65,Discounting,Permanent,,ObjectOverwrite)</f>
        <v>obj_0083c#0023</v>
      </c>
      <c r="J65" s="104" t="b">
        <f t="shared" si="15"/>
        <v>1</v>
      </c>
      <c r="L65" s="25" t="str">
        <f t="shared" si="12"/>
        <v>Sw</v>
      </c>
      <c r="M65" s="25" t="str">
        <f t="shared" si="13"/>
        <v>50Y</v>
      </c>
      <c r="N65" s="25" t="str">
        <f t="shared" si="17"/>
        <v>obj_00847#0023</v>
      </c>
      <c r="O65" s="25" t="b">
        <f t="shared" si="17"/>
        <v>1</v>
      </c>
      <c r="P65" s="14" t="e">
        <v>#N/A</v>
      </c>
      <c r="Q65" s="14" t="e">
        <v>#N/A</v>
      </c>
      <c r="R65" s="14" t="e">
        <v>#N/A</v>
      </c>
      <c r="S65" s="21" t="e">
        <f>_xll.qlRateHelperQuoteValue(R65,Trigger)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9" t="s">
        <v>45</v>
      </c>
      <c r="B66" s="139"/>
      <c r="C66" s="139" t="s">
        <v>14</v>
      </c>
      <c r="D66" s="140" t="str">
        <v>37Y</v>
      </c>
      <c r="E66" s="132" t="s">
        <v>15</v>
      </c>
      <c r="F66" s="139" t="s">
        <v>16</v>
      </c>
      <c r="G66" s="132" t="s">
        <v>17</v>
      </c>
      <c r="H66" s="141">
        <v>1.4519068310000001E-2</v>
      </c>
      <c r="I66" s="107" t="str">
        <f>_xll.qlSwapRateHelper2(,$H66,,$D66,Calendar,$F66,$E66,$G66,$I$30,0,C66,Discounting,Permanent,,ObjectOverwrite)</f>
        <v>obj_0084a#0023</v>
      </c>
      <c r="J66" s="104" t="b">
        <f t="shared" si="15"/>
        <v>1</v>
      </c>
      <c r="L66" s="25" t="str">
        <f t="shared" si="12"/>
        <v>Sw</v>
      </c>
      <c r="M66" s="25" t="str">
        <f t="shared" si="13"/>
        <v>60Y</v>
      </c>
      <c r="N66" s="25" t="str">
        <f t="shared" si="17"/>
        <v>obj_0083d#0023</v>
      </c>
      <c r="O66" s="25" t="b">
        <f t="shared" si="17"/>
        <v>1</v>
      </c>
      <c r="P66" s="14" t="e">
        <v>#N/A</v>
      </c>
      <c r="Q66" s="14" t="e">
        <v>#N/A</v>
      </c>
      <c r="R66" s="14" t="e">
        <v>#N/A</v>
      </c>
      <c r="S66" s="21" t="e">
        <f>_xll.qlRateHelperQuoteValue(R66,Trigger)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9" t="s">
        <v>45</v>
      </c>
      <c r="B67" s="139"/>
      <c r="C67" s="139" t="s">
        <v>14</v>
      </c>
      <c r="D67" s="140" t="str">
        <v>38Y</v>
      </c>
      <c r="E67" s="132" t="s">
        <v>15</v>
      </c>
      <c r="F67" s="139" t="s">
        <v>16</v>
      </c>
      <c r="G67" s="132" t="s">
        <v>17</v>
      </c>
      <c r="H67" s="141">
        <v>1.450523609E-2</v>
      </c>
      <c r="I67" s="107" t="str">
        <f>_xll.qlSwapRateHelper2(,$H67,,$D67,Calendar,$F67,$E67,$G67,$I$30,0,C67,Discounting,Permanent,,ObjectOverwrite)</f>
        <v>obj_0083f#0023</v>
      </c>
      <c r="J67" s="104" t="b">
        <f t="shared" si="15"/>
        <v>1</v>
      </c>
      <c r="L67" s="25" t="str">
        <f t="shared" si="12"/>
        <v>Sw</v>
      </c>
      <c r="M67" s="25" t="e">
        <f t="shared" si="13"/>
        <v>#N/A</v>
      </c>
      <c r="N67" s="25" t="e">
        <f t="shared" si="17"/>
        <v>#VALUE!</v>
      </c>
      <c r="O67" s="25" t="b">
        <f t="shared" si="17"/>
        <v>0</v>
      </c>
      <c r="P67" s="14" t="e">
        <v>#N/A</v>
      </c>
      <c r="Q67" s="14" t="e">
        <v>#N/A</v>
      </c>
      <c r="R67" s="14" t="e">
        <v>#N/A</v>
      </c>
      <c r="S67" s="21" t="e">
        <f>_xll.qlRateHelperQuoteValue(R67,Trigger)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9" t="s">
        <v>45</v>
      </c>
      <c r="B68" s="139"/>
      <c r="C68" s="139" t="s">
        <v>14</v>
      </c>
      <c r="D68" s="140" t="str">
        <v>39Y</v>
      </c>
      <c r="E68" s="132" t="s">
        <v>15</v>
      </c>
      <c r="F68" s="139" t="s">
        <v>16</v>
      </c>
      <c r="G68" s="132" t="s">
        <v>17</v>
      </c>
      <c r="H68" s="141">
        <v>1.4482461200000001E-2</v>
      </c>
      <c r="I68" s="107" t="str">
        <f>_xll.qlSwapRateHelper2(,$H68,,$D68,Calendar,$F68,$E68,$G68,$I$30,0,C68,Discounting,Permanent,,ObjectOverwrite)</f>
        <v>obj_00853#0020</v>
      </c>
      <c r="J68" s="104" t="b">
        <f t="shared" si="15"/>
        <v>1</v>
      </c>
      <c r="L68" s="25" t="str">
        <f t="shared" si="12"/>
        <v>Sw</v>
      </c>
      <c r="M68" s="25" t="e">
        <f t="shared" si="13"/>
        <v>#N/A</v>
      </c>
      <c r="N68" s="25" t="e">
        <f t="shared" si="17"/>
        <v>#VALUE!</v>
      </c>
      <c r="O68" s="25" t="b">
        <f t="shared" si="17"/>
        <v>0</v>
      </c>
      <c r="P68" s="14" t="e">
        <v>#N/A</v>
      </c>
      <c r="Q68" s="14" t="e">
        <v>#N/A</v>
      </c>
      <c r="R68" s="14" t="e">
        <v>#N/A</v>
      </c>
      <c r="S68" s="21" t="e">
        <f>_xll.qlRateHelperQuoteValue(R68,Trigger)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9" t="s">
        <v>45</v>
      </c>
      <c r="B69" s="139"/>
      <c r="C69" s="139" t="s">
        <v>14</v>
      </c>
      <c r="D69" s="140" t="str">
        <v>40Y</v>
      </c>
      <c r="E69" s="132" t="s">
        <v>15</v>
      </c>
      <c r="F69" s="139" t="s">
        <v>16</v>
      </c>
      <c r="G69" s="132" t="s">
        <v>17</v>
      </c>
      <c r="H69" s="141">
        <v>1.4450000000000001E-2</v>
      </c>
      <c r="I69" s="107" t="str">
        <f>_xll.qlSwapRateHelper2(,$H69,,$D69,Calendar,$F69,$E69,$G69,$I$30,0,C69,Discounting,Permanent,,ObjectOverwrite)</f>
        <v>obj_00848#0023</v>
      </c>
      <c r="J69" s="104" t="b">
        <f t="shared" si="15"/>
        <v>1</v>
      </c>
      <c r="L69" s="25" t="str">
        <f t="shared" si="12"/>
        <v>Sw</v>
      </c>
      <c r="M69" s="25" t="e">
        <f t="shared" si="13"/>
        <v>#N/A</v>
      </c>
      <c r="N69" s="25" t="e">
        <f t="shared" si="17"/>
        <v>#VALUE!</v>
      </c>
      <c r="O69" s="25" t="b">
        <f t="shared" si="17"/>
        <v>0</v>
      </c>
      <c r="P69" s="14" t="e">
        <v>#N/A</v>
      </c>
      <c r="Q69" s="14" t="e">
        <v>#N/A</v>
      </c>
      <c r="R69" s="14" t="e">
        <v>#N/A</v>
      </c>
      <c r="S69" s="21" t="e">
        <f>_xll.qlRateHelperQuoteValue(R69,Trigger)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9" t="s">
        <v>45</v>
      </c>
      <c r="B70" s="139"/>
      <c r="C70" s="139" t="s">
        <v>14</v>
      </c>
      <c r="D70" s="140" t="str">
        <v>50Y</v>
      </c>
      <c r="E70" s="132" t="s">
        <v>15</v>
      </c>
      <c r="F70" s="139" t="s">
        <v>16</v>
      </c>
      <c r="G70" s="132" t="s">
        <v>17</v>
      </c>
      <c r="H70" s="141">
        <v>1.3919999999999998E-2</v>
      </c>
      <c r="I70" s="107" t="str">
        <f>_xll.qlSwapRateHelper2(,$H70,,$D70,Calendar,$F70,$E70,$G70,$I$30,0,C70,Discounting,Permanent,,ObjectOverwrite)</f>
        <v>obj_00847#0023</v>
      </c>
      <c r="J70" s="104" t="b">
        <f t="shared" si="15"/>
        <v>1</v>
      </c>
      <c r="L70" s="25" t="str">
        <f t="shared" si="12"/>
        <v>Sw</v>
      </c>
      <c r="M70" s="25" t="e">
        <f t="shared" si="13"/>
        <v>#N/A</v>
      </c>
      <c r="N70" s="25" t="e">
        <f t="shared" si="17"/>
        <v>#VALUE!</v>
      </c>
      <c r="O70" s="25" t="b">
        <f t="shared" si="17"/>
        <v>0</v>
      </c>
      <c r="P70" s="14" t="e">
        <v>#N/A</v>
      </c>
      <c r="Q70" s="14" t="e">
        <v>#N/A</v>
      </c>
      <c r="R70" s="14" t="e">
        <v>#N/A</v>
      </c>
      <c r="S70" s="21" t="e">
        <f>_xll.qlRateHelperQuoteValue(R70,Trigger)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9" t="s">
        <v>45</v>
      </c>
      <c r="B71" s="139"/>
      <c r="C71" s="139" t="s">
        <v>14</v>
      </c>
      <c r="D71" s="140" t="str">
        <v>60Y</v>
      </c>
      <c r="E71" s="132" t="s">
        <v>15</v>
      </c>
      <c r="F71" s="139" t="s">
        <v>16</v>
      </c>
      <c r="G71" s="132" t="s">
        <v>17</v>
      </c>
      <c r="H71" s="141">
        <v>1.374E-2</v>
      </c>
      <c r="I71" s="107" t="str">
        <f>_xll.qlSwapRateHelper2(,$H71,,$D71,Calendar,$F71,$E71,$G71,$I$30,0,C71,Discounting,Permanent,,ObjectOverwrite)</f>
        <v>obj_0083d#0023</v>
      </c>
      <c r="J71" s="104" t="b">
        <f t="shared" si="15"/>
        <v>1</v>
      </c>
      <c r="L71" s="26" t="str">
        <f t="shared" si="12"/>
        <v>Sw</v>
      </c>
      <c r="M71" s="26" t="e">
        <f t="shared" si="13"/>
        <v>#N/A</v>
      </c>
      <c r="N71" s="26" t="e">
        <f t="shared" si="17"/>
        <v>#VALUE!</v>
      </c>
      <c r="O71" s="26" t="b">
        <f t="shared" si="17"/>
        <v>0</v>
      </c>
      <c r="P71" s="16" t="e">
        <v>#N/A</v>
      </c>
      <c r="Q71" s="16" t="e">
        <v>#N/A</v>
      </c>
      <c r="R71" s="16" t="e">
        <v>#N/A</v>
      </c>
      <c r="S71" s="31" t="e">
        <f>_xll.qlRateHelperQuoteValue(R71,Trigger)</f>
        <v>#VALUE!</v>
      </c>
      <c r="T71" s="32" t="e">
        <f>_xll.qlRateHelperEarliestDate(R71,Trigger)</f>
        <v>#VALUE!</v>
      </c>
      <c r="U71" s="32" t="e">
        <f>_xll.qlRateHelperLatestDate(R71,Trigger)</f>
        <v>#VALUE!</v>
      </c>
      <c r="V71" s="16" t="e">
        <v>#N/A</v>
      </c>
    </row>
    <row r="72" spans="1:22" ht="11.25" customHeight="1" x14ac:dyDescent="0.2">
      <c r="A72" s="109" t="s">
        <v>45</v>
      </c>
      <c r="B72" s="139"/>
      <c r="C72" s="139" t="s">
        <v>14</v>
      </c>
      <c r="D72" s="140" t="e">
        <v>#N/A</v>
      </c>
      <c r="E72" s="132" t="s">
        <v>15</v>
      </c>
      <c r="F72" s="139" t="s">
        <v>16</v>
      </c>
      <c r="G72" s="132" t="s">
        <v>17</v>
      </c>
      <c r="H72" s="141" t="e">
        <v>#N/A</v>
      </c>
      <c r="I72" s="107" t="e">
        <f>_xll.qlSwapRateHelper2(,$H72,,$D72,Calendar,$F72,$E72,$G72,$I$30,0,C72,Discounting,Permanent,,ObjectOverwrite)</f>
        <v>#VALUE!</v>
      </c>
      <c r="J72" s="104" t="b">
        <f t="shared" si="15"/>
        <v>0</v>
      </c>
      <c r="L72" s="13"/>
      <c r="M72" s="13"/>
      <c r="N72" s="13"/>
      <c r="O72" s="13"/>
    </row>
    <row r="73" spans="1:22" ht="11.25" customHeight="1" x14ac:dyDescent="0.2">
      <c r="A73" s="109" t="s">
        <v>45</v>
      </c>
      <c r="B73" s="139"/>
      <c r="C73" s="139" t="s">
        <v>14</v>
      </c>
      <c r="D73" s="140" t="e">
        <v>#N/A</v>
      </c>
      <c r="E73" s="132" t="s">
        <v>15</v>
      </c>
      <c r="F73" s="139" t="s">
        <v>16</v>
      </c>
      <c r="G73" s="132" t="s">
        <v>17</v>
      </c>
      <c r="H73" s="141" t="e">
        <v>#N/A</v>
      </c>
      <c r="I73" s="107" t="e">
        <f>_xll.qlSwapRateHelper2(,$H73,,$D73,Calendar,$F73,$E73,$G73,$I$30,0,C73,Discounting,Permanent,,ObjectOverwrite)</f>
        <v>#VALUE!</v>
      </c>
      <c r="J73" s="104" t="b">
        <f t="shared" si="15"/>
        <v>0</v>
      </c>
      <c r="L73" s="13"/>
      <c r="M73" s="13"/>
      <c r="N73" s="13"/>
      <c r="O73" s="13"/>
    </row>
    <row r="74" spans="1:22" ht="11.25" customHeight="1" x14ac:dyDescent="0.2">
      <c r="A74" s="109" t="s">
        <v>45</v>
      </c>
      <c r="B74" s="139"/>
      <c r="C74" s="139" t="s">
        <v>14</v>
      </c>
      <c r="D74" s="140" t="e">
        <v>#N/A</v>
      </c>
      <c r="E74" s="132" t="s">
        <v>15</v>
      </c>
      <c r="F74" s="139" t="s">
        <v>16</v>
      </c>
      <c r="G74" s="132" t="s">
        <v>17</v>
      </c>
      <c r="H74" s="141" t="e">
        <v>#N/A</v>
      </c>
      <c r="I74" s="107" t="e">
        <f>_xll.qlSwapRateHelper2(,$H74,,$D74,Calendar,$F74,$E74,$G74,$I$30,0,C74,Discounting,Permanent,,ObjectOverwrite)</f>
        <v>#VALUE!</v>
      </c>
      <c r="J74" s="104" t="b">
        <f t="shared" si="15"/>
        <v>0</v>
      </c>
      <c r="L74" s="13"/>
      <c r="M74" s="13"/>
      <c r="N74" s="13"/>
      <c r="O74" s="13"/>
    </row>
    <row r="75" spans="1:22" ht="11.25" customHeight="1" x14ac:dyDescent="0.2">
      <c r="A75" s="109" t="s">
        <v>45</v>
      </c>
      <c r="B75" s="139"/>
      <c r="C75" s="139" t="s">
        <v>14</v>
      </c>
      <c r="D75" s="140" t="e">
        <v>#N/A</v>
      </c>
      <c r="E75" s="132" t="s">
        <v>15</v>
      </c>
      <c r="F75" s="139" t="s">
        <v>16</v>
      </c>
      <c r="G75" s="132" t="s">
        <v>17</v>
      </c>
      <c r="H75" s="141" t="e">
        <v>#N/A</v>
      </c>
      <c r="I75" s="107" t="e">
        <f>_xll.qlSwapRateHelper2(,$H75,,$D75,Calendar,$F75,$E75,$G75,$I$30,0,C75,Discounting,Permanent,,ObjectOverwrite)</f>
        <v>#VALUE!</v>
      </c>
      <c r="J75" s="104" t="b">
        <f t="shared" si="15"/>
        <v>0</v>
      </c>
      <c r="L75" s="13"/>
      <c r="M75" s="13"/>
      <c r="N75" s="13"/>
      <c r="O75" s="13"/>
    </row>
    <row r="76" spans="1:22" ht="11.25" customHeight="1" x14ac:dyDescent="0.2">
      <c r="A76" s="7" t="s">
        <v>45</v>
      </c>
      <c r="B76" s="142"/>
      <c r="C76" s="142" t="s">
        <v>14</v>
      </c>
      <c r="D76" s="143" t="e">
        <v>#N/A</v>
      </c>
      <c r="E76" s="3" t="s">
        <v>15</v>
      </c>
      <c r="F76" s="142" t="s">
        <v>16</v>
      </c>
      <c r="G76" s="3" t="s">
        <v>17</v>
      </c>
      <c r="H76" s="144" t="e">
        <v>#N/A</v>
      </c>
      <c r="I76" s="5" t="e">
        <f>_xll.qlSwapRateHelper2(,$H76,,$D76,Calendar,$F76,$E76,$G76,$I$30,0,C76,Discounting,Permanent,,ObjectOverwrite)</f>
        <v>#VALUE!</v>
      </c>
      <c r="J76" s="19" t="b">
        <f t="shared" si="15"/>
        <v>0</v>
      </c>
      <c r="L76" s="13"/>
      <c r="M76" s="13"/>
      <c r="N76" s="13"/>
      <c r="O76" s="13"/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4">
    <dataValidation type="list" allowBlank="1" showInputMessage="1" showErrorMessage="1" sqref="E32:E76">
      <formula1>"Following,Modified Following,Preceding,Modified Preceding,Month End Reference,Unadjusted Month End,Unadjusted"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1:E28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9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4" hidden="1" customWidth="1" outlineLevel="1"/>
    <col min="2" max="2" width="5" style="74" hidden="1" customWidth="1" outlineLevel="2"/>
    <col min="3" max="3" width="7" style="91" hidden="1" customWidth="1" outlineLevel="1" collapsed="1"/>
    <col min="4" max="4" width="8.28515625" style="90" hidden="1" customWidth="1" outlineLevel="1"/>
    <col min="5" max="5" width="19.42578125" style="92" hidden="1" customWidth="1" outlineLevel="1"/>
    <col min="6" max="6" width="7" style="74" hidden="1" customWidth="1" outlineLevel="1"/>
    <col min="7" max="7" width="20.28515625" style="74" hidden="1" customWidth="1" outlineLevel="1"/>
    <col min="8" max="8" width="11.28515625" style="74" hidden="1" customWidth="1" outlineLevel="1"/>
    <col min="9" max="9" width="15.140625" style="74" hidden="1" customWidth="1" outlineLevel="1"/>
    <col min="10" max="10" width="9" style="90" hidden="1" customWidth="1" outlineLevel="1"/>
    <col min="11" max="11" width="2.7109375" style="74" customWidth="1" collapsed="1"/>
    <col min="12" max="12" width="5" style="74" hidden="1" customWidth="1" outlineLevel="1"/>
    <col min="13" max="13" width="6" style="74" hidden="1" customWidth="1" outlineLevel="1"/>
    <col min="14" max="14" width="15.140625" style="74" hidden="1" customWidth="1" outlineLevel="1"/>
    <col min="15" max="15" width="6" style="74" hidden="1" customWidth="1" outlineLevel="1"/>
    <col min="16" max="16" width="5" style="74" bestFit="1" customWidth="1" collapsed="1"/>
    <col min="17" max="17" width="6" style="74" customWidth="1"/>
    <col min="18" max="18" width="15.140625" style="74" hidden="1" customWidth="1" outlineLevel="1"/>
    <col min="19" max="19" width="10" style="74" bestFit="1" customWidth="1" collapsed="1"/>
    <col min="20" max="21" width="17.28515625" style="74" bestFit="1" customWidth="1"/>
    <col min="22" max="22" width="12" style="74" bestFit="1" customWidth="1"/>
    <col min="23" max="23" width="15.140625" style="74" bestFit="1" customWidth="1"/>
    <col min="24" max="24" width="9" style="74" bestFit="1" customWidth="1"/>
    <col min="25" max="16384" width="9.140625" style="74"/>
  </cols>
  <sheetData>
    <row r="1" spans="1:22" ht="21" customHeight="1" x14ac:dyDescent="0.2">
      <c r="B1" s="80"/>
      <c r="C1" s="81"/>
      <c r="D1" s="82"/>
      <c r="E1" s="83"/>
      <c r="F1" s="84"/>
      <c r="J1" s="82"/>
      <c r="L1" s="111"/>
      <c r="M1" s="112"/>
      <c r="N1" s="112"/>
      <c r="O1" s="113"/>
      <c r="P1" s="149" t="s">
        <v>178</v>
      </c>
      <c r="Q1" s="112"/>
      <c r="R1" s="112"/>
      <c r="S1" s="117"/>
      <c r="T1" s="112"/>
      <c r="U1" s="112"/>
      <c r="V1" s="148" t="s">
        <v>193</v>
      </c>
    </row>
    <row r="2" spans="1:22" ht="21" customHeight="1" x14ac:dyDescent="0.2">
      <c r="A2" s="110" t="s">
        <v>18</v>
      </c>
      <c r="B2" s="110"/>
      <c r="C2" s="110" t="s">
        <v>1</v>
      </c>
      <c r="D2" s="110" t="s">
        <v>2</v>
      </c>
      <c r="E2" s="110" t="s">
        <v>13</v>
      </c>
      <c r="F2" s="110" t="s">
        <v>3</v>
      </c>
      <c r="G2" s="110" t="s">
        <v>4</v>
      </c>
      <c r="H2" s="110" t="s">
        <v>5</v>
      </c>
      <c r="I2" s="110" t="s">
        <v>43</v>
      </c>
      <c r="J2" s="110" t="s">
        <v>47</v>
      </c>
      <c r="L2" s="145" t="s">
        <v>18</v>
      </c>
      <c r="M2" s="145"/>
      <c r="N2" s="145" t="s">
        <v>43</v>
      </c>
      <c r="O2" s="145"/>
      <c r="P2" s="145" t="s">
        <v>18</v>
      </c>
      <c r="Q2" s="145" t="s">
        <v>58</v>
      </c>
      <c r="R2" s="145" t="s">
        <v>43</v>
      </c>
      <c r="S2" s="146" t="s">
        <v>39</v>
      </c>
      <c r="T2" s="145" t="s">
        <v>37</v>
      </c>
      <c r="U2" s="145" t="s">
        <v>38</v>
      </c>
      <c r="V2" s="161">
        <f t="array" ref="V2:V71">_xll.qlPiecewiseYieldCurveData(YieldCurve_1M,Trigger)</f>
        <v>1</v>
      </c>
    </row>
    <row r="3" spans="1:22" ht="11.25" customHeight="1" x14ac:dyDescent="0.2">
      <c r="A3" s="94" t="s">
        <v>46</v>
      </c>
      <c r="B3" s="94" t="str">
        <f t="array" ref="B3:B18">_xll.ohFilter(PastedValue!AI2:AI82,PastedValue!AE2:AE82="Dp")</f>
        <v>O/N</v>
      </c>
      <c r="C3" s="95" t="str">
        <f>IF(LEFT(B3,1)="#","9M",B3)</f>
        <v>O/N</v>
      </c>
      <c r="D3" s="96">
        <f>IF(C3="O/N",0,IF(C3="T/N",1,2))</f>
        <v>0</v>
      </c>
      <c r="E3" s="95" t="str">
        <f t="shared" ref="E3:E18" si="0">IF(RIGHT(C3,1)="M","Modified Following","Following")</f>
        <v>Following</v>
      </c>
      <c r="F3" s="98" t="str">
        <f t="shared" ref="F3:F18" si="1">IF(RIGHT(C3,1)="M","TRUE","FALSE")</f>
        <v>FALSE</v>
      </c>
      <c r="G3" s="99" t="s">
        <v>50</v>
      </c>
      <c r="H3" s="100">
        <f t="array" ref="H3:H18">_xll.ohFilter(PastedValue!AL2:AL82,PastedValue!AE2:AE82="Dp")/100</f>
        <v>-6.9485220999999995E-4</v>
      </c>
      <c r="I3" s="101" t="str">
        <f>_xll.qlDepositRateHelper2(,H3,IF(RIGHT(C3,1)="N","1D",C3),D3,Calendar,E3,F3,G3,,Trigger)</f>
        <v>obj_008c9#0016</v>
      </c>
      <c r="J3" s="96" t="b">
        <f t="shared" ref="J3:J17" si="2">IF(ISERROR(I3),FALSE,TRUE)</f>
        <v>1</v>
      </c>
      <c r="L3" s="25" t="str">
        <f>A3</f>
        <v>Dp</v>
      </c>
      <c r="M3" s="25" t="str">
        <f>C3</f>
        <v>O/N</v>
      </c>
      <c r="N3" s="14" t="str">
        <f>I3</f>
        <v>obj_008c9#0016</v>
      </c>
      <c r="O3" s="14" t="b">
        <f>J3</f>
        <v>1</v>
      </c>
      <c r="P3" s="14" t="str">
        <f t="array" ref="P3:P71">_xll.ohPack(_xll.ohFilter(L3:L82,O3:O82),Trigger)</f>
        <v>Dp</v>
      </c>
      <c r="Q3" s="14" t="str">
        <f t="array" ref="Q3:Q71">_xll.ohPack(_xll.ohFilter(M3:M82,O3:O82),Trigger)</f>
        <v>O/N</v>
      </c>
      <c r="R3" s="14" t="str">
        <f t="array" ref="R3:R71">_xll.ohPack(_xll.ohFilter(N3:N82,O3:O82))</f>
        <v>obj_008c9#0016</v>
      </c>
      <c r="S3" s="21">
        <f>_xll.qlRateHelperQuoteValue(R3,Trigger)</f>
        <v>-6.9485220999999995E-4</v>
      </c>
      <c r="T3" s="15">
        <f>_xll.qlRateHelperEarliestDate(R3,Trigger)</f>
        <v>42143</v>
      </c>
      <c r="U3" s="15">
        <f>_xll.qlRateHelperLatestDate(R3,Trigger)</f>
        <v>42144</v>
      </c>
      <c r="V3" s="162">
        <v>1.0000019301487533</v>
      </c>
    </row>
    <row r="4" spans="1:22" ht="11.25" customHeight="1" x14ac:dyDescent="0.2">
      <c r="A4" s="102" t="s">
        <v>46</v>
      </c>
      <c r="B4" s="102" t="str">
        <v>T/N</v>
      </c>
      <c r="C4" s="103" t="str">
        <f t="shared" ref="C4:C18" si="3">IF(LEFT(B4,1)="#","9M",B4)</f>
        <v>T/N</v>
      </c>
      <c r="D4" s="104">
        <f t="shared" ref="D4:D18" si="4">IF(C4="O/N",0,IF(C4="T/N",1,2))</f>
        <v>1</v>
      </c>
      <c r="E4" s="103" t="str">
        <f t="shared" si="0"/>
        <v>Following</v>
      </c>
      <c r="F4" s="106" t="str">
        <f t="shared" si="1"/>
        <v>FALSE</v>
      </c>
      <c r="G4" s="107" t="s">
        <v>50</v>
      </c>
      <c r="H4" s="108">
        <v>-6.8252351000000001E-4</v>
      </c>
      <c r="I4" s="109" t="str">
        <f>_xll.qlDepositRateHelper2(,H4,IF(RIGHT(C4,1)="N","1D",C4),D4,Calendar,E4,F4,G4,,Trigger)</f>
        <v>obj_00924#0015</v>
      </c>
      <c r="J4" s="104" t="b">
        <f t="shared" si="2"/>
        <v>1</v>
      </c>
      <c r="L4" s="25" t="str">
        <f t="shared" ref="L4:L18" si="5">A4</f>
        <v>Dp</v>
      </c>
      <c r="M4" s="25" t="str">
        <f t="shared" ref="M4:M18" si="6">C4</f>
        <v>T/N</v>
      </c>
      <c r="N4" s="14" t="str">
        <f t="shared" ref="N4:O18" si="7">I4</f>
        <v>obj_00924#0015</v>
      </c>
      <c r="O4" s="14" t="b">
        <f t="shared" si="7"/>
        <v>1</v>
      </c>
      <c r="P4" s="14" t="str">
        <v>Dp</v>
      </c>
      <c r="Q4" s="14" t="str">
        <v>T/N</v>
      </c>
      <c r="R4" s="14" t="str">
        <v>obj_00924#0015</v>
      </c>
      <c r="S4" s="21">
        <f>_xll.qlRateHelperQuoteValue(R4,Trigger)</f>
        <v>-6.8252351000000001E-4</v>
      </c>
      <c r="T4" s="15">
        <f>_xll.qlRateHelperEarliestDate(R4,Trigger)</f>
        <v>42144</v>
      </c>
      <c r="U4" s="15">
        <f>_xll.qlRateHelperLatestDate(R4,Trigger)</f>
        <v>42145</v>
      </c>
      <c r="V4" s="162">
        <v>1.000003826054646</v>
      </c>
    </row>
    <row r="5" spans="1:22" ht="11.25" customHeight="1" x14ac:dyDescent="0.2">
      <c r="A5" s="102" t="s">
        <v>46</v>
      </c>
      <c r="B5" s="102" t="str">
        <v>S/N</v>
      </c>
      <c r="C5" s="103" t="str">
        <f t="shared" si="3"/>
        <v>S/N</v>
      </c>
      <c r="D5" s="104">
        <f t="shared" si="4"/>
        <v>2</v>
      </c>
      <c r="E5" s="103" t="str">
        <f t="shared" si="0"/>
        <v>Following</v>
      </c>
      <c r="F5" s="106" t="str">
        <f t="shared" si="1"/>
        <v>FALSE</v>
      </c>
      <c r="G5" s="107" t="s">
        <v>50</v>
      </c>
      <c r="H5" s="108">
        <v>-6.7066704000000006E-4</v>
      </c>
      <c r="I5" s="109" t="str">
        <f>_xll.qlDepositRateHelper2(,H5,IF(RIGHT(C5,1)="N","1D",C5),D5,Calendar,E5,F5,G5,,Trigger)</f>
        <v>obj_008d3#0016</v>
      </c>
      <c r="J5" s="104" t="b">
        <f t="shared" si="2"/>
        <v>1</v>
      </c>
      <c r="L5" s="25" t="str">
        <f t="shared" si="5"/>
        <v>Dp</v>
      </c>
      <c r="M5" s="25" t="str">
        <f t="shared" si="6"/>
        <v>S/N</v>
      </c>
      <c r="N5" s="14" t="str">
        <f t="shared" si="7"/>
        <v>obj_008d3#0016</v>
      </c>
      <c r="O5" s="14" t="b">
        <f t="shared" si="7"/>
        <v>1</v>
      </c>
      <c r="P5" s="14" t="str">
        <v>Dp</v>
      </c>
      <c r="Q5" s="14" t="str">
        <v>S/N</v>
      </c>
      <c r="R5" s="14" t="str">
        <v>obj_008d3#0016</v>
      </c>
      <c r="S5" s="21">
        <f>_xll.qlRateHelperQuoteValue(R5,Trigger)</f>
        <v>-6.7066704000000006E-4</v>
      </c>
      <c r="T5" s="15">
        <f>_xll.qlRateHelperEarliestDate(R5,Trigger)</f>
        <v>42145</v>
      </c>
      <c r="U5" s="15">
        <f>_xll.qlRateHelperLatestDate(R5,Trigger)</f>
        <v>42146</v>
      </c>
      <c r="V5" s="162">
        <v>1.0000056890292446</v>
      </c>
    </row>
    <row r="6" spans="1:22" ht="11.25" customHeight="1" x14ac:dyDescent="0.2">
      <c r="A6" s="102" t="s">
        <v>46</v>
      </c>
      <c r="B6" s="102" t="str">
        <v>1W</v>
      </c>
      <c r="C6" s="103" t="str">
        <f t="shared" si="3"/>
        <v>1W</v>
      </c>
      <c r="D6" s="104">
        <f t="shared" si="4"/>
        <v>2</v>
      </c>
      <c r="E6" s="103" t="str">
        <f t="shared" si="0"/>
        <v>Following</v>
      </c>
      <c r="F6" s="106" t="str">
        <f t="shared" si="1"/>
        <v>FALSE</v>
      </c>
      <c r="G6" s="107" t="s">
        <v>50</v>
      </c>
      <c r="H6" s="108">
        <v>-5.8299999999999997E-4</v>
      </c>
      <c r="I6" s="109" t="str">
        <f>_xll.qlDepositRateHelper2(,H6,IF(RIGHT(C6,1)="N","1D",C6),D6,Calendar,E6,F6,G6,,Trigger)</f>
        <v>obj_0091c#0015</v>
      </c>
      <c r="J6" s="104" t="b">
        <f t="shared" si="2"/>
        <v>1</v>
      </c>
      <c r="L6" s="25" t="str">
        <f t="shared" si="5"/>
        <v>Dp</v>
      </c>
      <c r="M6" s="25" t="str">
        <f t="shared" si="6"/>
        <v>1W</v>
      </c>
      <c r="N6" s="14" t="str">
        <f t="shared" si="7"/>
        <v>obj_0091c#0015</v>
      </c>
      <c r="O6" s="14" t="b">
        <f t="shared" si="7"/>
        <v>1</v>
      </c>
      <c r="P6" s="14" t="str">
        <v>Dp</v>
      </c>
      <c r="Q6" s="14" t="str">
        <v>1W</v>
      </c>
      <c r="R6" s="14" t="str">
        <v>obj_0091c#0015</v>
      </c>
      <c r="S6" s="21">
        <f>_xll.qlRateHelperQuoteValue(R6,Trigger)</f>
        <v>-5.8299999999999997E-4</v>
      </c>
      <c r="T6" s="15">
        <f>_xll.qlRateHelperEarliestDate(R6,Trigger)</f>
        <v>42145</v>
      </c>
      <c r="U6" s="15">
        <f>_xll.qlRateHelperLatestDate(R6,Trigger)</f>
        <v>42152</v>
      </c>
      <c r="V6" s="162">
        <v>1.0000151623376381</v>
      </c>
    </row>
    <row r="7" spans="1:22" ht="11.25" customHeight="1" x14ac:dyDescent="0.2">
      <c r="A7" s="102" t="s">
        <v>46</v>
      </c>
      <c r="B7" s="102" t="str">
        <v>2W</v>
      </c>
      <c r="C7" s="103" t="str">
        <f t="shared" si="3"/>
        <v>2W</v>
      </c>
      <c r="D7" s="104">
        <f t="shared" si="4"/>
        <v>2</v>
      </c>
      <c r="E7" s="103" t="str">
        <f t="shared" si="0"/>
        <v>Following</v>
      </c>
      <c r="F7" s="106" t="str">
        <f t="shared" si="1"/>
        <v>FALSE</v>
      </c>
      <c r="G7" s="107" t="s">
        <v>50</v>
      </c>
      <c r="H7" s="108">
        <v>-4.46E-4</v>
      </c>
      <c r="I7" s="109" t="str">
        <f>_xll.qlDepositRateHelper2(,H7,IF(RIGHT(C7,1)="N","1D",C7),D7,Calendar,E7,F7,G7,,Trigger)</f>
        <v>obj_00919#0015</v>
      </c>
      <c r="J7" s="104" t="b">
        <f t="shared" si="2"/>
        <v>1</v>
      </c>
      <c r="L7" s="25" t="str">
        <f t="shared" si="5"/>
        <v>Dp</v>
      </c>
      <c r="M7" s="25" t="str">
        <f t="shared" si="6"/>
        <v>2W</v>
      </c>
      <c r="N7" s="14" t="str">
        <f t="shared" si="7"/>
        <v>obj_00919#0015</v>
      </c>
      <c r="O7" s="14" t="b">
        <f t="shared" si="7"/>
        <v>1</v>
      </c>
      <c r="P7" s="14" t="str">
        <v>Dp</v>
      </c>
      <c r="Q7" s="14" t="str">
        <v>2W</v>
      </c>
      <c r="R7" s="14" t="str">
        <v>obj_00919#0015</v>
      </c>
      <c r="S7" s="21">
        <f>_xll.qlRateHelperQuoteValue(R7,Trigger)</f>
        <v>-4.46E-4</v>
      </c>
      <c r="T7" s="15">
        <f>_xll.qlRateHelperEarliestDate(R7,Trigger)</f>
        <v>42145</v>
      </c>
      <c r="U7" s="15">
        <f>_xll.qlRateHelperLatestDate(R7,Trigger)</f>
        <v>42159</v>
      </c>
      <c r="V7" s="162">
        <v>1.0000211708662754</v>
      </c>
    </row>
    <row r="8" spans="1:22" ht="11.25" customHeight="1" x14ac:dyDescent="0.2">
      <c r="A8" s="102" t="s">
        <v>46</v>
      </c>
      <c r="B8" s="102" t="str">
        <v>3W</v>
      </c>
      <c r="C8" s="103" t="str">
        <f t="shared" si="3"/>
        <v>3W</v>
      </c>
      <c r="D8" s="104">
        <f t="shared" si="4"/>
        <v>2</v>
      </c>
      <c r="E8" s="103" t="str">
        <f t="shared" si="0"/>
        <v>Following</v>
      </c>
      <c r="F8" s="106" t="str">
        <f t="shared" si="1"/>
        <v>FALSE</v>
      </c>
      <c r="G8" s="107" t="s">
        <v>50</v>
      </c>
      <c r="H8" s="108">
        <v>-4.7800000000000002E-4</v>
      </c>
      <c r="I8" s="109" t="str">
        <f>_xll.qlDepositRateHelper2(,H8,IF(RIGHT(C8,1)="N","1D",C8),D8,Calendar,E8,F8,G8,,Trigger)</f>
        <v>obj_008f6#0015</v>
      </c>
      <c r="J8" s="104" t="b">
        <f t="shared" si="2"/>
        <v>1</v>
      </c>
      <c r="L8" s="25" t="str">
        <f t="shared" si="5"/>
        <v>Dp</v>
      </c>
      <c r="M8" s="25" t="str">
        <f t="shared" si="6"/>
        <v>3W</v>
      </c>
      <c r="N8" s="14" t="str">
        <f t="shared" si="7"/>
        <v>obj_008f6#0015</v>
      </c>
      <c r="O8" s="14" t="b">
        <f t="shared" si="7"/>
        <v>1</v>
      </c>
      <c r="P8" s="14" t="str">
        <v>Dp</v>
      </c>
      <c r="Q8" s="14" t="str">
        <v>3W</v>
      </c>
      <c r="R8" s="14" t="str">
        <v>obj_008f6#0015</v>
      </c>
      <c r="S8" s="21">
        <f>_xll.qlRateHelperQuoteValue(R8,Trigger)</f>
        <v>-4.7800000000000002E-4</v>
      </c>
      <c r="T8" s="15">
        <f>_xll.qlRateHelperEarliestDate(R8,Trigger)</f>
        <v>42145</v>
      </c>
      <c r="U8" s="15">
        <f>_xll.qlRateHelperLatestDate(R8,Trigger)</f>
        <v>42166</v>
      </c>
      <c r="V8" s="162">
        <v>1.0000317102721989</v>
      </c>
    </row>
    <row r="9" spans="1:22" ht="11.25" customHeight="1" x14ac:dyDescent="0.2">
      <c r="A9" s="102" t="s">
        <v>46</v>
      </c>
      <c r="B9" s="102" t="str">
        <v>1M</v>
      </c>
      <c r="C9" s="103" t="str">
        <f t="shared" si="3"/>
        <v>1M</v>
      </c>
      <c r="D9" s="104">
        <f t="shared" si="4"/>
        <v>2</v>
      </c>
      <c r="E9" s="103" t="str">
        <f t="shared" si="0"/>
        <v>Modified Following</v>
      </c>
      <c r="F9" s="106" t="str">
        <f t="shared" si="1"/>
        <v>TRUE</v>
      </c>
      <c r="G9" s="107" t="s">
        <v>50</v>
      </c>
      <c r="H9" s="108">
        <v>-5.0999999999999993E-4</v>
      </c>
      <c r="I9" s="109" t="str">
        <f>_xll.qlDepositRateHelper2(,H9,IF(RIGHT(C9,1)="N","1D",C9),D9,Calendar,E9,F9,G9,,Trigger)</f>
        <v>obj_008dc#0016</v>
      </c>
      <c r="J9" s="104" t="b">
        <f t="shared" si="2"/>
        <v>1</v>
      </c>
      <c r="L9" s="25" t="str">
        <f t="shared" si="5"/>
        <v>Dp</v>
      </c>
      <c r="M9" s="25" t="str">
        <f t="shared" si="6"/>
        <v>1M</v>
      </c>
      <c r="N9" s="14" t="str">
        <f t="shared" si="7"/>
        <v>obj_008dc#0016</v>
      </c>
      <c r="O9" s="14" t="b">
        <f t="shared" si="7"/>
        <v>1</v>
      </c>
      <c r="P9" s="14" t="str">
        <v>Dp</v>
      </c>
      <c r="Q9" s="14" t="str">
        <v>1M</v>
      </c>
      <c r="R9" s="14" t="str">
        <v>obj_008dc#0016</v>
      </c>
      <c r="S9" s="21">
        <f>_xll.qlRateHelperQuoteValue(R9,Trigger)</f>
        <v>-5.0999999999999993E-4</v>
      </c>
      <c r="T9" s="15">
        <f>_xll.qlRateHelperEarliestDate(R9,Trigger)</f>
        <v>42145</v>
      </c>
      <c r="U9" s="15">
        <f>_xll.qlRateHelperLatestDate(R9,Trigger)</f>
        <v>42177</v>
      </c>
      <c r="V9" s="162">
        <v>1.000049161616799</v>
      </c>
    </row>
    <row r="10" spans="1:22" ht="11.25" customHeight="1" x14ac:dyDescent="0.2">
      <c r="A10" s="102" t="s">
        <v>46</v>
      </c>
      <c r="B10" s="102" t="e">
        <v>#N/A</v>
      </c>
      <c r="C10" s="103" t="e">
        <f t="shared" si="3"/>
        <v>#N/A</v>
      </c>
      <c r="D10" s="104" t="e">
        <f t="shared" si="4"/>
        <v>#N/A</v>
      </c>
      <c r="E10" s="103" t="e">
        <f t="shared" si="0"/>
        <v>#N/A</v>
      </c>
      <c r="F10" s="106" t="e">
        <f t="shared" si="1"/>
        <v>#N/A</v>
      </c>
      <c r="G10" s="107" t="s">
        <v>50</v>
      </c>
      <c r="H10" s="108" t="e">
        <v>#N/A</v>
      </c>
      <c r="I10" s="109" t="e">
        <f>_xll.qlDepositRateHelper2(,H10,IF(RIGHT(C10,1)="N","1D",C10),D10,Calendar,E10,F10,G10,,Trigger)</f>
        <v>#VALUE!</v>
      </c>
      <c r="J10" s="104" t="b">
        <f t="shared" si="2"/>
        <v>0</v>
      </c>
      <c r="L10" s="25" t="str">
        <f t="shared" si="5"/>
        <v>Dp</v>
      </c>
      <c r="M10" s="25" t="e">
        <f t="shared" si="6"/>
        <v>#N/A</v>
      </c>
      <c r="N10" s="14" t="e">
        <f t="shared" si="7"/>
        <v>#VALUE!</v>
      </c>
      <c r="O10" s="14" t="b">
        <f t="shared" si="7"/>
        <v>0</v>
      </c>
      <c r="P10" s="14" t="str">
        <v>Sw</v>
      </c>
      <c r="Q10" s="14" t="str">
        <v>2M</v>
      </c>
      <c r="R10" s="14" t="str">
        <v>obj_008b3#0019</v>
      </c>
      <c r="S10" s="21">
        <f>_xll.qlRateHelperQuoteValue(R10,Trigger)</f>
        <v>-5.6001263999999997E-4</v>
      </c>
      <c r="T10" s="15">
        <f>_xll.qlRateHelperEarliestDate(R10,Trigger)</f>
        <v>42145</v>
      </c>
      <c r="U10" s="15">
        <f>_xll.qlRateHelperLatestDate(R10,Trigger)</f>
        <v>42206</v>
      </c>
      <c r="V10" s="162">
        <v>1.0000971727532424</v>
      </c>
    </row>
    <row r="11" spans="1:22" ht="11.25" customHeight="1" x14ac:dyDescent="0.2">
      <c r="A11" s="102" t="s">
        <v>46</v>
      </c>
      <c r="B11" s="102" t="e">
        <v>#N/A</v>
      </c>
      <c r="C11" s="103" t="e">
        <f t="shared" si="3"/>
        <v>#N/A</v>
      </c>
      <c r="D11" s="104" t="e">
        <f t="shared" si="4"/>
        <v>#N/A</v>
      </c>
      <c r="E11" s="103" t="e">
        <f t="shared" si="0"/>
        <v>#N/A</v>
      </c>
      <c r="F11" s="106" t="e">
        <f t="shared" si="1"/>
        <v>#N/A</v>
      </c>
      <c r="G11" s="107" t="s">
        <v>50</v>
      </c>
      <c r="H11" s="108" t="e">
        <v>#N/A</v>
      </c>
      <c r="I11" s="109" t="e">
        <f>_xll.qlDepositRateHelper2(,H11,IF(RIGHT(C11,1)="N","1D",C11),D11,Calendar,E11,F11,G11,,Trigger)</f>
        <v>#VALUE!</v>
      </c>
      <c r="J11" s="104" t="b">
        <f t="shared" si="2"/>
        <v>0</v>
      </c>
      <c r="L11" s="25" t="str">
        <f t="shared" si="5"/>
        <v>Dp</v>
      </c>
      <c r="M11" s="25" t="e">
        <f t="shared" si="6"/>
        <v>#N/A</v>
      </c>
      <c r="N11" s="14" t="e">
        <f t="shared" si="7"/>
        <v>#VALUE!</v>
      </c>
      <c r="O11" s="14" t="b">
        <f t="shared" si="7"/>
        <v>0</v>
      </c>
      <c r="P11" s="14" t="str">
        <v>Sw</v>
      </c>
      <c r="Q11" s="14" t="str">
        <v>3M</v>
      </c>
      <c r="R11" s="14" t="str">
        <v>obj_0089a#0020</v>
      </c>
      <c r="S11" s="21">
        <f>_xll.qlRateHelperQuoteValue(R11,Trigger)</f>
        <v>-5.8002756999999999E-4</v>
      </c>
      <c r="T11" s="15">
        <f>_xll.qlRateHelperEarliestDate(R11,Trigger)</f>
        <v>42145</v>
      </c>
      <c r="U11" s="15">
        <f>_xll.qlRateHelperLatestDate(R11,Trigger)</f>
        <v>42237</v>
      </c>
      <c r="V11" s="162">
        <v>1.0001488617790268</v>
      </c>
    </row>
    <row r="12" spans="1:22" ht="11.25" customHeight="1" x14ac:dyDescent="0.2">
      <c r="A12" s="102" t="s">
        <v>46</v>
      </c>
      <c r="B12" s="102" t="e">
        <v>#N/A</v>
      </c>
      <c r="C12" s="103" t="e">
        <f t="shared" si="3"/>
        <v>#N/A</v>
      </c>
      <c r="D12" s="104" t="e">
        <f t="shared" si="4"/>
        <v>#N/A</v>
      </c>
      <c r="E12" s="103" t="e">
        <f t="shared" si="0"/>
        <v>#N/A</v>
      </c>
      <c r="F12" s="106" t="e">
        <f t="shared" si="1"/>
        <v>#N/A</v>
      </c>
      <c r="G12" s="107" t="s">
        <v>50</v>
      </c>
      <c r="H12" s="108" t="e">
        <v>#N/A</v>
      </c>
      <c r="I12" s="109" t="e">
        <f>_xll.qlDepositRateHelper2(,H12,IF(RIGHT(C12,1)="N","1D",C12),D12,Calendar,E12,F12,G12,,Trigger)</f>
        <v>#VALUE!</v>
      </c>
      <c r="J12" s="104" t="b">
        <f t="shared" si="2"/>
        <v>0</v>
      </c>
      <c r="L12" s="25" t="str">
        <f t="shared" si="5"/>
        <v>Dp</v>
      </c>
      <c r="M12" s="25" t="e">
        <f t="shared" si="6"/>
        <v>#N/A</v>
      </c>
      <c r="N12" s="14" t="e">
        <f t="shared" si="7"/>
        <v>#VALUE!</v>
      </c>
      <c r="O12" s="14" t="b">
        <f t="shared" si="7"/>
        <v>0</v>
      </c>
      <c r="P12" s="14" t="str">
        <v>Sw</v>
      </c>
      <c r="Q12" s="14" t="str">
        <v>4M</v>
      </c>
      <c r="R12" s="14" t="str">
        <v>obj_00889#0019</v>
      </c>
      <c r="S12" s="21">
        <f>_xll.qlRateHelperQuoteValue(R12,Trigger)</f>
        <v>-5.9004361999999996E-4</v>
      </c>
      <c r="T12" s="15">
        <f>_xll.qlRateHelperEarliestDate(R12,Trigger)</f>
        <v>42145</v>
      </c>
      <c r="U12" s="15">
        <f>_xll.qlRateHelperLatestDate(R12,Trigger)</f>
        <v>42268</v>
      </c>
      <c r="V12" s="162">
        <v>1.000200562065221</v>
      </c>
    </row>
    <row r="13" spans="1:22" ht="11.25" customHeight="1" x14ac:dyDescent="0.2">
      <c r="A13" s="102" t="s">
        <v>46</v>
      </c>
      <c r="B13" s="102" t="e">
        <v>#N/A</v>
      </c>
      <c r="C13" s="103" t="e">
        <f t="shared" si="3"/>
        <v>#N/A</v>
      </c>
      <c r="D13" s="104" t="e">
        <f t="shared" si="4"/>
        <v>#N/A</v>
      </c>
      <c r="E13" s="103" t="e">
        <f t="shared" si="0"/>
        <v>#N/A</v>
      </c>
      <c r="F13" s="106" t="e">
        <f t="shared" si="1"/>
        <v>#N/A</v>
      </c>
      <c r="G13" s="107" t="s">
        <v>50</v>
      </c>
      <c r="H13" s="108" t="e">
        <v>#N/A</v>
      </c>
      <c r="I13" s="109" t="e">
        <f>_xll.qlDepositRateHelper2(,H13,IF(RIGHT(C13,1)="N","1D",C13),D13,Calendar,E13,F13,G13,,Trigger)</f>
        <v>#VALUE!</v>
      </c>
      <c r="J13" s="104" t="b">
        <f t="shared" si="2"/>
        <v>0</v>
      </c>
      <c r="L13" s="25" t="str">
        <f t="shared" si="5"/>
        <v>Dp</v>
      </c>
      <c r="M13" s="25" t="e">
        <f t="shared" si="6"/>
        <v>#N/A</v>
      </c>
      <c r="N13" s="14" t="e">
        <f t="shared" si="7"/>
        <v>#VALUE!</v>
      </c>
      <c r="O13" s="14" t="b">
        <f t="shared" si="7"/>
        <v>0</v>
      </c>
      <c r="P13" s="14" t="str">
        <v>Sw</v>
      </c>
      <c r="Q13" s="14" t="str">
        <v>5M</v>
      </c>
      <c r="R13" s="14" t="str">
        <v>obj_008c0#0018</v>
      </c>
      <c r="S13" s="21">
        <f>_xll.qlRateHelperQuoteValue(R13,Trigger)</f>
        <v>-5.9006043999999998E-4</v>
      </c>
      <c r="T13" s="15">
        <f>_xll.qlRateHelperEarliestDate(R13,Trigger)</f>
        <v>42145</v>
      </c>
      <c r="U13" s="15">
        <f>_xll.qlRateHelperLatestDate(R13,Trigger)</f>
        <v>42298</v>
      </c>
      <c r="V13" s="162">
        <v>1.0002497711754197</v>
      </c>
    </row>
    <row r="14" spans="1:22" ht="11.25" customHeight="1" x14ac:dyDescent="0.2">
      <c r="A14" s="102" t="s">
        <v>46</v>
      </c>
      <c r="B14" s="102" t="e">
        <v>#N/A</v>
      </c>
      <c r="C14" s="103" t="e">
        <f t="shared" si="3"/>
        <v>#N/A</v>
      </c>
      <c r="D14" s="104" t="e">
        <f t="shared" si="4"/>
        <v>#N/A</v>
      </c>
      <c r="E14" s="103" t="e">
        <f t="shared" si="0"/>
        <v>#N/A</v>
      </c>
      <c r="F14" s="106" t="e">
        <f t="shared" si="1"/>
        <v>#N/A</v>
      </c>
      <c r="G14" s="107" t="s">
        <v>50</v>
      </c>
      <c r="H14" s="108" t="e">
        <v>#N/A</v>
      </c>
      <c r="I14" s="109" t="e">
        <f>_xll.qlDepositRateHelper2(,H14,IF(RIGHT(C14,1)="N","1D",C14),D14,Calendar,E14,F14,G14,,Trigger)</f>
        <v>#VALUE!</v>
      </c>
      <c r="J14" s="104" t="b">
        <f t="shared" si="2"/>
        <v>0</v>
      </c>
      <c r="L14" s="25" t="str">
        <f t="shared" si="5"/>
        <v>Dp</v>
      </c>
      <c r="M14" s="25" t="e">
        <f t="shared" si="6"/>
        <v>#N/A</v>
      </c>
      <c r="N14" s="14" t="e">
        <f t="shared" si="7"/>
        <v>#VALUE!</v>
      </c>
      <c r="O14" s="14" t="b">
        <f t="shared" si="7"/>
        <v>0</v>
      </c>
      <c r="P14" s="14" t="str">
        <v>Sw</v>
      </c>
      <c r="Q14" s="14" t="str">
        <v>6M</v>
      </c>
      <c r="R14" s="14" t="str">
        <v>obj_008a7#0017</v>
      </c>
      <c r="S14" s="21">
        <f>_xll.qlRateHelperQuoteValue(R14,Trigger)</f>
        <v>-6.0007555999999997E-4</v>
      </c>
      <c r="T14" s="15">
        <f>_xll.qlRateHelperEarliestDate(R14,Trigger)</f>
        <v>42145</v>
      </c>
      <c r="U14" s="15">
        <f>_xll.qlRateHelperLatestDate(R14,Trigger)</f>
        <v>42331</v>
      </c>
      <c r="V14" s="162">
        <v>1.0003073299794265</v>
      </c>
    </row>
    <row r="15" spans="1:22" ht="11.25" customHeight="1" x14ac:dyDescent="0.2">
      <c r="A15" s="102" t="s">
        <v>46</v>
      </c>
      <c r="B15" s="102" t="e">
        <v>#N/A</v>
      </c>
      <c r="C15" s="103" t="e">
        <f t="shared" si="3"/>
        <v>#N/A</v>
      </c>
      <c r="D15" s="104" t="e">
        <f t="shared" si="4"/>
        <v>#N/A</v>
      </c>
      <c r="E15" s="103" t="e">
        <f t="shared" si="0"/>
        <v>#N/A</v>
      </c>
      <c r="F15" s="106" t="e">
        <f t="shared" si="1"/>
        <v>#N/A</v>
      </c>
      <c r="G15" s="107" t="s">
        <v>50</v>
      </c>
      <c r="H15" s="108" t="e">
        <v>#N/A</v>
      </c>
      <c r="I15" s="109" t="e">
        <f>_xll.qlDepositRateHelper2(,H15,IF(RIGHT(C15,1)="N","1D",C15),D15,Calendar,E15,F15,G15,,Trigger)</f>
        <v>#VALUE!</v>
      </c>
      <c r="J15" s="104" t="b">
        <f t="shared" si="2"/>
        <v>0</v>
      </c>
      <c r="L15" s="25" t="str">
        <f t="shared" si="5"/>
        <v>Dp</v>
      </c>
      <c r="M15" s="25" t="e">
        <f t="shared" si="6"/>
        <v>#N/A</v>
      </c>
      <c r="N15" s="14" t="e">
        <f t="shared" si="7"/>
        <v>#VALUE!</v>
      </c>
      <c r="O15" s="14" t="b">
        <f t="shared" si="7"/>
        <v>0</v>
      </c>
      <c r="P15" s="14" t="str">
        <v>Sw</v>
      </c>
      <c r="Q15" s="14" t="str">
        <v>7M</v>
      </c>
      <c r="R15" s="14" t="str">
        <v>obj_008a8#0017</v>
      </c>
      <c r="S15" s="21">
        <f>_xll.qlRateHelperQuoteValue(R15,Trigger)</f>
        <v>-6.3008284999999998E-4</v>
      </c>
      <c r="T15" s="15">
        <f>_xll.qlRateHelperEarliestDate(R15,Trigger)</f>
        <v>42145</v>
      </c>
      <c r="U15" s="15">
        <f>_xll.qlRateHelperLatestDate(R15,Trigger)</f>
        <v>42359</v>
      </c>
      <c r="V15" s="162">
        <v>1.0003715625742764</v>
      </c>
    </row>
    <row r="16" spans="1:22" ht="11.25" customHeight="1" x14ac:dyDescent="0.2">
      <c r="A16" s="102" t="s">
        <v>46</v>
      </c>
      <c r="B16" s="102" t="e">
        <v>#N/A</v>
      </c>
      <c r="C16" s="103" t="e">
        <f t="shared" si="3"/>
        <v>#N/A</v>
      </c>
      <c r="D16" s="104" t="e">
        <f t="shared" si="4"/>
        <v>#N/A</v>
      </c>
      <c r="E16" s="103" t="e">
        <f t="shared" si="0"/>
        <v>#N/A</v>
      </c>
      <c r="F16" s="106" t="e">
        <f t="shared" si="1"/>
        <v>#N/A</v>
      </c>
      <c r="G16" s="107" t="s">
        <v>50</v>
      </c>
      <c r="H16" s="108" t="e">
        <v>#N/A</v>
      </c>
      <c r="I16" s="109" t="e">
        <f>_xll.qlDepositRateHelper2(,H16,IF(RIGHT(C16,1)="N","1D",C16),D16,Calendar,E16,F16,G16,,Trigger)</f>
        <v>#VALUE!</v>
      </c>
      <c r="J16" s="104" t="b">
        <f t="shared" si="2"/>
        <v>0</v>
      </c>
      <c r="L16" s="25" t="str">
        <f t="shared" si="5"/>
        <v>Dp</v>
      </c>
      <c r="M16" s="25" t="e">
        <f t="shared" si="6"/>
        <v>#N/A</v>
      </c>
      <c r="N16" s="14" t="e">
        <f t="shared" si="7"/>
        <v>#VALUE!</v>
      </c>
      <c r="O16" s="14" t="b">
        <f t="shared" si="7"/>
        <v>0</v>
      </c>
      <c r="P16" s="14" t="str">
        <v>Sw</v>
      </c>
      <c r="Q16" s="14" t="str">
        <v>8M</v>
      </c>
      <c r="R16" s="14" t="str">
        <v>obj_008aa#0017</v>
      </c>
      <c r="S16" s="21">
        <f>_xll.qlRateHelperQuoteValue(R16,Trigger)</f>
        <v>-6.2010251E-4</v>
      </c>
      <c r="T16" s="15">
        <f>_xll.qlRateHelperEarliestDate(R16,Trigger)</f>
        <v>42145</v>
      </c>
      <c r="U16" s="15">
        <f>_xll.qlRateHelperLatestDate(R16,Trigger)</f>
        <v>42390</v>
      </c>
      <c r="V16" s="162">
        <v>1.0004174687096004</v>
      </c>
    </row>
    <row r="17" spans="1:22" ht="11.25" customHeight="1" x14ac:dyDescent="0.2">
      <c r="A17" s="102" t="s">
        <v>46</v>
      </c>
      <c r="B17" s="102" t="e">
        <v>#N/A</v>
      </c>
      <c r="C17" s="103" t="e">
        <f t="shared" si="3"/>
        <v>#N/A</v>
      </c>
      <c r="D17" s="104" t="e">
        <f t="shared" si="4"/>
        <v>#N/A</v>
      </c>
      <c r="E17" s="103" t="e">
        <f t="shared" si="0"/>
        <v>#N/A</v>
      </c>
      <c r="F17" s="106" t="e">
        <f t="shared" si="1"/>
        <v>#N/A</v>
      </c>
      <c r="G17" s="107" t="s">
        <v>50</v>
      </c>
      <c r="H17" s="108" t="e">
        <v>#N/A</v>
      </c>
      <c r="I17" s="109" t="e">
        <f>_xll.qlDepositRateHelper2(,H17,IF(RIGHT(C17,1)="N","1D",C17),D17,Calendar,E17,F17,G17,,Trigger)</f>
        <v>#VALUE!</v>
      </c>
      <c r="J17" s="104" t="b">
        <f t="shared" si="2"/>
        <v>0</v>
      </c>
      <c r="L17" s="25" t="str">
        <f t="shared" si="5"/>
        <v>Dp</v>
      </c>
      <c r="M17" s="25" t="e">
        <f t="shared" si="6"/>
        <v>#N/A</v>
      </c>
      <c r="N17" s="14" t="e">
        <f t="shared" si="7"/>
        <v>#VALUE!</v>
      </c>
      <c r="O17" s="14" t="b">
        <f t="shared" si="7"/>
        <v>0</v>
      </c>
      <c r="P17" s="14" t="str">
        <v>Sw</v>
      </c>
      <c r="Q17" s="14" t="str">
        <v>9M</v>
      </c>
      <c r="R17" s="14" t="str">
        <v>obj_008c2#0017</v>
      </c>
      <c r="S17" s="21">
        <f>_xll.qlRateHelperQuoteValue(R17,Trigger)</f>
        <v>-6.3011650000000007E-4</v>
      </c>
      <c r="T17" s="15">
        <f>_xll.qlRateHelperEarliestDate(R17,Trigger)</f>
        <v>42145</v>
      </c>
      <c r="U17" s="15">
        <f>_xll.qlRateHelperLatestDate(R17,Trigger)</f>
        <v>42422</v>
      </c>
      <c r="V17" s="162">
        <v>1.0004784780446303</v>
      </c>
    </row>
    <row r="18" spans="1:22" ht="11.25" customHeight="1" x14ac:dyDescent="0.2">
      <c r="A18" s="4" t="s">
        <v>46</v>
      </c>
      <c r="B18" s="4" t="e">
        <v>#N/A</v>
      </c>
      <c r="C18" s="22" t="e">
        <f t="shared" si="3"/>
        <v>#N/A</v>
      </c>
      <c r="D18" s="19" t="e">
        <f t="shared" si="4"/>
        <v>#N/A</v>
      </c>
      <c r="E18" s="22" t="e">
        <f t="shared" si="0"/>
        <v>#N/A</v>
      </c>
      <c r="F18" s="23" t="e">
        <f t="shared" si="1"/>
        <v>#N/A</v>
      </c>
      <c r="G18" s="5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>IF(ISERROR(I18),FALSE,TRUE)</f>
        <v>0</v>
      </c>
      <c r="L18" s="26" t="str">
        <f t="shared" si="5"/>
        <v>Dp</v>
      </c>
      <c r="M18" s="26" t="e">
        <f t="shared" si="6"/>
        <v>#N/A</v>
      </c>
      <c r="N18" s="16" t="e">
        <f t="shared" si="7"/>
        <v>#VALUE!</v>
      </c>
      <c r="O18" s="16" t="b">
        <f t="shared" si="7"/>
        <v>0</v>
      </c>
      <c r="P18" s="14" t="str">
        <v>Sw</v>
      </c>
      <c r="Q18" s="14" t="str">
        <v>10M</v>
      </c>
      <c r="R18" s="14" t="str">
        <v>obj_00898#0019</v>
      </c>
      <c r="S18" s="21">
        <f>_xll.qlRateHelperQuoteValue(R18,Trigger)</f>
        <v>-6.3013006999999995E-4</v>
      </c>
      <c r="T18" s="15">
        <f>_xll.qlRateHelperEarliestDate(R18,Trigger)</f>
        <v>42145</v>
      </c>
      <c r="U18" s="15">
        <f>_xll.qlRateHelperLatestDate(R18,Trigger)</f>
        <v>42450</v>
      </c>
      <c r="V18" s="162">
        <v>1.0005293199475156</v>
      </c>
    </row>
    <row r="19" spans="1:22" ht="11.25" customHeight="1" x14ac:dyDescent="0.2">
      <c r="C19" s="74"/>
      <c r="D19" s="74"/>
      <c r="E19" s="74"/>
      <c r="L19" s="25" t="str">
        <f>A22</f>
        <v>Sw</v>
      </c>
      <c r="M19" s="25" t="str">
        <f>D22</f>
        <v>2M</v>
      </c>
      <c r="N19" s="25" t="str">
        <f>I22</f>
        <v>obj_008b3#0019</v>
      </c>
      <c r="O19" s="25" t="b">
        <f>J22</f>
        <v>1</v>
      </c>
      <c r="P19" s="14" t="str">
        <v>Sw</v>
      </c>
      <c r="Q19" s="14" t="str">
        <v>11M</v>
      </c>
      <c r="R19" s="14" t="str">
        <v>obj_008bc#0018</v>
      </c>
      <c r="S19" s="21">
        <f>_xll.qlRateHelperQuoteValue(R19,Trigger)</f>
        <v>-6.2014462999999997E-4</v>
      </c>
      <c r="T19" s="15">
        <f>_xll.qlRateHelperEarliestDate(R19,Trigger)</f>
        <v>42145</v>
      </c>
      <c r="U19" s="15">
        <f>_xll.qlRateHelperLatestDate(R19,Trigger)</f>
        <v>42481</v>
      </c>
      <c r="V19" s="162">
        <v>1.0005727517384995</v>
      </c>
    </row>
    <row r="20" spans="1:22" ht="11.25" customHeight="1" x14ac:dyDescent="0.2">
      <c r="C20" s="74"/>
      <c r="D20" s="74"/>
      <c r="E20" s="74"/>
      <c r="G20" s="93" t="s">
        <v>6</v>
      </c>
      <c r="H20" s="110" t="s">
        <v>9</v>
      </c>
      <c r="I20" s="30" t="str">
        <f>_xll.qlEuribor(,G20,,,Trigger)</f>
        <v>obj_0087a#0018</v>
      </c>
      <c r="J20" s="74"/>
      <c r="L20" s="25" t="str">
        <f t="shared" ref="L20:L82" si="8">A23</f>
        <v>Sw</v>
      </c>
      <c r="M20" s="25" t="str">
        <f t="shared" ref="M20:M82" si="9">D23</f>
        <v>3M</v>
      </c>
      <c r="N20" s="25" t="str">
        <f t="shared" ref="N20:N82" si="10">I23</f>
        <v>obj_0089a#0020</v>
      </c>
      <c r="O20" s="25" t="b">
        <f t="shared" ref="O20:O82" si="11">J23</f>
        <v>1</v>
      </c>
      <c r="P20" s="14" t="str">
        <v>Sw</v>
      </c>
      <c r="Q20" s="14" t="str">
        <v>12M</v>
      </c>
      <c r="R20" s="14" t="str">
        <v>obj_00899#0019</v>
      </c>
      <c r="S20" s="21">
        <f>_xll.qlRateHelperQuoteValue(R20,Trigger)</f>
        <v>-6.0016531000000001E-4</v>
      </c>
      <c r="T20" s="15">
        <f>_xll.qlRateHelperEarliestDate(R20,Trigger)</f>
        <v>42145</v>
      </c>
      <c r="U20" s="15">
        <f>_xll.qlRateHelperLatestDate(R20,Trigger)</f>
        <v>42513</v>
      </c>
      <c r="V20" s="162">
        <v>1.0006078610985121</v>
      </c>
    </row>
    <row r="21" spans="1:22" ht="11.25" customHeight="1" x14ac:dyDescent="0.2">
      <c r="A21" s="110" t="s">
        <v>18</v>
      </c>
      <c r="B21" s="110"/>
      <c r="C21" s="110" t="s">
        <v>11</v>
      </c>
      <c r="D21" s="110" t="s">
        <v>1</v>
      </c>
      <c r="E21" s="110" t="s">
        <v>13</v>
      </c>
      <c r="F21" s="110" t="s">
        <v>12</v>
      </c>
      <c r="G21" s="110" t="s">
        <v>4</v>
      </c>
      <c r="H21" s="110" t="s">
        <v>5</v>
      </c>
      <c r="I21" s="110" t="s">
        <v>43</v>
      </c>
      <c r="J21" s="110" t="s">
        <v>47</v>
      </c>
      <c r="L21" s="25" t="str">
        <f t="shared" si="8"/>
        <v>Sw</v>
      </c>
      <c r="M21" s="25" t="str">
        <f t="shared" si="9"/>
        <v>4M</v>
      </c>
      <c r="N21" s="25" t="str">
        <f t="shared" si="10"/>
        <v>obj_00889#0019</v>
      </c>
      <c r="O21" s="25" t="b">
        <f t="shared" si="11"/>
        <v>1</v>
      </c>
      <c r="P21" s="14" t="str">
        <v>Sw</v>
      </c>
      <c r="Q21" s="14" t="str">
        <v>1Y3M</v>
      </c>
      <c r="R21" s="14" t="str">
        <v>obj_008af#0018</v>
      </c>
      <c r="S21" s="21">
        <f>_xll.qlRateHelperQuoteValue(R21,Trigger)</f>
        <v>-5.4581980000000007E-4</v>
      </c>
      <c r="T21" s="15">
        <f>_xll.qlRateHelperEarliestDate(R21,Trigger)</f>
        <v>42145</v>
      </c>
      <c r="U21" s="15">
        <f>_xll.qlRateHelperLatestDate(R21,Trigger)</f>
        <v>42604</v>
      </c>
      <c r="V21" s="162">
        <v>1.0006882110709128</v>
      </c>
    </row>
    <row r="22" spans="1:22" ht="11.25" customHeight="1" x14ac:dyDescent="0.2">
      <c r="A22" s="101" t="s">
        <v>45</v>
      </c>
      <c r="B22" s="136"/>
      <c r="C22" s="136" t="s">
        <v>14</v>
      </c>
      <c r="D22" s="137" t="str">
        <f t="array" ref="D22:D85">_xll.ohFilter(PastedValue!AI2:AI82,PastedValue!AE2:AE82="Sw")</f>
        <v>2M</v>
      </c>
      <c r="E22" s="125" t="s">
        <v>15</v>
      </c>
      <c r="F22" s="136" t="s">
        <v>16</v>
      </c>
      <c r="G22" s="125" t="s">
        <v>17</v>
      </c>
      <c r="H22" s="138">
        <f t="array" ref="H22:H85">_xll.ohFilter(PastedValue!AL2:AL82,PastedValue!AE2:AE82="Sw")/100</f>
        <v>-5.6001263999999997E-4</v>
      </c>
      <c r="I22" s="99" t="str">
        <f>_xll.qlSwapRateHelper2(,$H22,,$D22,Calendar,$F22,$E22,$G22,$I$20,0,C22,Discounting,Permanent,Trigger,ObjectOverwrite)</f>
        <v>obj_008b3#0019</v>
      </c>
      <c r="J22" s="128" t="b">
        <f t="shared" ref="J22:J66" si="12">IF(ISERROR(I22),FALSE,TRUE)</f>
        <v>1</v>
      </c>
      <c r="L22" s="25" t="str">
        <f t="shared" si="8"/>
        <v>Sw</v>
      </c>
      <c r="M22" s="25" t="str">
        <f t="shared" si="9"/>
        <v>5M</v>
      </c>
      <c r="N22" s="25" t="str">
        <f t="shared" si="10"/>
        <v>obj_008c0#0018</v>
      </c>
      <c r="O22" s="25" t="b">
        <f t="shared" si="11"/>
        <v>1</v>
      </c>
      <c r="P22" s="14" t="str">
        <v>Sw</v>
      </c>
      <c r="Q22" s="14" t="str">
        <v>1Y6M</v>
      </c>
      <c r="R22" s="14" t="str">
        <v>obj_008a5#0017</v>
      </c>
      <c r="S22" s="21">
        <f>_xll.qlRateHelperQuoteValue(R22,Trigger)</f>
        <v>-4.7857587999999997E-4</v>
      </c>
      <c r="T22" s="15">
        <f>_xll.qlRateHelperEarliestDate(R22,Trigger)</f>
        <v>42145</v>
      </c>
      <c r="U22" s="15">
        <f>_xll.qlRateHelperLatestDate(R22,Trigger)</f>
        <v>42695</v>
      </c>
      <c r="V22" s="162">
        <v>1.0007223536825953</v>
      </c>
    </row>
    <row r="23" spans="1:22" ht="11.25" customHeight="1" x14ac:dyDescent="0.2">
      <c r="A23" s="109" t="s">
        <v>45</v>
      </c>
      <c r="B23" s="139"/>
      <c r="C23" s="139" t="s">
        <v>14</v>
      </c>
      <c r="D23" s="140" t="str">
        <v>3M</v>
      </c>
      <c r="E23" s="132" t="s">
        <v>15</v>
      </c>
      <c r="F23" s="139" t="s">
        <v>16</v>
      </c>
      <c r="G23" s="132" t="s">
        <v>17</v>
      </c>
      <c r="H23" s="141">
        <v>-5.8002756999999999E-4</v>
      </c>
      <c r="I23" s="107" t="str">
        <f>_xll.qlSwapRateHelper2(,$H23,,$D23,Calendar,$F23,$E23,$G23,$I$20,0,C23,Discounting,Permanent,Trigger,ObjectOverwrite)</f>
        <v>obj_0089a#0020</v>
      </c>
      <c r="J23" s="135" t="b">
        <f t="shared" si="12"/>
        <v>1</v>
      </c>
      <c r="L23" s="25" t="str">
        <f t="shared" si="8"/>
        <v>Sw</v>
      </c>
      <c r="M23" s="25" t="str">
        <f t="shared" si="9"/>
        <v>6M</v>
      </c>
      <c r="N23" s="25" t="str">
        <f t="shared" si="10"/>
        <v>obj_008a7#0017</v>
      </c>
      <c r="O23" s="25" t="b">
        <f t="shared" si="11"/>
        <v>1</v>
      </c>
      <c r="P23" s="14" t="str">
        <v>Sw</v>
      </c>
      <c r="Q23" s="14" t="str">
        <v>1Y9M</v>
      </c>
      <c r="R23" s="14" t="str">
        <v>obj_0088d#0018</v>
      </c>
      <c r="S23" s="21">
        <f>_xll.qlRateHelperQuoteValue(R23,Trigger)</f>
        <v>-3.9834106E-4</v>
      </c>
      <c r="T23" s="15">
        <f>_xll.qlRateHelperEarliestDate(R23,Trigger)</f>
        <v>42145</v>
      </c>
      <c r="U23" s="15">
        <f>_xll.qlRateHelperLatestDate(R23,Trigger)</f>
        <v>42787</v>
      </c>
      <c r="V23" s="162">
        <v>1.0007016663049721</v>
      </c>
    </row>
    <row r="24" spans="1:22" ht="11.25" customHeight="1" x14ac:dyDescent="0.2">
      <c r="A24" s="109" t="s">
        <v>45</v>
      </c>
      <c r="B24" s="139"/>
      <c r="C24" s="139" t="s">
        <v>14</v>
      </c>
      <c r="D24" s="140" t="str">
        <v>4M</v>
      </c>
      <c r="E24" s="132" t="s">
        <v>15</v>
      </c>
      <c r="F24" s="139" t="s">
        <v>16</v>
      </c>
      <c r="G24" s="132" t="s">
        <v>17</v>
      </c>
      <c r="H24" s="141">
        <v>-5.9004361999999996E-4</v>
      </c>
      <c r="I24" s="107" t="str">
        <f>_xll.qlSwapRateHelper2(,$H24,,$D24,Calendar,$F24,$E24,$G24,$I$20,0,C24,Discounting,Permanent,Trigger,ObjectOverwrite)</f>
        <v>obj_00889#0019</v>
      </c>
      <c r="J24" s="135" t="b">
        <f t="shared" si="12"/>
        <v>1</v>
      </c>
      <c r="L24" s="25" t="str">
        <f t="shared" si="8"/>
        <v>Sw</v>
      </c>
      <c r="M24" s="25" t="str">
        <f t="shared" si="9"/>
        <v>7M</v>
      </c>
      <c r="N24" s="25" t="str">
        <f t="shared" si="10"/>
        <v>obj_008a8#0017</v>
      </c>
      <c r="O24" s="25" t="b">
        <f t="shared" si="11"/>
        <v>1</v>
      </c>
      <c r="P24" s="14" t="str">
        <v>Sw</v>
      </c>
      <c r="Q24" s="14" t="str">
        <v>2Y</v>
      </c>
      <c r="R24" s="14" t="str">
        <v>obj_008ba#0017</v>
      </c>
      <c r="S24" s="21">
        <f>_xll.qlRateHelperQuoteValue(R24,Trigger)</f>
        <v>-2.9999999999999997E-4</v>
      </c>
      <c r="T24" s="15">
        <f>_xll.qlRateHelperEarliestDate(R24,Trigger)</f>
        <v>42145</v>
      </c>
      <c r="U24" s="15">
        <f>_xll.qlRateHelperLatestDate(R24,Trigger)</f>
        <v>42877</v>
      </c>
      <c r="V24" s="162">
        <v>1.0006054376354587</v>
      </c>
    </row>
    <row r="25" spans="1:22" ht="11.25" customHeight="1" x14ac:dyDescent="0.2">
      <c r="A25" s="109" t="s">
        <v>45</v>
      </c>
      <c r="B25" s="139"/>
      <c r="C25" s="139" t="s">
        <v>14</v>
      </c>
      <c r="D25" s="140" t="str">
        <v>5M</v>
      </c>
      <c r="E25" s="132" t="s">
        <v>15</v>
      </c>
      <c r="F25" s="139" t="s">
        <v>16</v>
      </c>
      <c r="G25" s="132" t="s">
        <v>17</v>
      </c>
      <c r="H25" s="141">
        <v>-5.9006043999999998E-4</v>
      </c>
      <c r="I25" s="107" t="str">
        <f>_xll.qlSwapRateHelper2(,$H25,,$D25,Calendar,$F25,$E25,$G25,$I$20,0,C25,Discounting,Permanent,Trigger,ObjectOverwrite)</f>
        <v>obj_008c0#0018</v>
      </c>
      <c r="J25" s="135" t="b">
        <f t="shared" si="12"/>
        <v>1</v>
      </c>
      <c r="L25" s="25" t="str">
        <f t="shared" si="8"/>
        <v>Sw</v>
      </c>
      <c r="M25" s="25" t="str">
        <f t="shared" si="9"/>
        <v>8M</v>
      </c>
      <c r="N25" s="25" t="str">
        <f t="shared" si="10"/>
        <v>obj_008aa#0017</v>
      </c>
      <c r="O25" s="25" t="b">
        <f t="shared" si="11"/>
        <v>1</v>
      </c>
      <c r="P25" s="14" t="str">
        <v>Sw</v>
      </c>
      <c r="Q25" s="14" t="str">
        <v>2Y3M</v>
      </c>
      <c r="R25" s="14" t="str">
        <v>obj_008bd#0017</v>
      </c>
      <c r="S25" s="21">
        <f>_xll.qlRateHelperQuoteValue(R25,Trigger)</f>
        <v>-1.7161967999999999E-4</v>
      </c>
      <c r="T25" s="15">
        <f>_xll.qlRateHelperEarliestDate(R25,Trigger)</f>
        <v>42145</v>
      </c>
      <c r="U25" s="15">
        <f>_xll.qlRateHelperLatestDate(R25,Trigger)</f>
        <v>42968</v>
      </c>
      <c r="V25" s="162">
        <v>1.0003906846968875</v>
      </c>
    </row>
    <row r="26" spans="1:22" ht="11.25" customHeight="1" x14ac:dyDescent="0.2">
      <c r="A26" s="109" t="s">
        <v>45</v>
      </c>
      <c r="B26" s="139"/>
      <c r="C26" s="139" t="s">
        <v>14</v>
      </c>
      <c r="D26" s="140" t="str">
        <v>6M</v>
      </c>
      <c r="E26" s="132" t="s">
        <v>15</v>
      </c>
      <c r="F26" s="139" t="s">
        <v>16</v>
      </c>
      <c r="G26" s="132" t="s">
        <v>17</v>
      </c>
      <c r="H26" s="141">
        <v>-6.0007555999999997E-4</v>
      </c>
      <c r="I26" s="107" t="str">
        <f>_xll.qlSwapRateHelper2(,$H26,,$D26,Calendar,$F26,$E26,$G26,$I$20,0,C26,Discounting,Permanent,Trigger,ObjectOverwrite)</f>
        <v>obj_008a7#0017</v>
      </c>
      <c r="J26" s="135" t="b">
        <f t="shared" si="12"/>
        <v>1</v>
      </c>
      <c r="L26" s="25" t="str">
        <f t="shared" si="8"/>
        <v>Sw</v>
      </c>
      <c r="M26" s="25" t="str">
        <f t="shared" si="9"/>
        <v>9M</v>
      </c>
      <c r="N26" s="25" t="str">
        <f t="shared" si="10"/>
        <v>obj_008c2#0017</v>
      </c>
      <c r="O26" s="25" t="b">
        <f t="shared" si="11"/>
        <v>1</v>
      </c>
      <c r="P26" s="14" t="str">
        <v>Sw</v>
      </c>
      <c r="Q26" s="14" t="str">
        <v>2Y6M</v>
      </c>
      <c r="R26" s="14" t="str">
        <v>obj_008b9#0019</v>
      </c>
      <c r="S26" s="21">
        <f>_xll.qlRateHelperQuoteValue(R26,Trigger)</f>
        <v>-9.3137000000000003E-6</v>
      </c>
      <c r="T26" s="15">
        <f>_xll.qlRateHelperEarliestDate(R26,Trigger)</f>
        <v>42145</v>
      </c>
      <c r="U26" s="15">
        <f>_xll.qlRateHelperLatestDate(R26,Trigger)</f>
        <v>43060</v>
      </c>
      <c r="V26" s="162">
        <v>1.0000278180704256</v>
      </c>
    </row>
    <row r="27" spans="1:22" ht="11.25" customHeight="1" x14ac:dyDescent="0.2">
      <c r="A27" s="109" t="s">
        <v>45</v>
      </c>
      <c r="B27" s="139"/>
      <c r="C27" s="139" t="s">
        <v>14</v>
      </c>
      <c r="D27" s="140" t="str">
        <v>7M</v>
      </c>
      <c r="E27" s="132" t="s">
        <v>15</v>
      </c>
      <c r="F27" s="139" t="s">
        <v>16</v>
      </c>
      <c r="G27" s="132" t="s">
        <v>17</v>
      </c>
      <c r="H27" s="141">
        <v>-6.3008284999999998E-4</v>
      </c>
      <c r="I27" s="107" t="str">
        <f>_xll.qlSwapRateHelper2(,$H27,,$D27,Calendar,$F27,$E27,$G27,$I$20,0,C27,Discounting,Permanent,Trigger,ObjectOverwrite)</f>
        <v>obj_008a8#0017</v>
      </c>
      <c r="J27" s="135" t="b">
        <f t="shared" si="12"/>
        <v>1</v>
      </c>
      <c r="L27" s="25" t="str">
        <f t="shared" si="8"/>
        <v>Sw</v>
      </c>
      <c r="M27" s="25" t="str">
        <f t="shared" si="9"/>
        <v>10M</v>
      </c>
      <c r="N27" s="25" t="str">
        <f t="shared" si="10"/>
        <v>obj_00898#0019</v>
      </c>
      <c r="O27" s="25" t="b">
        <f t="shared" si="11"/>
        <v>1</v>
      </c>
      <c r="P27" s="14" t="str">
        <v>Sw</v>
      </c>
      <c r="Q27" s="14" t="str">
        <v>2Y9M</v>
      </c>
      <c r="R27" s="14" t="str">
        <v>obj_0089d#0020</v>
      </c>
      <c r="S27" s="21">
        <f>_xll.qlRateHelperQuoteValue(R27,Trigger)</f>
        <v>1.7647149999999999E-4</v>
      </c>
      <c r="T27" s="15">
        <f>_xll.qlRateHelperEarliestDate(R27,Trigger)</f>
        <v>42145</v>
      </c>
      <c r="U27" s="15">
        <f>_xll.qlRateHelperLatestDate(R27,Trigger)</f>
        <v>43152</v>
      </c>
      <c r="V27" s="162">
        <v>0.99951936835946864</v>
      </c>
    </row>
    <row r="28" spans="1:22" ht="11.25" customHeight="1" x14ac:dyDescent="0.2">
      <c r="A28" s="109" t="s">
        <v>45</v>
      </c>
      <c r="B28" s="139"/>
      <c r="C28" s="139" t="s">
        <v>14</v>
      </c>
      <c r="D28" s="140" t="str">
        <v>8M</v>
      </c>
      <c r="E28" s="132" t="s">
        <v>15</v>
      </c>
      <c r="F28" s="139" t="s">
        <v>16</v>
      </c>
      <c r="G28" s="132" t="s">
        <v>17</v>
      </c>
      <c r="H28" s="141">
        <v>-6.2010251E-4</v>
      </c>
      <c r="I28" s="107" t="str">
        <f>_xll.qlSwapRateHelper2(,$H28,,$D28,Calendar,$F28,$E28,$G28,$I$20,0,C28,Discounting,Permanent,Trigger,ObjectOverwrite)</f>
        <v>obj_008aa#0017</v>
      </c>
      <c r="J28" s="135" t="b">
        <f t="shared" si="12"/>
        <v>1</v>
      </c>
      <c r="L28" s="25" t="str">
        <f t="shared" si="8"/>
        <v>Sw</v>
      </c>
      <c r="M28" s="25" t="str">
        <f t="shared" si="9"/>
        <v>11M</v>
      </c>
      <c r="N28" s="25" t="str">
        <f t="shared" si="10"/>
        <v>obj_008bc#0018</v>
      </c>
      <c r="O28" s="25" t="b">
        <f t="shared" si="11"/>
        <v>1</v>
      </c>
      <c r="P28" s="14" t="str">
        <v>Sw</v>
      </c>
      <c r="Q28" s="14" t="str">
        <v>3Y</v>
      </c>
      <c r="R28" s="14" t="str">
        <v>obj_008b8#0018</v>
      </c>
      <c r="S28" s="21">
        <f>_xll.qlRateHelperQuoteValue(R28,Trigger)</f>
        <v>3.6999999999999999E-4</v>
      </c>
      <c r="T28" s="15">
        <f>_xll.qlRateHelperEarliestDate(R28,Trigger)</f>
        <v>42145</v>
      </c>
      <c r="U28" s="15">
        <f>_xll.qlRateHelperLatestDate(R28,Trigger)</f>
        <v>43241</v>
      </c>
      <c r="V28" s="162">
        <v>0.99889502227281113</v>
      </c>
    </row>
    <row r="29" spans="1:22" ht="11.25" customHeight="1" x14ac:dyDescent="0.2">
      <c r="A29" s="109" t="s">
        <v>45</v>
      </c>
      <c r="B29" s="139"/>
      <c r="C29" s="139" t="s">
        <v>14</v>
      </c>
      <c r="D29" s="140" t="str">
        <v>9M</v>
      </c>
      <c r="E29" s="132" t="s">
        <v>15</v>
      </c>
      <c r="F29" s="139" t="s">
        <v>16</v>
      </c>
      <c r="G29" s="132" t="s">
        <v>17</v>
      </c>
      <c r="H29" s="141">
        <v>-6.3011650000000007E-4</v>
      </c>
      <c r="I29" s="107" t="str">
        <f>_xll.qlSwapRateHelper2(,$H29,,$D29,Calendar,$F29,$E29,$G29,$I$20,0,C29,Discounting,Permanent,Trigger,ObjectOverwrite)</f>
        <v>obj_008c2#0017</v>
      </c>
      <c r="J29" s="135" t="b">
        <f t="shared" si="12"/>
        <v>1</v>
      </c>
      <c r="L29" s="25" t="str">
        <f t="shared" si="8"/>
        <v>Sw</v>
      </c>
      <c r="M29" s="25" t="str">
        <f t="shared" si="9"/>
        <v>12M</v>
      </c>
      <c r="N29" s="25" t="str">
        <f t="shared" si="10"/>
        <v>obj_00899#0019</v>
      </c>
      <c r="O29" s="25" t="b">
        <f t="shared" si="11"/>
        <v>1</v>
      </c>
      <c r="P29" s="14" t="str">
        <v>Sw</v>
      </c>
      <c r="Q29" s="14" t="str">
        <v>4Y</v>
      </c>
      <c r="R29" s="14" t="str">
        <v>obj_008a3#0018</v>
      </c>
      <c r="S29" s="21">
        <f>_xll.qlRateHelperQuoteValue(R29,Trigger)</f>
        <v>1.2700000000000001E-3</v>
      </c>
      <c r="T29" s="15">
        <f>_xll.qlRateHelperEarliestDate(R29,Trigger)</f>
        <v>42145</v>
      </c>
      <c r="U29" s="15">
        <f>_xll.qlRateHelperLatestDate(R29,Trigger)</f>
        <v>43606</v>
      </c>
      <c r="V29" s="162">
        <v>0.99493395727391609</v>
      </c>
    </row>
    <row r="30" spans="1:22" ht="11.25" customHeight="1" x14ac:dyDescent="0.2">
      <c r="A30" s="109" t="s">
        <v>45</v>
      </c>
      <c r="B30" s="139"/>
      <c r="C30" s="139" t="s">
        <v>14</v>
      </c>
      <c r="D30" s="140" t="str">
        <v>10M</v>
      </c>
      <c r="E30" s="132" t="s">
        <v>15</v>
      </c>
      <c r="F30" s="139" t="s">
        <v>16</v>
      </c>
      <c r="G30" s="132" t="s">
        <v>17</v>
      </c>
      <c r="H30" s="141">
        <v>-6.3013006999999995E-4</v>
      </c>
      <c r="I30" s="107" t="str">
        <f>_xll.qlSwapRateHelper2(,$H30,,$D30,Calendar,$F30,$E30,$G30,$I$20,0,C30,Discounting,Permanent,Trigger,ObjectOverwrite)</f>
        <v>obj_00898#0019</v>
      </c>
      <c r="J30" s="135" t="b">
        <f t="shared" si="12"/>
        <v>1</v>
      </c>
      <c r="L30" s="25" t="str">
        <f t="shared" si="8"/>
        <v>Sw</v>
      </c>
      <c r="M30" s="25" t="str">
        <f t="shared" si="9"/>
        <v>1Y3M</v>
      </c>
      <c r="N30" s="25" t="str">
        <f t="shared" si="10"/>
        <v>obj_008af#0018</v>
      </c>
      <c r="O30" s="25" t="b">
        <f t="shared" si="11"/>
        <v>1</v>
      </c>
      <c r="P30" s="14" t="str">
        <v>Sw</v>
      </c>
      <c r="Q30" s="14" t="str">
        <v>5Y</v>
      </c>
      <c r="R30" s="14" t="str">
        <v>obj_008b1#0017</v>
      </c>
      <c r="S30" s="21">
        <f>_xll.qlRateHelperQuoteValue(R30,Trigger)</f>
        <v>2.3499999999999997E-3</v>
      </c>
      <c r="T30" s="15">
        <f>_xll.qlRateHelperEarliestDate(R30,Trigger)</f>
        <v>42145</v>
      </c>
      <c r="U30" s="15">
        <f>_xll.qlRateHelperLatestDate(R30,Trigger)</f>
        <v>43972</v>
      </c>
      <c r="V30" s="162">
        <v>0.98830150475123735</v>
      </c>
    </row>
    <row r="31" spans="1:22" ht="11.25" customHeight="1" x14ac:dyDescent="0.2">
      <c r="A31" s="109" t="s">
        <v>45</v>
      </c>
      <c r="B31" s="139"/>
      <c r="C31" s="139" t="s">
        <v>14</v>
      </c>
      <c r="D31" s="140" t="str">
        <v>11M</v>
      </c>
      <c r="E31" s="132" t="s">
        <v>15</v>
      </c>
      <c r="F31" s="139" t="s">
        <v>16</v>
      </c>
      <c r="G31" s="132" t="s">
        <v>17</v>
      </c>
      <c r="H31" s="141">
        <v>-6.2014462999999997E-4</v>
      </c>
      <c r="I31" s="107" t="str">
        <f>_xll.qlSwapRateHelper2(,$H31,,$D31,Calendar,$F31,$E31,$G31,$I$20,0,C31,Discounting,Permanent,Trigger,ObjectOverwrite)</f>
        <v>obj_008bc#0018</v>
      </c>
      <c r="J31" s="135" t="b">
        <f t="shared" si="12"/>
        <v>1</v>
      </c>
      <c r="L31" s="25" t="str">
        <f t="shared" si="8"/>
        <v>Sw</v>
      </c>
      <c r="M31" s="25" t="str">
        <f t="shared" si="9"/>
        <v>1Y6M</v>
      </c>
      <c r="N31" s="25" t="str">
        <f t="shared" si="10"/>
        <v>obj_008a5#0017</v>
      </c>
      <c r="O31" s="25" t="b">
        <f t="shared" si="11"/>
        <v>1</v>
      </c>
      <c r="P31" s="14" t="str">
        <v>Sw</v>
      </c>
      <c r="Q31" s="14" t="str">
        <v>6Y</v>
      </c>
      <c r="R31" s="14" t="str">
        <v>obj_008b5#0017</v>
      </c>
      <c r="S31" s="21">
        <f>_xll.qlRateHelperQuoteValue(R31,Trigger)</f>
        <v>3.5199999999999997E-3</v>
      </c>
      <c r="T31" s="15">
        <f>_xll.qlRateHelperEarliestDate(R31,Trigger)</f>
        <v>42145</v>
      </c>
      <c r="U31" s="15">
        <f>_xll.qlRateHelperLatestDate(R31,Trigger)</f>
        <v>44337</v>
      </c>
      <c r="V31" s="162">
        <v>0.97903226119562792</v>
      </c>
    </row>
    <row r="32" spans="1:22" ht="11.25" customHeight="1" x14ac:dyDescent="0.2">
      <c r="A32" s="109" t="s">
        <v>45</v>
      </c>
      <c r="B32" s="139"/>
      <c r="C32" s="139" t="s">
        <v>14</v>
      </c>
      <c r="D32" s="140" t="str">
        <v>12M</v>
      </c>
      <c r="E32" s="132" t="s">
        <v>15</v>
      </c>
      <c r="F32" s="139" t="s">
        <v>16</v>
      </c>
      <c r="G32" s="132" t="s">
        <v>17</v>
      </c>
      <c r="H32" s="141">
        <v>-6.0016531000000001E-4</v>
      </c>
      <c r="I32" s="107" t="str">
        <f>_xll.qlSwapRateHelper2(,$H32,,$D32,Calendar,$F32,$E32,$G32,$I$20,0,C32,Discounting,Permanent,Trigger,ObjectOverwrite)</f>
        <v>obj_00899#0019</v>
      </c>
      <c r="J32" s="135" t="b">
        <f t="shared" si="12"/>
        <v>1</v>
      </c>
      <c r="L32" s="25" t="str">
        <f t="shared" si="8"/>
        <v>Sw</v>
      </c>
      <c r="M32" s="25" t="str">
        <f t="shared" si="9"/>
        <v>1Y9M</v>
      </c>
      <c r="N32" s="25" t="str">
        <f t="shared" si="10"/>
        <v>obj_0088d#0018</v>
      </c>
      <c r="O32" s="25" t="b">
        <f t="shared" si="11"/>
        <v>1</v>
      </c>
      <c r="P32" s="14" t="str">
        <v>Sw</v>
      </c>
      <c r="Q32" s="14" t="str">
        <v>7Y</v>
      </c>
      <c r="R32" s="14" t="str">
        <v>obj_008b7#0017</v>
      </c>
      <c r="S32" s="21">
        <f>_xll.qlRateHelperQuoteValue(R32,Trigger)</f>
        <v>4.7199999999999994E-3</v>
      </c>
      <c r="T32" s="15">
        <f>_xll.qlRateHelperEarliestDate(R32,Trigger)</f>
        <v>42145</v>
      </c>
      <c r="U32" s="15">
        <f>_xll.qlRateHelperLatestDate(R32,Trigger)</f>
        <v>44704</v>
      </c>
      <c r="V32" s="162">
        <v>0.96729736362002749</v>
      </c>
    </row>
    <row r="33" spans="1:22" ht="11.25" customHeight="1" x14ac:dyDescent="0.2">
      <c r="A33" s="109" t="s">
        <v>45</v>
      </c>
      <c r="B33" s="139"/>
      <c r="C33" s="139" t="s">
        <v>14</v>
      </c>
      <c r="D33" s="140" t="str">
        <v>1Y3M</v>
      </c>
      <c r="E33" s="132" t="s">
        <v>15</v>
      </c>
      <c r="F33" s="139" t="s">
        <v>16</v>
      </c>
      <c r="G33" s="132" t="s">
        <v>17</v>
      </c>
      <c r="H33" s="141">
        <v>-5.4581980000000007E-4</v>
      </c>
      <c r="I33" s="107" t="str">
        <f>_xll.qlSwapRateHelper2(,$H33,,$D33,Calendar,$F33,$E33,$G33,$I$20,0,C33,Discounting,Permanent,Trigger,ObjectOverwrite)</f>
        <v>obj_008af#0018</v>
      </c>
      <c r="J33" s="135" t="b">
        <f t="shared" si="12"/>
        <v>1</v>
      </c>
      <c r="L33" s="25" t="str">
        <f t="shared" si="8"/>
        <v>Sw</v>
      </c>
      <c r="M33" s="25" t="str">
        <f t="shared" si="9"/>
        <v>2Y</v>
      </c>
      <c r="N33" s="25" t="str">
        <f t="shared" si="10"/>
        <v>obj_008ba#0017</v>
      </c>
      <c r="O33" s="25" t="b">
        <f t="shared" si="11"/>
        <v>1</v>
      </c>
      <c r="P33" s="14" t="str">
        <v>Sw</v>
      </c>
      <c r="Q33" s="14" t="str">
        <v>8Y</v>
      </c>
      <c r="R33" s="14" t="str">
        <v>obj_0088a#0018</v>
      </c>
      <c r="S33" s="21">
        <f>_xll.qlRateHelperQuoteValue(R33,Trigger)</f>
        <v>5.8299999999999992E-3</v>
      </c>
      <c r="T33" s="15">
        <f>_xll.qlRateHelperEarliestDate(R33,Trigger)</f>
        <v>42145</v>
      </c>
      <c r="U33" s="15">
        <f>_xll.qlRateHelperLatestDate(R33,Trigger)</f>
        <v>45068</v>
      </c>
      <c r="V33" s="162">
        <v>0.954068247392861</v>
      </c>
    </row>
    <row r="34" spans="1:22" ht="11.25" customHeight="1" x14ac:dyDescent="0.2">
      <c r="A34" s="109" t="s">
        <v>45</v>
      </c>
      <c r="B34" s="139"/>
      <c r="C34" s="139" t="s">
        <v>14</v>
      </c>
      <c r="D34" s="140" t="str">
        <v>1Y6M</v>
      </c>
      <c r="E34" s="132" t="s">
        <v>15</v>
      </c>
      <c r="F34" s="139" t="s">
        <v>16</v>
      </c>
      <c r="G34" s="132" t="s">
        <v>17</v>
      </c>
      <c r="H34" s="141">
        <v>-4.7857587999999997E-4</v>
      </c>
      <c r="I34" s="107" t="str">
        <f>_xll.qlSwapRateHelper2(,$H34,,$D34,Calendar,$F34,$E34,$G34,$I$20,0,C34,Discounting,Permanent,Trigger,ObjectOverwrite)</f>
        <v>obj_008a5#0017</v>
      </c>
      <c r="J34" s="135" t="b">
        <f t="shared" si="12"/>
        <v>1</v>
      </c>
      <c r="L34" s="25" t="str">
        <f t="shared" si="8"/>
        <v>Sw</v>
      </c>
      <c r="M34" s="25" t="str">
        <f t="shared" si="9"/>
        <v>2Y3M</v>
      </c>
      <c r="N34" s="25" t="str">
        <f t="shared" si="10"/>
        <v>obj_008bd#0017</v>
      </c>
      <c r="O34" s="25" t="b">
        <f t="shared" si="11"/>
        <v>1</v>
      </c>
      <c r="P34" s="14" t="str">
        <v>Sw</v>
      </c>
      <c r="Q34" s="14" t="str">
        <v>9Y</v>
      </c>
      <c r="R34" s="14" t="str">
        <v>obj_00882#0019</v>
      </c>
      <c r="S34" s="21">
        <f>_xll.qlRateHelperQuoteValue(R34,Trigger)</f>
        <v>6.8300000000000001E-3</v>
      </c>
      <c r="T34" s="15">
        <f>_xll.qlRateHelperEarliestDate(R34,Trigger)</f>
        <v>42145</v>
      </c>
      <c r="U34" s="15">
        <f>_xll.qlRateHelperLatestDate(R34,Trigger)</f>
        <v>45433</v>
      </c>
      <c r="V34" s="162">
        <v>0.9398016866791975</v>
      </c>
    </row>
    <row r="35" spans="1:22" ht="11.25" customHeight="1" x14ac:dyDescent="0.2">
      <c r="A35" s="109" t="s">
        <v>45</v>
      </c>
      <c r="B35" s="139"/>
      <c r="C35" s="139" t="s">
        <v>14</v>
      </c>
      <c r="D35" s="140" t="str">
        <v>1Y9M</v>
      </c>
      <c r="E35" s="132" t="s">
        <v>15</v>
      </c>
      <c r="F35" s="139" t="s">
        <v>16</v>
      </c>
      <c r="G35" s="132" t="s">
        <v>17</v>
      </c>
      <c r="H35" s="141">
        <v>-3.9834106E-4</v>
      </c>
      <c r="I35" s="107" t="str">
        <f>_xll.qlSwapRateHelper2(,$H35,,$D35,Calendar,$F35,$E35,$G35,$I$20,0,C35,Discounting,Permanent,Trigger,ObjectOverwrite)</f>
        <v>obj_0088d#0018</v>
      </c>
      <c r="J35" s="135" t="b">
        <f t="shared" si="12"/>
        <v>1</v>
      </c>
      <c r="L35" s="25" t="str">
        <f t="shared" si="8"/>
        <v>Sw</v>
      </c>
      <c r="M35" s="25" t="str">
        <f t="shared" si="9"/>
        <v>2Y6M</v>
      </c>
      <c r="N35" s="25" t="str">
        <f t="shared" si="10"/>
        <v>obj_008b9#0019</v>
      </c>
      <c r="O35" s="25" t="b">
        <f t="shared" si="11"/>
        <v>1</v>
      </c>
      <c r="P35" s="14" t="str">
        <v>Sw</v>
      </c>
      <c r="Q35" s="14" t="str">
        <v>10Y</v>
      </c>
      <c r="R35" s="14" t="str">
        <v>obj_0088c#0019</v>
      </c>
      <c r="S35" s="21">
        <f>_xll.qlRateHelperQuoteValue(R35,Trigger)</f>
        <v>7.6899999999999998E-3</v>
      </c>
      <c r="T35" s="15">
        <f>_xll.qlRateHelperEarliestDate(R35,Trigger)</f>
        <v>42145</v>
      </c>
      <c r="U35" s="15">
        <f>_xll.qlRateHelperLatestDate(R35,Trigger)</f>
        <v>45798</v>
      </c>
      <c r="V35" s="162">
        <v>0.92512621708979992</v>
      </c>
    </row>
    <row r="36" spans="1:22" ht="11.25" customHeight="1" x14ac:dyDescent="0.2">
      <c r="A36" s="109" t="s">
        <v>45</v>
      </c>
      <c r="B36" s="139"/>
      <c r="C36" s="139" t="s">
        <v>14</v>
      </c>
      <c r="D36" s="140" t="str">
        <v>2Y</v>
      </c>
      <c r="E36" s="132" t="s">
        <v>15</v>
      </c>
      <c r="F36" s="139" t="s">
        <v>16</v>
      </c>
      <c r="G36" s="132" t="s">
        <v>17</v>
      </c>
      <c r="H36" s="141">
        <v>-2.9999999999999997E-4</v>
      </c>
      <c r="I36" s="107" t="str">
        <f>_xll.qlSwapRateHelper2(,$H36,,$D36,Calendar,$F36,$E36,$G36,$I$20,0,C36,Discounting,Permanent,Trigger,ObjectOverwrite)</f>
        <v>obj_008ba#0017</v>
      </c>
      <c r="J36" s="135" t="b">
        <f t="shared" si="12"/>
        <v>1</v>
      </c>
      <c r="L36" s="25" t="str">
        <f t="shared" si="8"/>
        <v>Sw</v>
      </c>
      <c r="M36" s="25" t="str">
        <f t="shared" si="9"/>
        <v>2Y9M</v>
      </c>
      <c r="N36" s="25" t="str">
        <f t="shared" si="10"/>
        <v>obj_0089d#0020</v>
      </c>
      <c r="O36" s="25" t="b">
        <f t="shared" si="11"/>
        <v>1</v>
      </c>
      <c r="P36" s="14" t="str">
        <v>Sw</v>
      </c>
      <c r="Q36" s="14" t="str">
        <v>11Y</v>
      </c>
      <c r="R36" s="14" t="str">
        <v>obj_008b6#0018</v>
      </c>
      <c r="S36" s="21">
        <f>_xll.qlRateHelperQuoteValue(R36,Trigger)</f>
        <v>8.4615203899999995E-3</v>
      </c>
      <c r="T36" s="15">
        <f>_xll.qlRateHelperEarliestDate(R36,Trigger)</f>
        <v>42145</v>
      </c>
      <c r="U36" s="15">
        <f>_xll.qlRateHelperLatestDate(R36,Trigger)</f>
        <v>46163</v>
      </c>
      <c r="V36" s="162">
        <v>0.90994006706321473</v>
      </c>
    </row>
    <row r="37" spans="1:22" ht="11.25" customHeight="1" x14ac:dyDescent="0.2">
      <c r="A37" s="109" t="s">
        <v>45</v>
      </c>
      <c r="B37" s="139"/>
      <c r="C37" s="139" t="s">
        <v>14</v>
      </c>
      <c r="D37" s="140" t="str">
        <v>2Y3M</v>
      </c>
      <c r="E37" s="132" t="s">
        <v>15</v>
      </c>
      <c r="F37" s="139" t="s">
        <v>16</v>
      </c>
      <c r="G37" s="132" t="s">
        <v>17</v>
      </c>
      <c r="H37" s="141">
        <v>-1.7161967999999999E-4</v>
      </c>
      <c r="I37" s="107" t="str">
        <f>_xll.qlSwapRateHelper2(,$H37,,$D37,Calendar,$F37,$E37,$G37,$I$20,0,C37,Discounting,Permanent,Trigger,ObjectOverwrite)</f>
        <v>obj_008bd#0017</v>
      </c>
      <c r="J37" s="135" t="b">
        <f t="shared" si="12"/>
        <v>1</v>
      </c>
      <c r="L37" s="25" t="str">
        <f t="shared" si="8"/>
        <v>Sw</v>
      </c>
      <c r="M37" s="25" t="str">
        <f t="shared" si="9"/>
        <v>3Y</v>
      </c>
      <c r="N37" s="25" t="str">
        <f t="shared" si="10"/>
        <v>obj_008b8#0018</v>
      </c>
      <c r="O37" s="25" t="b">
        <f t="shared" si="11"/>
        <v>1</v>
      </c>
      <c r="P37" s="14" t="str">
        <v>Sw</v>
      </c>
      <c r="Q37" s="14" t="str">
        <v>12Y</v>
      </c>
      <c r="R37" s="14" t="str">
        <v>obj_008c5#0017</v>
      </c>
      <c r="S37" s="21">
        <f>_xll.qlRateHelperQuoteValue(R37,Trigger)</f>
        <v>9.1500000000000001E-3</v>
      </c>
      <c r="T37" s="15">
        <f>_xll.qlRateHelperEarliestDate(R37,Trigger)</f>
        <v>42145</v>
      </c>
      <c r="U37" s="15">
        <f>_xll.qlRateHelperLatestDate(R37,Trigger)</f>
        <v>46528</v>
      </c>
      <c r="V37" s="162">
        <v>0.89445989663499836</v>
      </c>
    </row>
    <row r="38" spans="1:22" ht="11.25" customHeight="1" x14ac:dyDescent="0.2">
      <c r="A38" s="109" t="s">
        <v>45</v>
      </c>
      <c r="B38" s="139"/>
      <c r="C38" s="139" t="s">
        <v>14</v>
      </c>
      <c r="D38" s="140" t="str">
        <v>2Y6M</v>
      </c>
      <c r="E38" s="132" t="s">
        <v>15</v>
      </c>
      <c r="F38" s="139" t="s">
        <v>16</v>
      </c>
      <c r="G38" s="132" t="s">
        <v>17</v>
      </c>
      <c r="H38" s="141">
        <v>-9.3137000000000003E-6</v>
      </c>
      <c r="I38" s="107" t="str">
        <f>_xll.qlSwapRateHelper2(,$H38,,$D38,Calendar,$F38,$E38,$G38,$I$20,0,C38,Discounting,Permanent,Trigger,ObjectOverwrite)</f>
        <v>obj_008b9#0019</v>
      </c>
      <c r="J38" s="135" t="b">
        <f t="shared" si="12"/>
        <v>1</v>
      </c>
      <c r="L38" s="25" t="str">
        <f t="shared" si="8"/>
        <v>Sw</v>
      </c>
      <c r="M38" s="25" t="str">
        <f t="shared" si="9"/>
        <v>4Y</v>
      </c>
      <c r="N38" s="25" t="str">
        <f t="shared" si="10"/>
        <v>obj_008a3#0018</v>
      </c>
      <c r="O38" s="25" t="b">
        <f t="shared" si="11"/>
        <v>1</v>
      </c>
      <c r="P38" s="14" t="str">
        <v>Sw</v>
      </c>
      <c r="Q38" s="14" t="str">
        <v>13Y</v>
      </c>
      <c r="R38" s="14" t="str">
        <v>obj_0089b#0018</v>
      </c>
      <c r="S38" s="21">
        <f>_xll.qlRateHelperQuoteValue(R38,Trigger)</f>
        <v>9.7562716900000002E-3</v>
      </c>
      <c r="T38" s="15">
        <f>_xll.qlRateHelperEarliestDate(R38,Trigger)</f>
        <v>42145</v>
      </c>
      <c r="U38" s="15">
        <f>_xll.qlRateHelperLatestDate(R38,Trigger)</f>
        <v>46895</v>
      </c>
      <c r="V38" s="162">
        <v>0.8789075096138107</v>
      </c>
    </row>
    <row r="39" spans="1:22" ht="11.25" customHeight="1" x14ac:dyDescent="0.2">
      <c r="A39" s="109" t="s">
        <v>45</v>
      </c>
      <c r="B39" s="139"/>
      <c r="C39" s="139" t="s">
        <v>14</v>
      </c>
      <c r="D39" s="140" t="str">
        <v>2Y9M</v>
      </c>
      <c r="E39" s="132" t="s">
        <v>15</v>
      </c>
      <c r="F39" s="139" t="s">
        <v>16</v>
      </c>
      <c r="G39" s="132" t="s">
        <v>17</v>
      </c>
      <c r="H39" s="141">
        <v>1.7647149999999999E-4</v>
      </c>
      <c r="I39" s="107" t="str">
        <f>_xll.qlSwapRateHelper2(,$H39,,$D39,Calendar,$F39,$E39,$G39,$I$20,0,C39,Discounting,Permanent,Trigger,ObjectOverwrite)</f>
        <v>obj_0089d#0020</v>
      </c>
      <c r="J39" s="135" t="b">
        <f t="shared" si="12"/>
        <v>1</v>
      </c>
      <c r="L39" s="25" t="str">
        <f t="shared" si="8"/>
        <v>Sw</v>
      </c>
      <c r="M39" s="25" t="str">
        <f t="shared" si="9"/>
        <v>5Y</v>
      </c>
      <c r="N39" s="25" t="str">
        <f t="shared" si="10"/>
        <v>obj_008b1#0017</v>
      </c>
      <c r="O39" s="25" t="b">
        <f t="shared" si="11"/>
        <v>1</v>
      </c>
      <c r="P39" s="14" t="str">
        <v>Sw</v>
      </c>
      <c r="Q39" s="14" t="str">
        <v>14Y</v>
      </c>
      <c r="R39" s="14" t="str">
        <v>obj_0087f#0018</v>
      </c>
      <c r="S39" s="21">
        <f>_xll.qlRateHelperQuoteValue(R39,Trigger)</f>
        <v>1.027112979E-2</v>
      </c>
      <c r="T39" s="15">
        <f>_xll.qlRateHelperEarliestDate(R39,Trigger)</f>
        <v>42145</v>
      </c>
      <c r="U39" s="15">
        <f>_xll.qlRateHelperLatestDate(R39,Trigger)</f>
        <v>47259</v>
      </c>
      <c r="V39" s="162">
        <v>0.86371641170505165</v>
      </c>
    </row>
    <row r="40" spans="1:22" ht="11.25" customHeight="1" x14ac:dyDescent="0.2">
      <c r="A40" s="109" t="s">
        <v>45</v>
      </c>
      <c r="B40" s="139"/>
      <c r="C40" s="139" t="s">
        <v>14</v>
      </c>
      <c r="D40" s="140" t="str">
        <v>3Y</v>
      </c>
      <c r="E40" s="132" t="s">
        <v>15</v>
      </c>
      <c r="F40" s="139" t="s">
        <v>16</v>
      </c>
      <c r="G40" s="132" t="s">
        <v>17</v>
      </c>
      <c r="H40" s="141">
        <v>3.6999999999999999E-4</v>
      </c>
      <c r="I40" s="107" t="str">
        <f>_xll.qlSwapRateHelper2(,$H40,,$D40,Calendar,$F40,$E40,$G40,$I$20,0,C40,Discounting,Permanent,Trigger,ObjectOverwrite)</f>
        <v>obj_008b8#0018</v>
      </c>
      <c r="J40" s="135" t="b">
        <f t="shared" si="12"/>
        <v>1</v>
      </c>
      <c r="L40" s="25" t="str">
        <f t="shared" si="8"/>
        <v>Sw</v>
      </c>
      <c r="M40" s="25" t="str">
        <f t="shared" si="9"/>
        <v>6Y</v>
      </c>
      <c r="N40" s="25" t="str">
        <f t="shared" si="10"/>
        <v>obj_008b5#0017</v>
      </c>
      <c r="O40" s="25" t="b">
        <f t="shared" si="11"/>
        <v>1</v>
      </c>
      <c r="P40" s="14" t="str">
        <v>Sw</v>
      </c>
      <c r="Q40" s="14" t="str">
        <v>15Y</v>
      </c>
      <c r="R40" s="14" t="str">
        <v>obj_008a4#0018</v>
      </c>
      <c r="S40" s="21">
        <f>_xll.qlRateHelperQuoteValue(R40,Trigger)</f>
        <v>1.0709999999999999E-2</v>
      </c>
      <c r="T40" s="15">
        <f>_xll.qlRateHelperEarliestDate(R40,Trigger)</f>
        <v>42145</v>
      </c>
      <c r="U40" s="15">
        <f>_xll.qlRateHelperLatestDate(R40,Trigger)</f>
        <v>47624</v>
      </c>
      <c r="V40" s="162">
        <v>0.84885274066241745</v>
      </c>
    </row>
    <row r="41" spans="1:22" ht="11.25" customHeight="1" x14ac:dyDescent="0.2">
      <c r="A41" s="109" t="s">
        <v>45</v>
      </c>
      <c r="B41" s="139"/>
      <c r="C41" s="139" t="s">
        <v>14</v>
      </c>
      <c r="D41" s="140" t="str">
        <v>4Y</v>
      </c>
      <c r="E41" s="132" t="s">
        <v>15</v>
      </c>
      <c r="F41" s="139" t="s">
        <v>16</v>
      </c>
      <c r="G41" s="132" t="s">
        <v>17</v>
      </c>
      <c r="H41" s="141">
        <v>1.2700000000000001E-3</v>
      </c>
      <c r="I41" s="107" t="str">
        <f>_xll.qlSwapRateHelper2(,$H41,,$D41,Calendar,$F41,$E41,$G41,$I$20,0,C41,Discounting,Permanent,Trigger,ObjectOverwrite)</f>
        <v>obj_008a3#0018</v>
      </c>
      <c r="J41" s="135" t="b">
        <f t="shared" si="12"/>
        <v>1</v>
      </c>
      <c r="L41" s="25" t="str">
        <f t="shared" si="8"/>
        <v>Sw</v>
      </c>
      <c r="M41" s="25" t="str">
        <f t="shared" si="9"/>
        <v>7Y</v>
      </c>
      <c r="N41" s="25" t="str">
        <f t="shared" si="10"/>
        <v>obj_008b7#0017</v>
      </c>
      <c r="O41" s="25" t="b">
        <f t="shared" si="11"/>
        <v>1</v>
      </c>
      <c r="P41" s="14" t="str">
        <v>Sw</v>
      </c>
      <c r="Q41" s="14" t="str">
        <v>16Y</v>
      </c>
      <c r="R41" s="14" t="str">
        <v>obj_0088e#0018</v>
      </c>
      <c r="S41" s="21">
        <f>_xll.qlRateHelperQuoteValue(R41,Trigger)</f>
        <v>1.108001022E-2</v>
      </c>
      <c r="T41" s="15">
        <f>_xll.qlRateHelperEarliestDate(R41,Trigger)</f>
        <v>42145</v>
      </c>
      <c r="U41" s="15">
        <f>_xll.qlRateHelperLatestDate(R41,Trigger)</f>
        <v>47989</v>
      </c>
      <c r="V41" s="162">
        <v>0.83443888124597843</v>
      </c>
    </row>
    <row r="42" spans="1:22" ht="11.25" customHeight="1" x14ac:dyDescent="0.2">
      <c r="A42" s="109" t="s">
        <v>45</v>
      </c>
      <c r="B42" s="139"/>
      <c r="C42" s="139" t="s">
        <v>14</v>
      </c>
      <c r="D42" s="140" t="str">
        <v>5Y</v>
      </c>
      <c r="E42" s="132" t="s">
        <v>15</v>
      </c>
      <c r="F42" s="139" t="s">
        <v>16</v>
      </c>
      <c r="G42" s="132" t="s">
        <v>17</v>
      </c>
      <c r="H42" s="141">
        <v>2.3499999999999997E-3</v>
      </c>
      <c r="I42" s="107" t="str">
        <f>_xll.qlSwapRateHelper2(,$H42,,$D42,Calendar,$F42,$E42,$G42,$I$20,0,C42,Discounting,Permanent,Trigger,ObjectOverwrite)</f>
        <v>obj_008b1#0017</v>
      </c>
      <c r="J42" s="135" t="b">
        <f t="shared" si="12"/>
        <v>1</v>
      </c>
      <c r="L42" s="25" t="str">
        <f t="shared" si="8"/>
        <v>Sw</v>
      </c>
      <c r="M42" s="25" t="str">
        <f t="shared" si="9"/>
        <v>8Y</v>
      </c>
      <c r="N42" s="25" t="str">
        <f t="shared" si="10"/>
        <v>obj_0088a#0018</v>
      </c>
      <c r="O42" s="25" t="b">
        <f t="shared" si="11"/>
        <v>1</v>
      </c>
      <c r="P42" s="14" t="str">
        <v>Sw</v>
      </c>
      <c r="Q42" s="14" t="str">
        <v>17Y</v>
      </c>
      <c r="R42" s="14" t="str">
        <v>obj_0088f#0020</v>
      </c>
      <c r="S42" s="21">
        <f>_xll.qlRateHelperQuoteValue(R42,Trigger)</f>
        <v>1.139165172E-2</v>
      </c>
      <c r="T42" s="15">
        <f>_xll.qlRateHelperEarliestDate(R42,Trigger)</f>
        <v>42145</v>
      </c>
      <c r="U42" s="15">
        <f>_xll.qlRateHelperLatestDate(R42,Trigger)</f>
        <v>48355</v>
      </c>
      <c r="V42" s="162">
        <v>0.82049009956547281</v>
      </c>
    </row>
    <row r="43" spans="1:22" ht="11.25" customHeight="1" x14ac:dyDescent="0.2">
      <c r="A43" s="109" t="s">
        <v>45</v>
      </c>
      <c r="B43" s="139"/>
      <c r="C43" s="139" t="s">
        <v>14</v>
      </c>
      <c r="D43" s="140" t="str">
        <v>6Y</v>
      </c>
      <c r="E43" s="132" t="s">
        <v>15</v>
      </c>
      <c r="F43" s="139" t="s">
        <v>16</v>
      </c>
      <c r="G43" s="132" t="s">
        <v>17</v>
      </c>
      <c r="H43" s="141">
        <v>3.5199999999999997E-3</v>
      </c>
      <c r="I43" s="107" t="str">
        <f>_xll.qlSwapRateHelper2(,$H43,,$D43,Calendar,$F43,$E43,$G43,$I$20,0,C43,Discounting,Permanent,Trigger,ObjectOverwrite)</f>
        <v>obj_008b5#0017</v>
      </c>
      <c r="J43" s="135" t="b">
        <f t="shared" si="12"/>
        <v>1</v>
      </c>
      <c r="L43" s="25" t="str">
        <f t="shared" si="8"/>
        <v>Sw</v>
      </c>
      <c r="M43" s="25" t="str">
        <f t="shared" si="9"/>
        <v>9Y</v>
      </c>
      <c r="N43" s="25" t="str">
        <f t="shared" si="10"/>
        <v>obj_00882#0019</v>
      </c>
      <c r="O43" s="25" t="b">
        <f t="shared" si="11"/>
        <v>1</v>
      </c>
      <c r="P43" s="14" t="str">
        <v>Sw</v>
      </c>
      <c r="Q43" s="14" t="str">
        <v>18Y</v>
      </c>
      <c r="R43" s="14" t="str">
        <v>obj_008c6#0019</v>
      </c>
      <c r="S43" s="21">
        <f>_xll.qlRateHelperQuoteValue(R43,Trigger)</f>
        <v>1.1648300620000001E-2</v>
      </c>
      <c r="T43" s="15">
        <f>_xll.qlRateHelperEarliestDate(R43,Trigger)</f>
        <v>42145</v>
      </c>
      <c r="U43" s="15">
        <f>_xll.qlRateHelperLatestDate(R43,Trigger)</f>
        <v>48722</v>
      </c>
      <c r="V43" s="162">
        <v>0.80704607039775145</v>
      </c>
    </row>
    <row r="44" spans="1:22" ht="11.25" customHeight="1" x14ac:dyDescent="0.2">
      <c r="A44" s="109" t="s">
        <v>45</v>
      </c>
      <c r="B44" s="139"/>
      <c r="C44" s="139" t="s">
        <v>14</v>
      </c>
      <c r="D44" s="140" t="str">
        <v>7Y</v>
      </c>
      <c r="E44" s="132" t="s">
        <v>15</v>
      </c>
      <c r="F44" s="139" t="s">
        <v>16</v>
      </c>
      <c r="G44" s="132" t="s">
        <v>17</v>
      </c>
      <c r="H44" s="141">
        <v>4.7199999999999994E-3</v>
      </c>
      <c r="I44" s="107" t="str">
        <f>_xll.qlSwapRateHelper2(,$H44,,$D44,Calendar,$F44,$E44,$G44,$I$20,0,C44,Discounting,Permanent,Trigger,ObjectOverwrite)</f>
        <v>obj_008b7#0017</v>
      </c>
      <c r="J44" s="135" t="b">
        <f t="shared" si="12"/>
        <v>1</v>
      </c>
      <c r="L44" s="25" t="str">
        <f t="shared" si="8"/>
        <v>Sw</v>
      </c>
      <c r="M44" s="25" t="str">
        <f t="shared" si="9"/>
        <v>10Y</v>
      </c>
      <c r="N44" s="25" t="str">
        <f t="shared" si="10"/>
        <v>obj_0088c#0019</v>
      </c>
      <c r="O44" s="25" t="b">
        <f t="shared" si="11"/>
        <v>1</v>
      </c>
      <c r="P44" s="14" t="str">
        <v>Sw</v>
      </c>
      <c r="Q44" s="14" t="str">
        <v>19Y</v>
      </c>
      <c r="R44" s="14" t="str">
        <v>obj_008ad#0018</v>
      </c>
      <c r="S44" s="21">
        <f>_xll.qlRateHelperQuoteValue(R44,Trigger)</f>
        <v>1.186020368E-2</v>
      </c>
      <c r="T44" s="15">
        <f>_xll.qlRateHelperEarliestDate(R44,Trigger)</f>
        <v>42145</v>
      </c>
      <c r="U44" s="15">
        <f>_xll.qlRateHelperLatestDate(R44,Trigger)</f>
        <v>49086</v>
      </c>
      <c r="V44" s="162">
        <v>0.79419373907318092</v>
      </c>
    </row>
    <row r="45" spans="1:22" ht="11.25" customHeight="1" x14ac:dyDescent="0.2">
      <c r="A45" s="109" t="s">
        <v>45</v>
      </c>
      <c r="B45" s="139"/>
      <c r="C45" s="139" t="s">
        <v>14</v>
      </c>
      <c r="D45" s="140" t="str">
        <v>8Y</v>
      </c>
      <c r="E45" s="132" t="s">
        <v>15</v>
      </c>
      <c r="F45" s="139" t="s">
        <v>16</v>
      </c>
      <c r="G45" s="132" t="s">
        <v>17</v>
      </c>
      <c r="H45" s="141">
        <v>5.8299999999999992E-3</v>
      </c>
      <c r="I45" s="107" t="str">
        <f>_xll.qlSwapRateHelper2(,$H45,,$D45,Calendar,$F45,$E45,$G45,$I$20,0,C45,Discounting,Permanent,Trigger,ObjectOverwrite)</f>
        <v>obj_0088a#0018</v>
      </c>
      <c r="J45" s="135" t="b">
        <f t="shared" si="12"/>
        <v>1</v>
      </c>
      <c r="L45" s="25" t="str">
        <f t="shared" si="8"/>
        <v>Sw</v>
      </c>
      <c r="M45" s="25" t="str">
        <f t="shared" si="9"/>
        <v>11Y</v>
      </c>
      <c r="N45" s="25" t="str">
        <f t="shared" si="10"/>
        <v>obj_008b6#0018</v>
      </c>
      <c r="O45" s="25" t="b">
        <f t="shared" si="11"/>
        <v>1</v>
      </c>
      <c r="P45" s="14" t="str">
        <v>Sw</v>
      </c>
      <c r="Q45" s="14" t="str">
        <v>20Y</v>
      </c>
      <c r="R45" s="14" t="str">
        <v>obj_008bf#0017</v>
      </c>
      <c r="S45" s="21">
        <f>_xll.qlRateHelperQuoteValue(R45,Trigger)</f>
        <v>1.2030000000000001E-2</v>
      </c>
      <c r="T45" s="15">
        <f>_xll.qlRateHelperEarliestDate(R45,Trigger)</f>
        <v>42145</v>
      </c>
      <c r="U45" s="15">
        <f>_xll.qlRateHelperLatestDate(R45,Trigger)</f>
        <v>49450</v>
      </c>
      <c r="V45" s="162">
        <v>0.7819136522825757</v>
      </c>
    </row>
    <row r="46" spans="1:22" ht="11.25" customHeight="1" x14ac:dyDescent="0.2">
      <c r="A46" s="109" t="s">
        <v>45</v>
      </c>
      <c r="B46" s="139"/>
      <c r="C46" s="139" t="s">
        <v>14</v>
      </c>
      <c r="D46" s="140" t="str">
        <v>9Y</v>
      </c>
      <c r="E46" s="132" t="s">
        <v>15</v>
      </c>
      <c r="F46" s="139" t="s">
        <v>16</v>
      </c>
      <c r="G46" s="132" t="s">
        <v>17</v>
      </c>
      <c r="H46" s="141">
        <v>6.8300000000000001E-3</v>
      </c>
      <c r="I46" s="107" t="str">
        <f>_xll.qlSwapRateHelper2(,$H46,,$D46,Calendar,$F46,$E46,$G46,$I$20,0,C46,Discounting,Permanent,Trigger,ObjectOverwrite)</f>
        <v>obj_00882#0019</v>
      </c>
      <c r="J46" s="135" t="b">
        <f t="shared" si="12"/>
        <v>1</v>
      </c>
      <c r="L46" s="25" t="str">
        <f t="shared" si="8"/>
        <v>Sw</v>
      </c>
      <c r="M46" s="25" t="str">
        <f t="shared" si="9"/>
        <v>12Y</v>
      </c>
      <c r="N46" s="25" t="str">
        <f t="shared" si="10"/>
        <v>obj_008c5#0017</v>
      </c>
      <c r="O46" s="25" t="b">
        <f t="shared" si="11"/>
        <v>1</v>
      </c>
      <c r="P46" s="14" t="str">
        <v>Sw</v>
      </c>
      <c r="Q46" s="14" t="str">
        <v>21Y</v>
      </c>
      <c r="R46" s="14" t="str">
        <v>obj_00883#0018</v>
      </c>
      <c r="S46" s="21">
        <f>_xll.qlRateHelperQuoteValue(R46,Trigger)</f>
        <v>1.2166357480000001E-2</v>
      </c>
      <c r="T46" s="15">
        <f>_xll.qlRateHelperEarliestDate(R46,Trigger)</f>
        <v>42145</v>
      </c>
      <c r="U46" s="15">
        <f>_xll.qlRateHelperLatestDate(R46,Trigger)</f>
        <v>49816</v>
      </c>
      <c r="V46" s="162">
        <v>0.77011382450734689</v>
      </c>
    </row>
    <row r="47" spans="1:22" ht="11.25" customHeight="1" x14ac:dyDescent="0.2">
      <c r="A47" s="109" t="s">
        <v>45</v>
      </c>
      <c r="B47" s="139"/>
      <c r="C47" s="139" t="s">
        <v>14</v>
      </c>
      <c r="D47" s="140" t="str">
        <v>10Y</v>
      </c>
      <c r="E47" s="132" t="s">
        <v>15</v>
      </c>
      <c r="F47" s="139" t="s">
        <v>16</v>
      </c>
      <c r="G47" s="132" t="s">
        <v>17</v>
      </c>
      <c r="H47" s="141">
        <v>7.6899999999999998E-3</v>
      </c>
      <c r="I47" s="107" t="str">
        <f>_xll.qlSwapRateHelper2(,$H47,,$D47,Calendar,$F47,$E47,$G47,$I$20,0,C47,Discounting,Permanent,Trigger,ObjectOverwrite)</f>
        <v>obj_0088c#0019</v>
      </c>
      <c r="J47" s="135" t="b">
        <f t="shared" si="12"/>
        <v>1</v>
      </c>
      <c r="L47" s="25" t="str">
        <f t="shared" si="8"/>
        <v>Sw</v>
      </c>
      <c r="M47" s="25" t="str">
        <f t="shared" si="9"/>
        <v>13Y</v>
      </c>
      <c r="N47" s="25" t="str">
        <f t="shared" si="10"/>
        <v>obj_0089b#0018</v>
      </c>
      <c r="O47" s="25" t="b">
        <f t="shared" si="11"/>
        <v>1</v>
      </c>
      <c r="P47" s="14" t="str">
        <v>Sw</v>
      </c>
      <c r="Q47" s="14" t="str">
        <v>22Y</v>
      </c>
      <c r="R47" s="14" t="str">
        <v>obj_00881#0018</v>
      </c>
      <c r="S47" s="21">
        <f>_xll.qlRateHelperQuoteValue(R47,Trigger)</f>
        <v>1.227333964E-2</v>
      </c>
      <c r="T47" s="15">
        <f>_xll.qlRateHelperEarliestDate(R47,Trigger)</f>
        <v>42145</v>
      </c>
      <c r="U47" s="15">
        <f>_xll.qlRateHelperLatestDate(R47,Trigger)</f>
        <v>50181</v>
      </c>
      <c r="V47" s="162">
        <v>0.7588152611119422</v>
      </c>
    </row>
    <row r="48" spans="1:22" ht="11.25" customHeight="1" x14ac:dyDescent="0.2">
      <c r="A48" s="109" t="s">
        <v>45</v>
      </c>
      <c r="B48" s="139"/>
      <c r="C48" s="139" t="s">
        <v>14</v>
      </c>
      <c r="D48" s="140" t="str">
        <v>11Y</v>
      </c>
      <c r="E48" s="132" t="s">
        <v>15</v>
      </c>
      <c r="F48" s="139" t="s">
        <v>16</v>
      </c>
      <c r="G48" s="132" t="s">
        <v>17</v>
      </c>
      <c r="H48" s="141">
        <v>8.4615203899999995E-3</v>
      </c>
      <c r="I48" s="107" t="str">
        <f>_xll.qlSwapRateHelper2(,$H48,,$D48,Calendar,$F48,$E48,$G48,$I$20,0,C48,Discounting,Permanent,Trigger,ObjectOverwrite)</f>
        <v>obj_008b6#0018</v>
      </c>
      <c r="J48" s="135" t="b">
        <f t="shared" si="12"/>
        <v>1</v>
      </c>
      <c r="L48" s="25" t="str">
        <f t="shared" si="8"/>
        <v>Sw</v>
      </c>
      <c r="M48" s="25" t="str">
        <f t="shared" si="9"/>
        <v>14Y</v>
      </c>
      <c r="N48" s="25" t="str">
        <f t="shared" si="10"/>
        <v>obj_0087f#0018</v>
      </c>
      <c r="O48" s="25" t="b">
        <f t="shared" si="11"/>
        <v>1</v>
      </c>
      <c r="P48" s="14" t="str">
        <v>Sw</v>
      </c>
      <c r="Q48" s="14" t="str">
        <v>23Y</v>
      </c>
      <c r="R48" s="14" t="str">
        <v>obj_008b0#0017</v>
      </c>
      <c r="S48" s="21">
        <f>_xll.qlRateHelperQuoteValue(R48,Trigger)</f>
        <v>1.235913837E-2</v>
      </c>
      <c r="T48" s="15">
        <f>_xll.qlRateHelperEarliestDate(R48,Trigger)</f>
        <v>42145</v>
      </c>
      <c r="U48" s="15">
        <f>_xll.qlRateHelperLatestDate(R48,Trigger)</f>
        <v>50546</v>
      </c>
      <c r="V48" s="162">
        <v>0.74791574463912491</v>
      </c>
    </row>
    <row r="49" spans="1:22" ht="11.25" customHeight="1" x14ac:dyDescent="0.2">
      <c r="A49" s="109" t="s">
        <v>45</v>
      </c>
      <c r="B49" s="139"/>
      <c r="C49" s="139" t="s">
        <v>14</v>
      </c>
      <c r="D49" s="140" t="str">
        <v>12Y</v>
      </c>
      <c r="E49" s="132" t="s">
        <v>15</v>
      </c>
      <c r="F49" s="139" t="s">
        <v>16</v>
      </c>
      <c r="G49" s="132" t="s">
        <v>17</v>
      </c>
      <c r="H49" s="141">
        <v>9.1500000000000001E-3</v>
      </c>
      <c r="I49" s="107" t="str">
        <f>_xll.qlSwapRateHelper2(,$H49,,$D49,Calendar,$F49,$E49,$G49,$I$20,0,C49,Discounting,Permanent,Trigger,ObjectOverwrite)</f>
        <v>obj_008c5#0017</v>
      </c>
      <c r="J49" s="135" t="b">
        <f t="shared" si="12"/>
        <v>1</v>
      </c>
      <c r="L49" s="25" t="str">
        <f t="shared" si="8"/>
        <v>Sw</v>
      </c>
      <c r="M49" s="25" t="str">
        <f t="shared" si="9"/>
        <v>15Y</v>
      </c>
      <c r="N49" s="25" t="str">
        <f t="shared" si="10"/>
        <v>obj_008a4#0018</v>
      </c>
      <c r="O49" s="25" t="b">
        <f t="shared" si="11"/>
        <v>1</v>
      </c>
      <c r="P49" s="14" t="str">
        <v>Sw</v>
      </c>
      <c r="Q49" s="14" t="str">
        <v>24Y</v>
      </c>
      <c r="R49" s="14" t="str">
        <v>obj_008b4#0017</v>
      </c>
      <c r="S49" s="21">
        <f>_xll.qlRateHelperQuoteValue(R49,Trigger)</f>
        <v>1.242933341E-2</v>
      </c>
      <c r="T49" s="15">
        <f>_xll.qlRateHelperEarliestDate(R49,Trigger)</f>
        <v>42145</v>
      </c>
      <c r="U49" s="15">
        <f>_xll.qlRateHelperLatestDate(R49,Trigger)</f>
        <v>50913</v>
      </c>
      <c r="V49" s="162">
        <v>0.73729650027363425</v>
      </c>
    </row>
    <row r="50" spans="1:22" ht="11.25" customHeight="1" x14ac:dyDescent="0.2">
      <c r="A50" s="109" t="s">
        <v>45</v>
      </c>
      <c r="B50" s="139"/>
      <c r="C50" s="139" t="s">
        <v>14</v>
      </c>
      <c r="D50" s="140" t="str">
        <v>13Y</v>
      </c>
      <c r="E50" s="132" t="s">
        <v>15</v>
      </c>
      <c r="F50" s="139" t="s">
        <v>16</v>
      </c>
      <c r="G50" s="132" t="s">
        <v>17</v>
      </c>
      <c r="H50" s="141">
        <v>9.7562716900000002E-3</v>
      </c>
      <c r="I50" s="107" t="str">
        <f>_xll.qlSwapRateHelper2(,$H50,,$D50,Calendar,$F50,$E50,$G50,$I$20,0,C50,Discounting,Permanent,Trigger,ObjectOverwrite)</f>
        <v>obj_0089b#0018</v>
      </c>
      <c r="J50" s="135" t="b">
        <f t="shared" si="12"/>
        <v>1</v>
      </c>
      <c r="L50" s="25" t="str">
        <f t="shared" si="8"/>
        <v>Sw</v>
      </c>
      <c r="M50" s="25" t="str">
        <f t="shared" si="9"/>
        <v>16Y</v>
      </c>
      <c r="N50" s="25" t="str">
        <f t="shared" si="10"/>
        <v>obj_0088e#0018</v>
      </c>
      <c r="O50" s="25" t="b">
        <f t="shared" si="11"/>
        <v>1</v>
      </c>
      <c r="P50" s="14" t="str">
        <v>Sw</v>
      </c>
      <c r="Q50" s="14" t="str">
        <v>25Y</v>
      </c>
      <c r="R50" s="14" t="str">
        <v>obj_008c8#0018</v>
      </c>
      <c r="S50" s="21">
        <f>_xll.qlRateHelperQuoteValue(R50,Trigger)</f>
        <v>1.2490000000000001E-2</v>
      </c>
      <c r="T50" s="15">
        <f>_xll.qlRateHelperEarliestDate(R50,Trigger)</f>
        <v>42145</v>
      </c>
      <c r="U50" s="15">
        <f>_xll.qlRateHelperLatestDate(R50,Trigger)</f>
        <v>51277</v>
      </c>
      <c r="V50" s="162">
        <v>0.72700970267415754</v>
      </c>
    </row>
    <row r="51" spans="1:22" ht="11.25" customHeight="1" x14ac:dyDescent="0.2">
      <c r="A51" s="109" t="s">
        <v>45</v>
      </c>
      <c r="B51" s="139"/>
      <c r="C51" s="139" t="s">
        <v>14</v>
      </c>
      <c r="D51" s="140" t="str">
        <v>14Y</v>
      </c>
      <c r="E51" s="132" t="s">
        <v>15</v>
      </c>
      <c r="F51" s="139" t="s">
        <v>16</v>
      </c>
      <c r="G51" s="132" t="s">
        <v>17</v>
      </c>
      <c r="H51" s="141">
        <v>1.027112979E-2</v>
      </c>
      <c r="I51" s="107" t="str">
        <f>_xll.qlSwapRateHelper2(,$H51,,$D51,Calendar,$F51,$E51,$G51,$I$20,0,C51,Discounting,Permanent,Trigger,ObjectOverwrite)</f>
        <v>obj_0087f#0018</v>
      </c>
      <c r="J51" s="135" t="b">
        <f t="shared" si="12"/>
        <v>1</v>
      </c>
      <c r="L51" s="25" t="str">
        <f t="shared" si="8"/>
        <v>Sw</v>
      </c>
      <c r="M51" s="25" t="str">
        <f t="shared" si="9"/>
        <v>17Y</v>
      </c>
      <c r="N51" s="25" t="str">
        <f t="shared" si="10"/>
        <v>obj_0088f#0020</v>
      </c>
      <c r="O51" s="25" t="b">
        <f t="shared" si="11"/>
        <v>1</v>
      </c>
      <c r="P51" s="14" t="str">
        <v>Sw</v>
      </c>
      <c r="Q51" s="14" t="str">
        <v>26Y</v>
      </c>
      <c r="R51" s="14" t="str">
        <v>obj_008a6#0018</v>
      </c>
      <c r="S51" s="21">
        <f>_xll.qlRateHelperQuoteValue(R51,Trigger)</f>
        <v>1.2541770000000001E-2</v>
      </c>
      <c r="T51" s="15">
        <f>_xll.qlRateHelperEarliestDate(R51,Trigger)</f>
        <v>42145</v>
      </c>
      <c r="U51" s="15">
        <f>_xll.qlRateHelperLatestDate(R51,Trigger)</f>
        <v>51642</v>
      </c>
      <c r="V51" s="162">
        <v>0.71691047564960653</v>
      </c>
    </row>
    <row r="52" spans="1:22" ht="11.25" customHeight="1" x14ac:dyDescent="0.2">
      <c r="A52" s="109" t="s">
        <v>45</v>
      </c>
      <c r="B52" s="139"/>
      <c r="C52" s="139" t="s">
        <v>14</v>
      </c>
      <c r="D52" s="140" t="str">
        <v>15Y</v>
      </c>
      <c r="E52" s="132" t="s">
        <v>15</v>
      </c>
      <c r="F52" s="139" t="s">
        <v>16</v>
      </c>
      <c r="G52" s="132" t="s">
        <v>17</v>
      </c>
      <c r="H52" s="141">
        <v>1.0709999999999999E-2</v>
      </c>
      <c r="I52" s="107" t="str">
        <f>_xll.qlSwapRateHelper2(,$H52,,$D52,Calendar,$F52,$E52,$G52,$I$20,0,C52,Discounting,Permanent,Trigger,ObjectOverwrite)</f>
        <v>obj_008a4#0018</v>
      </c>
      <c r="J52" s="135" t="b">
        <f t="shared" si="12"/>
        <v>1</v>
      </c>
      <c r="L52" s="25" t="str">
        <f t="shared" si="8"/>
        <v>Sw</v>
      </c>
      <c r="M52" s="25" t="str">
        <f t="shared" si="9"/>
        <v>18Y</v>
      </c>
      <c r="N52" s="25" t="str">
        <f t="shared" si="10"/>
        <v>obj_008c6#0019</v>
      </c>
      <c r="O52" s="25" t="b">
        <f t="shared" si="11"/>
        <v>1</v>
      </c>
      <c r="P52" s="14" t="str">
        <v>Sw</v>
      </c>
      <c r="Q52" s="14" t="str">
        <v>27Y</v>
      </c>
      <c r="R52" s="14" t="str">
        <v>obj_0087e#0019</v>
      </c>
      <c r="S52" s="21">
        <f>_xll.qlRateHelperQuoteValue(R52,Trigger)</f>
        <v>1.258885415E-2</v>
      </c>
      <c r="T52" s="15">
        <f>_xll.qlRateHelperEarliestDate(R52,Trigger)</f>
        <v>42145</v>
      </c>
      <c r="U52" s="15">
        <f>_xll.qlRateHelperLatestDate(R52,Trigger)</f>
        <v>52007</v>
      </c>
      <c r="V52" s="162">
        <v>0.7069714471537325</v>
      </c>
    </row>
    <row r="53" spans="1:22" ht="11.25" customHeight="1" x14ac:dyDescent="0.2">
      <c r="A53" s="109" t="s">
        <v>45</v>
      </c>
      <c r="B53" s="139"/>
      <c r="C53" s="139" t="s">
        <v>14</v>
      </c>
      <c r="D53" s="140" t="str">
        <v>16Y</v>
      </c>
      <c r="E53" s="132" t="s">
        <v>15</v>
      </c>
      <c r="F53" s="139" t="s">
        <v>16</v>
      </c>
      <c r="G53" s="132" t="s">
        <v>17</v>
      </c>
      <c r="H53" s="141">
        <v>1.108001022E-2</v>
      </c>
      <c r="I53" s="107" t="str">
        <f>_xll.qlSwapRateHelper2(,$H53,,$D53,Calendar,$F53,$E53,$G53,$I$20,0,C53,Discounting,Permanent,Trigger,ObjectOverwrite)</f>
        <v>obj_0088e#0018</v>
      </c>
      <c r="J53" s="135" t="b">
        <f t="shared" si="12"/>
        <v>1</v>
      </c>
      <c r="L53" s="25" t="str">
        <f t="shared" si="8"/>
        <v>Sw</v>
      </c>
      <c r="M53" s="25" t="str">
        <f t="shared" si="9"/>
        <v>19Y</v>
      </c>
      <c r="N53" s="25" t="str">
        <f t="shared" si="10"/>
        <v>obj_008ad#0018</v>
      </c>
      <c r="O53" s="25" t="b">
        <f t="shared" si="11"/>
        <v>1</v>
      </c>
      <c r="P53" s="14" t="str">
        <v>Sw</v>
      </c>
      <c r="Q53" s="14" t="str">
        <v>28Y</v>
      </c>
      <c r="R53" s="14" t="str">
        <v>obj_008bb#0017</v>
      </c>
      <c r="S53" s="21">
        <f>_xll.qlRateHelperQuoteValue(R53,Trigger)</f>
        <v>1.263300233E-2</v>
      </c>
      <c r="T53" s="15">
        <f>_xll.qlRateHelperEarliestDate(R53,Trigger)</f>
        <v>42145</v>
      </c>
      <c r="U53" s="15">
        <f>_xll.qlRateHelperLatestDate(R53,Trigger)</f>
        <v>52372</v>
      </c>
      <c r="V53" s="162">
        <v>0.69716060761366072</v>
      </c>
    </row>
    <row r="54" spans="1:22" ht="11.25" customHeight="1" x14ac:dyDescent="0.2">
      <c r="A54" s="109" t="s">
        <v>45</v>
      </c>
      <c r="B54" s="139"/>
      <c r="C54" s="139" t="s">
        <v>14</v>
      </c>
      <c r="D54" s="140" t="str">
        <v>17Y</v>
      </c>
      <c r="E54" s="132" t="s">
        <v>15</v>
      </c>
      <c r="F54" s="139" t="s">
        <v>16</v>
      </c>
      <c r="G54" s="132" t="s">
        <v>17</v>
      </c>
      <c r="H54" s="141">
        <v>1.139165172E-2</v>
      </c>
      <c r="I54" s="107" t="str">
        <f>_xll.qlSwapRateHelper2(,$H54,,$D54,Calendar,$F54,$E54,$G54,$I$20,0,C54,Discounting,Permanent,Trigger,ObjectOverwrite)</f>
        <v>obj_0088f#0020</v>
      </c>
      <c r="J54" s="135" t="b">
        <f t="shared" si="12"/>
        <v>1</v>
      </c>
      <c r="L54" s="25" t="str">
        <f t="shared" si="8"/>
        <v>Sw</v>
      </c>
      <c r="M54" s="25" t="str">
        <f t="shared" si="9"/>
        <v>20Y</v>
      </c>
      <c r="N54" s="25" t="str">
        <f t="shared" si="10"/>
        <v>obj_008bf#0017</v>
      </c>
      <c r="O54" s="25" t="b">
        <f t="shared" si="11"/>
        <v>1</v>
      </c>
      <c r="P54" s="14" t="str">
        <v>Sw</v>
      </c>
      <c r="Q54" s="14" t="str">
        <v>29Y</v>
      </c>
      <c r="R54" s="14" t="str">
        <v>obj_008c4#0017</v>
      </c>
      <c r="S54" s="21">
        <f>_xll.qlRateHelperQuoteValue(R54,Trigger)</f>
        <v>1.26769178E-2</v>
      </c>
      <c r="T54" s="15">
        <f>_xll.qlRateHelperEarliestDate(R54,Trigger)</f>
        <v>42145</v>
      </c>
      <c r="U54" s="15">
        <f>_xll.qlRateHelperLatestDate(R54,Trigger)</f>
        <v>52740</v>
      </c>
      <c r="V54" s="162">
        <v>0.6873735372862847</v>
      </c>
    </row>
    <row r="55" spans="1:22" ht="11.25" customHeight="1" x14ac:dyDescent="0.2">
      <c r="A55" s="109" t="s">
        <v>45</v>
      </c>
      <c r="B55" s="139"/>
      <c r="C55" s="139" t="s">
        <v>14</v>
      </c>
      <c r="D55" s="140" t="str">
        <v>18Y</v>
      </c>
      <c r="E55" s="132" t="s">
        <v>15</v>
      </c>
      <c r="F55" s="139" t="s">
        <v>16</v>
      </c>
      <c r="G55" s="132" t="s">
        <v>17</v>
      </c>
      <c r="H55" s="141">
        <v>1.1648300620000001E-2</v>
      </c>
      <c r="I55" s="107" t="str">
        <f>_xll.qlSwapRateHelper2(,$H55,,$D55,Calendar,$F55,$E55,$G55,$I$20,0,C55,Discounting,Permanent,Trigger,ObjectOverwrite)</f>
        <v>obj_008c6#0019</v>
      </c>
      <c r="J55" s="135" t="b">
        <f t="shared" si="12"/>
        <v>1</v>
      </c>
      <c r="L55" s="25" t="str">
        <f t="shared" si="8"/>
        <v>Sw</v>
      </c>
      <c r="M55" s="25" t="str">
        <f t="shared" si="9"/>
        <v>21Y</v>
      </c>
      <c r="N55" s="25" t="str">
        <f t="shared" si="10"/>
        <v>obj_00883#0018</v>
      </c>
      <c r="O55" s="25" t="b">
        <f t="shared" si="11"/>
        <v>1</v>
      </c>
      <c r="P55" s="14" t="str">
        <v>Sw</v>
      </c>
      <c r="Q55" s="14" t="str">
        <v>30Y</v>
      </c>
      <c r="R55" s="14" t="str">
        <v>obj_008ac#0017</v>
      </c>
      <c r="S55" s="21">
        <f>_xll.qlRateHelperQuoteValue(R55,Trigger)</f>
        <v>1.272E-2</v>
      </c>
      <c r="T55" s="15">
        <f>_xll.qlRateHelperEarliestDate(R55,Trigger)</f>
        <v>42145</v>
      </c>
      <c r="U55" s="15">
        <f>_xll.qlRateHelperLatestDate(R55,Trigger)</f>
        <v>53104</v>
      </c>
      <c r="V55" s="162">
        <v>0.67774379692204068</v>
      </c>
    </row>
    <row r="56" spans="1:22" ht="11.25" customHeight="1" x14ac:dyDescent="0.2">
      <c r="A56" s="109" t="s">
        <v>45</v>
      </c>
      <c r="B56" s="139"/>
      <c r="C56" s="139" t="s">
        <v>14</v>
      </c>
      <c r="D56" s="140" t="str">
        <v>19Y</v>
      </c>
      <c r="E56" s="132" t="s">
        <v>15</v>
      </c>
      <c r="F56" s="139" t="s">
        <v>16</v>
      </c>
      <c r="G56" s="132" t="s">
        <v>17</v>
      </c>
      <c r="H56" s="141">
        <v>1.186020368E-2</v>
      </c>
      <c r="I56" s="107" t="str">
        <f>_xll.qlSwapRateHelper2(,$H56,,$D56,Calendar,$F56,$E56,$G56,$I$20,0,C56,Discounting,Permanent,Trigger,ObjectOverwrite)</f>
        <v>obj_008ad#0018</v>
      </c>
      <c r="J56" s="135" t="b">
        <f t="shared" si="12"/>
        <v>1</v>
      </c>
      <c r="L56" s="25" t="str">
        <f t="shared" si="8"/>
        <v>Sw</v>
      </c>
      <c r="M56" s="25" t="str">
        <f t="shared" si="9"/>
        <v>22Y</v>
      </c>
      <c r="N56" s="25" t="str">
        <f t="shared" si="10"/>
        <v>obj_00881#0018</v>
      </c>
      <c r="O56" s="25" t="b">
        <f t="shared" si="11"/>
        <v>1</v>
      </c>
      <c r="P56" s="14" t="str">
        <v>Sw</v>
      </c>
      <c r="Q56" s="14" t="str">
        <v>31Y</v>
      </c>
      <c r="R56" s="14" t="str">
        <v>obj_008ae#0017</v>
      </c>
      <c r="S56" s="21">
        <f>_xll.qlRateHelperQuoteValue(R56,Trigger)</f>
        <v>1.276343255E-2</v>
      </c>
      <c r="T56" s="15">
        <f>_xll.qlRateHelperEarliestDate(R56,Trigger)</f>
        <v>42145</v>
      </c>
      <c r="U56" s="15">
        <f>_xll.qlRateHelperLatestDate(R56,Trigger)</f>
        <v>53468</v>
      </c>
      <c r="V56" s="162">
        <v>0.66817280762557629</v>
      </c>
    </row>
    <row r="57" spans="1:22" ht="11.25" customHeight="1" x14ac:dyDescent="0.2">
      <c r="A57" s="109" t="s">
        <v>45</v>
      </c>
      <c r="B57" s="139"/>
      <c r="C57" s="139" t="s">
        <v>14</v>
      </c>
      <c r="D57" s="140" t="str">
        <v>20Y</v>
      </c>
      <c r="E57" s="132" t="s">
        <v>15</v>
      </c>
      <c r="F57" s="139" t="s">
        <v>16</v>
      </c>
      <c r="G57" s="132" t="s">
        <v>17</v>
      </c>
      <c r="H57" s="141">
        <v>1.2030000000000001E-2</v>
      </c>
      <c r="I57" s="107" t="str">
        <f>_xll.qlSwapRateHelper2(,$H57,,$D57,Calendar,$F57,$E57,$G57,$I$20,0,C57,Discounting,Permanent,Trigger,ObjectOverwrite)</f>
        <v>obj_008bf#0017</v>
      </c>
      <c r="J57" s="135" t="b">
        <f t="shared" si="12"/>
        <v>1</v>
      </c>
      <c r="L57" s="25" t="str">
        <f t="shared" si="8"/>
        <v>Sw</v>
      </c>
      <c r="M57" s="25" t="str">
        <f t="shared" si="9"/>
        <v>23Y</v>
      </c>
      <c r="N57" s="25" t="str">
        <f t="shared" si="10"/>
        <v>obj_008b0#0017</v>
      </c>
      <c r="O57" s="25" t="b">
        <f t="shared" si="11"/>
        <v>1</v>
      </c>
      <c r="P57" s="14" t="str">
        <v>Sw</v>
      </c>
      <c r="Q57" s="14" t="str">
        <v>32Y</v>
      </c>
      <c r="R57" s="14" t="str">
        <v>obj_00880#0018</v>
      </c>
      <c r="S57" s="21">
        <f>_xll.qlRateHelperQuoteValue(R57,Trigger)</f>
        <v>1.280593436E-2</v>
      </c>
      <c r="T57" s="15">
        <f>_xll.qlRateHelperEarliestDate(R57,Trigger)</f>
        <v>42145</v>
      </c>
      <c r="U57" s="15">
        <f>_xll.qlRateHelperLatestDate(R57,Trigger)</f>
        <v>53833</v>
      </c>
      <c r="V57" s="162">
        <v>0.65866984535844642</v>
      </c>
    </row>
    <row r="58" spans="1:22" ht="11.25" customHeight="1" x14ac:dyDescent="0.2">
      <c r="A58" s="109" t="s">
        <v>45</v>
      </c>
      <c r="B58" s="139"/>
      <c r="C58" s="139" t="s">
        <v>14</v>
      </c>
      <c r="D58" s="140" t="str">
        <v>21Y</v>
      </c>
      <c r="E58" s="132" t="s">
        <v>15</v>
      </c>
      <c r="F58" s="139" t="s">
        <v>16</v>
      </c>
      <c r="G58" s="132" t="s">
        <v>17</v>
      </c>
      <c r="H58" s="141">
        <v>1.2166357480000001E-2</v>
      </c>
      <c r="I58" s="107" t="str">
        <f>_xll.qlSwapRateHelper2(,$H58,,$D58,Calendar,$F58,$E58,$G58,$I$20,0,C58,Discounting,Permanent,Trigger,ObjectOverwrite)</f>
        <v>obj_00883#0018</v>
      </c>
      <c r="J58" s="135" t="b">
        <f t="shared" si="12"/>
        <v>1</v>
      </c>
      <c r="L58" s="25" t="str">
        <f t="shared" si="8"/>
        <v>Sw</v>
      </c>
      <c r="M58" s="25" t="str">
        <f t="shared" si="9"/>
        <v>24Y</v>
      </c>
      <c r="N58" s="25" t="str">
        <f t="shared" si="10"/>
        <v>obj_008b4#0017</v>
      </c>
      <c r="O58" s="25" t="b">
        <f t="shared" si="11"/>
        <v>1</v>
      </c>
      <c r="P58" s="14" t="str">
        <v>Sw</v>
      </c>
      <c r="Q58" s="14" t="str">
        <v>33Y</v>
      </c>
      <c r="R58" s="14" t="str">
        <v>obj_008b2#0019</v>
      </c>
      <c r="S58" s="21">
        <f>_xll.qlRateHelperQuoteValue(R58,Trigger)</f>
        <v>1.284664225E-2</v>
      </c>
      <c r="T58" s="15">
        <f>_xll.qlRateHelperEarliestDate(R58,Trigger)</f>
        <v>42145</v>
      </c>
      <c r="U58" s="15">
        <f>_xll.qlRateHelperLatestDate(R58,Trigger)</f>
        <v>54199</v>
      </c>
      <c r="V58" s="162">
        <v>0.64928240443711727</v>
      </c>
    </row>
    <row r="59" spans="1:22" ht="11.25" customHeight="1" x14ac:dyDescent="0.2">
      <c r="A59" s="109" t="s">
        <v>45</v>
      </c>
      <c r="B59" s="139"/>
      <c r="C59" s="139" t="s">
        <v>14</v>
      </c>
      <c r="D59" s="140" t="str">
        <v>22Y</v>
      </c>
      <c r="E59" s="132" t="s">
        <v>15</v>
      </c>
      <c r="F59" s="139" t="s">
        <v>16</v>
      </c>
      <c r="G59" s="132" t="s">
        <v>17</v>
      </c>
      <c r="H59" s="141">
        <v>1.227333964E-2</v>
      </c>
      <c r="I59" s="107" t="str">
        <f>_xll.qlSwapRateHelper2(,$H59,,$D59,Calendar,$F59,$E59,$G59,$I$20,0,C59,Discounting,Permanent,Trigger,ObjectOverwrite)</f>
        <v>obj_00881#0018</v>
      </c>
      <c r="J59" s="135" t="b">
        <f t="shared" si="12"/>
        <v>1</v>
      </c>
      <c r="L59" s="25" t="str">
        <f t="shared" si="8"/>
        <v>Sw</v>
      </c>
      <c r="M59" s="25" t="str">
        <f t="shared" si="9"/>
        <v>25Y</v>
      </c>
      <c r="N59" s="25" t="str">
        <f t="shared" si="10"/>
        <v>obj_008c8#0018</v>
      </c>
      <c r="O59" s="25" t="b">
        <f t="shared" si="11"/>
        <v>1</v>
      </c>
      <c r="P59" s="14" t="str">
        <v>Sw</v>
      </c>
      <c r="Q59" s="14" t="str">
        <v>34Y</v>
      </c>
      <c r="R59" s="14" t="str">
        <v>obj_008ab#0018</v>
      </c>
      <c r="S59" s="21">
        <f>_xll.qlRateHelperQuoteValue(R59,Trigger)</f>
        <v>1.288186E-2</v>
      </c>
      <c r="T59" s="15">
        <f>_xll.qlRateHelperEarliestDate(R59,Trigger)</f>
        <v>42145</v>
      </c>
      <c r="U59" s="15">
        <f>_xll.qlRateHelperLatestDate(R59,Trigger)</f>
        <v>54564</v>
      </c>
      <c r="V59" s="162">
        <v>0.6401100230698239</v>
      </c>
    </row>
    <row r="60" spans="1:22" ht="11.25" customHeight="1" x14ac:dyDescent="0.2">
      <c r="A60" s="109" t="s">
        <v>45</v>
      </c>
      <c r="B60" s="139"/>
      <c r="C60" s="139" t="s">
        <v>14</v>
      </c>
      <c r="D60" s="140" t="str">
        <v>23Y</v>
      </c>
      <c r="E60" s="132" t="s">
        <v>15</v>
      </c>
      <c r="F60" s="139" t="s">
        <v>16</v>
      </c>
      <c r="G60" s="132" t="s">
        <v>17</v>
      </c>
      <c r="H60" s="141">
        <v>1.235913837E-2</v>
      </c>
      <c r="I60" s="107" t="str">
        <f>_xll.qlSwapRateHelper2(,$H60,,$D60,Calendar,$F60,$E60,$G60,$I$20,0,C60,Discounting,Permanent,Trigger,ObjectOverwrite)</f>
        <v>obj_008b0#0017</v>
      </c>
      <c r="J60" s="135" t="b">
        <f t="shared" si="12"/>
        <v>1</v>
      </c>
      <c r="L60" s="25" t="str">
        <f t="shared" si="8"/>
        <v>Sw</v>
      </c>
      <c r="M60" s="25" t="str">
        <f t="shared" si="9"/>
        <v>26Y</v>
      </c>
      <c r="N60" s="25" t="str">
        <f t="shared" si="10"/>
        <v>obj_008a6#0018</v>
      </c>
      <c r="O60" s="25" t="b">
        <f t="shared" si="11"/>
        <v>1</v>
      </c>
      <c r="P60" s="14" t="str">
        <v>Sw</v>
      </c>
      <c r="Q60" s="14" t="str">
        <v>35Y</v>
      </c>
      <c r="R60" s="14" t="str">
        <v>obj_008c7#0018</v>
      </c>
      <c r="S60" s="21">
        <f>_xll.qlRateHelperQuoteValue(R60,Trigger)</f>
        <v>1.291112118E-2</v>
      </c>
      <c r="T60" s="15">
        <f>_xll.qlRateHelperEarliestDate(R60,Trigger)</f>
        <v>42145</v>
      </c>
      <c r="U60" s="15">
        <f>_xll.qlRateHelperLatestDate(R60,Trigger)</f>
        <v>54931</v>
      </c>
      <c r="V60" s="162">
        <v>0.63112772117729365</v>
      </c>
    </row>
    <row r="61" spans="1:22" ht="11.25" customHeight="1" x14ac:dyDescent="0.2">
      <c r="A61" s="109" t="s">
        <v>45</v>
      </c>
      <c r="B61" s="139"/>
      <c r="C61" s="139" t="s">
        <v>14</v>
      </c>
      <c r="D61" s="140" t="str">
        <v>24Y</v>
      </c>
      <c r="E61" s="132" t="s">
        <v>15</v>
      </c>
      <c r="F61" s="139" t="s">
        <v>16</v>
      </c>
      <c r="G61" s="132" t="s">
        <v>17</v>
      </c>
      <c r="H61" s="141">
        <v>1.242933341E-2</v>
      </c>
      <c r="I61" s="107" t="str">
        <f>_xll.qlSwapRateHelper2(,$H61,,$D61,Calendar,$F61,$E61,$G61,$I$20,0,C61,Discounting,Permanent,Trigger,ObjectOverwrite)</f>
        <v>obj_008b4#0017</v>
      </c>
      <c r="J61" s="135" t="b">
        <f t="shared" si="12"/>
        <v>1</v>
      </c>
      <c r="L61" s="25" t="str">
        <f t="shared" si="8"/>
        <v>Sw</v>
      </c>
      <c r="M61" s="25" t="str">
        <f t="shared" si="9"/>
        <v>27Y</v>
      </c>
      <c r="N61" s="25" t="str">
        <f t="shared" si="10"/>
        <v>obj_0087e#0019</v>
      </c>
      <c r="O61" s="25" t="b">
        <f t="shared" si="11"/>
        <v>1</v>
      </c>
      <c r="P61" s="14" t="str">
        <v>Sw</v>
      </c>
      <c r="Q61" s="14" t="str">
        <v>36Y</v>
      </c>
      <c r="R61" s="14" t="str">
        <v>obj_008a9#0017</v>
      </c>
      <c r="S61" s="21">
        <f>_xll.qlRateHelperQuoteValue(R61,Trigger)</f>
        <v>1.2933263340000001E-2</v>
      </c>
      <c r="T61" s="15">
        <f>_xll.qlRateHelperEarliestDate(R61,Trigger)</f>
        <v>42145</v>
      </c>
      <c r="U61" s="15">
        <f>_xll.qlRateHelperLatestDate(R61,Trigger)</f>
        <v>55295</v>
      </c>
      <c r="V61" s="162">
        <v>0.6224879834208219</v>
      </c>
    </row>
    <row r="62" spans="1:22" ht="11.25" customHeight="1" x14ac:dyDescent="0.2">
      <c r="A62" s="109" t="s">
        <v>45</v>
      </c>
      <c r="B62" s="139"/>
      <c r="C62" s="139" t="s">
        <v>14</v>
      </c>
      <c r="D62" s="140" t="str">
        <v>25Y</v>
      </c>
      <c r="E62" s="132" t="s">
        <v>15</v>
      </c>
      <c r="F62" s="139" t="s">
        <v>16</v>
      </c>
      <c r="G62" s="132" t="s">
        <v>17</v>
      </c>
      <c r="H62" s="141">
        <v>1.2490000000000001E-2</v>
      </c>
      <c r="I62" s="107" t="str">
        <f>_xll.qlSwapRateHelper2(,$H62,,$D62,Calendar,$F62,$E62,$G62,$I$20,0,C62,Discounting,Permanent,Trigger,ObjectOverwrite)</f>
        <v>obj_008c8#0018</v>
      </c>
      <c r="J62" s="135" t="b">
        <f t="shared" si="12"/>
        <v>1</v>
      </c>
      <c r="L62" s="25" t="str">
        <f t="shared" si="8"/>
        <v>Sw</v>
      </c>
      <c r="M62" s="25" t="str">
        <f t="shared" si="9"/>
        <v>28Y</v>
      </c>
      <c r="N62" s="25" t="str">
        <f t="shared" si="10"/>
        <v>obj_008bb#0017</v>
      </c>
      <c r="O62" s="25" t="b">
        <f t="shared" si="11"/>
        <v>1</v>
      </c>
      <c r="P62" s="14" t="str">
        <v>Sw</v>
      </c>
      <c r="Q62" s="14" t="str">
        <v>37Y</v>
      </c>
      <c r="R62" s="14" t="str">
        <v>obj_008be#0017</v>
      </c>
      <c r="S62" s="21">
        <f>_xll.qlRateHelperQuoteValue(R62,Trigger)</f>
        <v>1.294768954E-2</v>
      </c>
      <c r="T62" s="15">
        <f>_xll.qlRateHelperEarliestDate(R62,Trigger)</f>
        <v>42145</v>
      </c>
      <c r="U62" s="15">
        <f>_xll.qlRateHelperLatestDate(R62,Trigger)</f>
        <v>55660</v>
      </c>
      <c r="V62" s="162">
        <v>0.61414801434354083</v>
      </c>
    </row>
    <row r="63" spans="1:22" ht="11.25" customHeight="1" x14ac:dyDescent="0.2">
      <c r="A63" s="109" t="s">
        <v>45</v>
      </c>
      <c r="B63" s="139"/>
      <c r="C63" s="139" t="s">
        <v>14</v>
      </c>
      <c r="D63" s="140" t="str">
        <v>26Y</v>
      </c>
      <c r="E63" s="132" t="s">
        <v>15</v>
      </c>
      <c r="F63" s="139" t="s">
        <v>16</v>
      </c>
      <c r="G63" s="132" t="s">
        <v>17</v>
      </c>
      <c r="H63" s="141">
        <v>1.2541770000000001E-2</v>
      </c>
      <c r="I63" s="107" t="str">
        <f>_xll.qlSwapRateHelper2(,$H63,,$D63,Calendar,$F63,$E63,$G63,$I$20,0,C63,Discounting,Permanent,Trigger,ObjectOverwrite)</f>
        <v>obj_008a6#0018</v>
      </c>
      <c r="J63" s="135" t="b">
        <f t="shared" si="12"/>
        <v>1</v>
      </c>
      <c r="L63" s="25" t="str">
        <f t="shared" si="8"/>
        <v>Sw</v>
      </c>
      <c r="M63" s="25" t="str">
        <f t="shared" si="9"/>
        <v>29Y</v>
      </c>
      <c r="N63" s="25" t="str">
        <f t="shared" si="10"/>
        <v>obj_008c4#0017</v>
      </c>
      <c r="O63" s="25" t="b">
        <f t="shared" si="11"/>
        <v>1</v>
      </c>
      <c r="P63" s="14" t="str">
        <v>Sw</v>
      </c>
      <c r="Q63" s="14" t="str">
        <v>38Y</v>
      </c>
      <c r="R63" s="14" t="str">
        <v>obj_008c3#0017</v>
      </c>
      <c r="S63" s="21">
        <f>_xll.qlRateHelperQuoteValue(R63,Trigger)</f>
        <v>1.295214745E-2</v>
      </c>
      <c r="T63" s="15">
        <f>_xll.qlRateHelperEarliestDate(R63,Trigger)</f>
        <v>42145</v>
      </c>
      <c r="U63" s="15">
        <f>_xll.qlRateHelperLatestDate(R63,Trigger)</f>
        <v>56025</v>
      </c>
      <c r="V63" s="162">
        <v>0.60615804639084603</v>
      </c>
    </row>
    <row r="64" spans="1:22" ht="11.25" customHeight="1" x14ac:dyDescent="0.2">
      <c r="A64" s="109" t="s">
        <v>45</v>
      </c>
      <c r="B64" s="139"/>
      <c r="C64" s="139" t="s">
        <v>14</v>
      </c>
      <c r="D64" s="140" t="str">
        <v>27Y</v>
      </c>
      <c r="E64" s="132" t="s">
        <v>15</v>
      </c>
      <c r="F64" s="139" t="s">
        <v>16</v>
      </c>
      <c r="G64" s="132" t="s">
        <v>17</v>
      </c>
      <c r="H64" s="141">
        <v>1.258885415E-2</v>
      </c>
      <c r="I64" s="107" t="str">
        <f>_xll.qlSwapRateHelper2(,$H64,,$D64,Calendar,$F64,$E64,$G64,$I$20,0,C64,Discounting,Permanent,Trigger,ObjectOverwrite)</f>
        <v>obj_0087e#0019</v>
      </c>
      <c r="J64" s="135" t="b">
        <f t="shared" si="12"/>
        <v>1</v>
      </c>
      <c r="L64" s="25" t="str">
        <f t="shared" si="8"/>
        <v>Sw</v>
      </c>
      <c r="M64" s="25" t="str">
        <f t="shared" si="9"/>
        <v>30Y</v>
      </c>
      <c r="N64" s="25" t="str">
        <f t="shared" si="10"/>
        <v>obj_008ac#0017</v>
      </c>
      <c r="O64" s="25" t="b">
        <f t="shared" si="11"/>
        <v>1</v>
      </c>
      <c r="P64" s="14" t="str">
        <v>Sw</v>
      </c>
      <c r="Q64" s="14" t="str">
        <v>39Y</v>
      </c>
      <c r="R64" s="14" t="str">
        <v>obj_0089e#0018</v>
      </c>
      <c r="S64" s="21">
        <f>_xll.qlRateHelperQuoteValue(R64,Trigger)</f>
        <v>1.294650198E-2</v>
      </c>
      <c r="T64" s="15">
        <f>_xll.qlRateHelperEarliestDate(R64,Trigger)</f>
        <v>42145</v>
      </c>
      <c r="U64" s="15">
        <f>_xll.qlRateHelperLatestDate(R64,Trigger)</f>
        <v>56390</v>
      </c>
      <c r="V64" s="162">
        <v>0.59855484238990786</v>
      </c>
    </row>
    <row r="65" spans="1:22" ht="11.25" customHeight="1" x14ac:dyDescent="0.2">
      <c r="A65" s="109" t="s">
        <v>45</v>
      </c>
      <c r="B65" s="139"/>
      <c r="C65" s="139" t="s">
        <v>14</v>
      </c>
      <c r="D65" s="140" t="str">
        <v>28Y</v>
      </c>
      <c r="E65" s="132" t="s">
        <v>15</v>
      </c>
      <c r="F65" s="139" t="s">
        <v>16</v>
      </c>
      <c r="G65" s="132" t="s">
        <v>17</v>
      </c>
      <c r="H65" s="141">
        <v>1.263300233E-2</v>
      </c>
      <c r="I65" s="107" t="str">
        <f>_xll.qlSwapRateHelper2(,$H65,,$D65,Calendar,$F65,$E65,$G65,$I$20,0,C65,Discounting,Permanent,Trigger,ObjectOverwrite)</f>
        <v>obj_008bb#0017</v>
      </c>
      <c r="J65" s="135" t="b">
        <f t="shared" si="12"/>
        <v>1</v>
      </c>
      <c r="L65" s="25" t="str">
        <f t="shared" si="8"/>
        <v>Sw</v>
      </c>
      <c r="M65" s="25" t="str">
        <f t="shared" si="9"/>
        <v>31Y</v>
      </c>
      <c r="N65" s="25" t="str">
        <f t="shared" si="10"/>
        <v>obj_008ae#0017</v>
      </c>
      <c r="O65" s="25" t="b">
        <f t="shared" si="11"/>
        <v>1</v>
      </c>
      <c r="P65" s="14" t="str">
        <v>Sw</v>
      </c>
      <c r="Q65" s="14" t="str">
        <v>40Y</v>
      </c>
      <c r="R65" s="14" t="str">
        <v>obj_0089c#0018</v>
      </c>
      <c r="S65" s="21">
        <f>_xll.qlRateHelperQuoteValue(R65,Trigger)</f>
        <v>1.2929999999999999E-2</v>
      </c>
      <c r="T65" s="15">
        <f>_xll.qlRateHelperEarliestDate(R65,Trigger)</f>
        <v>42145</v>
      </c>
      <c r="U65" s="15">
        <f>_xll.qlRateHelperLatestDate(R65,Trigger)</f>
        <v>56755</v>
      </c>
      <c r="V65" s="162">
        <v>0.59137090268175685</v>
      </c>
    </row>
    <row r="66" spans="1:22" ht="11.25" customHeight="1" x14ac:dyDescent="0.2">
      <c r="A66" s="109" t="s">
        <v>45</v>
      </c>
      <c r="B66" s="139"/>
      <c r="C66" s="139" t="s">
        <v>14</v>
      </c>
      <c r="D66" s="140" t="str">
        <v>29Y</v>
      </c>
      <c r="E66" s="132" t="s">
        <v>15</v>
      </c>
      <c r="F66" s="139" t="s">
        <v>16</v>
      </c>
      <c r="G66" s="132" t="s">
        <v>17</v>
      </c>
      <c r="H66" s="141">
        <v>1.26769178E-2</v>
      </c>
      <c r="I66" s="107" t="str">
        <f>_xll.qlSwapRateHelper2(,$H66,,$D66,Calendar,$F66,$E66,$G66,$I$20,0,C66,Discounting,Permanent,Trigger,ObjectOverwrite)</f>
        <v>obj_008c4#0017</v>
      </c>
      <c r="J66" s="135" t="b">
        <f t="shared" si="12"/>
        <v>1</v>
      </c>
      <c r="L66" s="25" t="str">
        <f t="shared" si="8"/>
        <v>Sw</v>
      </c>
      <c r="M66" s="25" t="str">
        <f t="shared" si="9"/>
        <v>32Y</v>
      </c>
      <c r="N66" s="25" t="str">
        <f t="shared" si="10"/>
        <v>obj_00880#0018</v>
      </c>
      <c r="O66" s="25" t="b">
        <f t="shared" si="11"/>
        <v>1</v>
      </c>
      <c r="P66" s="14" t="str">
        <v>Sw</v>
      </c>
      <c r="Q66" s="14" t="str">
        <v>50Y</v>
      </c>
      <c r="R66" s="14" t="str">
        <v>obj_008c1#0018</v>
      </c>
      <c r="S66" s="21">
        <f>_xll.qlRateHelperQuoteValue(R66,Trigger)</f>
        <v>1.252E-2</v>
      </c>
      <c r="T66" s="15">
        <f>_xll.qlRateHelperEarliestDate(R66,Trigger)</f>
        <v>42145</v>
      </c>
      <c r="U66" s="15">
        <f>_xll.qlRateHelperLatestDate(R66,Trigger)</f>
        <v>60408</v>
      </c>
      <c r="V66" s="162">
        <v>0.53315766129081188</v>
      </c>
    </row>
    <row r="67" spans="1:22" ht="11.25" customHeight="1" x14ac:dyDescent="0.2">
      <c r="A67" s="109" t="s">
        <v>45</v>
      </c>
      <c r="B67" s="139"/>
      <c r="C67" s="139" t="s">
        <v>14</v>
      </c>
      <c r="D67" s="140" t="str">
        <v>30Y</v>
      </c>
      <c r="E67" s="132" t="s">
        <v>15</v>
      </c>
      <c r="F67" s="139" t="s">
        <v>16</v>
      </c>
      <c r="G67" s="132" t="s">
        <v>17</v>
      </c>
      <c r="H67" s="141">
        <v>1.272E-2</v>
      </c>
      <c r="I67" s="107" t="str">
        <f>_xll.qlSwapRateHelper2(,$H67,,$D67,Calendar,$F67,$E67,$G67,$I$20,0,C67,Discounting,Permanent,Trigger,ObjectOverwrite)</f>
        <v>obj_008ac#0017</v>
      </c>
      <c r="J67" s="135" t="b">
        <f t="shared" ref="J67:J85" si="13">IF(ISERROR(I67),FALSE,TRUE)</f>
        <v>1</v>
      </c>
      <c r="L67" s="25" t="str">
        <f t="shared" si="8"/>
        <v>Sw</v>
      </c>
      <c r="M67" s="25" t="str">
        <f t="shared" si="9"/>
        <v>33Y</v>
      </c>
      <c r="N67" s="25" t="str">
        <f t="shared" si="10"/>
        <v>obj_008b2#0019</v>
      </c>
      <c r="O67" s="25" t="b">
        <f t="shared" si="11"/>
        <v>1</v>
      </c>
      <c r="P67" s="14" t="str">
        <v>Sw</v>
      </c>
      <c r="Q67" s="14" t="str">
        <v>60Y</v>
      </c>
      <c r="R67" s="14" t="str">
        <v>obj_0087d#0020</v>
      </c>
      <c r="S67" s="21">
        <f>_xll.qlRateHelperQuoteValue(R67,Trigger)</f>
        <v>1.244E-2</v>
      </c>
      <c r="T67" s="15">
        <f>_xll.qlRateHelperEarliestDate(R67,Trigger)</f>
        <v>42145</v>
      </c>
      <c r="U67" s="15">
        <f>_xll.qlRateHelperLatestDate(R67,Trigger)</f>
        <v>64060</v>
      </c>
      <c r="V67" s="162">
        <v>0.47347021099425174</v>
      </c>
    </row>
    <row r="68" spans="1:22" ht="11.25" customHeight="1" x14ac:dyDescent="0.2">
      <c r="A68" s="109" t="s">
        <v>45</v>
      </c>
      <c r="B68" s="139"/>
      <c r="C68" s="139" t="s">
        <v>14</v>
      </c>
      <c r="D68" s="140" t="str">
        <v>31Y</v>
      </c>
      <c r="E68" s="132" t="s">
        <v>15</v>
      </c>
      <c r="F68" s="139" t="s">
        <v>16</v>
      </c>
      <c r="G68" s="132" t="s">
        <v>17</v>
      </c>
      <c r="H68" s="141">
        <v>1.276343255E-2</v>
      </c>
      <c r="I68" s="107" t="str">
        <f>_xll.qlSwapRateHelper2(,$H68,,$D68,Calendar,$F68,$E68,$G68,$I$20,0,C68,Discounting,Permanent,Trigger,ObjectOverwrite)</f>
        <v>obj_008ae#0017</v>
      </c>
      <c r="J68" s="135" t="b">
        <f t="shared" si="13"/>
        <v>1</v>
      </c>
      <c r="L68" s="25" t="str">
        <f t="shared" si="8"/>
        <v>Sw</v>
      </c>
      <c r="M68" s="25" t="str">
        <f t="shared" si="9"/>
        <v>34Y</v>
      </c>
      <c r="N68" s="25" t="str">
        <f t="shared" si="10"/>
        <v>obj_008ab#0018</v>
      </c>
      <c r="O68" s="25" t="b">
        <f t="shared" si="11"/>
        <v>1</v>
      </c>
      <c r="P68" s="14" t="e">
        <v>#N/A</v>
      </c>
      <c r="Q68" s="14" t="e">
        <v>#N/A</v>
      </c>
      <c r="R68" s="14" t="e">
        <v>#N/A</v>
      </c>
      <c r="S68" s="21" t="e">
        <f>_xll.qlRateHelperQuoteValue(R68,Trigger)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62" t="e">
        <v>#N/A</v>
      </c>
    </row>
    <row r="69" spans="1:22" ht="11.25" customHeight="1" x14ac:dyDescent="0.2">
      <c r="A69" s="109" t="s">
        <v>45</v>
      </c>
      <c r="B69" s="139"/>
      <c r="C69" s="139" t="s">
        <v>14</v>
      </c>
      <c r="D69" s="140" t="str">
        <v>32Y</v>
      </c>
      <c r="E69" s="132" t="s">
        <v>15</v>
      </c>
      <c r="F69" s="139" t="s">
        <v>16</v>
      </c>
      <c r="G69" s="132" t="s">
        <v>17</v>
      </c>
      <c r="H69" s="141">
        <v>1.280593436E-2</v>
      </c>
      <c r="I69" s="107" t="str">
        <f>_xll.qlSwapRateHelper2(,$H69,,$D69,Calendar,$F69,$E69,$G69,$I$20,0,C69,Discounting,Permanent,Trigger,ObjectOverwrite)</f>
        <v>obj_00880#0018</v>
      </c>
      <c r="J69" s="135" t="b">
        <f t="shared" si="13"/>
        <v>1</v>
      </c>
      <c r="L69" s="25" t="str">
        <f t="shared" si="8"/>
        <v>Sw</v>
      </c>
      <c r="M69" s="25" t="str">
        <f t="shared" si="9"/>
        <v>35Y</v>
      </c>
      <c r="N69" s="25" t="str">
        <f t="shared" si="10"/>
        <v>obj_008c7#0018</v>
      </c>
      <c r="O69" s="25" t="b">
        <f t="shared" si="11"/>
        <v>1</v>
      </c>
      <c r="P69" s="14" t="e">
        <v>#N/A</v>
      </c>
      <c r="Q69" s="14" t="e">
        <v>#N/A</v>
      </c>
      <c r="R69" s="14" t="e">
        <v>#N/A</v>
      </c>
      <c r="S69" s="21" t="e">
        <f>_xll.qlRateHelperQuoteValue(R69,Trigger)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62" t="e">
        <v>#N/A</v>
      </c>
    </row>
    <row r="70" spans="1:22" ht="11.25" customHeight="1" x14ac:dyDescent="0.2">
      <c r="A70" s="109" t="s">
        <v>45</v>
      </c>
      <c r="B70" s="139"/>
      <c r="C70" s="139" t="s">
        <v>14</v>
      </c>
      <c r="D70" s="140" t="str">
        <v>33Y</v>
      </c>
      <c r="E70" s="132" t="s">
        <v>15</v>
      </c>
      <c r="F70" s="139" t="s">
        <v>16</v>
      </c>
      <c r="G70" s="132" t="s">
        <v>17</v>
      </c>
      <c r="H70" s="141">
        <v>1.284664225E-2</v>
      </c>
      <c r="I70" s="107" t="str">
        <f>_xll.qlSwapRateHelper2(,$H70,,$D70,Calendar,$F70,$E70,$G70,$I$20,0,C70,Discounting,Permanent,Trigger,ObjectOverwrite)</f>
        <v>obj_008b2#0019</v>
      </c>
      <c r="J70" s="135" t="b">
        <f t="shared" si="13"/>
        <v>1</v>
      </c>
      <c r="L70" s="25" t="str">
        <f t="shared" si="8"/>
        <v>Sw</v>
      </c>
      <c r="M70" s="25" t="str">
        <f t="shared" si="9"/>
        <v>36Y</v>
      </c>
      <c r="N70" s="25" t="str">
        <f t="shared" si="10"/>
        <v>obj_008a9#0017</v>
      </c>
      <c r="O70" s="25" t="b">
        <f t="shared" si="11"/>
        <v>1</v>
      </c>
      <c r="P70" s="14" t="e">
        <v>#N/A</v>
      </c>
      <c r="Q70" s="14" t="e">
        <v>#N/A</v>
      </c>
      <c r="R70" s="14" t="e">
        <v>#N/A</v>
      </c>
      <c r="S70" s="21" t="e">
        <f>_xll.qlRateHelperQuoteValue(R70,Trigger)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62" t="e">
        <v>#N/A</v>
      </c>
    </row>
    <row r="71" spans="1:22" ht="11.25" customHeight="1" x14ac:dyDescent="0.2">
      <c r="A71" s="109" t="s">
        <v>45</v>
      </c>
      <c r="B71" s="139"/>
      <c r="C71" s="139" t="s">
        <v>14</v>
      </c>
      <c r="D71" s="140" t="str">
        <v>34Y</v>
      </c>
      <c r="E71" s="132" t="s">
        <v>15</v>
      </c>
      <c r="F71" s="139" t="s">
        <v>16</v>
      </c>
      <c r="G71" s="132" t="s">
        <v>17</v>
      </c>
      <c r="H71" s="141">
        <v>1.288186E-2</v>
      </c>
      <c r="I71" s="107" t="str">
        <f>_xll.qlSwapRateHelper2(,$H71,,$D71,Calendar,$F71,$E71,$G71,$I$20,0,C71,Discounting,Permanent,Trigger,ObjectOverwrite)</f>
        <v>obj_008ab#0018</v>
      </c>
      <c r="J71" s="135" t="b">
        <f t="shared" si="13"/>
        <v>1</v>
      </c>
      <c r="L71" s="25" t="str">
        <f t="shared" si="8"/>
        <v>Sw</v>
      </c>
      <c r="M71" s="25" t="str">
        <f t="shared" si="9"/>
        <v>37Y</v>
      </c>
      <c r="N71" s="25" t="str">
        <f t="shared" si="10"/>
        <v>obj_008be#0017</v>
      </c>
      <c r="O71" s="25" t="b">
        <f t="shared" si="11"/>
        <v>1</v>
      </c>
      <c r="P71" s="16" t="e">
        <v>#N/A</v>
      </c>
      <c r="Q71" s="16" t="e">
        <v>#N/A</v>
      </c>
      <c r="R71" s="16" t="e">
        <v>#N/A</v>
      </c>
      <c r="S71" s="31" t="e">
        <f>_xll.qlRateHelperQuoteValue(R71,Trigger)</f>
        <v>#VALUE!</v>
      </c>
      <c r="T71" s="32" t="e">
        <f>_xll.qlRateHelperEarliestDate(R71,Trigger)</f>
        <v>#VALUE!</v>
      </c>
      <c r="U71" s="32" t="e">
        <f>_xll.qlRateHelperLatestDate(R71,Trigger)</f>
        <v>#VALUE!</v>
      </c>
      <c r="V71" s="163" t="e">
        <v>#N/A</v>
      </c>
    </row>
    <row r="72" spans="1:22" ht="11.25" customHeight="1" x14ac:dyDescent="0.2">
      <c r="A72" s="109" t="s">
        <v>45</v>
      </c>
      <c r="B72" s="139"/>
      <c r="C72" s="139" t="s">
        <v>14</v>
      </c>
      <c r="D72" s="140" t="str">
        <v>35Y</v>
      </c>
      <c r="E72" s="132" t="s">
        <v>15</v>
      </c>
      <c r="F72" s="139" t="s">
        <v>16</v>
      </c>
      <c r="G72" s="132" t="s">
        <v>17</v>
      </c>
      <c r="H72" s="141">
        <v>1.291112118E-2</v>
      </c>
      <c r="I72" s="107" t="str">
        <f>_xll.qlSwapRateHelper2(,$H72,,$D72,Calendar,$F72,$E72,$G72,$I$20,0,C72,Discounting,Permanent,Trigger,ObjectOverwrite)</f>
        <v>obj_008c7#0018</v>
      </c>
      <c r="J72" s="135" t="b">
        <f t="shared" si="13"/>
        <v>1</v>
      </c>
      <c r="L72" s="25" t="str">
        <f t="shared" si="8"/>
        <v>Sw</v>
      </c>
      <c r="M72" s="25" t="str">
        <f>D75</f>
        <v>38Y</v>
      </c>
      <c r="N72" s="25" t="str">
        <f t="shared" si="10"/>
        <v>obj_008c3#0017</v>
      </c>
      <c r="O72" s="25" t="b">
        <f t="shared" si="11"/>
        <v>1</v>
      </c>
    </row>
    <row r="73" spans="1:22" ht="11.25" customHeight="1" x14ac:dyDescent="0.2">
      <c r="A73" s="109" t="s">
        <v>45</v>
      </c>
      <c r="B73" s="139"/>
      <c r="C73" s="139" t="s">
        <v>14</v>
      </c>
      <c r="D73" s="140" t="str">
        <v>36Y</v>
      </c>
      <c r="E73" s="132" t="s">
        <v>15</v>
      </c>
      <c r="F73" s="139" t="s">
        <v>16</v>
      </c>
      <c r="G73" s="132" t="s">
        <v>17</v>
      </c>
      <c r="H73" s="141">
        <v>1.2933263340000001E-2</v>
      </c>
      <c r="I73" s="107" t="str">
        <f>_xll.qlSwapRateHelper2(,$H73,,$D73,Calendar,$F73,$E73,$G73,$I$20,0,C73,Discounting,Permanent,Trigger,ObjectOverwrite)</f>
        <v>obj_008a9#0017</v>
      </c>
      <c r="J73" s="135" t="b">
        <f t="shared" si="13"/>
        <v>1</v>
      </c>
      <c r="L73" s="25" t="str">
        <f t="shared" si="8"/>
        <v>Sw</v>
      </c>
      <c r="M73" s="25" t="str">
        <f t="shared" si="9"/>
        <v>39Y</v>
      </c>
      <c r="N73" s="25" t="str">
        <f t="shared" si="10"/>
        <v>obj_0089e#0018</v>
      </c>
      <c r="O73" s="25" t="b">
        <f t="shared" si="11"/>
        <v>1</v>
      </c>
    </row>
    <row r="74" spans="1:22" ht="11.25" customHeight="1" x14ac:dyDescent="0.2">
      <c r="A74" s="109" t="s">
        <v>45</v>
      </c>
      <c r="B74" s="139"/>
      <c r="C74" s="139" t="s">
        <v>14</v>
      </c>
      <c r="D74" s="140" t="str">
        <v>37Y</v>
      </c>
      <c r="E74" s="132" t="s">
        <v>15</v>
      </c>
      <c r="F74" s="139" t="s">
        <v>16</v>
      </c>
      <c r="G74" s="132" t="s">
        <v>17</v>
      </c>
      <c r="H74" s="141">
        <v>1.294768954E-2</v>
      </c>
      <c r="I74" s="107" t="str">
        <f>_xll.qlSwapRateHelper2(,$H74,,$D74,Calendar,$F74,$E74,$G74,$I$20,0,C74,Discounting,Permanent,Trigger,ObjectOverwrite)</f>
        <v>obj_008be#0017</v>
      </c>
      <c r="J74" s="135" t="b">
        <f t="shared" si="13"/>
        <v>1</v>
      </c>
      <c r="L74" s="25" t="str">
        <f t="shared" si="8"/>
        <v>Sw</v>
      </c>
      <c r="M74" s="25" t="str">
        <f t="shared" si="9"/>
        <v>40Y</v>
      </c>
      <c r="N74" s="25" t="str">
        <f t="shared" si="10"/>
        <v>obj_0089c#0018</v>
      </c>
      <c r="O74" s="25" t="b">
        <f t="shared" si="11"/>
        <v>1</v>
      </c>
    </row>
    <row r="75" spans="1:22" ht="11.25" customHeight="1" x14ac:dyDescent="0.2">
      <c r="A75" s="109" t="s">
        <v>45</v>
      </c>
      <c r="B75" s="139"/>
      <c r="C75" s="139" t="s">
        <v>14</v>
      </c>
      <c r="D75" s="140" t="str">
        <v>38Y</v>
      </c>
      <c r="E75" s="132" t="s">
        <v>15</v>
      </c>
      <c r="F75" s="139" t="s">
        <v>16</v>
      </c>
      <c r="G75" s="132" t="s">
        <v>17</v>
      </c>
      <c r="H75" s="141">
        <v>1.295214745E-2</v>
      </c>
      <c r="I75" s="107" t="str">
        <f>_xll.qlSwapRateHelper2(,$H75,,$D75,Calendar,$F75,$E75,$G75,$I$20,0,C75,Discounting,Permanent,Trigger,ObjectOverwrite)</f>
        <v>obj_008c3#0017</v>
      </c>
      <c r="J75" s="135" t="b">
        <f t="shared" si="13"/>
        <v>1</v>
      </c>
      <c r="L75" s="25" t="str">
        <f t="shared" si="8"/>
        <v>Sw</v>
      </c>
      <c r="M75" s="25" t="str">
        <f t="shared" si="9"/>
        <v>50Y</v>
      </c>
      <c r="N75" s="25" t="str">
        <f t="shared" si="10"/>
        <v>obj_008c1#0018</v>
      </c>
      <c r="O75" s="25" t="b">
        <f t="shared" si="11"/>
        <v>1</v>
      </c>
    </row>
    <row r="76" spans="1:22" ht="11.25" customHeight="1" x14ac:dyDescent="0.2">
      <c r="A76" s="109" t="s">
        <v>45</v>
      </c>
      <c r="B76" s="139"/>
      <c r="C76" s="139" t="s">
        <v>14</v>
      </c>
      <c r="D76" s="140" t="str">
        <v>39Y</v>
      </c>
      <c r="E76" s="132" t="s">
        <v>15</v>
      </c>
      <c r="F76" s="139" t="s">
        <v>16</v>
      </c>
      <c r="G76" s="132" t="s">
        <v>17</v>
      </c>
      <c r="H76" s="141">
        <v>1.294650198E-2</v>
      </c>
      <c r="I76" s="107" t="str">
        <f>_xll.qlSwapRateHelper2(,$H76,,$D76,Calendar,$F76,$E76,$G76,$I$20,0,C76,Discounting,Permanent,Trigger,ObjectOverwrite)</f>
        <v>obj_0089e#0018</v>
      </c>
      <c r="J76" s="135" t="b">
        <f t="shared" si="13"/>
        <v>1</v>
      </c>
      <c r="L76" s="25" t="str">
        <f t="shared" si="8"/>
        <v>Sw</v>
      </c>
      <c r="M76" s="25" t="str">
        <f t="shared" si="9"/>
        <v>60Y</v>
      </c>
      <c r="N76" s="25" t="str">
        <f t="shared" si="10"/>
        <v>obj_0087d#0020</v>
      </c>
      <c r="O76" s="25" t="b">
        <f t="shared" si="11"/>
        <v>1</v>
      </c>
    </row>
    <row r="77" spans="1:22" ht="11.25" customHeight="1" x14ac:dyDescent="0.2">
      <c r="A77" s="109" t="s">
        <v>45</v>
      </c>
      <c r="B77" s="139"/>
      <c r="C77" s="139" t="s">
        <v>14</v>
      </c>
      <c r="D77" s="140" t="str">
        <v>40Y</v>
      </c>
      <c r="E77" s="132" t="s">
        <v>15</v>
      </c>
      <c r="F77" s="139" t="s">
        <v>16</v>
      </c>
      <c r="G77" s="132" t="s">
        <v>17</v>
      </c>
      <c r="H77" s="141">
        <v>1.2929999999999999E-2</v>
      </c>
      <c r="I77" s="107" t="str">
        <f>_xll.qlSwapRateHelper2(,$H77,,$D77,Calendar,$F77,$E77,$G77,$I$20,0,C77,Discounting,Permanent,Trigger,ObjectOverwrite)</f>
        <v>obj_0089c#0018</v>
      </c>
      <c r="J77" s="135" t="b">
        <f t="shared" si="13"/>
        <v>1</v>
      </c>
      <c r="L77" s="25" t="str">
        <f t="shared" si="8"/>
        <v>Sw</v>
      </c>
      <c r="M77" s="25" t="e">
        <f t="shared" si="9"/>
        <v>#N/A</v>
      </c>
      <c r="N77" s="25" t="e">
        <f t="shared" si="10"/>
        <v>#VALUE!</v>
      </c>
      <c r="O77" s="25" t="b">
        <f t="shared" si="11"/>
        <v>0</v>
      </c>
    </row>
    <row r="78" spans="1:22" ht="11.25" customHeight="1" x14ac:dyDescent="0.2">
      <c r="A78" s="109" t="s">
        <v>45</v>
      </c>
      <c r="B78" s="139"/>
      <c r="C78" s="139" t="s">
        <v>14</v>
      </c>
      <c r="D78" s="140" t="str">
        <v>50Y</v>
      </c>
      <c r="E78" s="132" t="s">
        <v>15</v>
      </c>
      <c r="F78" s="139" t="s">
        <v>16</v>
      </c>
      <c r="G78" s="132" t="s">
        <v>17</v>
      </c>
      <c r="H78" s="141">
        <v>1.252E-2</v>
      </c>
      <c r="I78" s="107" t="str">
        <f>_xll.qlSwapRateHelper2(,$H78,,$D78,Calendar,$F78,$E78,$G78,$I$20,0,C78,Discounting,Permanent,Trigger,ObjectOverwrite)</f>
        <v>obj_008c1#0018</v>
      </c>
      <c r="J78" s="135" t="b">
        <f t="shared" si="13"/>
        <v>1</v>
      </c>
      <c r="L78" s="25" t="str">
        <f t="shared" si="8"/>
        <v>Sw</v>
      </c>
      <c r="M78" s="25" t="e">
        <f t="shared" si="9"/>
        <v>#N/A</v>
      </c>
      <c r="N78" s="25" t="e">
        <f t="shared" si="10"/>
        <v>#VALUE!</v>
      </c>
      <c r="O78" s="25" t="b">
        <f t="shared" si="11"/>
        <v>0</v>
      </c>
    </row>
    <row r="79" spans="1:22" ht="11.25" customHeight="1" x14ac:dyDescent="0.2">
      <c r="A79" s="109" t="s">
        <v>45</v>
      </c>
      <c r="B79" s="139"/>
      <c r="C79" s="139" t="s">
        <v>14</v>
      </c>
      <c r="D79" s="140" t="str">
        <v>60Y</v>
      </c>
      <c r="E79" s="132" t="s">
        <v>15</v>
      </c>
      <c r="F79" s="139" t="s">
        <v>16</v>
      </c>
      <c r="G79" s="132" t="s">
        <v>17</v>
      </c>
      <c r="H79" s="141">
        <v>1.244E-2</v>
      </c>
      <c r="I79" s="107" t="str">
        <f>_xll.qlSwapRateHelper2(,$H79,,$D79,Calendar,$F79,$E79,$G79,$I$20,0,C79,Discounting,Permanent,Trigger,ObjectOverwrite)</f>
        <v>obj_0087d#0020</v>
      </c>
      <c r="J79" s="135" t="b">
        <f t="shared" si="13"/>
        <v>1</v>
      </c>
      <c r="L79" s="25" t="str">
        <f t="shared" si="8"/>
        <v>Sw</v>
      </c>
      <c r="M79" s="25" t="e">
        <f t="shared" si="9"/>
        <v>#N/A</v>
      </c>
      <c r="N79" s="25" t="e">
        <f t="shared" si="10"/>
        <v>#VALUE!</v>
      </c>
      <c r="O79" s="25" t="b">
        <f t="shared" si="11"/>
        <v>0</v>
      </c>
    </row>
    <row r="80" spans="1:22" ht="11.25" customHeight="1" x14ac:dyDescent="0.2">
      <c r="A80" s="109" t="s">
        <v>45</v>
      </c>
      <c r="B80" s="139"/>
      <c r="C80" s="139" t="s">
        <v>14</v>
      </c>
      <c r="D80" s="140" t="e">
        <v>#N/A</v>
      </c>
      <c r="E80" s="132" t="s">
        <v>15</v>
      </c>
      <c r="F80" s="139" t="s">
        <v>16</v>
      </c>
      <c r="G80" s="132" t="s">
        <v>17</v>
      </c>
      <c r="H80" s="141" t="e">
        <v>#N/A</v>
      </c>
      <c r="I80" s="107" t="e">
        <f>_xll.qlSwapRateHelper2(,$H80,,$D80,Calendar,$F80,$E80,$G80,$I$20,0,C80,Discounting,Permanent,Trigger,ObjectOverwrite)</f>
        <v>#VALUE!</v>
      </c>
      <c r="J80" s="135" t="b">
        <f t="shared" si="13"/>
        <v>0</v>
      </c>
      <c r="L80" s="25" t="str">
        <f t="shared" si="8"/>
        <v>Sw</v>
      </c>
      <c r="M80" s="25" t="e">
        <f t="shared" si="9"/>
        <v>#N/A</v>
      </c>
      <c r="N80" s="25" t="e">
        <f t="shared" si="10"/>
        <v>#VALUE!</v>
      </c>
      <c r="O80" s="25" t="b">
        <f t="shared" si="11"/>
        <v>0</v>
      </c>
    </row>
    <row r="81" spans="1:15" ht="11.25" customHeight="1" x14ac:dyDescent="0.2">
      <c r="A81" s="109" t="s">
        <v>45</v>
      </c>
      <c r="B81" s="139"/>
      <c r="C81" s="139" t="s">
        <v>14</v>
      </c>
      <c r="D81" s="140" t="e">
        <v>#N/A</v>
      </c>
      <c r="E81" s="132" t="s">
        <v>15</v>
      </c>
      <c r="F81" s="139" t="s">
        <v>16</v>
      </c>
      <c r="G81" s="132" t="s">
        <v>17</v>
      </c>
      <c r="H81" s="141" t="e">
        <v>#N/A</v>
      </c>
      <c r="I81" s="107" t="e">
        <f>_xll.qlSwapRateHelper2(,$H81,,$D81,Calendar,$F81,$E81,$G81,$I$20,0,C81,Discounting,Permanent,Trigger,ObjectOverwrite)</f>
        <v>#VALUE!</v>
      </c>
      <c r="J81" s="135" t="b">
        <f t="shared" si="13"/>
        <v>0</v>
      </c>
      <c r="L81" s="25" t="str">
        <f t="shared" si="8"/>
        <v>Sw</v>
      </c>
      <c r="M81" s="25" t="e">
        <f t="shared" si="9"/>
        <v>#N/A</v>
      </c>
      <c r="N81" s="25" t="e">
        <f t="shared" si="10"/>
        <v>#VALUE!</v>
      </c>
      <c r="O81" s="25" t="b">
        <f t="shared" si="11"/>
        <v>0</v>
      </c>
    </row>
    <row r="82" spans="1:15" ht="11.25" customHeight="1" x14ac:dyDescent="0.2">
      <c r="A82" s="109" t="s">
        <v>45</v>
      </c>
      <c r="B82" s="139"/>
      <c r="C82" s="139" t="s">
        <v>14</v>
      </c>
      <c r="D82" s="140" t="e">
        <v>#N/A</v>
      </c>
      <c r="E82" s="132" t="s">
        <v>15</v>
      </c>
      <c r="F82" s="139" t="s">
        <v>16</v>
      </c>
      <c r="G82" s="132" t="s">
        <v>17</v>
      </c>
      <c r="H82" s="141" t="e">
        <v>#N/A</v>
      </c>
      <c r="I82" s="107" t="e">
        <f>_xll.qlSwapRateHelper2(,$H82,,$D82,Calendar,$F82,$E82,$G82,$I$20,0,C82,Discounting,Permanent,Trigger,ObjectOverwrite)</f>
        <v>#VALUE!</v>
      </c>
      <c r="J82" s="135" t="b">
        <f t="shared" si="13"/>
        <v>0</v>
      </c>
      <c r="L82" s="26" t="str">
        <f t="shared" si="8"/>
        <v>Sw</v>
      </c>
      <c r="M82" s="26" t="e">
        <f t="shared" si="9"/>
        <v>#N/A</v>
      </c>
      <c r="N82" s="26" t="e">
        <f t="shared" si="10"/>
        <v>#VALUE!</v>
      </c>
      <c r="O82" s="26" t="b">
        <f t="shared" si="11"/>
        <v>0</v>
      </c>
    </row>
    <row r="83" spans="1:15" ht="11.25" customHeight="1" x14ac:dyDescent="0.2">
      <c r="A83" s="109" t="s">
        <v>45</v>
      </c>
      <c r="B83" s="139"/>
      <c r="C83" s="139" t="s">
        <v>14</v>
      </c>
      <c r="D83" s="140" t="e">
        <v>#N/A</v>
      </c>
      <c r="E83" s="132" t="s">
        <v>15</v>
      </c>
      <c r="F83" s="139" t="s">
        <v>16</v>
      </c>
      <c r="G83" s="132" t="s">
        <v>17</v>
      </c>
      <c r="H83" s="141" t="e">
        <v>#N/A</v>
      </c>
      <c r="I83" s="107" t="e">
        <f>_xll.qlSwapRateHelper2(,$H83,,$D83,Calendar,$F83,$E83,$G83,$I$20,0,C83,Discounting,Permanent,Trigger,ObjectOverwrite)</f>
        <v>#VALUE!</v>
      </c>
      <c r="J83" s="135" t="b">
        <f t="shared" si="13"/>
        <v>0</v>
      </c>
    </row>
    <row r="84" spans="1:15" ht="11.25" customHeight="1" x14ac:dyDescent="0.2">
      <c r="A84" s="109" t="s">
        <v>45</v>
      </c>
      <c r="B84" s="139"/>
      <c r="C84" s="139" t="s">
        <v>14</v>
      </c>
      <c r="D84" s="140" t="e">
        <v>#N/A</v>
      </c>
      <c r="E84" s="132" t="s">
        <v>15</v>
      </c>
      <c r="F84" s="139" t="s">
        <v>16</v>
      </c>
      <c r="G84" s="132" t="s">
        <v>17</v>
      </c>
      <c r="H84" s="141" t="e">
        <v>#N/A</v>
      </c>
      <c r="I84" s="107" t="e">
        <f>_xll.qlSwapRateHelper2(,$H84,,$D84,Calendar,$F84,$E84,$G84,$I$20,0,C84,Discounting,Permanent,Trigger,ObjectOverwrite)</f>
        <v>#VALUE!</v>
      </c>
      <c r="J84" s="135" t="b">
        <f t="shared" si="13"/>
        <v>0</v>
      </c>
    </row>
    <row r="85" spans="1:15" ht="11.25" customHeight="1" x14ac:dyDescent="0.2">
      <c r="A85" s="7" t="s">
        <v>45</v>
      </c>
      <c r="B85" s="142"/>
      <c r="C85" s="142" t="s">
        <v>14</v>
      </c>
      <c r="D85" s="143" t="e">
        <v>#N/A</v>
      </c>
      <c r="E85" s="3" t="s">
        <v>15</v>
      </c>
      <c r="F85" s="142" t="s">
        <v>16</v>
      </c>
      <c r="G85" s="3" t="s">
        <v>17</v>
      </c>
      <c r="H85" s="144" t="e">
        <v>#N/A</v>
      </c>
      <c r="I85" s="5" t="e">
        <f>_xll.qlSwapRateHelper2(,$H85,,$D85,Calendar,$F85,$E85,$G85,$I$20,0,C85,Discounting,Permanent,Trigger,ObjectOverwrite)</f>
        <v>#VALUE!</v>
      </c>
      <c r="J85" s="12" t="b">
        <f t="shared" si="13"/>
        <v>0</v>
      </c>
    </row>
    <row r="86" spans="1:15" ht="11.25" customHeight="1" x14ac:dyDescent="0.2"/>
    <row r="87" spans="1:15" ht="11.25" customHeight="1" x14ac:dyDescent="0.2"/>
    <row r="88" spans="1:15" ht="11.25" customHeight="1" x14ac:dyDescent="0.2"/>
    <row r="89" spans="1:15" ht="11.25" customHeight="1" x14ac:dyDescent="0.2"/>
  </sheetData>
  <dataValidations count="3">
    <dataValidation type="list" allowBlank="1" showInputMessage="1" showErrorMessage="1" sqref="G22:G85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85">
      <formula1>"Annual,Semiannual,EveryFourthMonth,Quarterly,Bimonthly,Monthly,Biweekly,Weekly,Daily,Once,NoFrequency"</formula1>
    </dataValidation>
    <dataValidation type="list" allowBlank="1" showInputMessage="1" showErrorMessage="1" sqref="E22:E85">
      <formula1>"Following,Modified Following,Preceding,Modified Preceding,Month End Reference,Unadjusted Month End,Unadjusted"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80"/>
  <sheetViews>
    <sheetView showGridLines="0" topLeftCell="K1" zoomScaleNormal="100" workbookViewId="0">
      <selection activeCell="V1" sqref="V1"/>
    </sheetView>
  </sheetViews>
  <sheetFormatPr defaultRowHeight="15" outlineLevelCol="2" x14ac:dyDescent="0.25"/>
  <cols>
    <col min="1" max="1" width="7.5703125" style="155" hidden="1" customWidth="1" outlineLevel="1"/>
    <col min="2" max="2" width="5" style="155" hidden="1" customWidth="1" outlineLevel="2"/>
    <col min="3" max="3" width="6" style="158" hidden="1" customWidth="1" outlineLevel="1" collapsed="1"/>
    <col min="4" max="4" width="9.42578125" style="157" hidden="1" customWidth="1" outlineLevel="1"/>
    <col min="5" max="5" width="18.28515625" style="159" hidden="1" customWidth="1" outlineLevel="1"/>
    <col min="6" max="6" width="6" style="155" hidden="1" customWidth="1" outlineLevel="1"/>
    <col min="7" max="7" width="11" style="155" hidden="1" customWidth="1" outlineLevel="1"/>
    <col min="8" max="8" width="10.85546875" style="155" hidden="1" customWidth="1" outlineLevel="1"/>
    <col min="9" max="9" width="15.140625" style="155" hidden="1" customWidth="1" outlineLevel="1"/>
    <col min="10" max="10" width="9" style="157" hidden="1" customWidth="1" outlineLevel="1"/>
    <col min="11" max="11" width="2.7109375" style="155" customWidth="1" collapsed="1"/>
    <col min="12" max="12" width="5" style="155" hidden="1" customWidth="1" outlineLevel="1"/>
    <col min="13" max="13" width="9" style="155" hidden="1" customWidth="1" outlineLevel="1"/>
    <col min="14" max="14" width="15.140625" style="155" hidden="1" customWidth="1" outlineLevel="1"/>
    <col min="15" max="15" width="6" style="155" hidden="1" customWidth="1" outlineLevel="1"/>
    <col min="16" max="16" width="5" style="155" bestFit="1" customWidth="1" collapsed="1"/>
    <col min="17" max="17" width="6" style="155" customWidth="1"/>
    <col min="18" max="18" width="15.140625" style="155" hidden="1" customWidth="1" outlineLevel="1"/>
    <col min="19" max="19" width="10" style="155" bestFit="1" customWidth="1" collapsed="1"/>
    <col min="20" max="21" width="17.28515625" style="155" bestFit="1" customWidth="1"/>
    <col min="22" max="22" width="12" style="155" bestFit="1" customWidth="1"/>
    <col min="23" max="23" width="15.140625" style="155" bestFit="1" customWidth="1"/>
    <col min="24" max="24" width="9" style="155" bestFit="1" customWidth="1"/>
    <col min="25" max="16384" width="9.140625" style="155"/>
  </cols>
  <sheetData>
    <row r="1" spans="1:22" ht="18" customHeight="1" x14ac:dyDescent="0.25">
      <c r="B1" s="80"/>
      <c r="C1" s="81"/>
      <c r="D1" s="82"/>
      <c r="E1" s="83"/>
      <c r="F1" s="84"/>
      <c r="J1" s="82"/>
      <c r="L1" s="111"/>
      <c r="M1" s="112"/>
      <c r="N1" s="112"/>
      <c r="O1" s="113"/>
      <c r="P1" s="149" t="s">
        <v>177</v>
      </c>
      <c r="Q1" s="112"/>
      <c r="R1" s="112"/>
      <c r="S1" s="117"/>
      <c r="T1" s="112"/>
      <c r="U1" s="112"/>
      <c r="V1" s="147" t="s">
        <v>193</v>
      </c>
    </row>
    <row r="2" spans="1:22" ht="21.75" customHeight="1" x14ac:dyDescent="0.25">
      <c r="A2" s="110" t="s">
        <v>18</v>
      </c>
      <c r="B2" s="110"/>
      <c r="C2" s="110" t="s">
        <v>1</v>
      </c>
      <c r="D2" s="110" t="s">
        <v>2</v>
      </c>
      <c r="E2" s="110" t="s">
        <v>13</v>
      </c>
      <c r="F2" s="110" t="s">
        <v>3</v>
      </c>
      <c r="G2" s="110" t="s">
        <v>4</v>
      </c>
      <c r="H2" s="110" t="s">
        <v>5</v>
      </c>
      <c r="I2" s="110" t="s">
        <v>43</v>
      </c>
      <c r="J2" s="110" t="s">
        <v>47</v>
      </c>
      <c r="L2" s="145" t="s">
        <v>18</v>
      </c>
      <c r="M2" s="145"/>
      <c r="N2" s="145" t="s">
        <v>43</v>
      </c>
      <c r="O2" s="145"/>
      <c r="P2" s="145" t="s">
        <v>18</v>
      </c>
      <c r="Q2" s="145" t="s">
        <v>58</v>
      </c>
      <c r="R2" s="145" t="s">
        <v>43</v>
      </c>
      <c r="S2" s="146" t="s">
        <v>39</v>
      </c>
      <c r="T2" s="145" t="s">
        <v>37</v>
      </c>
      <c r="U2" s="145" t="s">
        <v>38</v>
      </c>
      <c r="V2" s="161">
        <f t="array" ref="V2:V71">_xll.qlPiecewiseYieldCurveData(YieldCurve_ON,Trigger)</f>
        <v>1</v>
      </c>
    </row>
    <row r="3" spans="1:22" ht="11.25" customHeight="1" x14ac:dyDescent="0.25">
      <c r="A3" s="94" t="s">
        <v>46</v>
      </c>
      <c r="B3" s="94" t="str">
        <f t="array" ref="B3:B71">_xll.ohFilter(PastedValue!BC2:BC82,PastedValue!AY2:AY82="Dp")</f>
        <v>O/N</v>
      </c>
      <c r="C3" s="95" t="str">
        <f>IF(LEFT(B3,1)="#","9M",B3)</f>
        <v>O/N</v>
      </c>
      <c r="D3" s="96">
        <f>IF(C3="O/N",0,IF(C3="T/N",1,2))</f>
        <v>0</v>
      </c>
      <c r="E3" s="97" t="str">
        <f t="shared" ref="E3:E19" si="0">IF(RIGHT(C3,1)="M","Modified Following",IF(RIGHT(C3,1)="Y","Modified Following","Following"))</f>
        <v>Following</v>
      </c>
      <c r="F3" s="98" t="str">
        <f>IF(RIGHT(C3,1)="M","TRUE",IF(RIGHT(C3,1)="Y","TRUE","FALSE"))</f>
        <v>FALSE</v>
      </c>
      <c r="G3" s="99" t="s">
        <v>50</v>
      </c>
      <c r="H3" s="100">
        <f t="array" ref="H3:H71">_xll.ohFilter(PastedValue!BF2:BF82,PastedValue!AY2:AY82="Dp")/100</f>
        <v>-9.9999900000000011E-4</v>
      </c>
      <c r="I3" s="101" t="str">
        <f>_xll.qlDepositRateHelper2(,H3,IF(RIGHT(C3,1)="N","1D",C3),D3,Calendar,E3,F3,G3,,Trigger)</f>
        <v>obj_008e2#0023</v>
      </c>
      <c r="J3" s="96" t="b">
        <f t="shared" ref="J3:J17" si="1">IF(ISERROR(I3),FALSE,TRUE)</f>
        <v>1</v>
      </c>
      <c r="K3" s="80"/>
      <c r="L3" s="25" t="str">
        <f>A3</f>
        <v>Dp</v>
      </c>
      <c r="M3" s="25" t="str">
        <f>C3</f>
        <v>O/N</v>
      </c>
      <c r="N3" s="14" t="str">
        <f>I3</f>
        <v>obj_008e2#0023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obj_008e2#0023</v>
      </c>
      <c r="S3" s="21">
        <f>_xll.qlRateHelperQuoteValue(R3,Trigger)</f>
        <v>-9.9999900000000011E-4</v>
      </c>
      <c r="T3" s="15">
        <f>_xll.qlRateHelperEarliestDate(R3,Trigger)</f>
        <v>42143</v>
      </c>
      <c r="U3" s="15">
        <f>_xll.qlRateHelperLatestDate(R3,Trigger)</f>
        <v>42144</v>
      </c>
      <c r="V3" s="162">
        <v>1.0000027777827161</v>
      </c>
    </row>
    <row r="4" spans="1:22" ht="11.25" customHeight="1" x14ac:dyDescent="0.25">
      <c r="A4" s="102" t="s">
        <v>46</v>
      </c>
      <c r="B4" s="102" t="str">
        <v>T/N</v>
      </c>
      <c r="C4" s="103" t="str">
        <f t="shared" ref="C4:C17" si="2">IF(LEFT(B4,1)="#","9M",B4)</f>
        <v>T/N</v>
      </c>
      <c r="D4" s="104">
        <f t="shared" ref="D4:D17" si="3">IF(C4="O/N",0,IF(C4="T/N",1,2))</f>
        <v>1</v>
      </c>
      <c r="E4" s="105" t="str">
        <f t="shared" si="0"/>
        <v>Following</v>
      </c>
      <c r="F4" s="106" t="str">
        <f t="shared" ref="F4:F67" si="4">IF(RIGHT(C4,1)="M","TRUE",IF(RIGHT(C4,1)="Y","TRUE","FALSE"))</f>
        <v>FALSE</v>
      </c>
      <c r="G4" s="107" t="s">
        <v>50</v>
      </c>
      <c r="H4" s="108">
        <v>-1E-3</v>
      </c>
      <c r="I4" s="109" t="str">
        <f>_xll.qlDepositRateHelper2(,H4,IF(RIGHT(C4,1)="N","1D",C4),D4,Calendar,E4,F4,G4,,Trigger)</f>
        <v>obj_008d4#0015</v>
      </c>
      <c r="J4" s="104" t="b">
        <f t="shared" si="1"/>
        <v>1</v>
      </c>
      <c r="K4" s="156"/>
      <c r="L4" s="25" t="str">
        <f t="shared" ref="L4:L67" si="5">A4</f>
        <v>Dp</v>
      </c>
      <c r="M4" s="25" t="str">
        <f t="shared" ref="M4:M67" si="6">C4</f>
        <v>T/N</v>
      </c>
      <c r="N4" s="14" t="str">
        <f t="shared" ref="N4:N67" si="7">I4</f>
        <v>obj_008d4#0015</v>
      </c>
      <c r="O4" s="14" t="b">
        <f t="shared" ref="O4:O67" si="8">J4</f>
        <v>1</v>
      </c>
      <c r="P4" s="14" t="str">
        <v>Dp</v>
      </c>
      <c r="Q4" s="14" t="str">
        <v>T/N</v>
      </c>
      <c r="R4" s="14" t="str">
        <v>obj_008d4#0015</v>
      </c>
      <c r="S4" s="21">
        <f>_xll.qlRateHelperQuoteValue(R4,Trigger)</f>
        <v>-1E-3</v>
      </c>
      <c r="T4" s="15">
        <f>_xll.qlRateHelperEarliestDate(R4,Trigger)</f>
        <v>42144</v>
      </c>
      <c r="U4" s="15">
        <f>_xll.qlRateHelperLatestDate(R4,Trigger)</f>
        <v>42145</v>
      </c>
      <c r="V4" s="162">
        <v>1.0000055555759335</v>
      </c>
    </row>
    <row r="5" spans="1:22" ht="11.25" customHeight="1" x14ac:dyDescent="0.25">
      <c r="A5" s="102" t="s">
        <v>46</v>
      </c>
      <c r="B5" s="102" t="str">
        <v>S/N</v>
      </c>
      <c r="C5" s="103" t="str">
        <f t="shared" si="2"/>
        <v>S/N</v>
      </c>
      <c r="D5" s="104">
        <f t="shared" si="3"/>
        <v>2</v>
      </c>
      <c r="E5" s="105" t="str">
        <f t="shared" si="0"/>
        <v>Following</v>
      </c>
      <c r="F5" s="106" t="str">
        <f t="shared" si="4"/>
        <v>FALSE</v>
      </c>
      <c r="G5" s="107" t="s">
        <v>50</v>
      </c>
      <c r="H5" s="108">
        <v>-1E-3</v>
      </c>
      <c r="I5" s="109" t="str">
        <f>_xll.qlDepositRateHelper2(,H5,IF(RIGHT(C5,1)="N","1D",C5),D5,Calendar,E5,F5,G5,,Trigger)</f>
        <v>obj_008d6#0015</v>
      </c>
      <c r="J5" s="104" t="b">
        <f t="shared" si="1"/>
        <v>1</v>
      </c>
      <c r="K5" s="156"/>
      <c r="L5" s="25" t="str">
        <f t="shared" si="5"/>
        <v>Dp</v>
      </c>
      <c r="M5" s="25" t="str">
        <f t="shared" si="6"/>
        <v>S/N</v>
      </c>
      <c r="N5" s="14" t="str">
        <f t="shared" si="7"/>
        <v>obj_008d6#0015</v>
      </c>
      <c r="O5" s="14" t="b">
        <f t="shared" si="8"/>
        <v>1</v>
      </c>
      <c r="P5" s="14" t="str">
        <v>Dp</v>
      </c>
      <c r="Q5" s="14" t="str">
        <v>S/N</v>
      </c>
      <c r="R5" s="14" t="str">
        <v>obj_008d6#0015</v>
      </c>
      <c r="S5" s="21">
        <f>_xll.qlRateHelperQuoteValue(R5,Trigger)</f>
        <v>-1E-3</v>
      </c>
      <c r="T5" s="15">
        <f>_xll.qlRateHelperEarliestDate(R5,Trigger)</f>
        <v>42145</v>
      </c>
      <c r="U5" s="15">
        <f>_xll.qlRateHelperLatestDate(R5,Trigger)</f>
        <v>42146</v>
      </c>
      <c r="V5" s="162">
        <v>1.0000083333768635</v>
      </c>
    </row>
    <row r="6" spans="1:22" ht="11.25" customHeight="1" x14ac:dyDescent="0.25">
      <c r="A6" s="102" t="s">
        <v>46</v>
      </c>
      <c r="B6" s="102" t="str">
        <v>1W</v>
      </c>
      <c r="C6" s="103" t="str">
        <f t="shared" si="2"/>
        <v>1W</v>
      </c>
      <c r="D6" s="104">
        <f t="shared" si="3"/>
        <v>2</v>
      </c>
      <c r="E6" s="105" t="str">
        <f t="shared" si="0"/>
        <v>Following</v>
      </c>
      <c r="F6" s="106" t="str">
        <f t="shared" si="4"/>
        <v>FALSE</v>
      </c>
      <c r="G6" s="107" t="s">
        <v>50</v>
      </c>
      <c r="H6" s="108">
        <v>-1.17E-3</v>
      </c>
      <c r="I6" s="109" t="str">
        <f>_xll.qlDepositRateHelper2(,H6,IF(RIGHT(C6,1)="N","1D",C6),D6,Calendar,E6,F6,G6,,Trigger)</f>
        <v>obj_008fe#0014</v>
      </c>
      <c r="J6" s="104" t="b">
        <f t="shared" si="1"/>
        <v>1</v>
      </c>
      <c r="K6" s="156"/>
      <c r="L6" s="25" t="str">
        <f t="shared" si="5"/>
        <v>Dp</v>
      </c>
      <c r="M6" s="25" t="str">
        <f t="shared" si="6"/>
        <v>1W</v>
      </c>
      <c r="N6" s="14" t="str">
        <f t="shared" si="7"/>
        <v>obj_008fe#0014</v>
      </c>
      <c r="O6" s="14" t="b">
        <f t="shared" si="8"/>
        <v>1</v>
      </c>
      <c r="P6" s="14" t="str">
        <v>Dp</v>
      </c>
      <c r="Q6" s="14" t="str">
        <v>1W</v>
      </c>
      <c r="R6" s="14" t="str">
        <v>obj_008fe#0014</v>
      </c>
      <c r="S6" s="21">
        <f>_xll.qlRateHelperQuoteValue(R6,Trigger)</f>
        <v>-1.17E-3</v>
      </c>
      <c r="T6" s="15">
        <f>_xll.qlRateHelperEarliestDate(R6,Trigger)</f>
        <v>42145</v>
      </c>
      <c r="U6" s="15">
        <f>_xll.qlRateHelperLatestDate(R6,Trigger)</f>
        <v>42152</v>
      </c>
      <c r="V6" s="162">
        <v>1.000028306220081</v>
      </c>
    </row>
    <row r="7" spans="1:22" ht="11.25" customHeight="1" x14ac:dyDescent="0.25">
      <c r="A7" s="102" t="s">
        <v>46</v>
      </c>
      <c r="B7" s="102" t="str">
        <v>2W</v>
      </c>
      <c r="C7" s="103" t="str">
        <f t="shared" si="2"/>
        <v>2W</v>
      </c>
      <c r="D7" s="104">
        <f t="shared" si="3"/>
        <v>2</v>
      </c>
      <c r="E7" s="105" t="str">
        <f t="shared" si="0"/>
        <v>Following</v>
      </c>
      <c r="F7" s="106" t="str">
        <f t="shared" si="4"/>
        <v>FALSE</v>
      </c>
      <c r="G7" s="107" t="s">
        <v>50</v>
      </c>
      <c r="H7" s="108">
        <v>-1.0299999999999999E-3</v>
      </c>
      <c r="I7" s="109" t="str">
        <f>_xll.qlDepositRateHelper2(,H7,IF(RIGHT(C7,1)="N","1D",C7),D7,Calendar,E7,F7,G7,,Trigger)</f>
        <v>obj_008e3#0015</v>
      </c>
      <c r="J7" s="104" t="b">
        <f t="shared" si="1"/>
        <v>1</v>
      </c>
      <c r="K7" s="156"/>
      <c r="L7" s="25" t="str">
        <f t="shared" si="5"/>
        <v>Dp</v>
      </c>
      <c r="M7" s="25" t="str">
        <f t="shared" si="6"/>
        <v>2W</v>
      </c>
      <c r="N7" s="14" t="str">
        <f t="shared" si="7"/>
        <v>obj_008e3#0015</v>
      </c>
      <c r="O7" s="14" t="b">
        <f t="shared" si="8"/>
        <v>1</v>
      </c>
      <c r="P7" s="14" t="str">
        <v>Dp</v>
      </c>
      <c r="Q7" s="14" t="str">
        <v>2W</v>
      </c>
      <c r="R7" s="14" t="str">
        <v>obj_008e3#0015</v>
      </c>
      <c r="S7" s="21">
        <f>_xll.qlRateHelperQuoteValue(R7,Trigger)</f>
        <v>-1.0299999999999999E-3</v>
      </c>
      <c r="T7" s="15">
        <f>_xll.qlRateHelperEarliestDate(R7,Trigger)</f>
        <v>42145</v>
      </c>
      <c r="U7" s="15">
        <f>_xll.qlRateHelperLatestDate(R7,Trigger)</f>
        <v>42159</v>
      </c>
      <c r="V7" s="162">
        <v>1.0000456129585336</v>
      </c>
    </row>
    <row r="8" spans="1:22" ht="11.25" customHeight="1" x14ac:dyDescent="0.25">
      <c r="A8" s="102" t="s">
        <v>46</v>
      </c>
      <c r="B8" s="102" t="str">
        <v>3W</v>
      </c>
      <c r="C8" s="103" t="str">
        <f t="shared" si="2"/>
        <v>3W</v>
      </c>
      <c r="D8" s="104">
        <f t="shared" si="3"/>
        <v>2</v>
      </c>
      <c r="E8" s="105" t="str">
        <f t="shared" si="0"/>
        <v>Following</v>
      </c>
      <c r="F8" s="106" t="str">
        <f t="shared" si="4"/>
        <v>FALSE</v>
      </c>
      <c r="G8" s="107" t="s">
        <v>50</v>
      </c>
      <c r="H8" s="108">
        <v>-1.06E-3</v>
      </c>
      <c r="I8" s="109" t="str">
        <f>_xll.qlDepositRateHelper2(,H8,IF(RIGHT(C8,1)="N","1D",C8),D8,Calendar,E8,F8,G8,,Trigger)</f>
        <v>obj_008ca#0015</v>
      </c>
      <c r="J8" s="104" t="b">
        <f t="shared" si="1"/>
        <v>1</v>
      </c>
      <c r="K8" s="156"/>
      <c r="L8" s="25" t="str">
        <f t="shared" si="5"/>
        <v>Dp</v>
      </c>
      <c r="M8" s="25" t="str">
        <f t="shared" si="6"/>
        <v>3W</v>
      </c>
      <c r="N8" s="14" t="str">
        <f t="shared" si="7"/>
        <v>obj_008ca#0015</v>
      </c>
      <c r="O8" s="14" t="b">
        <f t="shared" si="8"/>
        <v>1</v>
      </c>
      <c r="P8" s="14" t="str">
        <v>Dp</v>
      </c>
      <c r="Q8" s="14" t="str">
        <v>3W</v>
      </c>
      <c r="R8" s="14" t="str">
        <v>obj_008ca#0015</v>
      </c>
      <c r="S8" s="21">
        <f>_xll.qlRateHelperQuoteValue(R8,Trigger)</f>
        <v>-1.06E-3</v>
      </c>
      <c r="T8" s="15">
        <f>_xll.qlRateHelperEarliestDate(R8,Trigger)</f>
        <v>42145</v>
      </c>
      <c r="U8" s="15">
        <f>_xll.qlRateHelperLatestDate(R8,Trigger)</f>
        <v>42166</v>
      </c>
      <c r="V8" s="162">
        <v>1.0000673930764696</v>
      </c>
    </row>
    <row r="9" spans="1:22" ht="11.25" customHeight="1" x14ac:dyDescent="0.25">
      <c r="A9" s="102" t="s">
        <v>46</v>
      </c>
      <c r="B9" s="102" t="str">
        <v>1M</v>
      </c>
      <c r="C9" s="103" t="str">
        <f t="shared" si="2"/>
        <v>1M</v>
      </c>
      <c r="D9" s="104">
        <f t="shared" si="3"/>
        <v>2</v>
      </c>
      <c r="E9" s="105" t="str">
        <f t="shared" si="0"/>
        <v>Modified Following</v>
      </c>
      <c r="F9" s="106" t="str">
        <f t="shared" si="4"/>
        <v>TRUE</v>
      </c>
      <c r="G9" s="107" t="s">
        <v>50</v>
      </c>
      <c r="H9" s="108">
        <v>-1.09E-3</v>
      </c>
      <c r="I9" s="109" t="str">
        <f>_xll.qlDepositRateHelper2(,H9,IF(RIGHT(C9,1)="N","1D",C9),D9,Calendar,E9,F9,G9,,Trigger)</f>
        <v>obj_008e9#0015</v>
      </c>
      <c r="J9" s="104" t="b">
        <f t="shared" si="1"/>
        <v>1</v>
      </c>
      <c r="K9" s="156"/>
      <c r="L9" s="25" t="str">
        <f t="shared" si="5"/>
        <v>Dp</v>
      </c>
      <c r="M9" s="25" t="str">
        <f t="shared" si="6"/>
        <v>1M</v>
      </c>
      <c r="N9" s="14" t="str">
        <f t="shared" si="7"/>
        <v>obj_008e9#0015</v>
      </c>
      <c r="O9" s="14" t="b">
        <f t="shared" si="8"/>
        <v>1</v>
      </c>
      <c r="P9" s="14" t="str">
        <v>Dp</v>
      </c>
      <c r="Q9" s="14" t="str">
        <v>1M</v>
      </c>
      <c r="R9" s="14" t="str">
        <v>obj_008e9#0015</v>
      </c>
      <c r="S9" s="21">
        <f>_xll.qlRateHelperQuoteValue(R9,Trigger)</f>
        <v>-1.09E-3</v>
      </c>
      <c r="T9" s="15">
        <f>_xll.qlRateHelperEarliestDate(R9,Trigger)</f>
        <v>42145</v>
      </c>
      <c r="U9" s="15">
        <f>_xll.qlRateHelperLatestDate(R9,Trigger)</f>
        <v>42177</v>
      </c>
      <c r="V9" s="162">
        <v>1.0001024543917589</v>
      </c>
    </row>
    <row r="10" spans="1:22" ht="11.25" customHeight="1" x14ac:dyDescent="0.25">
      <c r="A10" s="102" t="s">
        <v>46</v>
      </c>
      <c r="B10" s="102" t="str">
        <v>2M</v>
      </c>
      <c r="C10" s="103" t="str">
        <f t="shared" si="2"/>
        <v>2M</v>
      </c>
      <c r="D10" s="104">
        <f t="shared" si="3"/>
        <v>2</v>
      </c>
      <c r="E10" s="105" t="str">
        <f t="shared" si="0"/>
        <v>Modified Following</v>
      </c>
      <c r="F10" s="106" t="str">
        <f t="shared" si="4"/>
        <v>TRUE</v>
      </c>
      <c r="G10" s="107" t="s">
        <v>50</v>
      </c>
      <c r="H10" s="108">
        <v>-1.14E-3</v>
      </c>
      <c r="I10" s="109" t="str">
        <f>_xll.qlDepositRateHelper2(,H10,IF(RIGHT(C10,1)="N","1D",C10),D10,Calendar,E10,F10,G10,,Trigger)</f>
        <v>obj_0090b#0014</v>
      </c>
      <c r="J10" s="104" t="b">
        <f t="shared" si="1"/>
        <v>1</v>
      </c>
      <c r="K10" s="156"/>
      <c r="L10" s="25" t="str">
        <f t="shared" si="5"/>
        <v>Dp</v>
      </c>
      <c r="M10" s="25" t="str">
        <f t="shared" si="6"/>
        <v>2M</v>
      </c>
      <c r="N10" s="14" t="str">
        <f t="shared" si="7"/>
        <v>obj_0090b#0014</v>
      </c>
      <c r="O10" s="14" t="b">
        <f t="shared" si="8"/>
        <v>1</v>
      </c>
      <c r="P10" s="14" t="str">
        <v>Dp</v>
      </c>
      <c r="Q10" s="14" t="str">
        <v>2M</v>
      </c>
      <c r="R10" s="14" t="str">
        <v>obj_0090b#0014</v>
      </c>
      <c r="S10" s="21">
        <f>_xll.qlRateHelperQuoteValue(R10,Trigger)</f>
        <v>-1.14E-3</v>
      </c>
      <c r="T10" s="15">
        <f>_xll.qlRateHelperEarliestDate(R10,Trigger)</f>
        <v>42145</v>
      </c>
      <c r="U10" s="15">
        <f>_xll.qlRateHelperLatestDate(R10,Trigger)</f>
        <v>42206</v>
      </c>
      <c r="V10" s="162">
        <v>1.0001987606365297</v>
      </c>
    </row>
    <row r="11" spans="1:22" ht="11.25" customHeight="1" x14ac:dyDescent="0.25">
      <c r="A11" s="102" t="s">
        <v>46</v>
      </c>
      <c r="B11" s="102" t="str">
        <v>3M</v>
      </c>
      <c r="C11" s="103" t="str">
        <f t="shared" si="2"/>
        <v>3M</v>
      </c>
      <c r="D11" s="104">
        <f t="shared" si="3"/>
        <v>2</v>
      </c>
      <c r="E11" s="105" t="str">
        <f t="shared" si="0"/>
        <v>Modified Following</v>
      </c>
      <c r="F11" s="106" t="str">
        <f t="shared" si="4"/>
        <v>TRUE</v>
      </c>
      <c r="G11" s="107" t="s">
        <v>50</v>
      </c>
      <c r="H11" s="108">
        <v>-1.17E-3</v>
      </c>
      <c r="I11" s="109" t="str">
        <f>_xll.qlDepositRateHelper2(,H11,IF(RIGHT(C11,1)="N","1D",C11),D11,Calendar,E11,F11,G11,,Trigger)</f>
        <v>obj_008f1#0014</v>
      </c>
      <c r="J11" s="104" t="b">
        <f t="shared" si="1"/>
        <v>1</v>
      </c>
      <c r="K11" s="156"/>
      <c r="L11" s="25" t="str">
        <f t="shared" si="5"/>
        <v>Dp</v>
      </c>
      <c r="M11" s="25" t="str">
        <f t="shared" si="6"/>
        <v>3M</v>
      </c>
      <c r="N11" s="14" t="str">
        <f t="shared" si="7"/>
        <v>obj_008f1#0014</v>
      </c>
      <c r="O11" s="14" t="b">
        <f t="shared" si="8"/>
        <v>1</v>
      </c>
      <c r="P11" s="14" t="str">
        <v>Dp</v>
      </c>
      <c r="Q11" s="14" t="str">
        <v>3M</v>
      </c>
      <c r="R11" s="14" t="str">
        <v>obj_008f1#0014</v>
      </c>
      <c r="S11" s="21">
        <f>_xll.qlRateHelperQuoteValue(R11,Trigger)</f>
        <v>-1.17E-3</v>
      </c>
      <c r="T11" s="15">
        <f>_xll.qlRateHelperEarliestDate(R11,Trigger)</f>
        <v>42145</v>
      </c>
      <c r="U11" s="15">
        <f>_xll.qlRateHelperLatestDate(R11,Trigger)</f>
        <v>42237</v>
      </c>
      <c r="V11" s="162">
        <v>1.0003046466652865</v>
      </c>
    </row>
    <row r="12" spans="1:22" ht="11.25" customHeight="1" x14ac:dyDescent="0.25">
      <c r="A12" s="102" t="s">
        <v>46</v>
      </c>
      <c r="B12" s="102" t="str">
        <v>4M</v>
      </c>
      <c r="C12" s="103" t="str">
        <f t="shared" si="2"/>
        <v>4M</v>
      </c>
      <c r="D12" s="104">
        <f t="shared" si="3"/>
        <v>2</v>
      </c>
      <c r="E12" s="105" t="str">
        <f t="shared" si="0"/>
        <v>Modified Following</v>
      </c>
      <c r="F12" s="106" t="str">
        <f t="shared" si="4"/>
        <v>TRUE</v>
      </c>
      <c r="G12" s="107" t="s">
        <v>50</v>
      </c>
      <c r="H12" s="108">
        <v>-1.1899999999999999E-3</v>
      </c>
      <c r="I12" s="109" t="str">
        <f>_xll.qlDepositRateHelper2(,H12,IF(RIGHT(C12,1)="N","1D",C12),D12,Calendar,E12,F12,G12,,Trigger)</f>
        <v>obj_00907#0014</v>
      </c>
      <c r="J12" s="104" t="b">
        <f t="shared" si="1"/>
        <v>1</v>
      </c>
      <c r="K12" s="156"/>
      <c r="L12" s="25" t="str">
        <f t="shared" si="5"/>
        <v>Dp</v>
      </c>
      <c r="M12" s="25" t="str">
        <f t="shared" si="6"/>
        <v>4M</v>
      </c>
      <c r="N12" s="14" t="str">
        <f t="shared" si="7"/>
        <v>obj_00907#0014</v>
      </c>
      <c r="O12" s="14" t="b">
        <f t="shared" si="8"/>
        <v>1</v>
      </c>
      <c r="P12" s="14" t="str">
        <v>Dp</v>
      </c>
      <c r="Q12" s="14" t="str">
        <v>4M</v>
      </c>
      <c r="R12" s="14" t="str">
        <v>obj_00907#0014</v>
      </c>
      <c r="S12" s="21">
        <f>_xll.qlRateHelperQuoteValue(R12,Trigger)</f>
        <v>-1.1899999999999999E-3</v>
      </c>
      <c r="T12" s="15">
        <f>_xll.qlRateHelperEarliestDate(R12,Trigger)</f>
        <v>42145</v>
      </c>
      <c r="U12" s="15">
        <f>_xll.qlRateHelperLatestDate(R12,Trigger)</f>
        <v>42268</v>
      </c>
      <c r="V12" s="162">
        <v>1.0004123065462367</v>
      </c>
    </row>
    <row r="13" spans="1:22" ht="11.25" customHeight="1" x14ac:dyDescent="0.25">
      <c r="A13" s="102" t="s">
        <v>46</v>
      </c>
      <c r="B13" s="102" t="str">
        <v>5M</v>
      </c>
      <c r="C13" s="103" t="str">
        <f t="shared" si="2"/>
        <v>5M</v>
      </c>
      <c r="D13" s="104">
        <f t="shared" si="3"/>
        <v>2</v>
      </c>
      <c r="E13" s="105" t="str">
        <f t="shared" si="0"/>
        <v>Modified Following</v>
      </c>
      <c r="F13" s="106" t="str">
        <f t="shared" si="4"/>
        <v>TRUE</v>
      </c>
      <c r="G13" s="107" t="s">
        <v>50</v>
      </c>
      <c r="H13" s="108">
        <v>-1.1899999999999999E-3</v>
      </c>
      <c r="I13" s="109" t="str">
        <f>_xll.qlDepositRateHelper2(,H13,IF(RIGHT(C13,1)="N","1D",C13),D13,Calendar,E13,F13,G13,,Trigger)</f>
        <v>obj_00903#0014</v>
      </c>
      <c r="J13" s="104" t="b">
        <f t="shared" si="1"/>
        <v>1</v>
      </c>
      <c r="K13" s="156"/>
      <c r="L13" s="25" t="str">
        <f t="shared" si="5"/>
        <v>Dp</v>
      </c>
      <c r="M13" s="25" t="str">
        <f t="shared" si="6"/>
        <v>5M</v>
      </c>
      <c r="N13" s="14" t="str">
        <f t="shared" si="7"/>
        <v>obj_00903#0014</v>
      </c>
      <c r="O13" s="14" t="b">
        <f t="shared" si="8"/>
        <v>1</v>
      </c>
      <c r="P13" s="14" t="str">
        <v>Dp</v>
      </c>
      <c r="Q13" s="14" t="str">
        <v>5M</v>
      </c>
      <c r="R13" s="14" t="str">
        <v>obj_00903#0014</v>
      </c>
      <c r="S13" s="21">
        <f>_xll.qlRateHelperQuoteValue(R13,Trigger)</f>
        <v>-1.1899999999999999E-3</v>
      </c>
      <c r="T13" s="15">
        <f>_xll.qlRateHelperEarliestDate(R13,Trigger)</f>
        <v>42145</v>
      </c>
      <c r="U13" s="15">
        <f>_xll.qlRateHelperLatestDate(R13,Trigger)</f>
        <v>42298</v>
      </c>
      <c r="V13" s="162">
        <v>1.0005115642995848</v>
      </c>
    </row>
    <row r="14" spans="1:22" ht="11.25" customHeight="1" x14ac:dyDescent="0.25">
      <c r="A14" s="102" t="s">
        <v>46</v>
      </c>
      <c r="B14" s="102" t="str">
        <v>6M</v>
      </c>
      <c r="C14" s="103" t="str">
        <f t="shared" si="2"/>
        <v>6M</v>
      </c>
      <c r="D14" s="104">
        <f t="shared" si="3"/>
        <v>2</v>
      </c>
      <c r="E14" s="105" t="str">
        <f t="shared" si="0"/>
        <v>Modified Following</v>
      </c>
      <c r="F14" s="106" t="str">
        <f t="shared" si="4"/>
        <v>TRUE</v>
      </c>
      <c r="G14" s="107" t="s">
        <v>50</v>
      </c>
      <c r="H14" s="108">
        <v>-1.1999999999999999E-3</v>
      </c>
      <c r="I14" s="109" t="str">
        <f>_xll.qlDepositRateHelper2(,H14,IF(RIGHT(C14,1)="N","1D",C14),D14,Calendar,E14,F14,G14,,Trigger)</f>
        <v>obj_008e5#0015</v>
      </c>
      <c r="J14" s="104" t="b">
        <f t="shared" si="1"/>
        <v>1</v>
      </c>
      <c r="K14" s="156"/>
      <c r="L14" s="25" t="str">
        <f t="shared" si="5"/>
        <v>Dp</v>
      </c>
      <c r="M14" s="25" t="str">
        <f t="shared" si="6"/>
        <v>6M</v>
      </c>
      <c r="N14" s="14" t="str">
        <f t="shared" si="7"/>
        <v>obj_008e5#0015</v>
      </c>
      <c r="O14" s="14" t="b">
        <f t="shared" si="8"/>
        <v>1</v>
      </c>
      <c r="P14" s="14" t="str">
        <v>Dp</v>
      </c>
      <c r="Q14" s="14" t="str">
        <v>6M</v>
      </c>
      <c r="R14" s="14" t="str">
        <v>obj_008e5#0015</v>
      </c>
      <c r="S14" s="21">
        <f>_xll.qlRateHelperQuoteValue(R14,Trigger)</f>
        <v>-1.1999999999999999E-3</v>
      </c>
      <c r="T14" s="15">
        <f>_xll.qlRateHelperEarliestDate(R14,Trigger)</f>
        <v>42145</v>
      </c>
      <c r="U14" s="15">
        <f>_xll.qlRateHelperLatestDate(R14,Trigger)</f>
        <v>42331</v>
      </c>
      <c r="V14" s="162">
        <v>1.0006259436610034</v>
      </c>
    </row>
    <row r="15" spans="1:22" ht="11.25" customHeight="1" x14ac:dyDescent="0.25">
      <c r="A15" s="102" t="s">
        <v>46</v>
      </c>
      <c r="B15" s="102" t="str">
        <v>7M</v>
      </c>
      <c r="C15" s="103" t="str">
        <f t="shared" si="2"/>
        <v>7M</v>
      </c>
      <c r="D15" s="104">
        <f t="shared" si="3"/>
        <v>2</v>
      </c>
      <c r="E15" s="105" t="str">
        <f t="shared" si="0"/>
        <v>Modified Following</v>
      </c>
      <c r="F15" s="106" t="str">
        <f t="shared" si="4"/>
        <v>TRUE</v>
      </c>
      <c r="G15" s="107" t="s">
        <v>50</v>
      </c>
      <c r="H15" s="108">
        <v>-1.2199999999999999E-3</v>
      </c>
      <c r="I15" s="109" t="str">
        <f>_xll.qlDepositRateHelper2(,H15,IF(RIGHT(C15,1)="N","1D",C15),D15,Calendar,E15,F15,G15,,Trigger)</f>
        <v>obj_008de#0015</v>
      </c>
      <c r="J15" s="104" t="b">
        <f t="shared" si="1"/>
        <v>1</v>
      </c>
      <c r="K15" s="156"/>
      <c r="L15" s="25" t="str">
        <f t="shared" si="5"/>
        <v>Dp</v>
      </c>
      <c r="M15" s="25" t="str">
        <f t="shared" si="6"/>
        <v>7M</v>
      </c>
      <c r="N15" s="14" t="str">
        <f t="shared" si="7"/>
        <v>obj_008de#0015</v>
      </c>
      <c r="O15" s="14" t="b">
        <f t="shared" si="8"/>
        <v>1</v>
      </c>
      <c r="P15" s="14" t="str">
        <v>Dp</v>
      </c>
      <c r="Q15" s="14" t="str">
        <v>7M</v>
      </c>
      <c r="R15" s="14" t="str">
        <v>obj_008de#0015</v>
      </c>
      <c r="S15" s="21">
        <f>_xll.qlRateHelperQuoteValue(R15,Trigger)</f>
        <v>-1.2199999999999999E-3</v>
      </c>
      <c r="T15" s="15">
        <f>_xll.qlRateHelperEarliestDate(R15,Trigger)</f>
        <v>42145</v>
      </c>
      <c r="U15" s="15">
        <f>_xll.qlRateHelperLatestDate(R15,Trigger)</f>
        <v>42359</v>
      </c>
      <c r="V15" s="162">
        <v>1.0007313081590841</v>
      </c>
    </row>
    <row r="16" spans="1:22" ht="11.25" customHeight="1" x14ac:dyDescent="0.25">
      <c r="A16" s="102" t="s">
        <v>46</v>
      </c>
      <c r="B16" s="102" t="str">
        <v>8M</v>
      </c>
      <c r="C16" s="103" t="str">
        <f t="shared" si="2"/>
        <v>8M</v>
      </c>
      <c r="D16" s="104">
        <f t="shared" si="3"/>
        <v>2</v>
      </c>
      <c r="E16" s="105" t="str">
        <f t="shared" si="0"/>
        <v>Modified Following</v>
      </c>
      <c r="F16" s="106" t="str">
        <f t="shared" si="4"/>
        <v>TRUE</v>
      </c>
      <c r="G16" s="107" t="s">
        <v>50</v>
      </c>
      <c r="H16" s="108">
        <v>-1.1999999999999999E-3</v>
      </c>
      <c r="I16" s="109" t="str">
        <f>_xll.qlDepositRateHelper2(,H16,IF(RIGHT(C16,1)="N","1D",C16),D16,Calendar,E16,F16,G16,,Trigger)</f>
        <v>obj_00912#0014</v>
      </c>
      <c r="J16" s="104" t="b">
        <f t="shared" si="1"/>
        <v>1</v>
      </c>
      <c r="K16" s="156"/>
      <c r="L16" s="25" t="str">
        <f t="shared" si="5"/>
        <v>Dp</v>
      </c>
      <c r="M16" s="25" t="str">
        <f t="shared" si="6"/>
        <v>8M</v>
      </c>
      <c r="N16" s="14" t="str">
        <f t="shared" si="7"/>
        <v>obj_00912#0014</v>
      </c>
      <c r="O16" s="14" t="b">
        <f t="shared" si="8"/>
        <v>1</v>
      </c>
      <c r="P16" s="14" t="str">
        <v>Dp</v>
      </c>
      <c r="Q16" s="14" t="str">
        <v>8M</v>
      </c>
      <c r="R16" s="14" t="str">
        <v>obj_00912#0014</v>
      </c>
      <c r="S16" s="21">
        <f>_xll.qlRateHelperQuoteValue(R16,Trigger)</f>
        <v>-1.1999999999999999E-3</v>
      </c>
      <c r="T16" s="15">
        <f>_xll.qlRateHelperEarliestDate(R16,Trigger)</f>
        <v>42145</v>
      </c>
      <c r="U16" s="15">
        <f>_xll.qlRateHelperLatestDate(R16,Trigger)</f>
        <v>42390</v>
      </c>
      <c r="V16" s="162">
        <v>1.0008228942729231</v>
      </c>
    </row>
    <row r="17" spans="1:22" ht="11.25" customHeight="1" x14ac:dyDescent="0.25">
      <c r="A17" s="102" t="s">
        <v>46</v>
      </c>
      <c r="B17" s="102" t="str">
        <v>9M</v>
      </c>
      <c r="C17" s="103" t="str">
        <f t="shared" si="2"/>
        <v>9M</v>
      </c>
      <c r="D17" s="104">
        <f t="shared" si="3"/>
        <v>2</v>
      </c>
      <c r="E17" s="105" t="str">
        <f t="shared" si="0"/>
        <v>Modified Following</v>
      </c>
      <c r="F17" s="106" t="str">
        <f t="shared" si="4"/>
        <v>TRUE</v>
      </c>
      <c r="G17" s="107" t="s">
        <v>50</v>
      </c>
      <c r="H17" s="108">
        <v>-1.1999999999999999E-3</v>
      </c>
      <c r="I17" s="109" t="str">
        <f>_xll.qlDepositRateHelper2(,H17,IF(RIGHT(C17,1)="N","1D",C17),D17,Calendar,E17,F17,G17,,Trigger)</f>
        <v>obj_0091f#0014</v>
      </c>
      <c r="J17" s="104" t="b">
        <f t="shared" si="1"/>
        <v>1</v>
      </c>
      <c r="K17" s="156"/>
      <c r="L17" s="25" t="str">
        <f t="shared" si="5"/>
        <v>Dp</v>
      </c>
      <c r="M17" s="25" t="str">
        <f t="shared" si="6"/>
        <v>9M</v>
      </c>
      <c r="N17" s="14" t="str">
        <f t="shared" si="7"/>
        <v>obj_0091f#0014</v>
      </c>
      <c r="O17" s="14" t="b">
        <f t="shared" si="8"/>
        <v>1</v>
      </c>
      <c r="P17" s="14" t="str">
        <v>Dp</v>
      </c>
      <c r="Q17" s="14" t="str">
        <v>9M</v>
      </c>
      <c r="R17" s="14" t="str">
        <v>obj_0091f#0014</v>
      </c>
      <c r="S17" s="21">
        <f>_xll.qlRateHelperQuoteValue(R17,Trigger)</f>
        <v>-1.1999999999999999E-3</v>
      </c>
      <c r="T17" s="15">
        <f>_xll.qlRateHelperEarliestDate(R17,Trigger)</f>
        <v>42145</v>
      </c>
      <c r="U17" s="15">
        <f>_xll.qlRateHelperLatestDate(R17,Trigger)</f>
        <v>42422</v>
      </c>
      <c r="V17" s="162">
        <v>1.0009297473760141</v>
      </c>
    </row>
    <row r="18" spans="1:22" ht="11.25" customHeight="1" x14ac:dyDescent="0.25">
      <c r="A18" s="102" t="s">
        <v>46</v>
      </c>
      <c r="B18" s="102" t="str">
        <v>10M</v>
      </c>
      <c r="C18" s="103" t="str">
        <f t="shared" ref="C18:C71" si="9">IF(LEFT(B18,1)="#","9M",B18)</f>
        <v>10M</v>
      </c>
      <c r="D18" s="104">
        <f t="shared" ref="D18:D71" si="10">IF(C18="O/N",0,IF(C18="T/N",1,2))</f>
        <v>2</v>
      </c>
      <c r="E18" s="105" t="str">
        <f t="shared" si="0"/>
        <v>Modified Following</v>
      </c>
      <c r="F18" s="106" t="str">
        <f t="shared" si="4"/>
        <v>TRUE</v>
      </c>
      <c r="G18" s="107" t="s">
        <v>50</v>
      </c>
      <c r="H18" s="108">
        <v>-1.1999999999999999E-3</v>
      </c>
      <c r="I18" s="109" t="str">
        <f>_xll.qlDepositRateHelper2(,H18,IF(RIGHT(C18,1)="N","1D",C18),D18,Calendar,E18,F18,G18,,Trigger)</f>
        <v>obj_008a2#0018</v>
      </c>
      <c r="J18" s="104" t="b">
        <f t="shared" ref="J18:J71" si="11">IF(ISERROR(I18),FALSE,TRUE)</f>
        <v>1</v>
      </c>
      <c r="K18" s="156"/>
      <c r="L18" s="25" t="str">
        <f t="shared" si="5"/>
        <v>Dp</v>
      </c>
      <c r="M18" s="25" t="str">
        <f t="shared" si="6"/>
        <v>10M</v>
      </c>
      <c r="N18" s="14" t="str">
        <f t="shared" si="7"/>
        <v>obj_008a2#0018</v>
      </c>
      <c r="O18" s="14" t="b">
        <f t="shared" si="8"/>
        <v>1</v>
      </c>
      <c r="P18" s="14" t="str">
        <v>Dp</v>
      </c>
      <c r="Q18" s="14" t="str">
        <v>10M</v>
      </c>
      <c r="R18" s="14" t="str">
        <v>obj_008a2#0018</v>
      </c>
      <c r="S18" s="21">
        <f>_xll.qlRateHelperQuoteValue(R18,Trigger)</f>
        <v>-1.1999999999999999E-3</v>
      </c>
      <c r="T18" s="15">
        <f>_xll.qlRateHelperEarliestDate(R18,Trigger)</f>
        <v>42145</v>
      </c>
      <c r="U18" s="15">
        <f>_xll.qlRateHelperLatestDate(R18,Trigger)</f>
        <v>42450</v>
      </c>
      <c r="V18" s="162">
        <v>1.0010232625595377</v>
      </c>
    </row>
    <row r="19" spans="1:22" ht="11.25" customHeight="1" x14ac:dyDescent="0.25">
      <c r="A19" s="102" t="s">
        <v>46</v>
      </c>
      <c r="B19" s="102" t="str">
        <v>11M</v>
      </c>
      <c r="C19" s="103" t="str">
        <f t="shared" si="9"/>
        <v>11M</v>
      </c>
      <c r="D19" s="104">
        <f t="shared" si="10"/>
        <v>2</v>
      </c>
      <c r="E19" s="105" t="str">
        <f t="shared" si="0"/>
        <v>Modified Following</v>
      </c>
      <c r="F19" s="106" t="str">
        <f t="shared" si="4"/>
        <v>TRUE</v>
      </c>
      <c r="G19" s="107" t="s">
        <v>50</v>
      </c>
      <c r="H19" s="108">
        <v>-1.1899999999999999E-3</v>
      </c>
      <c r="I19" s="109" t="str">
        <f>_xll.qlDepositRateHelper2(,H19,IF(RIGHT(C19,1)="N","1D",C19),D19,Calendar,E19,F19,G19,,Trigger)</f>
        <v>obj_0086c#0018</v>
      </c>
      <c r="J19" s="104" t="b">
        <f t="shared" si="11"/>
        <v>1</v>
      </c>
      <c r="K19" s="156"/>
      <c r="L19" s="25" t="str">
        <f t="shared" si="5"/>
        <v>Dp</v>
      </c>
      <c r="M19" s="25" t="str">
        <f t="shared" si="6"/>
        <v>11M</v>
      </c>
      <c r="N19" s="14" t="str">
        <f t="shared" si="7"/>
        <v>obj_0086c#0018</v>
      </c>
      <c r="O19" s="14" t="b">
        <f t="shared" si="8"/>
        <v>1</v>
      </c>
      <c r="P19" s="14" t="str">
        <v>Dp</v>
      </c>
      <c r="Q19" s="14" t="str">
        <v>11M</v>
      </c>
      <c r="R19" s="14" t="str">
        <v>obj_0086c#0018</v>
      </c>
      <c r="S19" s="21">
        <f>_xll.qlRateHelperQuoteValue(R19,Trigger)</f>
        <v>-1.1899999999999999E-3</v>
      </c>
      <c r="T19" s="15">
        <f>_xll.qlRateHelperEarliestDate(R19,Trigger)</f>
        <v>42145</v>
      </c>
      <c r="U19" s="15">
        <f>_xll.qlRateHelperLatestDate(R19,Trigger)</f>
        <v>42481</v>
      </c>
      <c r="V19" s="162">
        <v>1.0011174633719186</v>
      </c>
    </row>
    <row r="20" spans="1:22" ht="11.25" customHeight="1" x14ac:dyDescent="0.25">
      <c r="A20" s="102" t="s">
        <v>46</v>
      </c>
      <c r="B20" s="102" t="str">
        <v>1Y</v>
      </c>
      <c r="C20" s="103" t="str">
        <f t="shared" si="9"/>
        <v>1Y</v>
      </c>
      <c r="D20" s="104">
        <f t="shared" si="10"/>
        <v>2</v>
      </c>
      <c r="E20" s="105" t="str">
        <f>IF(RIGHT(C20,1)="M","Modified Following",IF(RIGHT(C20,1)="Y","Modified Following","Following"))</f>
        <v>Modified Following</v>
      </c>
      <c r="F20" s="106" t="str">
        <f t="shared" si="4"/>
        <v>TRUE</v>
      </c>
      <c r="G20" s="107" t="s">
        <v>50</v>
      </c>
      <c r="H20" s="108">
        <v>-1.1799999999999998E-3</v>
      </c>
      <c r="I20" s="109" t="str">
        <f>_xll.qlDepositRateHelper2(,H20,IF(RIGHT(C20,1)="N","1D",C20),D20,Calendar,E20,F20,G20,,Trigger)</f>
        <v>obj_00867#0019</v>
      </c>
      <c r="J20" s="104" t="b">
        <f t="shared" si="11"/>
        <v>1</v>
      </c>
      <c r="K20" s="156"/>
      <c r="L20" s="25" t="str">
        <f t="shared" si="5"/>
        <v>Dp</v>
      </c>
      <c r="M20" s="25" t="str">
        <f t="shared" si="6"/>
        <v>1Y</v>
      </c>
      <c r="N20" s="14" t="str">
        <f t="shared" si="7"/>
        <v>obj_00867#0019</v>
      </c>
      <c r="O20" s="14" t="b">
        <f t="shared" si="8"/>
        <v>1</v>
      </c>
      <c r="P20" s="14" t="str">
        <v>Dp</v>
      </c>
      <c r="Q20" s="14" t="str">
        <v>1Y</v>
      </c>
      <c r="R20" s="14" t="str">
        <v>obj_00867#0019</v>
      </c>
      <c r="S20" s="21">
        <f>_xll.qlRateHelperQuoteValue(R20,Trigger)</f>
        <v>-1.1799999999999998E-3</v>
      </c>
      <c r="T20" s="15">
        <f>_xll.qlRateHelperEarliestDate(R20,Trigger)</f>
        <v>42145</v>
      </c>
      <c r="U20" s="15">
        <f>_xll.qlRateHelperLatestDate(R20,Trigger)</f>
        <v>42513</v>
      </c>
      <c r="V20" s="162">
        <v>1.0012132412366963</v>
      </c>
    </row>
    <row r="21" spans="1:22" ht="11.25" customHeight="1" x14ac:dyDescent="0.25">
      <c r="A21" s="102" t="s">
        <v>46</v>
      </c>
      <c r="B21" s="102" t="str">
        <v>13M</v>
      </c>
      <c r="C21" s="103" t="str">
        <f t="shared" si="9"/>
        <v>13M</v>
      </c>
      <c r="D21" s="104">
        <f t="shared" si="10"/>
        <v>2</v>
      </c>
      <c r="E21" s="105" t="str">
        <f t="shared" ref="E21:E71" si="12">IF(RIGHT(C21,1)="M","Modified Following",IF(RIGHT(C21,1)="Y","Modified Following","Following"))</f>
        <v>Modified Following</v>
      </c>
      <c r="F21" s="106" t="str">
        <f t="shared" si="4"/>
        <v>TRUE</v>
      </c>
      <c r="G21" s="107" t="s">
        <v>50</v>
      </c>
      <c r="H21" s="108">
        <v>-1.17E-3</v>
      </c>
      <c r="I21" s="109" t="str">
        <f>_xll.qlDepositRateHelper2(,H21,IF(RIGHT(C21,1)="N","1D",C21),D21,Calendar,E21,F21,G21,,Trigger)</f>
        <v>obj_00865#0019</v>
      </c>
      <c r="J21" s="104" t="b">
        <f t="shared" si="11"/>
        <v>1</v>
      </c>
      <c r="K21" s="156"/>
      <c r="L21" s="25" t="str">
        <f t="shared" si="5"/>
        <v>Dp</v>
      </c>
      <c r="M21" s="25" t="str">
        <f t="shared" si="6"/>
        <v>13M</v>
      </c>
      <c r="N21" s="14" t="str">
        <f t="shared" si="7"/>
        <v>obj_00865#0019</v>
      </c>
      <c r="O21" s="14" t="b">
        <f t="shared" si="8"/>
        <v>1</v>
      </c>
      <c r="P21" s="14" t="str">
        <v>Dp</v>
      </c>
      <c r="Q21" s="14" t="str">
        <v>13M</v>
      </c>
      <c r="R21" s="14" t="str">
        <v>obj_00865#0019</v>
      </c>
      <c r="S21" s="21">
        <f>_xll.qlRateHelperQuoteValue(R21,Trigger)</f>
        <v>-1.17E-3</v>
      </c>
      <c r="T21" s="15">
        <f>_xll.qlRateHelperEarliestDate(R21,Trigger)</f>
        <v>42145</v>
      </c>
      <c r="U21" s="15">
        <f>_xll.qlRateHelperLatestDate(R21,Trigger)</f>
        <v>42542</v>
      </c>
      <c r="V21" s="162">
        <v>1.0012974796490506</v>
      </c>
    </row>
    <row r="22" spans="1:22" ht="11.25" customHeight="1" x14ac:dyDescent="0.25">
      <c r="A22" s="102" t="s">
        <v>46</v>
      </c>
      <c r="B22" s="102" t="str">
        <v>14M</v>
      </c>
      <c r="C22" s="103" t="str">
        <f t="shared" si="9"/>
        <v>14M</v>
      </c>
      <c r="D22" s="104">
        <f t="shared" si="10"/>
        <v>2</v>
      </c>
      <c r="E22" s="105" t="str">
        <f t="shared" si="12"/>
        <v>Modified Following</v>
      </c>
      <c r="F22" s="106" t="str">
        <f t="shared" si="4"/>
        <v>TRUE</v>
      </c>
      <c r="G22" s="107" t="s">
        <v>50</v>
      </c>
      <c r="H22" s="108">
        <v>-1.16E-3</v>
      </c>
      <c r="I22" s="109" t="str">
        <f>_xll.qlDepositRateHelper2(,H22,IF(RIGHT(C22,1)="N","1D",C22),D22,Calendar,E22,F22,G22,,Trigger)</f>
        <v>obj_00884#0018</v>
      </c>
      <c r="J22" s="104" t="b">
        <f t="shared" si="11"/>
        <v>1</v>
      </c>
      <c r="L22" s="25" t="str">
        <f t="shared" si="5"/>
        <v>Dp</v>
      </c>
      <c r="M22" s="25" t="str">
        <f t="shared" si="6"/>
        <v>14M</v>
      </c>
      <c r="N22" s="14" t="str">
        <f t="shared" si="7"/>
        <v>obj_00884#0018</v>
      </c>
      <c r="O22" s="14" t="b">
        <f t="shared" si="8"/>
        <v>1</v>
      </c>
      <c r="P22" s="14" t="str">
        <v>Dp</v>
      </c>
      <c r="Q22" s="14" t="str">
        <v>14M</v>
      </c>
      <c r="R22" s="14" t="str">
        <v>obj_00884#0018</v>
      </c>
      <c r="S22" s="21">
        <f>_xll.qlRateHelperQuoteValue(R22,Trigger)</f>
        <v>-1.16E-3</v>
      </c>
      <c r="T22" s="15">
        <f>_xll.qlRateHelperEarliestDate(R22,Trigger)</f>
        <v>42145</v>
      </c>
      <c r="U22" s="15">
        <f>_xll.qlRateHelperLatestDate(R22,Trigger)</f>
        <v>42572</v>
      </c>
      <c r="V22" s="162">
        <v>1.0013833477976868</v>
      </c>
    </row>
    <row r="23" spans="1:22" ht="11.25" customHeight="1" x14ac:dyDescent="0.25">
      <c r="A23" s="102" t="s">
        <v>46</v>
      </c>
      <c r="B23" s="102" t="str">
        <v>15M</v>
      </c>
      <c r="C23" s="103" t="str">
        <f t="shared" si="9"/>
        <v>15M</v>
      </c>
      <c r="D23" s="104">
        <f t="shared" si="10"/>
        <v>2</v>
      </c>
      <c r="E23" s="105" t="str">
        <f t="shared" si="12"/>
        <v>Modified Following</v>
      </c>
      <c r="F23" s="106" t="str">
        <f t="shared" si="4"/>
        <v>TRUE</v>
      </c>
      <c r="G23" s="107" t="s">
        <v>50</v>
      </c>
      <c r="H23" s="108">
        <v>-1.15E-3</v>
      </c>
      <c r="I23" s="109" t="str">
        <f>_xll.qlDepositRateHelper2(,H23,IF(RIGHT(C23,1)="N","1D",C23),D23,Calendar,E23,F23,G23,,Trigger)</f>
        <v>obj_0086f#0018</v>
      </c>
      <c r="J23" s="104" t="b">
        <f t="shared" si="11"/>
        <v>1</v>
      </c>
      <c r="L23" s="25" t="str">
        <f t="shared" si="5"/>
        <v>Dp</v>
      </c>
      <c r="M23" s="25" t="str">
        <f t="shared" si="6"/>
        <v>15M</v>
      </c>
      <c r="N23" s="14" t="str">
        <f t="shared" si="7"/>
        <v>obj_0086f#0018</v>
      </c>
      <c r="O23" s="14" t="b">
        <f t="shared" si="8"/>
        <v>1</v>
      </c>
      <c r="P23" s="14" t="str">
        <v>Dp</v>
      </c>
      <c r="Q23" s="14" t="str">
        <v>15M</v>
      </c>
      <c r="R23" s="14" t="str">
        <v>obj_0086f#0018</v>
      </c>
      <c r="S23" s="21">
        <f>_xll.qlRateHelperQuoteValue(R23,Trigger)</f>
        <v>-1.15E-3</v>
      </c>
      <c r="T23" s="15">
        <f>_xll.qlRateHelperEarliestDate(R23,Trigger)</f>
        <v>42145</v>
      </c>
      <c r="U23" s="15">
        <f>_xll.qlRateHelperLatestDate(R23,Trigger)</f>
        <v>42604</v>
      </c>
      <c r="V23" s="162">
        <v>1.0014739667797243</v>
      </c>
    </row>
    <row r="24" spans="1:22" ht="11.25" customHeight="1" x14ac:dyDescent="0.25">
      <c r="A24" s="102" t="s">
        <v>46</v>
      </c>
      <c r="B24" s="102" t="str">
        <v>16M</v>
      </c>
      <c r="C24" s="103" t="str">
        <f t="shared" si="9"/>
        <v>16M</v>
      </c>
      <c r="D24" s="104">
        <f t="shared" si="10"/>
        <v>2</v>
      </c>
      <c r="E24" s="105" t="str">
        <f t="shared" si="12"/>
        <v>Modified Following</v>
      </c>
      <c r="F24" s="106" t="str">
        <f t="shared" si="4"/>
        <v>TRUE</v>
      </c>
      <c r="G24" s="107" t="s">
        <v>50</v>
      </c>
      <c r="H24" s="108">
        <v>-1.1299999999999999E-3</v>
      </c>
      <c r="I24" s="109" t="str">
        <f>_xll.qlDepositRateHelper2(,H24,IF(RIGHT(C24,1)="N","1D",C24),D24,Calendar,E24,F24,G24,,Trigger)</f>
        <v>obj_0085f#0019</v>
      </c>
      <c r="J24" s="104" t="b">
        <f t="shared" si="11"/>
        <v>1</v>
      </c>
      <c r="L24" s="25" t="str">
        <f t="shared" si="5"/>
        <v>Dp</v>
      </c>
      <c r="M24" s="25" t="str">
        <f t="shared" si="6"/>
        <v>16M</v>
      </c>
      <c r="N24" s="14" t="str">
        <f t="shared" si="7"/>
        <v>obj_0085f#0019</v>
      </c>
      <c r="O24" s="14" t="b">
        <f t="shared" si="8"/>
        <v>1</v>
      </c>
      <c r="P24" s="14" t="str">
        <v>Dp</v>
      </c>
      <c r="Q24" s="14" t="str">
        <v>16M</v>
      </c>
      <c r="R24" s="14" t="str">
        <v>obj_0085f#0019</v>
      </c>
      <c r="S24" s="21">
        <f>_xll.qlRateHelperQuoteValue(R24,Trigger)</f>
        <v>-1.1299999999999999E-3</v>
      </c>
      <c r="T24" s="15">
        <f>_xll.qlRateHelperEarliestDate(R24,Trigger)</f>
        <v>42145</v>
      </c>
      <c r="U24" s="15">
        <f>_xll.qlRateHelperLatestDate(R24,Trigger)</f>
        <v>42634</v>
      </c>
      <c r="V24" s="162">
        <v>1.0015428403740043</v>
      </c>
    </row>
    <row r="25" spans="1:22" ht="11.25" customHeight="1" x14ac:dyDescent="0.25">
      <c r="A25" s="102" t="s">
        <v>46</v>
      </c>
      <c r="B25" s="102" t="str">
        <v>17M</v>
      </c>
      <c r="C25" s="103" t="str">
        <f t="shared" si="9"/>
        <v>17M</v>
      </c>
      <c r="D25" s="104">
        <f t="shared" si="10"/>
        <v>2</v>
      </c>
      <c r="E25" s="105" t="str">
        <f t="shared" si="12"/>
        <v>Modified Following</v>
      </c>
      <c r="F25" s="106" t="str">
        <f t="shared" si="4"/>
        <v>TRUE</v>
      </c>
      <c r="G25" s="107" t="s">
        <v>50</v>
      </c>
      <c r="H25" s="108">
        <v>-1.1100000000000001E-3</v>
      </c>
      <c r="I25" s="109" t="str">
        <f>_xll.qlDepositRateHelper2(,H25,IF(RIGHT(C25,1)="N","1D",C25),D25,Calendar,E25,F25,G25,,Trigger)</f>
        <v>obj_00879#0018</v>
      </c>
      <c r="J25" s="104" t="b">
        <f t="shared" si="11"/>
        <v>1</v>
      </c>
      <c r="L25" s="25" t="str">
        <f t="shared" si="5"/>
        <v>Dp</v>
      </c>
      <c r="M25" s="25" t="str">
        <f t="shared" si="6"/>
        <v>17M</v>
      </c>
      <c r="N25" s="14" t="str">
        <f t="shared" si="7"/>
        <v>obj_00879#0018</v>
      </c>
      <c r="O25" s="14" t="b">
        <f t="shared" si="8"/>
        <v>1</v>
      </c>
      <c r="P25" s="14" t="str">
        <v>Dp</v>
      </c>
      <c r="Q25" s="14" t="str">
        <v>17M</v>
      </c>
      <c r="R25" s="14" t="str">
        <v>obj_00879#0018</v>
      </c>
      <c r="S25" s="21">
        <f>_xll.qlRateHelperQuoteValue(R25,Trigger)</f>
        <v>-1.1100000000000001E-3</v>
      </c>
      <c r="T25" s="15">
        <f>_xll.qlRateHelperEarliestDate(R25,Trigger)</f>
        <v>42145</v>
      </c>
      <c r="U25" s="15">
        <f>_xll.qlRateHelperLatestDate(R25,Trigger)</f>
        <v>42664</v>
      </c>
      <c r="V25" s="162">
        <v>1.0016083793850445</v>
      </c>
    </row>
    <row r="26" spans="1:22" ht="11.25" customHeight="1" x14ac:dyDescent="0.25">
      <c r="A26" s="102" t="s">
        <v>46</v>
      </c>
      <c r="B26" s="102" t="str">
        <v>18M</v>
      </c>
      <c r="C26" s="103" t="str">
        <f t="shared" si="9"/>
        <v>18M</v>
      </c>
      <c r="D26" s="104">
        <f t="shared" si="10"/>
        <v>2</v>
      </c>
      <c r="E26" s="105" t="str">
        <f t="shared" si="12"/>
        <v>Modified Following</v>
      </c>
      <c r="F26" s="106" t="str">
        <f t="shared" si="4"/>
        <v>TRUE</v>
      </c>
      <c r="G26" s="107" t="s">
        <v>50</v>
      </c>
      <c r="H26" s="108">
        <v>-1.09E-3</v>
      </c>
      <c r="I26" s="109" t="str">
        <f>_xll.qlDepositRateHelper2(,H26,IF(RIGHT(C26,1)="N","1D",C26),D26,Calendar,E26,F26,G26,,Trigger)</f>
        <v>obj_00866#0019</v>
      </c>
      <c r="J26" s="104" t="b">
        <f t="shared" si="11"/>
        <v>1</v>
      </c>
      <c r="L26" s="25" t="str">
        <f t="shared" si="5"/>
        <v>Dp</v>
      </c>
      <c r="M26" s="25" t="str">
        <f t="shared" si="6"/>
        <v>18M</v>
      </c>
      <c r="N26" s="14" t="str">
        <f t="shared" si="7"/>
        <v>obj_00866#0019</v>
      </c>
      <c r="O26" s="14" t="b">
        <f t="shared" si="8"/>
        <v>1</v>
      </c>
      <c r="P26" s="14" t="str">
        <v>Dp</v>
      </c>
      <c r="Q26" s="14" t="str">
        <v>18M</v>
      </c>
      <c r="R26" s="14" t="str">
        <v>obj_00866#0019</v>
      </c>
      <c r="S26" s="21">
        <f>_xll.qlRateHelperQuoteValue(R26,Trigger)</f>
        <v>-1.09E-3</v>
      </c>
      <c r="T26" s="15">
        <f>_xll.qlRateHelperEarliestDate(R26,Trigger)</f>
        <v>42145</v>
      </c>
      <c r="U26" s="15">
        <f>_xll.qlRateHelperLatestDate(R26,Trigger)</f>
        <v>42695</v>
      </c>
      <c r="V26" s="162">
        <v>1.0016736203965662</v>
      </c>
    </row>
    <row r="27" spans="1:22" ht="11.25" customHeight="1" x14ac:dyDescent="0.25">
      <c r="A27" s="102" t="s">
        <v>46</v>
      </c>
      <c r="B27" s="102" t="str">
        <v>19M</v>
      </c>
      <c r="C27" s="103" t="str">
        <f t="shared" si="9"/>
        <v>19M</v>
      </c>
      <c r="D27" s="104">
        <f t="shared" si="10"/>
        <v>2</v>
      </c>
      <c r="E27" s="105" t="str">
        <f t="shared" si="12"/>
        <v>Modified Following</v>
      </c>
      <c r="F27" s="106" t="str">
        <f t="shared" si="4"/>
        <v>TRUE</v>
      </c>
      <c r="G27" s="107" t="s">
        <v>50</v>
      </c>
      <c r="H27" s="108">
        <v>-1.07E-3</v>
      </c>
      <c r="I27" s="109" t="str">
        <f>_xll.qlDepositRateHelper2(,H27,IF(RIGHT(C27,1)="N","1D",C27),D27,Calendar,E27,F27,G27,,Trigger)</f>
        <v>obj_0086b#0019</v>
      </c>
      <c r="J27" s="104" t="b">
        <f t="shared" si="11"/>
        <v>1</v>
      </c>
      <c r="L27" s="25" t="str">
        <f t="shared" si="5"/>
        <v>Dp</v>
      </c>
      <c r="M27" s="25" t="str">
        <f t="shared" si="6"/>
        <v>19M</v>
      </c>
      <c r="N27" s="14" t="str">
        <f t="shared" si="7"/>
        <v>obj_0086b#0019</v>
      </c>
      <c r="O27" s="14" t="b">
        <f t="shared" si="8"/>
        <v>1</v>
      </c>
      <c r="P27" s="14" t="str">
        <v>Dp</v>
      </c>
      <c r="Q27" s="14" t="str">
        <v>19M</v>
      </c>
      <c r="R27" s="14" t="str">
        <v>obj_0086b#0019</v>
      </c>
      <c r="S27" s="21">
        <f>_xll.qlRateHelperQuoteValue(R27,Trigger)</f>
        <v>-1.07E-3</v>
      </c>
      <c r="T27" s="15">
        <f>_xll.qlRateHelperEarliestDate(R27,Trigger)</f>
        <v>42145</v>
      </c>
      <c r="U27" s="15">
        <f>_xll.qlRateHelperLatestDate(R27,Trigger)</f>
        <v>42725</v>
      </c>
      <c r="V27" s="162">
        <v>1.0017324309833453</v>
      </c>
    </row>
    <row r="28" spans="1:22" ht="11.25" customHeight="1" x14ac:dyDescent="0.25">
      <c r="A28" s="102" t="s">
        <v>46</v>
      </c>
      <c r="B28" s="102" t="str">
        <v>20M</v>
      </c>
      <c r="C28" s="103" t="str">
        <f t="shared" si="9"/>
        <v>20M</v>
      </c>
      <c r="D28" s="104">
        <f t="shared" si="10"/>
        <v>2</v>
      </c>
      <c r="E28" s="105" t="str">
        <f t="shared" si="12"/>
        <v>Modified Following</v>
      </c>
      <c r="F28" s="106" t="str">
        <f t="shared" si="4"/>
        <v>TRUE</v>
      </c>
      <c r="G28" s="107" t="s">
        <v>50</v>
      </c>
      <c r="H28" s="108">
        <v>-1.0499999999999999E-3</v>
      </c>
      <c r="I28" s="109" t="str">
        <f>_xll.qlDepositRateHelper2(,H28,IF(RIGHT(C28,1)="N","1D",C28),D28,Calendar,E28,F28,G28,,Trigger)</f>
        <v>obj_00890#0018</v>
      </c>
      <c r="J28" s="104" t="b">
        <f t="shared" si="11"/>
        <v>1</v>
      </c>
      <c r="L28" s="25" t="str">
        <f t="shared" si="5"/>
        <v>Dp</v>
      </c>
      <c r="M28" s="25" t="str">
        <f t="shared" si="6"/>
        <v>20M</v>
      </c>
      <c r="N28" s="14" t="str">
        <f t="shared" si="7"/>
        <v>obj_00890#0018</v>
      </c>
      <c r="O28" s="14" t="b">
        <f t="shared" si="8"/>
        <v>1</v>
      </c>
      <c r="P28" s="14" t="str">
        <v>Dp</v>
      </c>
      <c r="Q28" s="14" t="str">
        <v>20M</v>
      </c>
      <c r="R28" s="14" t="str">
        <v>obj_00890#0018</v>
      </c>
      <c r="S28" s="21">
        <f>_xll.qlRateHelperQuoteValue(R28,Trigger)</f>
        <v>-1.0499999999999999E-3</v>
      </c>
      <c r="T28" s="15">
        <f>_xll.qlRateHelperEarliestDate(R28,Trigger)</f>
        <v>42145</v>
      </c>
      <c r="U28" s="15">
        <f>_xll.qlRateHelperLatestDate(R28,Trigger)</f>
        <v>42758</v>
      </c>
      <c r="V28" s="162">
        <v>1.0017966845648785</v>
      </c>
    </row>
    <row r="29" spans="1:22" ht="11.25" customHeight="1" x14ac:dyDescent="0.25">
      <c r="A29" s="102" t="s">
        <v>46</v>
      </c>
      <c r="B29" s="102" t="str">
        <v>21M</v>
      </c>
      <c r="C29" s="103" t="str">
        <f t="shared" si="9"/>
        <v>21M</v>
      </c>
      <c r="D29" s="104">
        <f t="shared" si="10"/>
        <v>2</v>
      </c>
      <c r="E29" s="105" t="str">
        <f t="shared" si="12"/>
        <v>Modified Following</v>
      </c>
      <c r="F29" s="106" t="str">
        <f t="shared" si="4"/>
        <v>TRUE</v>
      </c>
      <c r="G29" s="107" t="s">
        <v>50</v>
      </c>
      <c r="H29" s="108">
        <v>-1.0199999999999999E-3</v>
      </c>
      <c r="I29" s="109" t="str">
        <f>_xll.qlDepositRateHelper2(,H29,IF(RIGHT(C29,1)="N","1D",C29),D29,Calendar,E29,F29,G29,,Trigger)</f>
        <v>obj_00873#0018</v>
      </c>
      <c r="J29" s="104" t="b">
        <f t="shared" si="11"/>
        <v>1</v>
      </c>
      <c r="L29" s="25" t="str">
        <f t="shared" si="5"/>
        <v>Dp</v>
      </c>
      <c r="M29" s="25" t="str">
        <f t="shared" si="6"/>
        <v>21M</v>
      </c>
      <c r="N29" s="14" t="str">
        <f t="shared" si="7"/>
        <v>obj_00873#0018</v>
      </c>
      <c r="O29" s="14" t="b">
        <f t="shared" si="8"/>
        <v>1</v>
      </c>
      <c r="P29" s="14" t="str">
        <v>Dp</v>
      </c>
      <c r="Q29" s="14" t="str">
        <v>21M</v>
      </c>
      <c r="R29" s="14" t="str">
        <v>obj_00873#0018</v>
      </c>
      <c r="S29" s="21">
        <f>_xll.qlRateHelperQuoteValue(R29,Trigger)</f>
        <v>-1.0199999999999999E-3</v>
      </c>
      <c r="T29" s="15">
        <f>_xll.qlRateHelperEarliestDate(R29,Trigger)</f>
        <v>42145</v>
      </c>
      <c r="U29" s="15">
        <f>_xll.qlRateHelperLatestDate(R29,Trigger)</f>
        <v>42787</v>
      </c>
      <c r="V29" s="162">
        <v>1.0018278804905458</v>
      </c>
    </row>
    <row r="30" spans="1:22" ht="11.25" customHeight="1" x14ac:dyDescent="0.25">
      <c r="A30" s="102" t="s">
        <v>46</v>
      </c>
      <c r="B30" s="102" t="str">
        <v>22M</v>
      </c>
      <c r="C30" s="103" t="str">
        <f t="shared" si="9"/>
        <v>22M</v>
      </c>
      <c r="D30" s="104">
        <f t="shared" si="10"/>
        <v>2</v>
      </c>
      <c r="E30" s="105" t="str">
        <f t="shared" si="12"/>
        <v>Modified Following</v>
      </c>
      <c r="F30" s="106" t="str">
        <f t="shared" si="4"/>
        <v>TRUE</v>
      </c>
      <c r="G30" s="107" t="s">
        <v>50</v>
      </c>
      <c r="H30" s="108">
        <v>-9.8999999999999999E-4</v>
      </c>
      <c r="I30" s="109" t="str">
        <f>_xll.qlDepositRateHelper2(,H30,IF(RIGHT(C30,1)="N","1D",C30),D30,Calendar,E30,F30,G30,,Trigger)</f>
        <v>obj_00871#0018</v>
      </c>
      <c r="J30" s="104" t="b">
        <f t="shared" si="11"/>
        <v>1</v>
      </c>
      <c r="L30" s="25" t="str">
        <f t="shared" si="5"/>
        <v>Dp</v>
      </c>
      <c r="M30" s="25" t="str">
        <f t="shared" si="6"/>
        <v>22M</v>
      </c>
      <c r="N30" s="14" t="str">
        <f t="shared" si="7"/>
        <v>obj_00871#0018</v>
      </c>
      <c r="O30" s="14" t="b">
        <f t="shared" si="8"/>
        <v>1</v>
      </c>
      <c r="P30" s="14" t="str">
        <v>Dp</v>
      </c>
      <c r="Q30" s="14" t="str">
        <v>22M</v>
      </c>
      <c r="R30" s="14" t="str">
        <v>obj_00871#0018</v>
      </c>
      <c r="S30" s="21">
        <f>_xll.qlRateHelperQuoteValue(R30,Trigger)</f>
        <v>-9.8999999999999999E-4</v>
      </c>
      <c r="T30" s="15">
        <f>_xll.qlRateHelperEarliestDate(R30,Trigger)</f>
        <v>42145</v>
      </c>
      <c r="U30" s="15">
        <f>_xll.qlRateHelperLatestDate(R30,Trigger)</f>
        <v>42815</v>
      </c>
      <c r="V30" s="162">
        <v>1.0018514669037037</v>
      </c>
    </row>
    <row r="31" spans="1:22" ht="11.25" customHeight="1" x14ac:dyDescent="0.25">
      <c r="A31" s="102" t="s">
        <v>46</v>
      </c>
      <c r="B31" s="102" t="str">
        <v>23M</v>
      </c>
      <c r="C31" s="103" t="str">
        <f t="shared" si="9"/>
        <v>23M</v>
      </c>
      <c r="D31" s="104">
        <f t="shared" si="10"/>
        <v>2</v>
      </c>
      <c r="E31" s="105" t="str">
        <f t="shared" si="12"/>
        <v>Modified Following</v>
      </c>
      <c r="F31" s="106" t="str">
        <f t="shared" si="4"/>
        <v>TRUE</v>
      </c>
      <c r="G31" s="107" t="s">
        <v>50</v>
      </c>
      <c r="H31" s="108">
        <v>-9.5E-4</v>
      </c>
      <c r="I31" s="109" t="str">
        <f>_xll.qlDepositRateHelper2(,H31,IF(RIGHT(C31,1)="N","1D",C31),D31,Calendar,E31,F31,G31,,Trigger)</f>
        <v>obj_008a1#0018</v>
      </c>
      <c r="J31" s="104" t="b">
        <f t="shared" si="11"/>
        <v>1</v>
      </c>
      <c r="L31" s="25" t="str">
        <f t="shared" si="5"/>
        <v>Dp</v>
      </c>
      <c r="M31" s="25" t="str">
        <f t="shared" si="6"/>
        <v>23M</v>
      </c>
      <c r="N31" s="14" t="str">
        <f t="shared" si="7"/>
        <v>obj_008a1#0018</v>
      </c>
      <c r="O31" s="14" t="b">
        <f t="shared" si="8"/>
        <v>1</v>
      </c>
      <c r="P31" s="14" t="str">
        <v>Dp</v>
      </c>
      <c r="Q31" s="14" t="str">
        <v>23M</v>
      </c>
      <c r="R31" s="14" t="str">
        <v>obj_008a1#0018</v>
      </c>
      <c r="S31" s="21">
        <f>_xll.qlRateHelperQuoteValue(R31,Trigger)</f>
        <v>-9.5E-4</v>
      </c>
      <c r="T31" s="15">
        <f>_xll.qlRateHelperEarliestDate(R31,Trigger)</f>
        <v>42145</v>
      </c>
      <c r="U31" s="15">
        <f>_xll.qlRateHelperLatestDate(R31,Trigger)</f>
        <v>42846</v>
      </c>
      <c r="V31" s="162">
        <v>1.0018588553111962</v>
      </c>
    </row>
    <row r="32" spans="1:22" ht="11.25" customHeight="1" x14ac:dyDescent="0.25">
      <c r="A32" s="102" t="s">
        <v>46</v>
      </c>
      <c r="B32" s="102" t="str">
        <v>2Y</v>
      </c>
      <c r="C32" s="103" t="str">
        <f t="shared" si="9"/>
        <v>2Y</v>
      </c>
      <c r="D32" s="104">
        <f t="shared" si="10"/>
        <v>2</v>
      </c>
      <c r="E32" s="105" t="str">
        <f t="shared" si="12"/>
        <v>Modified Following</v>
      </c>
      <c r="F32" s="106" t="str">
        <f t="shared" si="4"/>
        <v>TRUE</v>
      </c>
      <c r="G32" s="107" t="s">
        <v>50</v>
      </c>
      <c r="H32" s="108">
        <v>-9.1E-4</v>
      </c>
      <c r="I32" s="109" t="str">
        <f>_xll.qlDepositRateHelper2(,H32,IF(RIGHT(C32,1)="N","1D",C32),D32,Calendar,E32,F32,G32,,Trigger)</f>
        <v>obj_00894#0018</v>
      </c>
      <c r="J32" s="104" t="b">
        <f t="shared" si="11"/>
        <v>1</v>
      </c>
      <c r="L32" s="25" t="str">
        <f t="shared" si="5"/>
        <v>Dp</v>
      </c>
      <c r="M32" s="25" t="str">
        <f t="shared" si="6"/>
        <v>2Y</v>
      </c>
      <c r="N32" s="14" t="str">
        <f t="shared" si="7"/>
        <v>obj_00894#0018</v>
      </c>
      <c r="O32" s="14" t="b">
        <f t="shared" si="8"/>
        <v>1</v>
      </c>
      <c r="P32" s="14" t="str">
        <v>Dp</v>
      </c>
      <c r="Q32" s="14" t="str">
        <v>2Y</v>
      </c>
      <c r="R32" s="14" t="str">
        <v>obj_00894#0018</v>
      </c>
      <c r="S32" s="21">
        <f>_xll.qlRateHelperQuoteValue(R32,Trigger)</f>
        <v>-9.1E-4</v>
      </c>
      <c r="T32" s="15">
        <f>_xll.qlRateHelperEarliestDate(R32,Trigger)</f>
        <v>42145</v>
      </c>
      <c r="U32" s="15">
        <f>_xll.qlRateHelperLatestDate(R32,Trigger)</f>
        <v>42877</v>
      </c>
      <c r="V32" s="162">
        <v>1.0018593292882267</v>
      </c>
    </row>
    <row r="33" spans="1:22" ht="11.25" customHeight="1" x14ac:dyDescent="0.25">
      <c r="A33" s="102" t="s">
        <v>46</v>
      </c>
      <c r="B33" s="102" t="str">
        <v>3Y</v>
      </c>
      <c r="C33" s="103" t="str">
        <f t="shared" si="9"/>
        <v>3Y</v>
      </c>
      <c r="D33" s="104">
        <f t="shared" si="10"/>
        <v>2</v>
      </c>
      <c r="E33" s="105" t="str">
        <f t="shared" si="12"/>
        <v>Modified Following</v>
      </c>
      <c r="F33" s="106" t="str">
        <f t="shared" si="4"/>
        <v>TRUE</v>
      </c>
      <c r="G33" s="107" t="s">
        <v>50</v>
      </c>
      <c r="H33" s="108">
        <v>-2.5999999999999998E-4</v>
      </c>
      <c r="I33" s="109" t="str">
        <f>_xll.qlDepositRateHelper2(,H33,IF(RIGHT(C33,1)="N","1D",C33),D33,Calendar,E33,F33,G33,,Trigger)</f>
        <v>obj_00875#0018</v>
      </c>
      <c r="J33" s="104" t="b">
        <f t="shared" si="11"/>
        <v>1</v>
      </c>
      <c r="L33" s="25" t="str">
        <f t="shared" si="5"/>
        <v>Dp</v>
      </c>
      <c r="M33" s="25" t="str">
        <f t="shared" si="6"/>
        <v>3Y</v>
      </c>
      <c r="N33" s="14" t="str">
        <f t="shared" si="7"/>
        <v>obj_00875#0018</v>
      </c>
      <c r="O33" s="14" t="b">
        <f t="shared" si="8"/>
        <v>1</v>
      </c>
      <c r="P33" s="14" t="str">
        <v>Dp</v>
      </c>
      <c r="Q33" s="14" t="str">
        <v>3Y</v>
      </c>
      <c r="R33" s="14" t="str">
        <v>obj_00875#0018</v>
      </c>
      <c r="S33" s="21">
        <f>_xll.qlRateHelperQuoteValue(R33,Trigger)</f>
        <v>-2.5999999999999998E-4</v>
      </c>
      <c r="T33" s="15">
        <f>_xll.qlRateHelperEarliestDate(R33,Trigger)</f>
        <v>42145</v>
      </c>
      <c r="U33" s="15">
        <f>_xll.qlRateHelperLatestDate(R33,Trigger)</f>
        <v>43241</v>
      </c>
      <c r="V33" s="162">
        <v>1.0007977425890704</v>
      </c>
    </row>
    <row r="34" spans="1:22" ht="11.25" customHeight="1" x14ac:dyDescent="0.25">
      <c r="A34" s="102" t="s">
        <v>46</v>
      </c>
      <c r="B34" s="102" t="str">
        <v>4Y</v>
      </c>
      <c r="C34" s="103" t="str">
        <f t="shared" si="9"/>
        <v>4Y</v>
      </c>
      <c r="D34" s="104">
        <f t="shared" si="10"/>
        <v>2</v>
      </c>
      <c r="E34" s="105" t="str">
        <f t="shared" si="12"/>
        <v>Modified Following</v>
      </c>
      <c r="F34" s="106" t="str">
        <f t="shared" si="4"/>
        <v>TRUE</v>
      </c>
      <c r="G34" s="107" t="s">
        <v>50</v>
      </c>
      <c r="H34" s="108">
        <v>6.4999999999999997E-4</v>
      </c>
      <c r="I34" s="109" t="str">
        <f>_xll.qlDepositRateHelper2(,H34,IF(RIGHT(C34,1)="N","1D",C34),D34,Calendar,E34,F34,G34,,Trigger)</f>
        <v>obj_00868#0019</v>
      </c>
      <c r="J34" s="104" t="b">
        <f t="shared" si="11"/>
        <v>1</v>
      </c>
      <c r="L34" s="25" t="str">
        <f t="shared" si="5"/>
        <v>Dp</v>
      </c>
      <c r="M34" s="25" t="str">
        <f t="shared" si="6"/>
        <v>4Y</v>
      </c>
      <c r="N34" s="14" t="str">
        <f t="shared" si="7"/>
        <v>obj_00868#0019</v>
      </c>
      <c r="O34" s="14" t="b">
        <f t="shared" si="8"/>
        <v>1</v>
      </c>
      <c r="P34" s="14" t="str">
        <v>Dp</v>
      </c>
      <c r="Q34" s="14" t="str">
        <v>4Y</v>
      </c>
      <c r="R34" s="14" t="str">
        <v>obj_00868#0019</v>
      </c>
      <c r="S34" s="21">
        <f>_xll.qlRateHelperQuoteValue(R34,Trigger)</f>
        <v>6.4999999999999997E-4</v>
      </c>
      <c r="T34" s="15">
        <f>_xll.qlRateHelperEarliestDate(R34,Trigger)</f>
        <v>42145</v>
      </c>
      <c r="U34" s="15">
        <f>_xll.qlRateHelperLatestDate(R34,Trigger)</f>
        <v>43606</v>
      </c>
      <c r="V34" s="162">
        <v>0.99737456458916351</v>
      </c>
    </row>
    <row r="35" spans="1:22" ht="11.25" customHeight="1" x14ac:dyDescent="0.25">
      <c r="A35" s="102" t="s">
        <v>46</v>
      </c>
      <c r="B35" s="102" t="str">
        <v>5Y</v>
      </c>
      <c r="C35" s="103" t="str">
        <f t="shared" si="9"/>
        <v>5Y</v>
      </c>
      <c r="D35" s="104">
        <f t="shared" si="10"/>
        <v>2</v>
      </c>
      <c r="E35" s="105" t="str">
        <f t="shared" si="12"/>
        <v>Modified Following</v>
      </c>
      <c r="F35" s="106" t="str">
        <f t="shared" si="4"/>
        <v>TRUE</v>
      </c>
      <c r="G35" s="107" t="s">
        <v>50</v>
      </c>
      <c r="H35" s="108">
        <v>1.7399999999999998E-3</v>
      </c>
      <c r="I35" s="109" t="str">
        <f>_xll.qlDepositRateHelper2(,H35,IF(RIGHT(C35,1)="N","1D",C35),D35,Calendar,E35,F35,G35,,Trigger)</f>
        <v>obj_00860#0019</v>
      </c>
      <c r="J35" s="104" t="b">
        <f t="shared" si="11"/>
        <v>1</v>
      </c>
      <c r="L35" s="25" t="str">
        <f t="shared" si="5"/>
        <v>Dp</v>
      </c>
      <c r="M35" s="25" t="str">
        <f t="shared" si="6"/>
        <v>5Y</v>
      </c>
      <c r="N35" s="14" t="str">
        <f t="shared" si="7"/>
        <v>obj_00860#0019</v>
      </c>
      <c r="O35" s="14" t="b">
        <f t="shared" si="8"/>
        <v>1</v>
      </c>
      <c r="P35" s="14" t="str">
        <v>Dp</v>
      </c>
      <c r="Q35" s="14" t="str">
        <v>5Y</v>
      </c>
      <c r="R35" s="14" t="str">
        <v>obj_00860#0019</v>
      </c>
      <c r="S35" s="21">
        <f>_xll.qlRateHelperQuoteValue(R35,Trigger)</f>
        <v>1.7399999999999998E-3</v>
      </c>
      <c r="T35" s="15">
        <f>_xll.qlRateHelperEarliestDate(R35,Trigger)</f>
        <v>42145</v>
      </c>
      <c r="U35" s="15">
        <f>_xll.qlRateHelperLatestDate(R35,Trigger)</f>
        <v>43972</v>
      </c>
      <c r="V35" s="162">
        <v>0.99125230212204485</v>
      </c>
    </row>
    <row r="36" spans="1:22" ht="11.25" customHeight="1" x14ac:dyDescent="0.25">
      <c r="A36" s="102" t="s">
        <v>46</v>
      </c>
      <c r="B36" s="102" t="str">
        <v>6Y</v>
      </c>
      <c r="C36" s="103" t="str">
        <f t="shared" si="9"/>
        <v>6Y</v>
      </c>
      <c r="D36" s="104">
        <f t="shared" si="10"/>
        <v>2</v>
      </c>
      <c r="E36" s="105" t="str">
        <f t="shared" si="12"/>
        <v>Modified Following</v>
      </c>
      <c r="F36" s="106" t="str">
        <f t="shared" si="4"/>
        <v>TRUE</v>
      </c>
      <c r="G36" s="107" t="s">
        <v>50</v>
      </c>
      <c r="H36" s="108">
        <v>2.9399999999999999E-3</v>
      </c>
      <c r="I36" s="109" t="str">
        <f>_xll.qlDepositRateHelper2(,H36,IF(RIGHT(C36,1)="N","1D",C36),D36,Calendar,E36,F36,G36,,Trigger)</f>
        <v>obj_00872#0018</v>
      </c>
      <c r="J36" s="104" t="b">
        <f t="shared" si="11"/>
        <v>1</v>
      </c>
      <c r="L36" s="25" t="str">
        <f t="shared" si="5"/>
        <v>Dp</v>
      </c>
      <c r="M36" s="25" t="str">
        <f t="shared" si="6"/>
        <v>6Y</v>
      </c>
      <c r="N36" s="14" t="str">
        <f t="shared" si="7"/>
        <v>obj_00872#0018</v>
      </c>
      <c r="O36" s="14" t="b">
        <f t="shared" si="8"/>
        <v>1</v>
      </c>
      <c r="P36" s="14" t="str">
        <v>Dp</v>
      </c>
      <c r="Q36" s="14" t="str">
        <v>6Y</v>
      </c>
      <c r="R36" s="14" t="str">
        <v>obj_00872#0018</v>
      </c>
      <c r="S36" s="21">
        <f>_xll.qlRateHelperQuoteValue(R36,Trigger)</f>
        <v>2.9399999999999999E-3</v>
      </c>
      <c r="T36" s="15">
        <f>_xll.qlRateHelperEarliestDate(R36,Trigger)</f>
        <v>42145</v>
      </c>
      <c r="U36" s="15">
        <f>_xll.qlRateHelperLatestDate(R36,Trigger)</f>
        <v>44337</v>
      </c>
      <c r="V36" s="162">
        <v>0.98241894654092221</v>
      </c>
    </row>
    <row r="37" spans="1:22" ht="11.25" customHeight="1" x14ac:dyDescent="0.25">
      <c r="A37" s="102" t="s">
        <v>46</v>
      </c>
      <c r="B37" s="102" t="str">
        <v>7Y</v>
      </c>
      <c r="C37" s="103" t="str">
        <f t="shared" si="9"/>
        <v>7Y</v>
      </c>
      <c r="D37" s="104">
        <f t="shared" si="10"/>
        <v>2</v>
      </c>
      <c r="E37" s="105" t="str">
        <f t="shared" si="12"/>
        <v>Modified Following</v>
      </c>
      <c r="F37" s="106" t="str">
        <f t="shared" si="4"/>
        <v>TRUE</v>
      </c>
      <c r="G37" s="107" t="s">
        <v>50</v>
      </c>
      <c r="H37" s="108">
        <v>4.1399999999999996E-3</v>
      </c>
      <c r="I37" s="109" t="str">
        <f>_xll.qlDepositRateHelper2(,H37,IF(RIGHT(C37,1)="N","1D",C37),D37,Calendar,E37,F37,G37,,Trigger)</f>
        <v>obj_0086a#0019</v>
      </c>
      <c r="J37" s="104" t="b">
        <f t="shared" si="11"/>
        <v>1</v>
      </c>
      <c r="L37" s="25" t="str">
        <f t="shared" si="5"/>
        <v>Dp</v>
      </c>
      <c r="M37" s="25" t="str">
        <f t="shared" si="6"/>
        <v>7Y</v>
      </c>
      <c r="N37" s="14" t="str">
        <f t="shared" si="7"/>
        <v>obj_0086a#0019</v>
      </c>
      <c r="O37" s="14" t="b">
        <f t="shared" si="8"/>
        <v>1</v>
      </c>
      <c r="P37" s="14" t="str">
        <v>Dp</v>
      </c>
      <c r="Q37" s="14" t="str">
        <v>7Y</v>
      </c>
      <c r="R37" s="14" t="str">
        <v>obj_0086a#0019</v>
      </c>
      <c r="S37" s="21">
        <f>_xll.qlRateHelperQuoteValue(R37,Trigger)</f>
        <v>4.1399999999999996E-3</v>
      </c>
      <c r="T37" s="15">
        <f>_xll.qlRateHelperEarliestDate(R37,Trigger)</f>
        <v>42145</v>
      </c>
      <c r="U37" s="15">
        <f>_xll.qlRateHelperLatestDate(R37,Trigger)</f>
        <v>44704</v>
      </c>
      <c r="V37" s="162">
        <v>0.97141817578970624</v>
      </c>
    </row>
    <row r="38" spans="1:22" ht="11.25" customHeight="1" x14ac:dyDescent="0.25">
      <c r="A38" s="102" t="s">
        <v>46</v>
      </c>
      <c r="B38" s="102" t="str">
        <v>8Y</v>
      </c>
      <c r="C38" s="103" t="str">
        <f t="shared" si="9"/>
        <v>8Y</v>
      </c>
      <c r="D38" s="104">
        <f t="shared" si="10"/>
        <v>2</v>
      </c>
      <c r="E38" s="105" t="str">
        <f t="shared" si="12"/>
        <v>Modified Following</v>
      </c>
      <c r="F38" s="106" t="str">
        <f t="shared" si="4"/>
        <v>TRUE</v>
      </c>
      <c r="G38" s="107" t="s">
        <v>50</v>
      </c>
      <c r="H38" s="108">
        <v>5.2599999999999999E-3</v>
      </c>
      <c r="I38" s="109" t="str">
        <f>_xll.qlDepositRateHelper2(,H38,IF(RIGHT(C38,1)="N","1D",C38),D38,Calendar,E38,F38,G38,,Trigger)</f>
        <v>obj_00891#0018</v>
      </c>
      <c r="J38" s="104" t="b">
        <f t="shared" si="11"/>
        <v>1</v>
      </c>
      <c r="L38" s="25" t="str">
        <f t="shared" si="5"/>
        <v>Dp</v>
      </c>
      <c r="M38" s="25" t="str">
        <f t="shared" si="6"/>
        <v>8Y</v>
      </c>
      <c r="N38" s="14" t="str">
        <f t="shared" si="7"/>
        <v>obj_00891#0018</v>
      </c>
      <c r="O38" s="14" t="b">
        <f t="shared" si="8"/>
        <v>1</v>
      </c>
      <c r="P38" s="14" t="str">
        <v>Dp</v>
      </c>
      <c r="Q38" s="14" t="str">
        <v>8Y</v>
      </c>
      <c r="R38" s="14" t="str">
        <v>obj_00891#0018</v>
      </c>
      <c r="S38" s="21">
        <f>_xll.qlRateHelperQuoteValue(R38,Trigger)</f>
        <v>5.2599999999999999E-3</v>
      </c>
      <c r="T38" s="15">
        <f>_xll.qlRateHelperEarliestDate(R38,Trigger)</f>
        <v>42145</v>
      </c>
      <c r="U38" s="15">
        <f>_xll.qlRateHelperLatestDate(R38,Trigger)</f>
        <v>45068</v>
      </c>
      <c r="V38" s="162">
        <v>0.95904633816387042</v>
      </c>
    </row>
    <row r="39" spans="1:22" ht="11.25" customHeight="1" x14ac:dyDescent="0.25">
      <c r="A39" s="102" t="s">
        <v>46</v>
      </c>
      <c r="B39" s="102" t="str">
        <v>9Y</v>
      </c>
      <c r="C39" s="103" t="str">
        <f t="shared" si="9"/>
        <v>9Y</v>
      </c>
      <c r="D39" s="104">
        <f t="shared" si="10"/>
        <v>2</v>
      </c>
      <c r="E39" s="105" t="str">
        <f t="shared" si="12"/>
        <v>Modified Following</v>
      </c>
      <c r="F39" s="106" t="str">
        <f t="shared" si="4"/>
        <v>TRUE</v>
      </c>
      <c r="G39" s="107" t="s">
        <v>50</v>
      </c>
      <c r="H39" s="108">
        <v>6.2500000000000003E-3</v>
      </c>
      <c r="I39" s="109" t="str">
        <f>_xll.qlDepositRateHelper2(,H39,IF(RIGHT(C39,1)="N","1D",C39),D39,Calendar,E39,F39,G39,,Trigger)</f>
        <v>obj_0089f#0018</v>
      </c>
      <c r="J39" s="104" t="b">
        <f t="shared" si="11"/>
        <v>1</v>
      </c>
      <c r="L39" s="25" t="str">
        <f t="shared" si="5"/>
        <v>Dp</v>
      </c>
      <c r="M39" s="25" t="str">
        <f t="shared" si="6"/>
        <v>9Y</v>
      </c>
      <c r="N39" s="14" t="str">
        <f t="shared" si="7"/>
        <v>obj_0089f#0018</v>
      </c>
      <c r="O39" s="14" t="b">
        <f t="shared" si="8"/>
        <v>1</v>
      </c>
      <c r="P39" s="14" t="str">
        <v>Dp</v>
      </c>
      <c r="Q39" s="14" t="str">
        <v>9Y</v>
      </c>
      <c r="R39" s="14" t="str">
        <v>obj_0089f#0018</v>
      </c>
      <c r="S39" s="21">
        <f>_xll.qlRateHelperQuoteValue(R39,Trigger)</f>
        <v>6.2500000000000003E-3</v>
      </c>
      <c r="T39" s="15">
        <f>_xll.qlRateHelperEarliestDate(R39,Trigger)</f>
        <v>42145</v>
      </c>
      <c r="U39" s="15">
        <f>_xll.qlRateHelperLatestDate(R39,Trigger)</f>
        <v>45433</v>
      </c>
      <c r="V39" s="162">
        <v>0.94600446723777709</v>
      </c>
    </row>
    <row r="40" spans="1:22" ht="11.25" customHeight="1" x14ac:dyDescent="0.25">
      <c r="A40" s="102" t="s">
        <v>46</v>
      </c>
      <c r="B40" s="102" t="str">
        <v>10Y</v>
      </c>
      <c r="C40" s="103" t="str">
        <f t="shared" si="9"/>
        <v>10Y</v>
      </c>
      <c r="D40" s="104">
        <f t="shared" si="10"/>
        <v>2</v>
      </c>
      <c r="E40" s="105" t="str">
        <f t="shared" si="12"/>
        <v>Modified Following</v>
      </c>
      <c r="F40" s="106" t="str">
        <f t="shared" si="4"/>
        <v>TRUE</v>
      </c>
      <c r="G40" s="107" t="s">
        <v>50</v>
      </c>
      <c r="H40" s="108">
        <v>7.11E-3</v>
      </c>
      <c r="I40" s="109" t="str">
        <f>_xll.qlDepositRateHelper2(,H40,IF(RIGHT(C40,1)="N","1D",C40),D40,Calendar,E40,F40,G40,,Trigger)</f>
        <v>obj_00893#0018</v>
      </c>
      <c r="J40" s="104" t="b">
        <f t="shared" si="11"/>
        <v>1</v>
      </c>
      <c r="L40" s="25" t="str">
        <f t="shared" si="5"/>
        <v>Dp</v>
      </c>
      <c r="M40" s="25" t="str">
        <f t="shared" si="6"/>
        <v>10Y</v>
      </c>
      <c r="N40" s="14" t="str">
        <f t="shared" si="7"/>
        <v>obj_00893#0018</v>
      </c>
      <c r="O40" s="14" t="b">
        <f t="shared" si="8"/>
        <v>1</v>
      </c>
      <c r="P40" s="14" t="str">
        <v>Dp</v>
      </c>
      <c r="Q40" s="14" t="str">
        <v>10Y</v>
      </c>
      <c r="R40" s="14" t="str">
        <v>obj_00893#0018</v>
      </c>
      <c r="S40" s="21">
        <f>_xll.qlRateHelperQuoteValue(R40,Trigger)</f>
        <v>7.11E-3</v>
      </c>
      <c r="T40" s="15">
        <f>_xll.qlRateHelperEarliestDate(R40,Trigger)</f>
        <v>42145</v>
      </c>
      <c r="U40" s="15">
        <f>_xll.qlRateHelperLatestDate(R40,Trigger)</f>
        <v>45798</v>
      </c>
      <c r="V40" s="162">
        <v>0.93271332079860658</v>
      </c>
    </row>
    <row r="41" spans="1:22" ht="11.25" customHeight="1" x14ac:dyDescent="0.25">
      <c r="A41" s="102" t="s">
        <v>46</v>
      </c>
      <c r="B41" s="102" t="str">
        <v>11Y</v>
      </c>
      <c r="C41" s="103" t="str">
        <f t="shared" si="9"/>
        <v>11Y</v>
      </c>
      <c r="D41" s="104">
        <f t="shared" si="10"/>
        <v>2</v>
      </c>
      <c r="E41" s="105" t="str">
        <f t="shared" si="12"/>
        <v>Modified Following</v>
      </c>
      <c r="F41" s="106" t="str">
        <f t="shared" si="4"/>
        <v>TRUE</v>
      </c>
      <c r="G41" s="107" t="s">
        <v>50</v>
      </c>
      <c r="H41" s="108">
        <v>7.8900000000000012E-3</v>
      </c>
      <c r="I41" s="109" t="str">
        <f>_xll.qlDepositRateHelper2(,H41,IF(RIGHT(C41,1)="N","1D",C41),D41,Calendar,E41,F41,G41,,Trigger)</f>
        <v>obj_0087b#0018</v>
      </c>
      <c r="J41" s="104" t="b">
        <f t="shared" si="11"/>
        <v>1</v>
      </c>
      <c r="L41" s="25" t="str">
        <f t="shared" si="5"/>
        <v>Dp</v>
      </c>
      <c r="M41" s="25" t="str">
        <f t="shared" si="6"/>
        <v>11Y</v>
      </c>
      <c r="N41" s="14" t="str">
        <f t="shared" si="7"/>
        <v>obj_0087b#0018</v>
      </c>
      <c r="O41" s="14" t="b">
        <f t="shared" si="8"/>
        <v>1</v>
      </c>
      <c r="P41" s="14" t="str">
        <v>Dp</v>
      </c>
      <c r="Q41" s="14" t="str">
        <v>11Y</v>
      </c>
      <c r="R41" s="14" t="str">
        <v>obj_0087b#0018</v>
      </c>
      <c r="S41" s="21">
        <f>_xll.qlRateHelperQuoteValue(R41,Trigger)</f>
        <v>7.8900000000000012E-3</v>
      </c>
      <c r="T41" s="15">
        <f>_xll.qlRateHelperEarliestDate(R41,Trigger)</f>
        <v>42145</v>
      </c>
      <c r="U41" s="15">
        <f>_xll.qlRateHelperLatestDate(R41,Trigger)</f>
        <v>46163</v>
      </c>
      <c r="V41" s="162">
        <v>0.91907108369606072</v>
      </c>
    </row>
    <row r="42" spans="1:22" ht="11.25" customHeight="1" x14ac:dyDescent="0.25">
      <c r="A42" s="102" t="s">
        <v>46</v>
      </c>
      <c r="B42" s="102" t="str">
        <v>12Y</v>
      </c>
      <c r="C42" s="103" t="str">
        <f t="shared" si="9"/>
        <v>12Y</v>
      </c>
      <c r="D42" s="104">
        <f t="shared" si="10"/>
        <v>2</v>
      </c>
      <c r="E42" s="105" t="str">
        <f t="shared" si="12"/>
        <v>Modified Following</v>
      </c>
      <c r="F42" s="106" t="str">
        <f t="shared" si="4"/>
        <v>TRUE</v>
      </c>
      <c r="G42" s="107" t="s">
        <v>50</v>
      </c>
      <c r="H42" s="108">
        <v>8.5799999999999991E-3</v>
      </c>
      <c r="I42" s="109" t="str">
        <f>_xll.qlDepositRateHelper2(,H42,IF(RIGHT(C42,1)="N","1D",C42),D42,Calendar,E42,F42,G42,,Trigger)</f>
        <v>obj_00888#0018</v>
      </c>
      <c r="J42" s="104" t="b">
        <f t="shared" si="11"/>
        <v>1</v>
      </c>
      <c r="L42" s="25" t="str">
        <f t="shared" si="5"/>
        <v>Dp</v>
      </c>
      <c r="M42" s="25" t="str">
        <f t="shared" si="6"/>
        <v>12Y</v>
      </c>
      <c r="N42" s="14" t="str">
        <f t="shared" si="7"/>
        <v>obj_00888#0018</v>
      </c>
      <c r="O42" s="14" t="b">
        <f t="shared" si="8"/>
        <v>1</v>
      </c>
      <c r="P42" s="14" t="str">
        <v>Dp</v>
      </c>
      <c r="Q42" s="14" t="str">
        <v>12Y</v>
      </c>
      <c r="R42" s="14" t="str">
        <v>obj_00888#0018</v>
      </c>
      <c r="S42" s="21">
        <f>_xll.qlRateHelperQuoteValue(R42,Trigger)</f>
        <v>8.5799999999999991E-3</v>
      </c>
      <c r="T42" s="15">
        <f>_xll.qlRateHelperEarliestDate(R42,Trigger)</f>
        <v>42145</v>
      </c>
      <c r="U42" s="15">
        <f>_xll.qlRateHelperLatestDate(R42,Trigger)</f>
        <v>46528</v>
      </c>
      <c r="V42" s="162">
        <v>0.90542364362717354</v>
      </c>
    </row>
    <row r="43" spans="1:22" ht="11.25" customHeight="1" x14ac:dyDescent="0.25">
      <c r="A43" s="102" t="s">
        <v>46</v>
      </c>
      <c r="B43" s="102" t="str">
        <v>13Y</v>
      </c>
      <c r="C43" s="103" t="str">
        <f t="shared" si="9"/>
        <v>13Y</v>
      </c>
      <c r="D43" s="104">
        <f t="shared" si="10"/>
        <v>2</v>
      </c>
      <c r="E43" s="105" t="str">
        <f t="shared" si="12"/>
        <v>Modified Following</v>
      </c>
      <c r="F43" s="106" t="str">
        <f t="shared" si="4"/>
        <v>TRUE</v>
      </c>
      <c r="G43" s="107" t="s">
        <v>50</v>
      </c>
      <c r="H43" s="108">
        <v>9.1700000000000011E-3</v>
      </c>
      <c r="I43" s="109" t="str">
        <f>_xll.qlDepositRateHelper2(,H43,IF(RIGHT(C43,1)="N","1D",C43),D43,Calendar,E43,F43,G43,,Trigger)</f>
        <v>obj_00869#0019</v>
      </c>
      <c r="J43" s="104" t="b">
        <f t="shared" si="11"/>
        <v>1</v>
      </c>
      <c r="L43" s="25" t="str">
        <f t="shared" si="5"/>
        <v>Dp</v>
      </c>
      <c r="M43" s="25" t="str">
        <f t="shared" si="6"/>
        <v>13Y</v>
      </c>
      <c r="N43" s="14" t="str">
        <f t="shared" si="7"/>
        <v>obj_00869#0019</v>
      </c>
      <c r="O43" s="14" t="b">
        <f t="shared" si="8"/>
        <v>1</v>
      </c>
      <c r="P43" s="14" t="str">
        <v>Dp</v>
      </c>
      <c r="Q43" s="14" t="str">
        <v>13Y</v>
      </c>
      <c r="R43" s="14" t="str">
        <v>obj_00869#0019</v>
      </c>
      <c r="S43" s="21">
        <f>_xll.qlRateHelperQuoteValue(R43,Trigger)</f>
        <v>9.1700000000000011E-3</v>
      </c>
      <c r="T43" s="15">
        <f>_xll.qlRateHelperEarliestDate(R43,Trigger)</f>
        <v>42145</v>
      </c>
      <c r="U43" s="15">
        <f>_xll.qlRateHelperLatestDate(R43,Trigger)</f>
        <v>46895</v>
      </c>
      <c r="V43" s="162">
        <v>0.89207114229654016</v>
      </c>
    </row>
    <row r="44" spans="1:22" ht="11.25" customHeight="1" x14ac:dyDescent="0.25">
      <c r="A44" s="102" t="s">
        <v>46</v>
      </c>
      <c r="B44" s="102" t="str">
        <v>14Y</v>
      </c>
      <c r="C44" s="103" t="str">
        <f t="shared" si="9"/>
        <v>14Y</v>
      </c>
      <c r="D44" s="104">
        <f t="shared" si="10"/>
        <v>2</v>
      </c>
      <c r="E44" s="105" t="str">
        <f t="shared" si="12"/>
        <v>Modified Following</v>
      </c>
      <c r="F44" s="106" t="str">
        <f t="shared" si="4"/>
        <v>TRUE</v>
      </c>
      <c r="G44" s="107" t="s">
        <v>50</v>
      </c>
      <c r="H44" s="108">
        <v>9.6799999999999994E-3</v>
      </c>
      <c r="I44" s="109" t="str">
        <f>_xll.qlDepositRateHelper2(,H44,IF(RIGHT(C44,1)="N","1D",C44),D44,Calendar,E44,F44,G44,,Trigger)</f>
        <v>obj_00887#0018</v>
      </c>
      <c r="J44" s="104" t="b">
        <f t="shared" si="11"/>
        <v>1</v>
      </c>
      <c r="L44" s="25" t="str">
        <f t="shared" si="5"/>
        <v>Dp</v>
      </c>
      <c r="M44" s="25" t="str">
        <f t="shared" si="6"/>
        <v>14Y</v>
      </c>
      <c r="N44" s="14" t="str">
        <f t="shared" si="7"/>
        <v>obj_00887#0018</v>
      </c>
      <c r="O44" s="14" t="b">
        <f t="shared" si="8"/>
        <v>1</v>
      </c>
      <c r="P44" s="14" t="str">
        <v>Dp</v>
      </c>
      <c r="Q44" s="14" t="str">
        <v>14Y</v>
      </c>
      <c r="R44" s="14" t="str">
        <v>obj_00887#0018</v>
      </c>
      <c r="S44" s="21">
        <f>_xll.qlRateHelperQuoteValue(R44,Trigger)</f>
        <v>9.6799999999999994E-3</v>
      </c>
      <c r="T44" s="15">
        <f>_xll.qlRateHelperEarliestDate(R44,Trigger)</f>
        <v>42145</v>
      </c>
      <c r="U44" s="15">
        <f>_xll.qlRateHelperLatestDate(R44,Trigger)</f>
        <v>47259</v>
      </c>
      <c r="V44" s="162">
        <v>0.87911820637667804</v>
      </c>
    </row>
    <row r="45" spans="1:22" ht="11.25" customHeight="1" x14ac:dyDescent="0.25">
      <c r="A45" s="102" t="s">
        <v>46</v>
      </c>
      <c r="B45" s="102" t="str">
        <v>15Y</v>
      </c>
      <c r="C45" s="103" t="str">
        <f t="shared" si="9"/>
        <v>15Y</v>
      </c>
      <c r="D45" s="104">
        <f t="shared" si="10"/>
        <v>2</v>
      </c>
      <c r="E45" s="105" t="str">
        <f t="shared" si="12"/>
        <v>Modified Following</v>
      </c>
      <c r="F45" s="106" t="str">
        <f t="shared" si="4"/>
        <v>TRUE</v>
      </c>
      <c r="G45" s="107" t="s">
        <v>50</v>
      </c>
      <c r="H45" s="108">
        <v>1.0120000000000001E-2</v>
      </c>
      <c r="I45" s="109" t="str">
        <f>_xll.qlDepositRateHelper2(,H45,IF(RIGHT(C45,1)="N","1D",C45),D45,Calendar,E45,F45,G45,,Trigger)</f>
        <v>obj_00877#0018</v>
      </c>
      <c r="J45" s="104" t="b">
        <f t="shared" si="11"/>
        <v>1</v>
      </c>
      <c r="L45" s="25" t="str">
        <f t="shared" si="5"/>
        <v>Dp</v>
      </c>
      <c r="M45" s="25" t="str">
        <f t="shared" si="6"/>
        <v>15Y</v>
      </c>
      <c r="N45" s="14" t="str">
        <f t="shared" si="7"/>
        <v>obj_00877#0018</v>
      </c>
      <c r="O45" s="14" t="b">
        <f t="shared" si="8"/>
        <v>1</v>
      </c>
      <c r="P45" s="14" t="str">
        <v>Dp</v>
      </c>
      <c r="Q45" s="14" t="str">
        <v>15Y</v>
      </c>
      <c r="R45" s="14" t="str">
        <v>obj_00877#0018</v>
      </c>
      <c r="S45" s="21">
        <f>_xll.qlRateHelperQuoteValue(R45,Trigger)</f>
        <v>1.0120000000000001E-2</v>
      </c>
      <c r="T45" s="15">
        <f>_xll.qlRateHelperEarliestDate(R45,Trigger)</f>
        <v>42145</v>
      </c>
      <c r="U45" s="15">
        <f>_xll.qlRateHelperLatestDate(R45,Trigger)</f>
        <v>47624</v>
      </c>
      <c r="V45" s="162">
        <v>0.86654033864223889</v>
      </c>
    </row>
    <row r="46" spans="1:22" ht="11.25" customHeight="1" x14ac:dyDescent="0.25">
      <c r="A46" s="102" t="s">
        <v>46</v>
      </c>
      <c r="B46" s="102" t="str">
        <v>16Y</v>
      </c>
      <c r="C46" s="103" t="str">
        <f t="shared" si="9"/>
        <v>16Y</v>
      </c>
      <c r="D46" s="104">
        <f t="shared" si="10"/>
        <v>2</v>
      </c>
      <c r="E46" s="105" t="str">
        <f t="shared" si="12"/>
        <v>Modified Following</v>
      </c>
      <c r="F46" s="106" t="str">
        <f t="shared" si="4"/>
        <v>TRUE</v>
      </c>
      <c r="G46" s="107" t="s">
        <v>50</v>
      </c>
      <c r="H46" s="108">
        <v>1.0500000000000001E-2</v>
      </c>
      <c r="I46" s="109" t="str">
        <f>_xll.qlDepositRateHelper2(,H46,IF(RIGHT(C46,1)="N","1D",C46),D46,Calendar,E46,F46,G46,,Trigger)</f>
        <v>obj_0088b#0018</v>
      </c>
      <c r="J46" s="104" t="b">
        <f t="shared" si="11"/>
        <v>1</v>
      </c>
      <c r="L46" s="25" t="str">
        <f t="shared" si="5"/>
        <v>Dp</v>
      </c>
      <c r="M46" s="25" t="str">
        <f t="shared" si="6"/>
        <v>16Y</v>
      </c>
      <c r="N46" s="14" t="str">
        <f t="shared" si="7"/>
        <v>obj_0088b#0018</v>
      </c>
      <c r="O46" s="14" t="b">
        <f t="shared" si="8"/>
        <v>1</v>
      </c>
      <c r="P46" s="14" t="str">
        <v>Dp</v>
      </c>
      <c r="Q46" s="14" t="str">
        <v>16Y</v>
      </c>
      <c r="R46" s="14" t="str">
        <v>obj_0088b#0018</v>
      </c>
      <c r="S46" s="21">
        <f>_xll.qlRateHelperQuoteValue(R46,Trigger)</f>
        <v>1.0500000000000001E-2</v>
      </c>
      <c r="T46" s="15">
        <f>_xll.qlRateHelperEarliestDate(R46,Trigger)</f>
        <v>42145</v>
      </c>
      <c r="U46" s="15">
        <f>_xll.qlRateHelperLatestDate(R46,Trigger)</f>
        <v>47989</v>
      </c>
      <c r="V46" s="162">
        <v>0.85437699651940235</v>
      </c>
    </row>
    <row r="47" spans="1:22" ht="11.25" customHeight="1" x14ac:dyDescent="0.25">
      <c r="A47" s="102" t="s">
        <v>46</v>
      </c>
      <c r="B47" s="102" t="str">
        <v>17Y</v>
      </c>
      <c r="C47" s="103" t="str">
        <f t="shared" si="9"/>
        <v>17Y</v>
      </c>
      <c r="D47" s="104">
        <f t="shared" si="10"/>
        <v>2</v>
      </c>
      <c r="E47" s="105" t="str">
        <f t="shared" si="12"/>
        <v>Modified Following</v>
      </c>
      <c r="F47" s="106" t="str">
        <f t="shared" si="4"/>
        <v>TRUE</v>
      </c>
      <c r="G47" s="107" t="s">
        <v>50</v>
      </c>
      <c r="H47" s="108">
        <v>1.0820000000000001E-2</v>
      </c>
      <c r="I47" s="109" t="str">
        <f>_xll.qlDepositRateHelper2(,H47,IF(RIGHT(C47,1)="N","1D",C47),D47,Calendar,E47,F47,G47,,Trigger)</f>
        <v>obj_00864#0019</v>
      </c>
      <c r="J47" s="104" t="b">
        <f t="shared" si="11"/>
        <v>1</v>
      </c>
      <c r="L47" s="25" t="str">
        <f t="shared" si="5"/>
        <v>Dp</v>
      </c>
      <c r="M47" s="25" t="str">
        <f t="shared" si="6"/>
        <v>17Y</v>
      </c>
      <c r="N47" s="14" t="str">
        <f t="shared" si="7"/>
        <v>obj_00864#0019</v>
      </c>
      <c r="O47" s="14" t="b">
        <f t="shared" si="8"/>
        <v>1</v>
      </c>
      <c r="P47" s="14" t="str">
        <v>Dp</v>
      </c>
      <c r="Q47" s="14" t="str">
        <v>17Y</v>
      </c>
      <c r="R47" s="14" t="str">
        <v>obj_00864#0019</v>
      </c>
      <c r="S47" s="21">
        <f>_xll.qlRateHelperQuoteValue(R47,Trigger)</f>
        <v>1.0820000000000001E-2</v>
      </c>
      <c r="T47" s="15">
        <f>_xll.qlRateHelperEarliestDate(R47,Trigger)</f>
        <v>42145</v>
      </c>
      <c r="U47" s="15">
        <f>_xll.qlRateHelperLatestDate(R47,Trigger)</f>
        <v>48355</v>
      </c>
      <c r="V47" s="162">
        <v>0.84271669755994527</v>
      </c>
    </row>
    <row r="48" spans="1:22" ht="11.25" customHeight="1" x14ac:dyDescent="0.25">
      <c r="A48" s="102" t="s">
        <v>46</v>
      </c>
      <c r="B48" s="102" t="str">
        <v>18Y</v>
      </c>
      <c r="C48" s="103" t="str">
        <f t="shared" si="9"/>
        <v>18Y</v>
      </c>
      <c r="D48" s="104">
        <f t="shared" si="10"/>
        <v>2</v>
      </c>
      <c r="E48" s="105" t="str">
        <f t="shared" si="12"/>
        <v>Modified Following</v>
      </c>
      <c r="F48" s="106" t="str">
        <f t="shared" si="4"/>
        <v>TRUE</v>
      </c>
      <c r="G48" s="107" t="s">
        <v>50</v>
      </c>
      <c r="H48" s="108">
        <v>1.1089999999999999E-2</v>
      </c>
      <c r="I48" s="109" t="str">
        <f>_xll.qlDepositRateHelper2(,H48,IF(RIGHT(C48,1)="N","1D",C48),D48,Calendar,E48,F48,G48,,Trigger)</f>
        <v>obj_00886#0018</v>
      </c>
      <c r="J48" s="104" t="b">
        <f t="shared" si="11"/>
        <v>1</v>
      </c>
      <c r="L48" s="25" t="str">
        <f t="shared" si="5"/>
        <v>Dp</v>
      </c>
      <c r="M48" s="25" t="str">
        <f t="shared" si="6"/>
        <v>18Y</v>
      </c>
      <c r="N48" s="14" t="str">
        <f t="shared" si="7"/>
        <v>obj_00886#0018</v>
      </c>
      <c r="O48" s="14" t="b">
        <f t="shared" si="8"/>
        <v>1</v>
      </c>
      <c r="P48" s="14" t="str">
        <v>Dp</v>
      </c>
      <c r="Q48" s="14" t="str">
        <v>18Y</v>
      </c>
      <c r="R48" s="14" t="str">
        <v>obj_00886#0018</v>
      </c>
      <c r="S48" s="21">
        <f>_xll.qlRateHelperQuoteValue(R48,Trigger)</f>
        <v>1.1089999999999999E-2</v>
      </c>
      <c r="T48" s="15">
        <f>_xll.qlRateHelperEarliestDate(R48,Trigger)</f>
        <v>42145</v>
      </c>
      <c r="U48" s="15">
        <f>_xll.qlRateHelperLatestDate(R48,Trigger)</f>
        <v>48722</v>
      </c>
      <c r="V48" s="162">
        <v>0.8315306734077923</v>
      </c>
    </row>
    <row r="49" spans="1:22" ht="11.25" customHeight="1" x14ac:dyDescent="0.25">
      <c r="A49" s="102" t="s">
        <v>46</v>
      </c>
      <c r="B49" s="102" t="str">
        <v>19Y</v>
      </c>
      <c r="C49" s="103" t="str">
        <f t="shared" si="9"/>
        <v>19Y</v>
      </c>
      <c r="D49" s="104">
        <f t="shared" si="10"/>
        <v>2</v>
      </c>
      <c r="E49" s="105" t="str">
        <f t="shared" si="12"/>
        <v>Modified Following</v>
      </c>
      <c r="F49" s="106" t="str">
        <f t="shared" si="4"/>
        <v>TRUE</v>
      </c>
      <c r="G49" s="107" t="s">
        <v>50</v>
      </c>
      <c r="H49" s="108">
        <v>1.1310000000000001E-2</v>
      </c>
      <c r="I49" s="109" t="str">
        <f>_xll.qlDepositRateHelper2(,H49,IF(RIGHT(C49,1)="N","1D",C49),D49,Calendar,E49,F49,G49,,Trigger)</f>
        <v>obj_00874#0018</v>
      </c>
      <c r="J49" s="104" t="b">
        <f t="shared" si="11"/>
        <v>1</v>
      </c>
      <c r="L49" s="25" t="str">
        <f t="shared" si="5"/>
        <v>Dp</v>
      </c>
      <c r="M49" s="25" t="str">
        <f t="shared" si="6"/>
        <v>19Y</v>
      </c>
      <c r="N49" s="14" t="str">
        <f t="shared" si="7"/>
        <v>obj_00874#0018</v>
      </c>
      <c r="O49" s="14" t="b">
        <f t="shared" si="8"/>
        <v>1</v>
      </c>
      <c r="P49" s="14" t="str">
        <v>Dp</v>
      </c>
      <c r="Q49" s="14" t="str">
        <v>19Y</v>
      </c>
      <c r="R49" s="14" t="str">
        <v>obj_00874#0018</v>
      </c>
      <c r="S49" s="21">
        <f>_xll.qlRateHelperQuoteValue(R49,Trigger)</f>
        <v>1.1310000000000001E-2</v>
      </c>
      <c r="T49" s="15">
        <f>_xll.qlRateHelperEarliestDate(R49,Trigger)</f>
        <v>42145</v>
      </c>
      <c r="U49" s="15">
        <f>_xll.qlRateHelperLatestDate(R49,Trigger)</f>
        <v>49086</v>
      </c>
      <c r="V49" s="162">
        <v>0.82098010296752766</v>
      </c>
    </row>
    <row r="50" spans="1:22" ht="11.25" customHeight="1" x14ac:dyDescent="0.25">
      <c r="A50" s="102" t="s">
        <v>46</v>
      </c>
      <c r="B50" s="102" t="str">
        <v>20Y</v>
      </c>
      <c r="C50" s="103" t="str">
        <f t="shared" si="9"/>
        <v>20Y</v>
      </c>
      <c r="D50" s="104">
        <f t="shared" si="10"/>
        <v>2</v>
      </c>
      <c r="E50" s="105" t="str">
        <f t="shared" si="12"/>
        <v>Modified Following</v>
      </c>
      <c r="F50" s="106" t="str">
        <f t="shared" si="4"/>
        <v>TRUE</v>
      </c>
      <c r="G50" s="107" t="s">
        <v>50</v>
      </c>
      <c r="H50" s="108">
        <v>1.149E-2</v>
      </c>
      <c r="I50" s="109" t="str">
        <f>_xll.qlDepositRateHelper2(,H50,IF(RIGHT(C50,1)="N","1D",C50),D50,Calendar,E50,F50,G50,,Trigger)</f>
        <v>obj_0086d#0018</v>
      </c>
      <c r="J50" s="104" t="b">
        <f t="shared" si="11"/>
        <v>1</v>
      </c>
      <c r="L50" s="25" t="str">
        <f t="shared" si="5"/>
        <v>Dp</v>
      </c>
      <c r="M50" s="25" t="str">
        <f t="shared" si="6"/>
        <v>20Y</v>
      </c>
      <c r="N50" s="14" t="str">
        <f t="shared" si="7"/>
        <v>obj_0086d#0018</v>
      </c>
      <c r="O50" s="14" t="b">
        <f t="shared" si="8"/>
        <v>1</v>
      </c>
      <c r="P50" s="14" t="str">
        <v>Dp</v>
      </c>
      <c r="Q50" s="14" t="str">
        <v>20Y</v>
      </c>
      <c r="R50" s="14" t="str">
        <v>obj_0086d#0018</v>
      </c>
      <c r="S50" s="21">
        <f>_xll.qlRateHelperQuoteValue(R50,Trigger)</f>
        <v>1.149E-2</v>
      </c>
      <c r="T50" s="15">
        <f>_xll.qlRateHelperEarliestDate(R50,Trigger)</f>
        <v>42145</v>
      </c>
      <c r="U50" s="15">
        <f>_xll.qlRateHelperLatestDate(R50,Trigger)</f>
        <v>49450</v>
      </c>
      <c r="V50" s="162">
        <v>0.81093503783573695</v>
      </c>
    </row>
    <row r="51" spans="1:22" ht="11.25" customHeight="1" x14ac:dyDescent="0.25">
      <c r="A51" s="102" t="s">
        <v>46</v>
      </c>
      <c r="B51" s="102" t="str">
        <v>21Y</v>
      </c>
      <c r="C51" s="103" t="str">
        <f t="shared" si="9"/>
        <v>21Y</v>
      </c>
      <c r="D51" s="104">
        <f t="shared" si="10"/>
        <v>2</v>
      </c>
      <c r="E51" s="105" t="str">
        <f t="shared" si="12"/>
        <v>Modified Following</v>
      </c>
      <c r="F51" s="106" t="str">
        <f t="shared" si="4"/>
        <v>TRUE</v>
      </c>
      <c r="G51" s="107" t="s">
        <v>50</v>
      </c>
      <c r="H51" s="108">
        <v>1.163E-2</v>
      </c>
      <c r="I51" s="109" t="str">
        <f>_xll.qlDepositRateHelper2(,H51,IF(RIGHT(C51,1)="N","1D",C51),D51,Calendar,E51,F51,G51,,Trigger)</f>
        <v>obj_008a0#0018</v>
      </c>
      <c r="J51" s="104" t="b">
        <f t="shared" si="11"/>
        <v>1</v>
      </c>
      <c r="L51" s="25" t="str">
        <f t="shared" si="5"/>
        <v>Dp</v>
      </c>
      <c r="M51" s="25" t="str">
        <f t="shared" si="6"/>
        <v>21Y</v>
      </c>
      <c r="N51" s="14" t="str">
        <f t="shared" si="7"/>
        <v>obj_008a0#0018</v>
      </c>
      <c r="O51" s="14" t="b">
        <f t="shared" si="8"/>
        <v>1</v>
      </c>
      <c r="P51" s="14" t="str">
        <v>Dp</v>
      </c>
      <c r="Q51" s="14" t="str">
        <v>21Y</v>
      </c>
      <c r="R51" s="14" t="str">
        <v>obj_008a0#0018</v>
      </c>
      <c r="S51" s="21">
        <f>_xll.qlRateHelperQuoteValue(R51,Trigger)</f>
        <v>1.163E-2</v>
      </c>
      <c r="T51" s="15">
        <f>_xll.qlRateHelperEarliestDate(R51,Trigger)</f>
        <v>42145</v>
      </c>
      <c r="U51" s="15">
        <f>_xll.qlRateHelperLatestDate(R51,Trigger)</f>
        <v>49816</v>
      </c>
      <c r="V51" s="162">
        <v>0.80140471220088527</v>
      </c>
    </row>
    <row r="52" spans="1:22" ht="11.25" customHeight="1" x14ac:dyDescent="0.25">
      <c r="A52" s="102" t="s">
        <v>46</v>
      </c>
      <c r="B52" s="102" t="str">
        <v>22Y</v>
      </c>
      <c r="C52" s="103" t="str">
        <f t="shared" si="9"/>
        <v>22Y</v>
      </c>
      <c r="D52" s="104">
        <f t="shared" si="10"/>
        <v>2</v>
      </c>
      <c r="E52" s="105" t="str">
        <f t="shared" si="12"/>
        <v>Modified Following</v>
      </c>
      <c r="F52" s="106" t="str">
        <f t="shared" si="4"/>
        <v>TRUE</v>
      </c>
      <c r="G52" s="107" t="s">
        <v>50</v>
      </c>
      <c r="H52" s="108">
        <v>1.175E-2</v>
      </c>
      <c r="I52" s="109" t="str">
        <f>_xll.qlDepositRateHelper2(,H52,IF(RIGHT(C52,1)="N","1D",C52),D52,Calendar,E52,F52,G52,,Trigger)</f>
        <v>obj_00862#0019</v>
      </c>
      <c r="J52" s="104" t="b">
        <f t="shared" si="11"/>
        <v>1</v>
      </c>
      <c r="L52" s="25" t="str">
        <f t="shared" si="5"/>
        <v>Dp</v>
      </c>
      <c r="M52" s="25" t="str">
        <f t="shared" si="6"/>
        <v>22Y</v>
      </c>
      <c r="N52" s="14" t="str">
        <f t="shared" si="7"/>
        <v>obj_00862#0019</v>
      </c>
      <c r="O52" s="14" t="b">
        <f t="shared" si="8"/>
        <v>1</v>
      </c>
      <c r="P52" s="14" t="str">
        <v>Dp</v>
      </c>
      <c r="Q52" s="14" t="str">
        <v>22Y</v>
      </c>
      <c r="R52" s="14" t="str">
        <v>obj_00862#0019</v>
      </c>
      <c r="S52" s="21">
        <f>_xll.qlRateHelperQuoteValue(R52,Trigger)</f>
        <v>1.175E-2</v>
      </c>
      <c r="T52" s="15">
        <f>_xll.qlRateHelperEarliestDate(R52,Trigger)</f>
        <v>42145</v>
      </c>
      <c r="U52" s="15">
        <f>_xll.qlRateHelperLatestDate(R52,Trigger)</f>
        <v>50181</v>
      </c>
      <c r="V52" s="162">
        <v>0.79221782349778969</v>
      </c>
    </row>
    <row r="53" spans="1:22" ht="11.25" customHeight="1" x14ac:dyDescent="0.25">
      <c r="A53" s="102" t="s">
        <v>46</v>
      </c>
      <c r="B53" s="102" t="str">
        <v>23Y</v>
      </c>
      <c r="C53" s="103" t="str">
        <f t="shared" si="9"/>
        <v>23Y</v>
      </c>
      <c r="D53" s="104">
        <f t="shared" si="10"/>
        <v>2</v>
      </c>
      <c r="E53" s="105" t="str">
        <f t="shared" si="12"/>
        <v>Modified Following</v>
      </c>
      <c r="F53" s="106" t="str">
        <f t="shared" si="4"/>
        <v>TRUE</v>
      </c>
      <c r="G53" s="107" t="s">
        <v>50</v>
      </c>
      <c r="H53" s="108">
        <v>1.183E-2</v>
      </c>
      <c r="I53" s="109" t="str">
        <f>_xll.qlDepositRateHelper2(,H53,IF(RIGHT(C53,1)="N","1D",C53),D53,Calendar,E53,F53,G53,,Trigger)</f>
        <v>obj_00861#0019</v>
      </c>
      <c r="J53" s="104" t="b">
        <f t="shared" si="11"/>
        <v>1</v>
      </c>
      <c r="L53" s="25" t="str">
        <f t="shared" si="5"/>
        <v>Dp</v>
      </c>
      <c r="M53" s="25" t="str">
        <f t="shared" si="6"/>
        <v>23Y</v>
      </c>
      <c r="N53" s="14" t="str">
        <f t="shared" si="7"/>
        <v>obj_00861#0019</v>
      </c>
      <c r="O53" s="14" t="b">
        <f t="shared" si="8"/>
        <v>1</v>
      </c>
      <c r="P53" s="14" t="str">
        <v>Dp</v>
      </c>
      <c r="Q53" s="14" t="str">
        <v>23Y</v>
      </c>
      <c r="R53" s="14" t="str">
        <v>obj_00861#0019</v>
      </c>
      <c r="S53" s="21">
        <f>_xll.qlRateHelperQuoteValue(R53,Trigger)</f>
        <v>1.183E-2</v>
      </c>
      <c r="T53" s="15">
        <f>_xll.qlRateHelperEarliestDate(R53,Trigger)</f>
        <v>42145</v>
      </c>
      <c r="U53" s="15">
        <f>_xll.qlRateHelperLatestDate(R53,Trigger)</f>
        <v>50546</v>
      </c>
      <c r="V53" s="162">
        <v>0.7836627597609086</v>
      </c>
    </row>
    <row r="54" spans="1:22" ht="11.25" customHeight="1" x14ac:dyDescent="0.25">
      <c r="A54" s="102" t="s">
        <v>46</v>
      </c>
      <c r="B54" s="102" t="str">
        <v>24Y</v>
      </c>
      <c r="C54" s="103" t="str">
        <f t="shared" si="9"/>
        <v>24Y</v>
      </c>
      <c r="D54" s="104">
        <f t="shared" si="10"/>
        <v>2</v>
      </c>
      <c r="E54" s="105" t="str">
        <f t="shared" si="12"/>
        <v>Modified Following</v>
      </c>
      <c r="F54" s="106" t="str">
        <f t="shared" si="4"/>
        <v>TRUE</v>
      </c>
      <c r="G54" s="107" t="s">
        <v>50</v>
      </c>
      <c r="H54" s="108">
        <v>1.191E-2</v>
      </c>
      <c r="I54" s="109" t="str">
        <f>_xll.qlDepositRateHelper2(,H54,IF(RIGHT(C54,1)="N","1D",C54),D54,Calendar,E54,F54,G54,,Trigger)</f>
        <v>obj_00895#0018</v>
      </c>
      <c r="J54" s="104" t="b">
        <f t="shared" si="11"/>
        <v>1</v>
      </c>
      <c r="L54" s="25" t="str">
        <f t="shared" si="5"/>
        <v>Dp</v>
      </c>
      <c r="M54" s="25" t="str">
        <f t="shared" si="6"/>
        <v>24Y</v>
      </c>
      <c r="N54" s="14" t="str">
        <f t="shared" si="7"/>
        <v>obj_00895#0018</v>
      </c>
      <c r="O54" s="14" t="b">
        <f t="shared" si="8"/>
        <v>1</v>
      </c>
      <c r="P54" s="14" t="str">
        <v>Dp</v>
      </c>
      <c r="Q54" s="14" t="str">
        <v>24Y</v>
      </c>
      <c r="R54" s="14" t="str">
        <v>obj_00895#0018</v>
      </c>
      <c r="S54" s="21">
        <f>_xll.qlRateHelperQuoteValue(R54,Trigger)</f>
        <v>1.191E-2</v>
      </c>
      <c r="T54" s="15">
        <f>_xll.qlRateHelperEarliestDate(R54,Trigger)</f>
        <v>42145</v>
      </c>
      <c r="U54" s="15">
        <f>_xll.qlRateHelperLatestDate(R54,Trigger)</f>
        <v>50913</v>
      </c>
      <c r="V54" s="162">
        <v>0.77515323834687622</v>
      </c>
    </row>
    <row r="55" spans="1:22" ht="11.25" customHeight="1" x14ac:dyDescent="0.25">
      <c r="A55" s="102" t="s">
        <v>46</v>
      </c>
      <c r="B55" s="102" t="str">
        <v>25Y</v>
      </c>
      <c r="C55" s="103" t="str">
        <f t="shared" si="9"/>
        <v>25Y</v>
      </c>
      <c r="D55" s="104">
        <f t="shared" si="10"/>
        <v>2</v>
      </c>
      <c r="E55" s="105" t="str">
        <f t="shared" si="12"/>
        <v>Modified Following</v>
      </c>
      <c r="F55" s="106" t="str">
        <f t="shared" si="4"/>
        <v>TRUE</v>
      </c>
      <c r="G55" s="107" t="s">
        <v>50</v>
      </c>
      <c r="H55" s="108">
        <v>1.1970000000000001E-2</v>
      </c>
      <c r="I55" s="109" t="str">
        <f>_xll.qlDepositRateHelper2(,H55,IF(RIGHT(C55,1)="N","1D",C55),D55,Calendar,E55,F55,G55,,Trigger)</f>
        <v>obj_00870#0018</v>
      </c>
      <c r="J55" s="104" t="b">
        <f t="shared" si="11"/>
        <v>1</v>
      </c>
      <c r="L55" s="25" t="str">
        <f t="shared" si="5"/>
        <v>Dp</v>
      </c>
      <c r="M55" s="25" t="str">
        <f t="shared" si="6"/>
        <v>25Y</v>
      </c>
      <c r="N55" s="14" t="str">
        <f t="shared" si="7"/>
        <v>obj_00870#0018</v>
      </c>
      <c r="O55" s="14" t="b">
        <f t="shared" si="8"/>
        <v>1</v>
      </c>
      <c r="P55" s="14" t="str">
        <v>Dp</v>
      </c>
      <c r="Q55" s="14" t="str">
        <v>25Y</v>
      </c>
      <c r="R55" s="14" t="str">
        <v>obj_00870#0018</v>
      </c>
      <c r="S55" s="21">
        <f>_xll.qlRateHelperQuoteValue(R55,Trigger)</f>
        <v>1.1970000000000001E-2</v>
      </c>
      <c r="T55" s="15">
        <f>_xll.qlRateHelperEarliestDate(R55,Trigger)</f>
        <v>42145</v>
      </c>
      <c r="U55" s="15">
        <f>_xll.qlRateHelperLatestDate(R55,Trigger)</f>
        <v>51277</v>
      </c>
      <c r="V55" s="162">
        <v>0.76708778701460556</v>
      </c>
    </row>
    <row r="56" spans="1:22" ht="11.25" customHeight="1" x14ac:dyDescent="0.25">
      <c r="A56" s="102" t="s">
        <v>46</v>
      </c>
      <c r="B56" s="102" t="str">
        <v>26Y</v>
      </c>
      <c r="C56" s="103" t="str">
        <f t="shared" si="9"/>
        <v>26Y</v>
      </c>
      <c r="D56" s="104">
        <f t="shared" si="10"/>
        <v>2</v>
      </c>
      <c r="E56" s="105" t="str">
        <f t="shared" si="12"/>
        <v>Modified Following</v>
      </c>
      <c r="F56" s="106" t="str">
        <f t="shared" si="4"/>
        <v>TRUE</v>
      </c>
      <c r="G56" s="107" t="s">
        <v>50</v>
      </c>
      <c r="H56" s="108">
        <v>1.2030000000000001E-2</v>
      </c>
      <c r="I56" s="109" t="str">
        <f>_xll.qlDepositRateHelper2(,H56,IF(RIGHT(C56,1)="N","1D",C56),D56,Calendar,E56,F56,G56,,Trigger)</f>
        <v>obj_00863#0019</v>
      </c>
      <c r="J56" s="104" t="b">
        <f t="shared" si="11"/>
        <v>1</v>
      </c>
      <c r="L56" s="25" t="str">
        <f t="shared" si="5"/>
        <v>Dp</v>
      </c>
      <c r="M56" s="25" t="str">
        <f t="shared" si="6"/>
        <v>26Y</v>
      </c>
      <c r="N56" s="14" t="str">
        <f t="shared" si="7"/>
        <v>obj_00863#0019</v>
      </c>
      <c r="O56" s="14" t="b">
        <f t="shared" si="8"/>
        <v>1</v>
      </c>
      <c r="P56" s="14" t="str">
        <v>Dp</v>
      </c>
      <c r="Q56" s="14" t="str">
        <v>26Y</v>
      </c>
      <c r="R56" s="14" t="str">
        <v>obj_00863#0019</v>
      </c>
      <c r="S56" s="21">
        <f>_xll.qlRateHelperQuoteValue(R56,Trigger)</f>
        <v>1.2030000000000001E-2</v>
      </c>
      <c r="T56" s="15">
        <f>_xll.qlRateHelperEarliestDate(R56,Trigger)</f>
        <v>42145</v>
      </c>
      <c r="U56" s="15">
        <f>_xll.qlRateHelperLatestDate(R56,Trigger)</f>
        <v>51642</v>
      </c>
      <c r="V56" s="162">
        <v>0.75909926710708953</v>
      </c>
    </row>
    <row r="57" spans="1:22" ht="11.25" customHeight="1" x14ac:dyDescent="0.25">
      <c r="A57" s="102" t="s">
        <v>46</v>
      </c>
      <c r="B57" s="102" t="str">
        <v>27Y</v>
      </c>
      <c r="C57" s="103" t="str">
        <f t="shared" si="9"/>
        <v>27Y</v>
      </c>
      <c r="D57" s="104">
        <f t="shared" si="10"/>
        <v>2</v>
      </c>
      <c r="E57" s="105" t="str">
        <f t="shared" si="12"/>
        <v>Modified Following</v>
      </c>
      <c r="F57" s="106" t="str">
        <f t="shared" si="4"/>
        <v>TRUE</v>
      </c>
      <c r="G57" s="107" t="s">
        <v>50</v>
      </c>
      <c r="H57" s="108">
        <v>1.209E-2</v>
      </c>
      <c r="I57" s="109" t="str">
        <f>_xll.qlDepositRateHelper2(,H57,IF(RIGHT(C57,1)="N","1D",C57),D57,Calendar,E57,F57,G57,,Trigger)</f>
        <v>obj_0086e#0018</v>
      </c>
      <c r="J57" s="104" t="b">
        <f t="shared" si="11"/>
        <v>1</v>
      </c>
      <c r="L57" s="25" t="str">
        <f t="shared" si="5"/>
        <v>Dp</v>
      </c>
      <c r="M57" s="25" t="str">
        <f t="shared" si="6"/>
        <v>27Y</v>
      </c>
      <c r="N57" s="14" t="str">
        <f t="shared" si="7"/>
        <v>obj_0086e#0018</v>
      </c>
      <c r="O57" s="14" t="b">
        <f t="shared" si="8"/>
        <v>1</v>
      </c>
      <c r="P57" s="14" t="str">
        <v>Dp</v>
      </c>
      <c r="Q57" s="14" t="str">
        <v>27Y</v>
      </c>
      <c r="R57" s="14" t="str">
        <v>obj_0086e#0018</v>
      </c>
      <c r="S57" s="21">
        <f>_xll.qlRateHelperQuoteValue(R57,Trigger)</f>
        <v>1.209E-2</v>
      </c>
      <c r="T57" s="15">
        <f>_xll.qlRateHelperEarliestDate(R57,Trigger)</f>
        <v>42145</v>
      </c>
      <c r="U57" s="15">
        <f>_xll.qlRateHelperLatestDate(R57,Trigger)</f>
        <v>52007</v>
      </c>
      <c r="V57" s="162">
        <v>0.75120675479553345</v>
      </c>
    </row>
    <row r="58" spans="1:22" ht="11.25" customHeight="1" x14ac:dyDescent="0.25">
      <c r="A58" s="102" t="s">
        <v>46</v>
      </c>
      <c r="B58" s="102" t="str">
        <v>28Y</v>
      </c>
      <c r="C58" s="103" t="str">
        <f t="shared" si="9"/>
        <v>28Y</v>
      </c>
      <c r="D58" s="104">
        <f t="shared" si="10"/>
        <v>2</v>
      </c>
      <c r="E58" s="105" t="str">
        <f t="shared" si="12"/>
        <v>Modified Following</v>
      </c>
      <c r="F58" s="106" t="str">
        <f t="shared" si="4"/>
        <v>TRUE</v>
      </c>
      <c r="G58" s="107" t="s">
        <v>50</v>
      </c>
      <c r="H58" s="108">
        <v>1.214E-2</v>
      </c>
      <c r="I58" s="109" t="str">
        <f>_xll.qlDepositRateHelper2(,H58,IF(RIGHT(C58,1)="N","1D",C58),D58,Calendar,E58,F58,G58,,Trigger)</f>
        <v>obj_00896#0018</v>
      </c>
      <c r="J58" s="104" t="b">
        <f t="shared" si="11"/>
        <v>1</v>
      </c>
      <c r="L58" s="25" t="str">
        <f t="shared" si="5"/>
        <v>Dp</v>
      </c>
      <c r="M58" s="25" t="str">
        <f t="shared" si="6"/>
        <v>28Y</v>
      </c>
      <c r="N58" s="14" t="str">
        <f t="shared" si="7"/>
        <v>obj_00896#0018</v>
      </c>
      <c r="O58" s="14" t="b">
        <f t="shared" si="8"/>
        <v>1</v>
      </c>
      <c r="P58" s="14" t="str">
        <v>Dp</v>
      </c>
      <c r="Q58" s="14" t="str">
        <v>28Y</v>
      </c>
      <c r="R58" s="14" t="str">
        <v>obj_00896#0018</v>
      </c>
      <c r="S58" s="21">
        <f>_xll.qlRateHelperQuoteValue(R58,Trigger)</f>
        <v>1.214E-2</v>
      </c>
      <c r="T58" s="15">
        <f>_xll.qlRateHelperEarliestDate(R58,Trigger)</f>
        <v>42145</v>
      </c>
      <c r="U58" s="15">
        <f>_xll.qlRateHelperLatestDate(R58,Trigger)</f>
        <v>52372</v>
      </c>
      <c r="V58" s="162">
        <v>0.74356646120663084</v>
      </c>
    </row>
    <row r="59" spans="1:22" ht="11.25" customHeight="1" x14ac:dyDescent="0.25">
      <c r="A59" s="102" t="s">
        <v>46</v>
      </c>
      <c r="B59" s="102" t="str">
        <v>29Y</v>
      </c>
      <c r="C59" s="103" t="str">
        <f t="shared" si="9"/>
        <v>29Y</v>
      </c>
      <c r="D59" s="104">
        <f t="shared" si="10"/>
        <v>2</v>
      </c>
      <c r="E59" s="105" t="str">
        <f t="shared" si="12"/>
        <v>Modified Following</v>
      </c>
      <c r="F59" s="106" t="str">
        <f t="shared" si="4"/>
        <v>TRUE</v>
      </c>
      <c r="G59" s="107" t="s">
        <v>50</v>
      </c>
      <c r="H59" s="108">
        <v>1.2199999999999999E-2</v>
      </c>
      <c r="I59" s="109" t="str">
        <f>_xll.qlDepositRateHelper2(,H59,IF(RIGHT(C59,1)="N","1D",C59),D59,Calendar,E59,F59,G59,,Trigger)</f>
        <v>obj_00885#0018</v>
      </c>
      <c r="J59" s="104" t="b">
        <f t="shared" si="11"/>
        <v>1</v>
      </c>
      <c r="L59" s="25" t="str">
        <f t="shared" si="5"/>
        <v>Dp</v>
      </c>
      <c r="M59" s="25" t="str">
        <f t="shared" si="6"/>
        <v>29Y</v>
      </c>
      <c r="N59" s="14" t="str">
        <f t="shared" si="7"/>
        <v>obj_00885#0018</v>
      </c>
      <c r="O59" s="14" t="b">
        <f t="shared" si="8"/>
        <v>1</v>
      </c>
      <c r="P59" s="14" t="str">
        <v>Dp</v>
      </c>
      <c r="Q59" s="14" t="str">
        <v>29Y</v>
      </c>
      <c r="R59" s="14" t="str">
        <v>obj_00885#0018</v>
      </c>
      <c r="S59" s="21">
        <f>_xll.qlRateHelperQuoteValue(R59,Trigger)</f>
        <v>1.2199999999999999E-2</v>
      </c>
      <c r="T59" s="15">
        <f>_xll.qlRateHelperEarliestDate(R59,Trigger)</f>
        <v>42145</v>
      </c>
      <c r="U59" s="15">
        <f>_xll.qlRateHelperLatestDate(R59,Trigger)</f>
        <v>52740</v>
      </c>
      <c r="V59" s="162">
        <v>0.73581068515313175</v>
      </c>
    </row>
    <row r="60" spans="1:22" ht="11.25" customHeight="1" x14ac:dyDescent="0.25">
      <c r="A60" s="102" t="s">
        <v>46</v>
      </c>
      <c r="B60" s="102" t="str">
        <v>30Y</v>
      </c>
      <c r="C60" s="103" t="str">
        <f t="shared" si="9"/>
        <v>30Y</v>
      </c>
      <c r="D60" s="104">
        <f t="shared" si="10"/>
        <v>2</v>
      </c>
      <c r="E60" s="105" t="str">
        <f t="shared" si="12"/>
        <v>Modified Following</v>
      </c>
      <c r="F60" s="106" t="str">
        <f t="shared" si="4"/>
        <v>TRUE</v>
      </c>
      <c r="G60" s="107" t="s">
        <v>50</v>
      </c>
      <c r="H60" s="108">
        <v>1.225E-2</v>
      </c>
      <c r="I60" s="109" t="str">
        <f>_xll.qlDepositRateHelper2(,H60,IF(RIGHT(C60,1)="N","1D",C60),D60,Calendar,E60,F60,G60,,Trigger)</f>
        <v>obj_0087c#0018</v>
      </c>
      <c r="J60" s="104" t="b">
        <f t="shared" si="11"/>
        <v>1</v>
      </c>
      <c r="L60" s="25" t="str">
        <f t="shared" si="5"/>
        <v>Dp</v>
      </c>
      <c r="M60" s="25" t="str">
        <f t="shared" si="6"/>
        <v>30Y</v>
      </c>
      <c r="N60" s="14" t="str">
        <f t="shared" si="7"/>
        <v>obj_0087c#0018</v>
      </c>
      <c r="O60" s="14" t="b">
        <f t="shared" si="8"/>
        <v>1</v>
      </c>
      <c r="P60" s="14" t="str">
        <v>Dp</v>
      </c>
      <c r="Q60" s="14" t="str">
        <v>30Y</v>
      </c>
      <c r="R60" s="14" t="str">
        <v>obj_0087c#0018</v>
      </c>
      <c r="S60" s="21">
        <f>_xll.qlRateHelperQuoteValue(R60,Trigger)</f>
        <v>1.225E-2</v>
      </c>
      <c r="T60" s="15">
        <f>_xll.qlRateHelperEarliestDate(R60,Trigger)</f>
        <v>42145</v>
      </c>
      <c r="U60" s="15">
        <f>_xll.qlRateHelperLatestDate(R60,Trigger)</f>
        <v>53104</v>
      </c>
      <c r="V60" s="162">
        <v>0.72838369017832871</v>
      </c>
    </row>
    <row r="61" spans="1:22" ht="11.25" customHeight="1" x14ac:dyDescent="0.25">
      <c r="A61" s="102" t="s">
        <v>46</v>
      </c>
      <c r="B61" s="102" t="str">
        <v>35Y</v>
      </c>
      <c r="C61" s="103" t="str">
        <f t="shared" si="9"/>
        <v>35Y</v>
      </c>
      <c r="D61" s="104">
        <f t="shared" si="10"/>
        <v>2</v>
      </c>
      <c r="E61" s="105" t="str">
        <f t="shared" si="12"/>
        <v>Modified Following</v>
      </c>
      <c r="F61" s="106" t="str">
        <f t="shared" si="4"/>
        <v>TRUE</v>
      </c>
      <c r="G61" s="107" t="s">
        <v>50</v>
      </c>
      <c r="H61" s="108">
        <v>1.2470000000000002E-2</v>
      </c>
      <c r="I61" s="109" t="str">
        <f>_xll.qlDepositRateHelper2(,H61,IF(RIGHT(C61,1)="N","1D",C61),D61,Calendar,E61,F61,G61,,Trigger)</f>
        <v>obj_00892#0018</v>
      </c>
      <c r="J61" s="104" t="b">
        <f t="shared" si="11"/>
        <v>1</v>
      </c>
      <c r="L61" s="25" t="str">
        <f t="shared" si="5"/>
        <v>Dp</v>
      </c>
      <c r="M61" s="25" t="str">
        <f t="shared" si="6"/>
        <v>35Y</v>
      </c>
      <c r="N61" s="14" t="str">
        <f t="shared" si="7"/>
        <v>obj_00892#0018</v>
      </c>
      <c r="O61" s="14" t="b">
        <f t="shared" si="8"/>
        <v>1</v>
      </c>
      <c r="P61" s="14" t="str">
        <v>Dp</v>
      </c>
      <c r="Q61" s="14" t="str">
        <v>35Y</v>
      </c>
      <c r="R61" s="14" t="str">
        <v>obj_00892#0018</v>
      </c>
      <c r="S61" s="21">
        <f>_xll.qlRateHelperQuoteValue(R61,Trigger)</f>
        <v>1.2470000000000002E-2</v>
      </c>
      <c r="T61" s="15">
        <f>_xll.qlRateHelperEarliestDate(R61,Trigger)</f>
        <v>42145</v>
      </c>
      <c r="U61" s="15">
        <f>_xll.qlRateHelperLatestDate(R61,Trigger)</f>
        <v>54931</v>
      </c>
      <c r="V61" s="162">
        <v>0.69305601391459326</v>
      </c>
    </row>
    <row r="62" spans="1:22" ht="11.25" customHeight="1" x14ac:dyDescent="0.25">
      <c r="A62" s="102" t="s">
        <v>46</v>
      </c>
      <c r="B62" s="102" t="str">
        <v>40Y</v>
      </c>
      <c r="C62" s="103" t="str">
        <f t="shared" si="9"/>
        <v>40Y</v>
      </c>
      <c r="D62" s="104">
        <f t="shared" si="10"/>
        <v>2</v>
      </c>
      <c r="E62" s="105" t="str">
        <f t="shared" si="12"/>
        <v>Modified Following</v>
      </c>
      <c r="F62" s="106" t="str">
        <f t="shared" si="4"/>
        <v>TRUE</v>
      </c>
      <c r="G62" s="107" t="s">
        <v>50</v>
      </c>
      <c r="H62" s="108">
        <v>1.2529999999999999E-2</v>
      </c>
      <c r="I62" s="109" t="str">
        <f>_xll.qlDepositRateHelper2(,H62,IF(RIGHT(C62,1)="N","1D",C62),D62,Calendar,E62,F62,G62,,Trigger)</f>
        <v>obj_00897#0018</v>
      </c>
      <c r="J62" s="104" t="b">
        <f t="shared" si="11"/>
        <v>1</v>
      </c>
      <c r="L62" s="25" t="str">
        <f t="shared" si="5"/>
        <v>Dp</v>
      </c>
      <c r="M62" s="25" t="str">
        <f t="shared" si="6"/>
        <v>40Y</v>
      </c>
      <c r="N62" s="14" t="str">
        <f t="shared" si="7"/>
        <v>obj_00897#0018</v>
      </c>
      <c r="O62" s="14" t="b">
        <f t="shared" si="8"/>
        <v>1</v>
      </c>
      <c r="P62" s="14" t="str">
        <v>Dp</v>
      </c>
      <c r="Q62" s="14" t="str">
        <v>40Y</v>
      </c>
      <c r="R62" s="14" t="str">
        <v>obj_00897#0018</v>
      </c>
      <c r="S62" s="21">
        <f>_xll.qlRateHelperQuoteValue(R62,Trigger)</f>
        <v>1.2529999999999999E-2</v>
      </c>
      <c r="T62" s="15">
        <f>_xll.qlRateHelperEarliestDate(R62,Trigger)</f>
        <v>42145</v>
      </c>
      <c r="U62" s="15">
        <f>_xll.qlRateHelperLatestDate(R62,Trigger)</f>
        <v>56755</v>
      </c>
      <c r="V62" s="162">
        <v>0.66290983023014127</v>
      </c>
    </row>
    <row r="63" spans="1:22" ht="11.25" customHeight="1" x14ac:dyDescent="0.25">
      <c r="A63" s="102" t="s">
        <v>46</v>
      </c>
      <c r="B63" s="102" t="str">
        <v>50Y</v>
      </c>
      <c r="C63" s="103" t="str">
        <f t="shared" si="9"/>
        <v>50Y</v>
      </c>
      <c r="D63" s="104">
        <f t="shared" si="10"/>
        <v>2</v>
      </c>
      <c r="E63" s="105" t="str">
        <f t="shared" si="12"/>
        <v>Modified Following</v>
      </c>
      <c r="F63" s="106" t="str">
        <f t="shared" si="4"/>
        <v>TRUE</v>
      </c>
      <c r="G63" s="107" t="s">
        <v>50</v>
      </c>
      <c r="H63" s="108">
        <v>1.218E-2</v>
      </c>
      <c r="I63" s="109" t="str">
        <f>_xll.qlDepositRateHelper2(,H63,IF(RIGHT(C63,1)="N","1D",C63),D63,Calendar,E63,F63,G63,,Trigger)</f>
        <v>obj_00878#0018</v>
      </c>
      <c r="J63" s="104" t="b">
        <f t="shared" si="11"/>
        <v>1</v>
      </c>
      <c r="L63" s="25" t="str">
        <f t="shared" si="5"/>
        <v>Dp</v>
      </c>
      <c r="M63" s="25" t="str">
        <f t="shared" si="6"/>
        <v>50Y</v>
      </c>
      <c r="N63" s="14" t="str">
        <f t="shared" si="7"/>
        <v>obj_00878#0018</v>
      </c>
      <c r="O63" s="14" t="b">
        <f t="shared" si="8"/>
        <v>1</v>
      </c>
      <c r="P63" s="14" t="str">
        <v>Dp</v>
      </c>
      <c r="Q63" s="14" t="str">
        <v>50Y</v>
      </c>
      <c r="R63" s="14" t="str">
        <v>obj_00878#0018</v>
      </c>
      <c r="S63" s="21">
        <f>_xll.qlRateHelperQuoteValue(R63,Trigger)</f>
        <v>1.218E-2</v>
      </c>
      <c r="T63" s="15">
        <f>_xll.qlRateHelperEarliestDate(R63,Trigger)</f>
        <v>42145</v>
      </c>
      <c r="U63" s="15">
        <f>_xll.qlRateHelperLatestDate(R63,Trigger)</f>
        <v>60408</v>
      </c>
      <c r="V63" s="162">
        <v>0.6180893063475259</v>
      </c>
    </row>
    <row r="64" spans="1:22" ht="11.25" customHeight="1" x14ac:dyDescent="0.25">
      <c r="A64" s="102" t="s">
        <v>46</v>
      </c>
      <c r="B64" s="102" t="str">
        <v>60Y</v>
      </c>
      <c r="C64" s="103" t="str">
        <f t="shared" si="9"/>
        <v>60Y</v>
      </c>
      <c r="D64" s="104">
        <f t="shared" si="10"/>
        <v>2</v>
      </c>
      <c r="E64" s="105" t="str">
        <f t="shared" si="12"/>
        <v>Modified Following</v>
      </c>
      <c r="F64" s="106" t="str">
        <f t="shared" si="4"/>
        <v>TRUE</v>
      </c>
      <c r="G64" s="107" t="s">
        <v>50</v>
      </c>
      <c r="H64" s="108">
        <v>1.213E-2</v>
      </c>
      <c r="I64" s="109" t="str">
        <f>_xll.qlDepositRateHelper2(,H64,IF(RIGHT(C64,1)="N","1D",C64),D64,Calendar,E64,F64,G64,,Trigger)</f>
        <v>obj_00876#0018</v>
      </c>
      <c r="J64" s="104" t="b">
        <f t="shared" si="11"/>
        <v>1</v>
      </c>
      <c r="L64" s="25" t="str">
        <f t="shared" si="5"/>
        <v>Dp</v>
      </c>
      <c r="M64" s="25" t="str">
        <f t="shared" si="6"/>
        <v>60Y</v>
      </c>
      <c r="N64" s="14" t="str">
        <f t="shared" si="7"/>
        <v>obj_00876#0018</v>
      </c>
      <c r="O64" s="14" t="b">
        <f t="shared" si="8"/>
        <v>1</v>
      </c>
      <c r="P64" s="14" t="str">
        <v>Dp</v>
      </c>
      <c r="Q64" s="14" t="str">
        <v>60Y</v>
      </c>
      <c r="R64" s="14" t="str">
        <v>obj_00876#0018</v>
      </c>
      <c r="S64" s="21">
        <f>_xll.qlRateHelperQuoteValue(R64,Trigger)</f>
        <v>1.213E-2</v>
      </c>
      <c r="T64" s="15">
        <f>_xll.qlRateHelperEarliestDate(R64,Trigger)</f>
        <v>42145</v>
      </c>
      <c r="U64" s="15">
        <f>_xll.qlRateHelperLatestDate(R64,Trigger)</f>
        <v>64060</v>
      </c>
      <c r="V64" s="162">
        <v>0.57524024736685009</v>
      </c>
    </row>
    <row r="65" spans="1:22" ht="11.25" customHeight="1" x14ac:dyDescent="0.25">
      <c r="A65" s="102" t="s">
        <v>46</v>
      </c>
      <c r="B65" s="102" t="e">
        <v>#N/A</v>
      </c>
      <c r="C65" s="103" t="e">
        <f t="shared" si="9"/>
        <v>#N/A</v>
      </c>
      <c r="D65" s="104" t="e">
        <f t="shared" si="10"/>
        <v>#N/A</v>
      </c>
      <c r="E65" s="105" t="e">
        <f t="shared" si="12"/>
        <v>#N/A</v>
      </c>
      <c r="F65" s="106" t="e">
        <f t="shared" si="4"/>
        <v>#N/A</v>
      </c>
      <c r="G65" s="107" t="s">
        <v>50</v>
      </c>
      <c r="H65" s="108" t="e">
        <v>#N/A</v>
      </c>
      <c r="I65" s="109" t="e">
        <f>_xll.qlDepositRateHelper2(,H65,IF(RIGHT(C65,1)="N","1D",C65),D65,Calendar,E65,F65,G65,,Trigger)</f>
        <v>#VALUE!</v>
      </c>
      <c r="J65" s="104" t="b">
        <f t="shared" si="11"/>
        <v>0</v>
      </c>
      <c r="L65" s="25" t="str">
        <f t="shared" si="5"/>
        <v>Dp</v>
      </c>
      <c r="M65" s="25" t="e">
        <f t="shared" si="6"/>
        <v>#N/A</v>
      </c>
      <c r="N65" s="14" t="e">
        <f t="shared" si="7"/>
        <v>#VALUE!</v>
      </c>
      <c r="O65" s="14" t="b">
        <f t="shared" si="8"/>
        <v>0</v>
      </c>
      <c r="P65" s="14" t="e">
        <v>#N/A</v>
      </c>
      <c r="Q65" s="14" t="e">
        <v>#N/A</v>
      </c>
      <c r="R65" s="14" t="e">
        <v>#N/A</v>
      </c>
      <c r="S65" s="21" t="e">
        <f>_xll.qlRateHelperQuoteValue(R65,Trigger)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62" t="e">
        <v>#N/A</v>
      </c>
    </row>
    <row r="66" spans="1:22" ht="11.25" customHeight="1" x14ac:dyDescent="0.25">
      <c r="A66" s="102" t="s">
        <v>46</v>
      </c>
      <c r="B66" s="102" t="e">
        <v>#N/A</v>
      </c>
      <c r="C66" s="103" t="e">
        <f t="shared" si="9"/>
        <v>#N/A</v>
      </c>
      <c r="D66" s="104" t="e">
        <f t="shared" si="10"/>
        <v>#N/A</v>
      </c>
      <c r="E66" s="105" t="e">
        <f t="shared" si="12"/>
        <v>#N/A</v>
      </c>
      <c r="F66" s="106" t="e">
        <f t="shared" si="4"/>
        <v>#N/A</v>
      </c>
      <c r="G66" s="107" t="s">
        <v>50</v>
      </c>
      <c r="H66" s="108" t="e">
        <v>#N/A</v>
      </c>
      <c r="I66" s="109" t="e">
        <f>_xll.qlDepositRateHelper2(,H66,IF(RIGHT(C66,1)="N","1D",C66),D66,Calendar,E66,F66,G66,,Trigger)</f>
        <v>#VALUE!</v>
      </c>
      <c r="J66" s="104" t="b">
        <f t="shared" si="11"/>
        <v>0</v>
      </c>
      <c r="L66" s="25" t="str">
        <f t="shared" si="5"/>
        <v>Dp</v>
      </c>
      <c r="M66" s="25" t="e">
        <f t="shared" si="6"/>
        <v>#N/A</v>
      </c>
      <c r="N66" s="14" t="e">
        <f t="shared" si="7"/>
        <v>#VALUE!</v>
      </c>
      <c r="O66" s="14" t="b">
        <f t="shared" si="8"/>
        <v>0</v>
      </c>
      <c r="P66" s="14" t="e">
        <v>#N/A</v>
      </c>
      <c r="Q66" s="14" t="e">
        <v>#N/A</v>
      </c>
      <c r="R66" s="14" t="e">
        <v>#N/A</v>
      </c>
      <c r="S66" s="21" t="e">
        <f>_xll.qlRateHelperQuoteValue(R66,Trigger)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62" t="e">
        <v>#N/A</v>
      </c>
    </row>
    <row r="67" spans="1:22" ht="11.25" customHeight="1" x14ac:dyDescent="0.25">
      <c r="A67" s="102" t="s">
        <v>46</v>
      </c>
      <c r="B67" s="102" t="e">
        <v>#N/A</v>
      </c>
      <c r="C67" s="103" t="e">
        <f t="shared" si="9"/>
        <v>#N/A</v>
      </c>
      <c r="D67" s="104" t="e">
        <f t="shared" si="10"/>
        <v>#N/A</v>
      </c>
      <c r="E67" s="105" t="e">
        <f t="shared" si="12"/>
        <v>#N/A</v>
      </c>
      <c r="F67" s="106" t="e">
        <f t="shared" si="4"/>
        <v>#N/A</v>
      </c>
      <c r="G67" s="107" t="s">
        <v>50</v>
      </c>
      <c r="H67" s="108" t="e">
        <v>#N/A</v>
      </c>
      <c r="I67" s="109" t="e">
        <f>_xll.qlDepositRateHelper2(,H67,IF(RIGHT(C67,1)="N","1D",C67),D67,Calendar,E67,F67,G67,,Trigger)</f>
        <v>#VALUE!</v>
      </c>
      <c r="J67" s="104" t="b">
        <f t="shared" si="11"/>
        <v>0</v>
      </c>
      <c r="L67" s="25" t="str">
        <f t="shared" si="5"/>
        <v>Dp</v>
      </c>
      <c r="M67" s="25" t="e">
        <f t="shared" si="6"/>
        <v>#N/A</v>
      </c>
      <c r="N67" s="14" t="e">
        <f t="shared" si="7"/>
        <v>#VALUE!</v>
      </c>
      <c r="O67" s="14" t="b">
        <f t="shared" si="8"/>
        <v>0</v>
      </c>
      <c r="P67" s="14" t="e">
        <v>#N/A</v>
      </c>
      <c r="Q67" s="14" t="e">
        <v>#N/A</v>
      </c>
      <c r="R67" s="14" t="e">
        <v>#N/A</v>
      </c>
      <c r="S67" s="21" t="e">
        <f>_xll.qlRateHelperQuoteValue(R67,Trigger)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62" t="e">
        <v>#N/A</v>
      </c>
    </row>
    <row r="68" spans="1:22" ht="11.25" customHeight="1" x14ac:dyDescent="0.25">
      <c r="A68" s="102" t="s">
        <v>46</v>
      </c>
      <c r="B68" s="102" t="e">
        <v>#N/A</v>
      </c>
      <c r="C68" s="103" t="e">
        <f t="shared" si="9"/>
        <v>#N/A</v>
      </c>
      <c r="D68" s="104" t="e">
        <f t="shared" si="10"/>
        <v>#N/A</v>
      </c>
      <c r="E68" s="105" t="e">
        <f t="shared" si="12"/>
        <v>#N/A</v>
      </c>
      <c r="F68" s="106" t="e">
        <f t="shared" ref="F68:F71" si="13">IF(RIGHT(C68,1)="M","TRUE",IF(RIGHT(C68,1)="Y","TRUE","FALSE"))</f>
        <v>#N/A</v>
      </c>
      <c r="G68" s="107" t="s">
        <v>50</v>
      </c>
      <c r="H68" s="108" t="e">
        <v>#N/A</v>
      </c>
      <c r="I68" s="109" t="e">
        <f>_xll.qlDepositRateHelper2(,H68,IF(RIGHT(C68,1)="N","1D",C68),D68,Calendar,E68,F68,G68,,Trigger)</f>
        <v>#VALUE!</v>
      </c>
      <c r="J68" s="104" t="b">
        <f t="shared" si="11"/>
        <v>0</v>
      </c>
      <c r="L68" s="25" t="str">
        <f t="shared" ref="L68:L71" si="14">A68</f>
        <v>Dp</v>
      </c>
      <c r="M68" s="25" t="e">
        <f t="shared" ref="M68:M71" si="15">C68</f>
        <v>#N/A</v>
      </c>
      <c r="N68" s="14" t="e">
        <f t="shared" ref="N68:N71" si="16">I68</f>
        <v>#VALUE!</v>
      </c>
      <c r="O68" s="14" t="b">
        <f t="shared" ref="O68:O71" si="17">J68</f>
        <v>0</v>
      </c>
      <c r="P68" s="14" t="e">
        <v>#N/A</v>
      </c>
      <c r="Q68" s="14" t="e">
        <v>#N/A</v>
      </c>
      <c r="R68" s="14" t="e">
        <v>#N/A</v>
      </c>
      <c r="S68" s="21" t="e">
        <f>_xll.qlRateHelperQuoteValue(R68,Trigger)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62" t="e">
        <v>#N/A</v>
      </c>
    </row>
    <row r="69" spans="1:22" ht="11.25" customHeight="1" x14ac:dyDescent="0.25">
      <c r="A69" s="102" t="s">
        <v>46</v>
      </c>
      <c r="B69" s="102" t="e">
        <v>#N/A</v>
      </c>
      <c r="C69" s="103" t="e">
        <f t="shared" si="9"/>
        <v>#N/A</v>
      </c>
      <c r="D69" s="104" t="e">
        <f t="shared" si="10"/>
        <v>#N/A</v>
      </c>
      <c r="E69" s="105" t="e">
        <f t="shared" si="12"/>
        <v>#N/A</v>
      </c>
      <c r="F69" s="106" t="e">
        <f t="shared" si="13"/>
        <v>#N/A</v>
      </c>
      <c r="G69" s="107" t="s">
        <v>50</v>
      </c>
      <c r="H69" s="108" t="e">
        <v>#N/A</v>
      </c>
      <c r="I69" s="109" t="e">
        <f>_xll.qlDepositRateHelper2(,H69,IF(RIGHT(C69,1)="N","1D",C69),D69,Calendar,E69,F69,G69,,Trigger)</f>
        <v>#VALUE!</v>
      </c>
      <c r="J69" s="104" t="b">
        <f t="shared" si="11"/>
        <v>0</v>
      </c>
      <c r="L69" s="25" t="str">
        <f t="shared" si="14"/>
        <v>Dp</v>
      </c>
      <c r="M69" s="25" t="e">
        <f t="shared" si="15"/>
        <v>#N/A</v>
      </c>
      <c r="N69" s="14" t="e">
        <f t="shared" si="16"/>
        <v>#VALUE!</v>
      </c>
      <c r="O69" s="14" t="b">
        <f t="shared" si="17"/>
        <v>0</v>
      </c>
      <c r="P69" s="14" t="e">
        <v>#N/A</v>
      </c>
      <c r="Q69" s="14" t="e">
        <v>#N/A</v>
      </c>
      <c r="R69" s="14" t="e">
        <v>#N/A</v>
      </c>
      <c r="S69" s="21" t="e">
        <f>_xll.qlRateHelperQuoteValue(R69,Trigger)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62" t="e">
        <v>#N/A</v>
      </c>
    </row>
    <row r="70" spans="1:22" ht="11.25" customHeight="1" x14ac:dyDescent="0.25">
      <c r="A70" s="102" t="s">
        <v>46</v>
      </c>
      <c r="B70" s="102" t="e">
        <v>#N/A</v>
      </c>
      <c r="C70" s="103" t="e">
        <f t="shared" si="9"/>
        <v>#N/A</v>
      </c>
      <c r="D70" s="104" t="e">
        <f t="shared" si="10"/>
        <v>#N/A</v>
      </c>
      <c r="E70" s="105" t="e">
        <f t="shared" si="12"/>
        <v>#N/A</v>
      </c>
      <c r="F70" s="106" t="e">
        <f t="shared" si="13"/>
        <v>#N/A</v>
      </c>
      <c r="G70" s="107" t="s">
        <v>50</v>
      </c>
      <c r="H70" s="108" t="e">
        <v>#N/A</v>
      </c>
      <c r="I70" s="109" t="e">
        <f>_xll.qlDepositRateHelper2(,H70,IF(RIGHT(C70,1)="N","1D",C70),D70,Calendar,E70,F70,G70,,Trigger)</f>
        <v>#VALUE!</v>
      </c>
      <c r="J70" s="104" t="b">
        <f t="shared" si="11"/>
        <v>0</v>
      </c>
      <c r="L70" s="25" t="str">
        <f t="shared" si="14"/>
        <v>Dp</v>
      </c>
      <c r="M70" s="25" t="e">
        <f t="shared" si="15"/>
        <v>#N/A</v>
      </c>
      <c r="N70" s="14" t="e">
        <f t="shared" si="16"/>
        <v>#VALUE!</v>
      </c>
      <c r="O70" s="14" t="b">
        <f t="shared" si="17"/>
        <v>0</v>
      </c>
      <c r="P70" s="14" t="e">
        <v>#N/A</v>
      </c>
      <c r="Q70" s="14" t="e">
        <v>#N/A</v>
      </c>
      <c r="R70" s="14" t="e">
        <v>#N/A</v>
      </c>
      <c r="S70" s="21" t="e">
        <f>_xll.qlRateHelperQuoteValue(R70,Trigger)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62" t="e">
        <v>#N/A</v>
      </c>
    </row>
    <row r="71" spans="1:22" ht="11.25" customHeight="1" x14ac:dyDescent="0.25">
      <c r="A71" s="4" t="s">
        <v>46</v>
      </c>
      <c r="B71" s="4" t="e">
        <v>#N/A</v>
      </c>
      <c r="C71" s="22" t="e">
        <f t="shared" si="9"/>
        <v>#N/A</v>
      </c>
      <c r="D71" s="19" t="e">
        <f t="shared" si="10"/>
        <v>#N/A</v>
      </c>
      <c r="E71" s="20" t="e">
        <f t="shared" si="12"/>
        <v>#N/A</v>
      </c>
      <c r="F71" s="23" t="e">
        <f t="shared" si="13"/>
        <v>#N/A</v>
      </c>
      <c r="G71" s="5" t="s">
        <v>50</v>
      </c>
      <c r="H71" s="6" t="e">
        <v>#N/A</v>
      </c>
      <c r="I71" s="7" t="e">
        <f>_xll.qlDepositRateHelper2(,H71,IF(RIGHT(C71,1)="N","1D",C71),D71,Calendar,E71,F71,G71,,Trigger)</f>
        <v>#VALUE!</v>
      </c>
      <c r="J71" s="19" t="b">
        <f t="shared" si="11"/>
        <v>0</v>
      </c>
      <c r="L71" s="26" t="str">
        <f t="shared" si="14"/>
        <v>Dp</v>
      </c>
      <c r="M71" s="26" t="e">
        <f t="shared" si="15"/>
        <v>#N/A</v>
      </c>
      <c r="N71" s="16" t="e">
        <f t="shared" si="16"/>
        <v>#VALUE!</v>
      </c>
      <c r="O71" s="16" t="b">
        <f t="shared" si="17"/>
        <v>0</v>
      </c>
      <c r="P71" s="16" t="e">
        <v>#N/A</v>
      </c>
      <c r="Q71" s="16" t="e">
        <v>#N/A</v>
      </c>
      <c r="R71" s="16" t="e">
        <v>#N/A</v>
      </c>
      <c r="S71" s="31" t="e">
        <f>_xll.qlRateHelperQuoteValue(R71,Trigger)</f>
        <v>#VALUE!</v>
      </c>
      <c r="T71" s="32" t="e">
        <f>_xll.qlRateHelperEarliestDate(R71,Trigger)</f>
        <v>#VALUE!</v>
      </c>
      <c r="U71" s="32" t="e">
        <f>_xll.qlRateHelperLatestDate(R71,Trigger)</f>
        <v>#VALUE!</v>
      </c>
      <c r="V71" s="163" t="e">
        <v>#N/A</v>
      </c>
    </row>
    <row r="72" spans="1:22" ht="11.25" customHeight="1" x14ac:dyDescent="0.25"/>
    <row r="73" spans="1:22" ht="11.25" customHeight="1" x14ac:dyDescent="0.25"/>
    <row r="74" spans="1:22" ht="11.25" customHeight="1" x14ac:dyDescent="0.25"/>
    <row r="75" spans="1:22" ht="11.25" customHeight="1" x14ac:dyDescent="0.25"/>
    <row r="76" spans="1:22" ht="11.25" customHeight="1" x14ac:dyDescent="0.25"/>
    <row r="77" spans="1:22" ht="11.25" customHeight="1" x14ac:dyDescent="0.25"/>
    <row r="78" spans="1:22" ht="11.25" customHeight="1" x14ac:dyDescent="0.25"/>
    <row r="79" spans="1:22" ht="11.25" customHeight="1" x14ac:dyDescent="0.25"/>
    <row r="80" spans="1:22" ht="11.25" customHeight="1" x14ac:dyDescent="0.25"/>
  </sheetData>
  <dataValidations count="1">
    <dataValidation type="list" allowBlank="1" showInputMessage="1" showErrorMessage="1" sqref="G3:G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E30"/>
  <sheetViews>
    <sheetView workbookViewId="0">
      <selection activeCell="I2" sqref="I2"/>
    </sheetView>
  </sheetViews>
  <sheetFormatPr defaultRowHeight="11.25" x14ac:dyDescent="0.2"/>
  <cols>
    <col min="1" max="2" width="2.7109375" style="178" customWidth="1"/>
    <col min="3" max="3" width="11" style="178" bestFit="1" customWidth="1"/>
    <col min="4" max="4" width="16" style="178" bestFit="1" customWidth="1"/>
    <col min="5" max="5" width="17.28515625" style="178" bestFit="1" customWidth="1"/>
    <col min="6" max="6" width="2.7109375" style="178" customWidth="1"/>
    <col min="7" max="7" width="15.28515625" style="178" bestFit="1" customWidth="1"/>
    <col min="8" max="8" width="12" style="178" bestFit="1" customWidth="1"/>
    <col min="9" max="9" width="15.140625" style="178" bestFit="1" customWidth="1"/>
    <col min="10" max="10" width="31.7109375" style="178" bestFit="1" customWidth="1"/>
    <col min="11" max="12" width="17.7109375" style="178" customWidth="1"/>
    <col min="13" max="13" width="2.7109375" style="178" customWidth="1"/>
    <col min="14" max="14" width="6" style="178" bestFit="1" customWidth="1"/>
    <col min="15" max="15" width="11.140625" style="178" bestFit="1" customWidth="1"/>
    <col min="16" max="16" width="14" style="178" bestFit="1" customWidth="1"/>
    <col min="17" max="17" width="7" style="178" bestFit="1" customWidth="1"/>
    <col min="18" max="18" width="9.85546875" style="178" bestFit="1" customWidth="1"/>
    <col min="19" max="19" width="8.140625" style="178" bestFit="1" customWidth="1"/>
    <col min="20" max="20" width="12.140625" style="178" bestFit="1" customWidth="1"/>
    <col min="21" max="21" width="9.85546875" style="178" bestFit="1" customWidth="1"/>
    <col min="22" max="22" width="12" style="178" bestFit="1" customWidth="1"/>
    <col min="23" max="23" width="8" style="178" bestFit="1" customWidth="1"/>
    <col min="24" max="24" width="13.140625" style="178" bestFit="1" customWidth="1"/>
    <col min="25" max="25" width="8" style="178" bestFit="1" customWidth="1"/>
    <col min="26" max="26" width="2.7109375" style="178" customWidth="1"/>
    <col min="27" max="27" width="15.5703125" style="178" bestFit="1" customWidth="1"/>
    <col min="28" max="28" width="7.140625" style="178" bestFit="1" customWidth="1"/>
    <col min="29" max="30" width="2.7109375" style="178" customWidth="1"/>
    <col min="31" max="16384" width="9.140625" style="178"/>
  </cols>
  <sheetData>
    <row r="1" spans="2:31" s="164" customFormat="1" x14ac:dyDescent="0.2">
      <c r="AD1" s="178"/>
    </row>
    <row r="2" spans="2:31" s="164" customFormat="1" ht="11.25" customHeight="1" x14ac:dyDescent="0.2">
      <c r="B2" s="191"/>
      <c r="C2" s="192"/>
      <c r="D2" s="192"/>
      <c r="E2" s="192"/>
      <c r="F2" s="192"/>
      <c r="G2" s="192"/>
      <c r="H2" s="179" t="s">
        <v>56</v>
      </c>
      <c r="I2" s="212" t="s">
        <v>57</v>
      </c>
      <c r="J2" s="192"/>
      <c r="K2" s="192"/>
      <c r="L2" s="192"/>
      <c r="M2" s="192"/>
      <c r="N2" s="192"/>
      <c r="O2" s="182"/>
      <c r="P2" s="182"/>
      <c r="Q2" s="182"/>
      <c r="R2" s="182"/>
      <c r="S2" s="182"/>
      <c r="T2" s="182"/>
      <c r="U2" s="182"/>
      <c r="V2" s="182"/>
      <c r="W2" s="193">
        <f>MAX(Y5:Y8)</f>
        <v>0</v>
      </c>
      <c r="X2" s="182"/>
      <c r="Y2" s="182"/>
      <c r="Z2" s="185"/>
      <c r="AD2" s="178"/>
    </row>
    <row r="3" spans="2:31" s="164" customFormat="1" ht="22.5" customHeight="1" x14ac:dyDescent="0.2">
      <c r="B3" s="47"/>
      <c r="C3" s="179" t="s">
        <v>59</v>
      </c>
      <c r="D3" s="179" t="str">
        <f t="shared" ref="D3:D8" si="0">UPPER(Currency)&amp;$C3</f>
        <v>EURSTD</v>
      </c>
      <c r="E3" s="166" t="str">
        <f>_xll.qlRelinkableHandleYieldTermStructure(D3,,Permanent,Trigger,ObjectOverwrite)</f>
        <v>EURSTD#0020</v>
      </c>
      <c r="F3" s="165" t="str">
        <f>_xll.ohRangeRetrieveError(E3)</f>
        <v/>
      </c>
      <c r="G3" s="8"/>
      <c r="H3" s="8"/>
      <c r="I3" s="8"/>
      <c r="J3" s="8"/>
      <c r="K3" s="180" t="s">
        <v>198</v>
      </c>
      <c r="L3" s="180" t="s">
        <v>199</v>
      </c>
      <c r="M3" s="1"/>
      <c r="N3" s="180" t="s">
        <v>58</v>
      </c>
      <c r="O3" s="180" t="s">
        <v>82</v>
      </c>
      <c r="P3" s="180" t="s">
        <v>83</v>
      </c>
      <c r="Q3" s="180" t="s">
        <v>84</v>
      </c>
      <c r="R3" s="180" t="s">
        <v>61</v>
      </c>
      <c r="S3" s="180" t="s">
        <v>62</v>
      </c>
      <c r="T3" s="180" t="s">
        <v>63</v>
      </c>
      <c r="U3" s="180" t="s">
        <v>64</v>
      </c>
      <c r="V3" s="180" t="s">
        <v>65</v>
      </c>
      <c r="W3" s="180" t="s">
        <v>66</v>
      </c>
      <c r="X3" s="180" t="s">
        <v>67</v>
      </c>
      <c r="Y3" s="180"/>
      <c r="Z3" s="187"/>
      <c r="AD3" s="178"/>
    </row>
    <row r="4" spans="2:31" s="164" customFormat="1" ht="11.25" customHeight="1" x14ac:dyDescent="0.2">
      <c r="B4" s="47"/>
      <c r="C4" s="196" t="s">
        <v>68</v>
      </c>
      <c r="D4" s="196" t="str">
        <f t="shared" si="0"/>
        <v>EURON</v>
      </c>
      <c r="E4" s="197" t="str">
        <f>_xll.qlRelinkableHandleYieldTermStructure(D4,,Permanent,Trigger,ObjectOverwrite)</f>
        <v>EURON#0020</v>
      </c>
      <c r="F4" s="198" t="str">
        <f>_xll.ohRangeRetrieveError(E4)</f>
        <v/>
      </c>
      <c r="G4" s="197" t="s">
        <v>60</v>
      </c>
      <c r="H4" s="197" t="s">
        <v>60</v>
      </c>
      <c r="I4" s="197" t="str">
        <f>_xll.qlEonia(G4,E4,Permanent,Trigger,ObjectOverwrite)</f>
        <v>Eonia#0020</v>
      </c>
      <c r="J4" s="197" t="str">
        <f>_xll.qlLastFixingQuote(H4&amp;"LastFixing_Quote",I4,Permanent,Trigger,ObjectOverwrite)</f>
        <v>EoniaLastFixing_Quote#0020</v>
      </c>
      <c r="K4" s="205" t="str">
        <f>_xll.ohRangeRetrieveError(I4)</f>
        <v/>
      </c>
      <c r="L4" s="206" t="str">
        <f>_xll.ohRangeRetrieveError(J4)</f>
        <v/>
      </c>
      <c r="M4" s="1"/>
      <c r="N4" s="167" t="s">
        <v>68</v>
      </c>
      <c r="O4" s="167" t="s">
        <v>69</v>
      </c>
      <c r="P4" s="168" t="e">
        <f>$G$16</f>
        <v>#N/A</v>
      </c>
      <c r="Q4" s="169" t="e">
        <f>H16</f>
        <v>#N/A</v>
      </c>
      <c r="R4" s="167" t="e">
        <f>IF(AND(ISNUMBER(Q4),Q4&lt;&gt;0%,_xll.ohTrigger(Trigger)+1),TRUE,FALSE)</f>
        <v>#N/A</v>
      </c>
      <c r="S4" s="167" t="e">
        <f>IF($R4,_xll.qlIndexAddFixings(T4,P4,Q4/100,TRUE,ISERROR($U7)),NA())</f>
        <v>#N/A</v>
      </c>
      <c r="T4" s="167" t="str">
        <f>I4</f>
        <v>Eonia#0020</v>
      </c>
      <c r="U4" s="167" t="e">
        <f>_xll.qlIndexFixing(T4,P4,TRUE,R4)</f>
        <v>#NUM!</v>
      </c>
      <c r="V4" s="167" t="e">
        <f>IF(S4,_xll.qlIndexFixing(T4,P4,FALSE,R4),"-")</f>
        <v>#N/A</v>
      </c>
      <c r="W4" s="167" t="e">
        <f>U4-V4</f>
        <v>#NUM!</v>
      </c>
      <c r="X4" s="167" t="e">
        <f>_xll.qlIndexFixing(T4,P4,TRUE,$V4)</f>
        <v>#NUM!</v>
      </c>
      <c r="Y4" s="167">
        <f>IF(ISERROR(W4),0,ABS(W4))</f>
        <v>0</v>
      </c>
      <c r="Z4" s="187"/>
      <c r="AD4" s="178"/>
    </row>
    <row r="5" spans="2:31" s="164" customFormat="1" ht="11.25" customHeight="1" x14ac:dyDescent="0.2">
      <c r="B5" s="47"/>
      <c r="C5" s="199" t="s">
        <v>6</v>
      </c>
      <c r="D5" s="199" t="str">
        <f t="shared" si="0"/>
        <v>EUR1M</v>
      </c>
      <c r="E5" s="200" t="str">
        <f>_xll.qlRelinkableHandleYieldTermStructure(D5,,Permanent,Trigger,ObjectOverwrite)</f>
        <v>EUR1M#0020</v>
      </c>
      <c r="F5" s="201" t="str">
        <f>_xll.ohRangeRetrieveError(E5)</f>
        <v/>
      </c>
      <c r="G5" s="200" t="s">
        <v>6</v>
      </c>
      <c r="H5" s="200" t="str">
        <f>PROPER(Currency)&amp;FamilyName&amp;$G5</f>
        <v>Euribor1M</v>
      </c>
      <c r="I5" s="200" t="str">
        <f>_xll.qlEuribor(H5,G5,E5,Permanent,Trigger,ObjectOverwrite)</f>
        <v>Euribor1M#0020</v>
      </c>
      <c r="J5" s="200" t="str">
        <f>_xll.qlLastFixingQuote(H5&amp;"LastFixing_Quote",I5,Permanent,Trigger,ObjectOverwrite)</f>
        <v>Euribor1MLastFixing_Quote#0020</v>
      </c>
      <c r="K5" s="207" t="str">
        <f>_xll.ohRangeRetrieveError(I5)</f>
        <v/>
      </c>
      <c r="L5" s="208" t="str">
        <f>_xll.ohRangeRetrieveError(J5)</f>
        <v/>
      </c>
      <c r="M5" s="1"/>
      <c r="N5" s="167" t="s">
        <v>6</v>
      </c>
      <c r="O5" s="167" t="str">
        <f>Currency&amp;"IBOR"&amp;$N5&amp;"D="</f>
        <v>EURIBOR1MD=</v>
      </c>
      <c r="P5" s="168" t="e">
        <f>$G$16</f>
        <v>#N/A</v>
      </c>
      <c r="Q5" s="169" t="e">
        <f>I16</f>
        <v>#N/A</v>
      </c>
      <c r="R5" s="167" t="e">
        <f>IF(AND(ISNUMBER(Q5),Q5&lt;&gt;0%,_xll.ohTrigger(Trigger)+1),TRUE,FALSE)</f>
        <v>#N/A</v>
      </c>
      <c r="S5" s="167" t="e">
        <f>IF($R5,_xll.qlIndexAddFixings(T5,P5,Q5/100,TRUE,ISERROR($U8)),NA())</f>
        <v>#N/A</v>
      </c>
      <c r="T5" s="167" t="str">
        <f>I5</f>
        <v>Euribor1M#0020</v>
      </c>
      <c r="U5" s="167" t="e">
        <f>_xll.qlIndexFixing(T5,P5,TRUE,R5)</f>
        <v>#NUM!</v>
      </c>
      <c r="V5" s="167" t="e">
        <f>IF(S5,_xll.qlIndexFixing(T5,P5,FALSE,R5),"-")</f>
        <v>#N/A</v>
      </c>
      <c r="W5" s="167" t="e">
        <f>U5-V5</f>
        <v>#NUM!</v>
      </c>
      <c r="X5" s="167" t="e">
        <f>_xll.qlIndexFixing(T5,P5,TRUE,$V5)</f>
        <v>#NUM!</v>
      </c>
      <c r="Y5" s="167">
        <f>IF(ISERROR(W5),0,ABS(W5))</f>
        <v>0</v>
      </c>
      <c r="Z5" s="187"/>
      <c r="AD5" s="178"/>
    </row>
    <row r="6" spans="2:31" s="164" customFormat="1" ht="11.25" customHeight="1" x14ac:dyDescent="0.2">
      <c r="B6" s="47"/>
      <c r="C6" s="199" t="s">
        <v>0</v>
      </c>
      <c r="D6" s="199" t="str">
        <f t="shared" si="0"/>
        <v>EUR3M</v>
      </c>
      <c r="E6" s="200" t="str">
        <f>_xll.qlRelinkableHandleYieldTermStructure(D6,,Permanent,Trigger,ObjectOverwrite)</f>
        <v>EUR3M#0020</v>
      </c>
      <c r="F6" s="201" t="str">
        <f>_xll.ohRangeRetrieveError(E6)</f>
        <v/>
      </c>
      <c r="G6" s="200" t="s">
        <v>0</v>
      </c>
      <c r="H6" s="200" t="str">
        <f>PROPER(Currency)&amp;FamilyName&amp;$G6</f>
        <v>Euribor3M</v>
      </c>
      <c r="I6" s="200" t="str">
        <f>_xll.qlEuribor(H6,G6,E6,Permanent,Trigger,ObjectOverwrite)</f>
        <v>Euribor3M#0020</v>
      </c>
      <c r="J6" s="200" t="str">
        <f>_xll.qlLastFixingQuote(H6&amp;"LastFixing_Quote",I6,Permanent,Trigger,ObjectOverwrite)</f>
        <v>Euribor3MLastFixing_Quote#0020</v>
      </c>
      <c r="K6" s="207" t="str">
        <f>_xll.ohRangeRetrieveError(I6)</f>
        <v/>
      </c>
      <c r="L6" s="208" t="str">
        <f>_xll.ohRangeRetrieveError(J6)</f>
        <v/>
      </c>
      <c r="M6" s="1"/>
      <c r="N6" s="170" t="s">
        <v>0</v>
      </c>
      <c r="O6" s="170" t="str">
        <f>Currency&amp;"IBOR"&amp;$N6&amp;"D="</f>
        <v>EURIBOR3MD=</v>
      </c>
      <c r="P6" s="171" t="e">
        <f t="shared" ref="P6:P8" si="1">$G$16</f>
        <v>#N/A</v>
      </c>
      <c r="Q6" s="172" t="e">
        <f>J16</f>
        <v>#N/A</v>
      </c>
      <c r="R6" s="170" t="e">
        <f>IF(AND(ISNUMBER(Q6),Q6&lt;&gt;0%,_xll.ohTrigger(Trigger)+1),TRUE,FALSE)</f>
        <v>#N/A</v>
      </c>
      <c r="S6" s="170" t="e">
        <f>IF($R6,_xll.qlIndexAddFixings(T6,P6,Q6/100,TRUE,ISERROR($U9)),NA())</f>
        <v>#N/A</v>
      </c>
      <c r="T6" s="170" t="str">
        <f>I6</f>
        <v>Euribor3M#0020</v>
      </c>
      <c r="U6" s="170" t="e">
        <f>_xll.qlIndexFixing(T6,P6,TRUE,R6)</f>
        <v>#NUM!</v>
      </c>
      <c r="V6" s="170" t="e">
        <f>IF(S6,_xll.qlIndexFixing(T6,P6,FALSE,R6),"-")</f>
        <v>#N/A</v>
      </c>
      <c r="W6" s="170" t="e">
        <f>U6-V6</f>
        <v>#NUM!</v>
      </c>
      <c r="X6" s="170" t="e">
        <f>_xll.qlIndexFixing(T6,P6,TRUE,$V6)</f>
        <v>#NUM!</v>
      </c>
      <c r="Y6" s="170">
        <f>IF(ISERROR(W6),0,ABS(W6))</f>
        <v>0</v>
      </c>
      <c r="Z6" s="187"/>
      <c r="AD6" s="178"/>
    </row>
    <row r="7" spans="2:31" s="164" customFormat="1" ht="11.25" customHeight="1" x14ac:dyDescent="0.2">
      <c r="B7" s="47"/>
      <c r="C7" s="199" t="s">
        <v>7</v>
      </c>
      <c r="D7" s="199" t="str">
        <f t="shared" si="0"/>
        <v>EUR6M</v>
      </c>
      <c r="E7" s="200" t="str">
        <f>_xll.qlRelinkableHandleYieldTermStructure(D7,,Permanent,Trigger,ObjectOverwrite)</f>
        <v>EUR6M#0020</v>
      </c>
      <c r="F7" s="201" t="str">
        <f>_xll.ohRangeRetrieveError(E7)</f>
        <v/>
      </c>
      <c r="G7" s="200" t="s">
        <v>7</v>
      </c>
      <c r="H7" s="200" t="str">
        <f>PROPER(Currency)&amp;FamilyName&amp;$G7</f>
        <v>Euribor6M</v>
      </c>
      <c r="I7" s="200" t="str">
        <f>_xll.qlEuribor(H7,G7,E7,Permanent,Trigger,ObjectOverwrite)</f>
        <v>Euribor6M#0020</v>
      </c>
      <c r="J7" s="200" t="str">
        <f>_xll.qlLastFixingQuote(H7&amp;"LastFixing_Quote",I7,Permanent,Trigger,ObjectOverwrite)</f>
        <v>Euribor6MLastFixing_Quote#0020</v>
      </c>
      <c r="K7" s="207" t="str">
        <f>_xll.ohRangeRetrieveError(I7)</f>
        <v/>
      </c>
      <c r="L7" s="208" t="str">
        <f>_xll.ohRangeRetrieveError(J7)</f>
        <v/>
      </c>
      <c r="M7" s="1"/>
      <c r="N7" s="170" t="s">
        <v>7</v>
      </c>
      <c r="O7" s="170" t="str">
        <f>Currency&amp;"IBOR"&amp;$N7&amp;"D="</f>
        <v>EURIBOR6MD=</v>
      </c>
      <c r="P7" s="171" t="e">
        <f t="shared" si="1"/>
        <v>#N/A</v>
      </c>
      <c r="Q7" s="172" t="e">
        <f>K16</f>
        <v>#N/A</v>
      </c>
      <c r="R7" s="170" t="e">
        <f>IF(AND(ISNUMBER(Q7),Q7&lt;&gt;0%,_xll.ohTrigger(Trigger)+1),TRUE,FALSE)</f>
        <v>#N/A</v>
      </c>
      <c r="S7" s="170" t="e">
        <f>IF($R7,_xll.qlIndexAddFixings(T7,P7,Q7/100,TRUE,ISERROR(#REF!)),NA())</f>
        <v>#N/A</v>
      </c>
      <c r="T7" s="170" t="str">
        <f>I7</f>
        <v>Euribor6M#0020</v>
      </c>
      <c r="U7" s="170" t="e">
        <f>_xll.qlIndexFixing(T7,P7,TRUE,R7)</f>
        <v>#NUM!</v>
      </c>
      <c r="V7" s="170" t="e">
        <f>IF(S7,_xll.qlIndexFixing(T7,P7,FALSE,R7),"-")</f>
        <v>#N/A</v>
      </c>
      <c r="W7" s="170" t="e">
        <f>U7-V7</f>
        <v>#NUM!</v>
      </c>
      <c r="X7" s="170" t="e">
        <f>_xll.qlIndexFixing(T7,P7,TRUE,$V7)</f>
        <v>#NUM!</v>
      </c>
      <c r="Y7" s="170">
        <f>IF(ISERROR(W7),0,ABS(W7))</f>
        <v>0</v>
      </c>
      <c r="Z7" s="187"/>
      <c r="AD7" s="178"/>
    </row>
    <row r="8" spans="2:31" s="164" customFormat="1" ht="11.25" customHeight="1" x14ac:dyDescent="0.2">
      <c r="B8" s="47"/>
      <c r="C8" s="202" t="s">
        <v>51</v>
      </c>
      <c r="D8" s="202" t="str">
        <f t="shared" si="0"/>
        <v>EUR1Y</v>
      </c>
      <c r="E8" s="203" t="str">
        <f>_xll.qlRelinkableHandleYieldTermStructure(D8,,Permanent,Trigger,ObjectOverwrite)</f>
        <v>EUR1Y#0020</v>
      </c>
      <c r="F8" s="204" t="str">
        <f>_xll.ohRangeRetrieveError(E8)</f>
        <v/>
      </c>
      <c r="G8" s="203" t="s">
        <v>51</v>
      </c>
      <c r="H8" s="203" t="str">
        <f>PROPER(Currency)&amp;FamilyName&amp;$G8</f>
        <v>Euribor1Y</v>
      </c>
      <c r="I8" s="203" t="str">
        <f>_xll.qlEuribor(H8,G8,E8,Permanent,Trigger,ObjectOverwrite)</f>
        <v>Euribor1Y#0020</v>
      </c>
      <c r="J8" s="203" t="str">
        <f>_xll.qlLastFixingQuote(H8&amp;"LastFixing_Quote",I8,Permanent,Trigger,ObjectOverwrite)</f>
        <v>Euribor1YLastFixing_Quote#0020</v>
      </c>
      <c r="K8" s="209" t="str">
        <f>_xll.ohRangeRetrieveError(I8)</f>
        <v/>
      </c>
      <c r="L8" s="210" t="str">
        <f>_xll.ohRangeRetrieveError(J8)</f>
        <v/>
      </c>
      <c r="M8" s="1"/>
      <c r="N8" s="173" t="s">
        <v>51</v>
      </c>
      <c r="O8" s="173" t="str">
        <f>Currency&amp;"IBOR"&amp;$N8&amp;"D="</f>
        <v>EURIBOR1YD=</v>
      </c>
      <c r="P8" s="174" t="e">
        <f t="shared" si="1"/>
        <v>#N/A</v>
      </c>
      <c r="Q8" s="175">
        <f>L16</f>
        <v>0.16800000000000001</v>
      </c>
      <c r="R8" s="173" t="b">
        <f>IF(AND(ISNUMBER(Q8),Q8&lt;&gt;0%,_xll.ohTrigger(Trigger)+1),TRUE,FALSE)</f>
        <v>1</v>
      </c>
      <c r="S8" s="173" t="e">
        <f>IF($R8,_xll.qlIndexAddFixings(T8,P8,Q8/100,TRUE,ISERROR(#REF!)),NA())</f>
        <v>#NUM!</v>
      </c>
      <c r="T8" s="173" t="str">
        <f>I8</f>
        <v>Euribor1Y#0020</v>
      </c>
      <c r="U8" s="173" t="e">
        <f>_xll.qlIndexFixing(T8,P8,TRUE,R8)</f>
        <v>#NUM!</v>
      </c>
      <c r="V8" s="173" t="e">
        <f>IF(S8,_xll.qlIndexFixing(T8,P8,FALSE,R8),"-")</f>
        <v>#NUM!</v>
      </c>
      <c r="W8" s="173" t="e">
        <f>U8-V8</f>
        <v>#NUM!</v>
      </c>
      <c r="X8" s="173" t="e">
        <f>_xll.qlIndexFixing(T8,P8,TRUE,$V8)</f>
        <v>#NUM!</v>
      </c>
      <c r="Y8" s="173">
        <f>IF(ISERROR(W8),0,ABS(W8))</f>
        <v>0</v>
      </c>
      <c r="Z8" s="187"/>
      <c r="AD8" s="178"/>
    </row>
    <row r="9" spans="2:31" s="164" customFormat="1" ht="11.25" customHeight="1" x14ac:dyDescent="0.2">
      <c r="B9" s="194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90"/>
      <c r="AD9" s="178"/>
    </row>
    <row r="10" spans="2:31" s="164" customFormat="1" ht="11.25" customHeight="1" x14ac:dyDescent="0.2">
      <c r="AD10" s="178"/>
    </row>
    <row r="11" spans="2:31" s="164" customFormat="1" ht="11.25" customHeight="1" x14ac:dyDescent="0.2"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AD11" s="178"/>
    </row>
    <row r="12" spans="2:31" s="164" customFormat="1" ht="18" customHeight="1" x14ac:dyDescent="0.2">
      <c r="B12" s="181"/>
      <c r="C12" s="182"/>
      <c r="D12" s="183"/>
      <c r="E12" s="182"/>
      <c r="F12" s="182"/>
      <c r="G12" s="182"/>
      <c r="H12" s="182"/>
      <c r="I12" s="182"/>
      <c r="J12" s="182"/>
      <c r="K12" s="184"/>
      <c r="L12" s="182"/>
      <c r="M12" s="185"/>
      <c r="AB12" s="178"/>
      <c r="AC12" s="178"/>
      <c r="AD12" s="178"/>
      <c r="AE12" s="178"/>
    </row>
    <row r="13" spans="2:31" s="164" customFormat="1" ht="22.5" customHeight="1" x14ac:dyDescent="0.2">
      <c r="B13" s="186"/>
      <c r="C13" s="179" t="s">
        <v>81</v>
      </c>
      <c r="D13" s="34" t="s">
        <v>74</v>
      </c>
      <c r="E13" s="33" t="s">
        <v>75</v>
      </c>
      <c r="F13" s="176"/>
      <c r="G13" s="180" t="str">
        <f>_xll.RHistory(O4:O8,D13:E13,D14,,"CH:In;Fd TSREPEAT:N SORT:"&amp;"DESC",G14)</f>
        <v>Paused at 09:50:17</v>
      </c>
      <c r="H13" s="176"/>
      <c r="I13" s="176"/>
      <c r="J13" s="176"/>
      <c r="K13" s="176"/>
      <c r="L13" s="176"/>
      <c r="M13" s="187"/>
      <c r="AB13" s="178"/>
      <c r="AC13" s="178"/>
      <c r="AD13" s="178"/>
      <c r="AE13" s="178"/>
    </row>
    <row r="14" spans="2:31" s="164" customFormat="1" ht="11.25" customHeight="1" x14ac:dyDescent="0.2">
      <c r="B14" s="186"/>
      <c r="C14" s="179" t="s">
        <v>73</v>
      </c>
      <c r="D14" s="35" t="str">
        <f>"START:"&amp;D15&amp; " END:"&amp;D16&amp;" INTERVAL:1D"</f>
        <v>START:42143 END:42143 INTERVAL:1D</v>
      </c>
      <c r="E14" s="176"/>
      <c r="F14" s="176"/>
      <c r="G14" s="180" t="s">
        <v>69</v>
      </c>
      <c r="H14" s="179" t="s">
        <v>76</v>
      </c>
      <c r="I14" s="179" t="s">
        <v>77</v>
      </c>
      <c r="J14" s="179" t="s">
        <v>78</v>
      </c>
      <c r="K14" s="179" t="s">
        <v>79</v>
      </c>
      <c r="L14" s="179" t="s">
        <v>79</v>
      </c>
      <c r="M14" s="187"/>
      <c r="AB14" s="178"/>
      <c r="AC14" s="178"/>
      <c r="AD14" s="178"/>
      <c r="AE14" s="178"/>
    </row>
    <row r="15" spans="2:31" s="164" customFormat="1" ht="11.25" customHeight="1" x14ac:dyDescent="0.2">
      <c r="B15" s="186"/>
      <c r="C15" s="179" t="s">
        <v>70</v>
      </c>
      <c r="D15" s="177">
        <f>Evaluationdate</f>
        <v>42143</v>
      </c>
      <c r="E15" s="176"/>
      <c r="F15" s="176"/>
      <c r="G15" s="211" t="s">
        <v>183</v>
      </c>
      <c r="H15" s="165" t="s">
        <v>183</v>
      </c>
      <c r="I15" s="165" t="s">
        <v>183</v>
      </c>
      <c r="J15" s="165" t="s">
        <v>183</v>
      </c>
      <c r="K15" s="165" t="s">
        <v>183</v>
      </c>
      <c r="L15" s="165" t="s">
        <v>80</v>
      </c>
      <c r="M15" s="187"/>
      <c r="AB15" s="178"/>
      <c r="AC15" s="178"/>
      <c r="AD15" s="178"/>
      <c r="AE15" s="178"/>
    </row>
    <row r="16" spans="2:31" s="164" customFormat="1" ht="11.25" customHeight="1" x14ac:dyDescent="0.2">
      <c r="B16" s="186"/>
      <c r="C16" s="179" t="s">
        <v>72</v>
      </c>
      <c r="D16" s="177">
        <f>D15</f>
        <v>42143</v>
      </c>
      <c r="E16" s="176"/>
      <c r="F16" s="176"/>
      <c r="G16" s="177" t="e">
        <v>#N/A</v>
      </c>
      <c r="H16" s="165" t="e">
        <v>#N/A</v>
      </c>
      <c r="I16" s="165" t="e">
        <v>#N/A</v>
      </c>
      <c r="J16" s="165" t="e">
        <v>#N/A</v>
      </c>
      <c r="K16" s="165" t="e">
        <v>#N/A</v>
      </c>
      <c r="L16" s="165">
        <v>0.16800000000000001</v>
      </c>
      <c r="M16" s="187"/>
      <c r="AB16" s="178"/>
      <c r="AC16" s="178"/>
      <c r="AD16" s="178"/>
      <c r="AE16" s="178"/>
    </row>
    <row r="17" spans="2:13" ht="11.25" customHeight="1" x14ac:dyDescent="0.2">
      <c r="B17" s="188"/>
      <c r="C17" s="189"/>
      <c r="D17" s="189"/>
      <c r="E17" s="189"/>
      <c r="F17" s="189"/>
      <c r="G17" s="189"/>
      <c r="H17" s="189"/>
      <c r="I17" s="189"/>
      <c r="J17" s="189"/>
      <c r="K17" s="189"/>
      <c r="L17" s="189"/>
      <c r="M17" s="190"/>
    </row>
    <row r="18" spans="2:13" ht="11.25" customHeight="1" x14ac:dyDescent="0.2"/>
    <row r="19" spans="2:13" ht="11.25" customHeight="1" x14ac:dyDescent="0.2"/>
    <row r="20" spans="2:13" ht="11.25" customHeight="1" x14ac:dyDescent="0.2"/>
    <row r="21" spans="2:13" ht="11.25" customHeight="1" x14ac:dyDescent="0.2"/>
    <row r="24" spans="2:13" ht="24" customHeight="1" x14ac:dyDescent="0.2"/>
    <row r="25" spans="2:13" ht="11.25" customHeight="1" x14ac:dyDescent="0.2"/>
    <row r="26" spans="2:13" ht="11.25" customHeight="1" x14ac:dyDescent="0.2"/>
    <row r="27" spans="2:13" ht="11.25" customHeight="1" x14ac:dyDescent="0.2"/>
    <row r="28" spans="2:13" ht="11.25" customHeight="1" x14ac:dyDescent="0.2"/>
    <row r="29" spans="2:13" ht="11.25" customHeight="1" x14ac:dyDescent="0.2"/>
    <row r="30" spans="2:13" ht="11.25" customHeight="1" x14ac:dyDescent="0.2"/>
  </sheetData>
  <conditionalFormatting sqref="W4:W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showGridLines="0" workbookViewId="0"/>
  </sheetViews>
  <sheetFormatPr defaultRowHeight="11.25" x14ac:dyDescent="0.2"/>
  <cols>
    <col min="1" max="1" width="4" style="74" bestFit="1" customWidth="1"/>
    <col min="2" max="2" width="10" style="225" bestFit="1" customWidth="1"/>
    <col min="3" max="3" width="15.140625" style="74" bestFit="1" customWidth="1"/>
    <col min="4" max="4" width="10" style="225" bestFit="1" customWidth="1"/>
    <col min="5" max="5" width="10" style="74" bestFit="1" customWidth="1"/>
    <col min="6" max="7" width="2" style="74" bestFit="1" customWidth="1"/>
    <col min="8" max="8" width="12" style="74" bestFit="1" customWidth="1"/>
    <col min="9" max="9" width="2" style="74" bestFit="1" customWidth="1"/>
    <col min="10" max="10" width="2.7109375" style="74" customWidth="1"/>
    <col min="11" max="11" width="4" style="74" bestFit="1" customWidth="1"/>
    <col min="12" max="12" width="10" style="225" bestFit="1" customWidth="1"/>
    <col min="13" max="13" width="16.140625" style="74" bestFit="1" customWidth="1"/>
    <col min="14" max="14" width="10" style="225" bestFit="1" customWidth="1"/>
    <col min="15" max="15" width="10" style="74" bestFit="1" customWidth="1"/>
    <col min="16" max="17" width="2" style="74" bestFit="1" customWidth="1"/>
    <col min="18" max="18" width="12" style="74" bestFit="1" customWidth="1"/>
    <col min="19" max="19" width="2" style="74" bestFit="1" customWidth="1"/>
    <col min="20" max="20" width="2.7109375" style="74" customWidth="1"/>
    <col min="21" max="21" width="4" style="74" bestFit="1" customWidth="1"/>
    <col min="22" max="22" width="10" style="225" bestFit="1" customWidth="1"/>
    <col min="23" max="23" width="16.140625" style="74" bestFit="1" customWidth="1"/>
    <col min="24" max="24" width="10" style="225" bestFit="1" customWidth="1"/>
    <col min="25" max="25" width="10" style="74" bestFit="1" customWidth="1"/>
    <col min="26" max="27" width="2" style="74" bestFit="1" customWidth="1"/>
    <col min="28" max="28" width="12" style="74" bestFit="1" customWidth="1"/>
    <col min="29" max="29" width="2" style="74" bestFit="1" customWidth="1"/>
    <col min="30" max="30" width="2.7109375" style="74" customWidth="1"/>
    <col min="31" max="31" width="4" style="74" bestFit="1" customWidth="1"/>
    <col min="32" max="32" width="10" style="225" bestFit="1" customWidth="1"/>
    <col min="33" max="33" width="16.140625" style="74" bestFit="1" customWidth="1"/>
    <col min="34" max="34" width="10" style="225" bestFit="1" customWidth="1"/>
    <col min="35" max="35" width="5" style="74" bestFit="1" customWidth="1"/>
    <col min="36" max="37" width="2" style="74" bestFit="1" customWidth="1"/>
    <col min="38" max="38" width="13.140625" style="74" bestFit="1" customWidth="1"/>
    <col min="39" max="39" width="2" style="74" bestFit="1" customWidth="1"/>
    <col min="40" max="40" width="2.7109375" style="74" customWidth="1"/>
    <col min="41" max="41" width="4" style="74" bestFit="1" customWidth="1"/>
    <col min="42" max="42" width="10" style="225" bestFit="1" customWidth="1"/>
    <col min="43" max="43" width="16.140625" style="74" bestFit="1" customWidth="1"/>
    <col min="44" max="44" width="10" style="225" bestFit="1" customWidth="1"/>
    <col min="45" max="45" width="10" style="74" bestFit="1" customWidth="1"/>
    <col min="46" max="47" width="2" style="74" bestFit="1" customWidth="1"/>
    <col min="48" max="48" width="12" style="74" bestFit="1" customWidth="1"/>
    <col min="49" max="49" width="2" style="74" bestFit="1" customWidth="1"/>
    <col min="50" max="50" width="2.7109375" style="74" customWidth="1"/>
    <col min="51" max="51" width="4" style="74" bestFit="1" customWidth="1"/>
    <col min="52" max="52" width="10" style="225" bestFit="1" customWidth="1"/>
    <col min="53" max="53" width="7" style="74" bestFit="1" customWidth="1"/>
    <col min="54" max="54" width="10" style="225" bestFit="1" customWidth="1"/>
    <col min="55" max="55" width="4" style="74" bestFit="1" customWidth="1"/>
    <col min="56" max="57" width="2" style="74" bestFit="1" customWidth="1"/>
    <col min="58" max="58" width="11" style="74" bestFit="1" customWidth="1"/>
    <col min="59" max="59" width="2" style="74" bestFit="1" customWidth="1"/>
    <col min="60" max="16384" width="9.140625" style="74"/>
  </cols>
  <sheetData>
    <row r="1" spans="1:59" ht="12" thickBot="1" x14ac:dyDescent="0.25">
      <c r="A1" s="215" t="s">
        <v>34</v>
      </c>
      <c r="B1" s="222" t="s">
        <v>86</v>
      </c>
      <c r="C1" s="216"/>
      <c r="D1" s="226"/>
      <c r="E1" s="217"/>
      <c r="F1" s="217"/>
      <c r="G1" s="217"/>
      <c r="H1" s="217"/>
      <c r="I1" s="218"/>
      <c r="K1" s="215" t="s">
        <v>34</v>
      </c>
      <c r="L1" s="222" t="s">
        <v>134</v>
      </c>
      <c r="M1" s="216"/>
      <c r="N1" s="226"/>
      <c r="O1" s="217"/>
      <c r="P1" s="217"/>
      <c r="Q1" s="217"/>
      <c r="R1" s="217"/>
      <c r="S1" s="218"/>
      <c r="U1" s="215" t="s">
        <v>34</v>
      </c>
      <c r="V1" s="222" t="s">
        <v>139</v>
      </c>
      <c r="W1" s="216"/>
      <c r="X1" s="226"/>
      <c r="Y1" s="217"/>
      <c r="Z1" s="217"/>
      <c r="AA1" s="217"/>
      <c r="AB1" s="217"/>
      <c r="AC1" s="218"/>
      <c r="AE1" s="215" t="s">
        <v>34</v>
      </c>
      <c r="AF1" s="222" t="s">
        <v>166</v>
      </c>
      <c r="AG1" s="216"/>
      <c r="AH1" s="226"/>
      <c r="AI1" s="217"/>
      <c r="AJ1" s="217"/>
      <c r="AK1" s="217"/>
      <c r="AL1" s="217"/>
      <c r="AM1" s="218"/>
      <c r="AO1" s="215" t="s">
        <v>34</v>
      </c>
      <c r="AP1" s="222" t="s">
        <v>143</v>
      </c>
      <c r="AQ1" s="216"/>
      <c r="AR1" s="226"/>
      <c r="AS1" s="217"/>
      <c r="AT1" s="217"/>
      <c r="AU1" s="217"/>
      <c r="AV1" s="217"/>
      <c r="AW1" s="218"/>
      <c r="AY1" s="215" t="s">
        <v>34</v>
      </c>
      <c r="AZ1" s="222" t="s">
        <v>148</v>
      </c>
      <c r="BA1" s="216"/>
      <c r="BB1" s="226"/>
      <c r="BC1" s="217"/>
      <c r="BD1" s="217"/>
      <c r="BE1" s="217"/>
      <c r="BF1" s="217"/>
      <c r="BG1" s="218"/>
    </row>
    <row r="2" spans="1:59" x14ac:dyDescent="0.2">
      <c r="A2" s="213" t="s">
        <v>46</v>
      </c>
      <c r="B2" s="223">
        <v>42142</v>
      </c>
      <c r="C2" s="14" t="s">
        <v>87</v>
      </c>
      <c r="D2" s="223">
        <v>42143</v>
      </c>
      <c r="E2" s="14" t="s">
        <v>88</v>
      </c>
      <c r="F2" s="14">
        <v>0</v>
      </c>
      <c r="G2" s="14">
        <v>0</v>
      </c>
      <c r="H2" s="214">
        <v>-9.9999900000000003E-2</v>
      </c>
      <c r="I2" s="27">
        <v>0</v>
      </c>
      <c r="K2" s="213" t="s">
        <v>46</v>
      </c>
      <c r="L2" s="223">
        <v>42142</v>
      </c>
      <c r="M2" s="14" t="s">
        <v>135</v>
      </c>
      <c r="N2" s="223">
        <v>42143</v>
      </c>
      <c r="O2" s="14" t="s">
        <v>88</v>
      </c>
      <c r="P2" s="14">
        <v>0</v>
      </c>
      <c r="Q2" s="14">
        <v>0</v>
      </c>
      <c r="R2" s="214">
        <v>-9.9999900000000003E-2</v>
      </c>
      <c r="S2" s="27">
        <v>0</v>
      </c>
      <c r="U2" s="213" t="s">
        <v>46</v>
      </c>
      <c r="V2" s="223">
        <v>42142</v>
      </c>
      <c r="W2" s="14" t="s">
        <v>87</v>
      </c>
      <c r="X2" s="223">
        <v>42143</v>
      </c>
      <c r="Y2" s="14" t="s">
        <v>88</v>
      </c>
      <c r="Z2" s="14">
        <v>0</v>
      </c>
      <c r="AA2" s="14">
        <v>0</v>
      </c>
      <c r="AB2" s="214">
        <v>-9.9999900000000003E-2</v>
      </c>
      <c r="AC2" s="27">
        <v>0</v>
      </c>
      <c r="AE2" s="213" t="s">
        <v>46</v>
      </c>
      <c r="AF2" s="223">
        <v>42142</v>
      </c>
      <c r="AG2" s="14" t="s">
        <v>167</v>
      </c>
      <c r="AH2" s="223">
        <v>42143</v>
      </c>
      <c r="AI2" s="14" t="s">
        <v>88</v>
      </c>
      <c r="AJ2" s="14">
        <v>0</v>
      </c>
      <c r="AK2" s="14">
        <v>0</v>
      </c>
      <c r="AL2" s="214">
        <v>-6.9485221E-2</v>
      </c>
      <c r="AM2" s="27">
        <v>0</v>
      </c>
      <c r="AO2" s="213" t="s">
        <v>46</v>
      </c>
      <c r="AP2" s="223">
        <v>42142</v>
      </c>
      <c r="AQ2" s="14" t="s">
        <v>87</v>
      </c>
      <c r="AR2" s="223">
        <v>42143</v>
      </c>
      <c r="AS2" s="14" t="s">
        <v>88</v>
      </c>
      <c r="AT2" s="14">
        <v>0</v>
      </c>
      <c r="AU2" s="14">
        <v>0</v>
      </c>
      <c r="AV2" s="214">
        <v>-9.9999900000000003E-2</v>
      </c>
      <c r="AW2" s="27">
        <v>0</v>
      </c>
      <c r="AY2" s="213" t="s">
        <v>46</v>
      </c>
      <c r="AZ2" s="223">
        <v>42142</v>
      </c>
      <c r="BA2" s="14" t="s">
        <v>135</v>
      </c>
      <c r="BB2" s="223">
        <v>42143</v>
      </c>
      <c r="BC2" s="14" t="s">
        <v>88</v>
      </c>
      <c r="BD2" s="14">
        <v>0</v>
      </c>
      <c r="BE2" s="14">
        <v>0</v>
      </c>
      <c r="BF2" s="214">
        <v>-9.9999900000000003E-2</v>
      </c>
      <c r="BG2" s="27">
        <v>0</v>
      </c>
    </row>
    <row r="3" spans="1:59" x14ac:dyDescent="0.2">
      <c r="A3" s="213" t="s">
        <v>46</v>
      </c>
      <c r="B3" s="223">
        <v>42143</v>
      </c>
      <c r="C3" s="14" t="s">
        <v>87</v>
      </c>
      <c r="D3" s="223">
        <v>42144</v>
      </c>
      <c r="E3" s="14" t="s">
        <v>89</v>
      </c>
      <c r="F3" s="14">
        <v>0</v>
      </c>
      <c r="G3" s="14">
        <v>0</v>
      </c>
      <c r="H3" s="214">
        <v>-0.1</v>
      </c>
      <c r="I3" s="27">
        <v>0</v>
      </c>
      <c r="K3" s="213" t="s">
        <v>46</v>
      </c>
      <c r="L3" s="223">
        <v>42143</v>
      </c>
      <c r="M3" s="14" t="s">
        <v>135</v>
      </c>
      <c r="N3" s="223">
        <v>42144</v>
      </c>
      <c r="O3" s="14" t="s">
        <v>89</v>
      </c>
      <c r="P3" s="14">
        <v>0</v>
      </c>
      <c r="Q3" s="14">
        <v>0</v>
      </c>
      <c r="R3" s="214">
        <v>-0.1</v>
      </c>
      <c r="S3" s="27">
        <v>0</v>
      </c>
      <c r="U3" s="213" t="s">
        <v>46</v>
      </c>
      <c r="V3" s="223">
        <v>42143</v>
      </c>
      <c r="W3" s="14" t="s">
        <v>87</v>
      </c>
      <c r="X3" s="223">
        <v>42144</v>
      </c>
      <c r="Y3" s="14" t="s">
        <v>89</v>
      </c>
      <c r="Z3" s="14">
        <v>0</v>
      </c>
      <c r="AA3" s="14">
        <v>0</v>
      </c>
      <c r="AB3" s="214">
        <v>-0.1</v>
      </c>
      <c r="AC3" s="27">
        <v>0</v>
      </c>
      <c r="AE3" s="213" t="s">
        <v>46</v>
      </c>
      <c r="AF3" s="223">
        <v>42143</v>
      </c>
      <c r="AG3" s="14" t="s">
        <v>167</v>
      </c>
      <c r="AH3" s="223">
        <v>42144</v>
      </c>
      <c r="AI3" s="14" t="s">
        <v>89</v>
      </c>
      <c r="AJ3" s="14">
        <v>0</v>
      </c>
      <c r="AK3" s="14">
        <v>0</v>
      </c>
      <c r="AL3" s="214">
        <v>-6.8252351000000003E-2</v>
      </c>
      <c r="AM3" s="27">
        <v>0</v>
      </c>
      <c r="AO3" s="213" t="s">
        <v>46</v>
      </c>
      <c r="AP3" s="223">
        <v>42143</v>
      </c>
      <c r="AQ3" s="14" t="s">
        <v>87</v>
      </c>
      <c r="AR3" s="223">
        <v>42144</v>
      </c>
      <c r="AS3" s="14" t="s">
        <v>89</v>
      </c>
      <c r="AT3" s="14">
        <v>0</v>
      </c>
      <c r="AU3" s="14">
        <v>0</v>
      </c>
      <c r="AV3" s="214">
        <v>-0.1</v>
      </c>
      <c r="AW3" s="27">
        <v>0</v>
      </c>
      <c r="AY3" s="213" t="s">
        <v>46</v>
      </c>
      <c r="AZ3" s="223">
        <v>42143</v>
      </c>
      <c r="BA3" s="14" t="s">
        <v>135</v>
      </c>
      <c r="BB3" s="223">
        <v>42144</v>
      </c>
      <c r="BC3" s="14" t="s">
        <v>89</v>
      </c>
      <c r="BD3" s="14">
        <v>0</v>
      </c>
      <c r="BE3" s="14">
        <v>0</v>
      </c>
      <c r="BF3" s="214">
        <v>-0.1</v>
      </c>
      <c r="BG3" s="27">
        <v>0</v>
      </c>
    </row>
    <row r="4" spans="1:59" x14ac:dyDescent="0.2">
      <c r="A4" s="213" t="s">
        <v>46</v>
      </c>
      <c r="B4" s="223">
        <v>42144</v>
      </c>
      <c r="C4" s="14" t="s">
        <v>90</v>
      </c>
      <c r="D4" s="223">
        <v>42145</v>
      </c>
      <c r="E4" s="14" t="s">
        <v>91</v>
      </c>
      <c r="F4" s="14">
        <v>0</v>
      </c>
      <c r="G4" s="14">
        <v>0</v>
      </c>
      <c r="H4" s="214">
        <v>8.2000000000000007E-3</v>
      </c>
      <c r="I4" s="27">
        <v>0</v>
      </c>
      <c r="K4" s="213" t="s">
        <v>46</v>
      </c>
      <c r="L4" s="223">
        <v>42144</v>
      </c>
      <c r="M4" s="14" t="s">
        <v>135</v>
      </c>
      <c r="N4" s="223">
        <v>42145</v>
      </c>
      <c r="O4" s="14" t="s">
        <v>91</v>
      </c>
      <c r="P4" s="14">
        <v>0</v>
      </c>
      <c r="Q4" s="14">
        <v>0</v>
      </c>
      <c r="R4" s="214">
        <v>-0.1</v>
      </c>
      <c r="S4" s="27">
        <v>0</v>
      </c>
      <c r="U4" s="213" t="s">
        <v>46</v>
      </c>
      <c r="V4" s="223">
        <v>42144</v>
      </c>
      <c r="W4" s="14" t="s">
        <v>140</v>
      </c>
      <c r="X4" s="223">
        <v>42145</v>
      </c>
      <c r="Y4" s="14" t="s">
        <v>91</v>
      </c>
      <c r="Z4" s="14">
        <v>0</v>
      </c>
      <c r="AA4" s="14">
        <v>0</v>
      </c>
      <c r="AB4" s="214">
        <v>0.184</v>
      </c>
      <c r="AC4" s="27">
        <v>0</v>
      </c>
      <c r="AE4" s="213" t="s">
        <v>46</v>
      </c>
      <c r="AF4" s="223">
        <v>42144</v>
      </c>
      <c r="AG4" s="14" t="s">
        <v>167</v>
      </c>
      <c r="AH4" s="223">
        <v>42145</v>
      </c>
      <c r="AI4" s="14" t="s">
        <v>91</v>
      </c>
      <c r="AJ4" s="14">
        <v>0</v>
      </c>
      <c r="AK4" s="14">
        <v>0</v>
      </c>
      <c r="AL4" s="214">
        <v>-6.7066704000000005E-2</v>
      </c>
      <c r="AM4" s="27">
        <v>0</v>
      </c>
      <c r="AO4" s="213" t="s">
        <v>46</v>
      </c>
      <c r="AP4" s="223">
        <v>42144</v>
      </c>
      <c r="AQ4" s="14" t="s">
        <v>144</v>
      </c>
      <c r="AR4" s="223">
        <v>42145</v>
      </c>
      <c r="AS4" s="14" t="s">
        <v>91</v>
      </c>
      <c r="AT4" s="14">
        <v>0</v>
      </c>
      <c r="AU4" s="14">
        <v>0</v>
      </c>
      <c r="AV4" s="214">
        <v>0.17499999999999999</v>
      </c>
      <c r="AW4" s="27">
        <v>0</v>
      </c>
      <c r="AY4" s="213" t="s">
        <v>46</v>
      </c>
      <c r="AZ4" s="223">
        <v>42144</v>
      </c>
      <c r="BA4" s="14" t="s">
        <v>135</v>
      </c>
      <c r="BB4" s="223">
        <v>42145</v>
      </c>
      <c r="BC4" s="14" t="s">
        <v>91</v>
      </c>
      <c r="BD4" s="14">
        <v>0</v>
      </c>
      <c r="BE4" s="14">
        <v>0</v>
      </c>
      <c r="BF4" s="214">
        <v>-0.1</v>
      </c>
      <c r="BG4" s="27">
        <v>0</v>
      </c>
    </row>
    <row r="5" spans="1:59" x14ac:dyDescent="0.2">
      <c r="A5" s="213" t="s">
        <v>46</v>
      </c>
      <c r="B5" s="223">
        <v>42144</v>
      </c>
      <c r="C5" s="14" t="s">
        <v>90</v>
      </c>
      <c r="D5" s="223">
        <v>42151</v>
      </c>
      <c r="E5" s="14" t="s">
        <v>92</v>
      </c>
      <c r="F5" s="14">
        <v>0</v>
      </c>
      <c r="G5" s="14">
        <v>0</v>
      </c>
      <c r="H5" s="214">
        <v>9.1999999999999998E-3</v>
      </c>
      <c r="I5" s="27">
        <v>0</v>
      </c>
      <c r="K5" s="213" t="s">
        <v>46</v>
      </c>
      <c r="L5" s="223">
        <v>42144</v>
      </c>
      <c r="M5" s="14" t="s">
        <v>135</v>
      </c>
      <c r="N5" s="223">
        <v>42151</v>
      </c>
      <c r="O5" s="14" t="s">
        <v>92</v>
      </c>
      <c r="P5" s="14">
        <v>0</v>
      </c>
      <c r="Q5" s="14">
        <v>0</v>
      </c>
      <c r="R5" s="214">
        <v>-0.09</v>
      </c>
      <c r="S5" s="27">
        <v>0</v>
      </c>
      <c r="U5" s="213" t="s">
        <v>46</v>
      </c>
      <c r="V5" s="223">
        <v>42144</v>
      </c>
      <c r="W5" s="14" t="s">
        <v>140</v>
      </c>
      <c r="X5" s="223">
        <v>42151</v>
      </c>
      <c r="Y5" s="14" t="s">
        <v>92</v>
      </c>
      <c r="Z5" s="14">
        <v>0</v>
      </c>
      <c r="AA5" s="14">
        <v>0</v>
      </c>
      <c r="AB5" s="214">
        <v>-2.1100000000000001E-2</v>
      </c>
      <c r="AC5" s="27">
        <v>0</v>
      </c>
      <c r="AE5" s="213" t="s">
        <v>46</v>
      </c>
      <c r="AF5" s="223">
        <v>42144</v>
      </c>
      <c r="AG5" s="14" t="s">
        <v>167</v>
      </c>
      <c r="AH5" s="223">
        <v>42151</v>
      </c>
      <c r="AI5" s="14" t="s">
        <v>92</v>
      </c>
      <c r="AJ5" s="14">
        <v>0</v>
      </c>
      <c r="AK5" s="14">
        <v>0</v>
      </c>
      <c r="AL5" s="214">
        <v>-5.8299999999999998E-2</v>
      </c>
      <c r="AM5" s="27">
        <v>0</v>
      </c>
      <c r="AO5" s="213" t="s">
        <v>46</v>
      </c>
      <c r="AP5" s="223">
        <v>42144</v>
      </c>
      <c r="AQ5" s="14" t="s">
        <v>144</v>
      </c>
      <c r="AR5" s="223">
        <v>42151</v>
      </c>
      <c r="AS5" s="14" t="s">
        <v>92</v>
      </c>
      <c r="AT5" s="14">
        <v>0</v>
      </c>
      <c r="AU5" s="14">
        <v>0</v>
      </c>
      <c r="AV5" s="214">
        <v>0.158</v>
      </c>
      <c r="AW5" s="27">
        <v>0</v>
      </c>
      <c r="AY5" s="213" t="s">
        <v>46</v>
      </c>
      <c r="AZ5" s="223">
        <v>42144</v>
      </c>
      <c r="BA5" s="14" t="s">
        <v>149</v>
      </c>
      <c r="BB5" s="223">
        <v>42151</v>
      </c>
      <c r="BC5" s="14" t="s">
        <v>92</v>
      </c>
      <c r="BD5" s="14">
        <v>0</v>
      </c>
      <c r="BE5" s="14">
        <v>0</v>
      </c>
      <c r="BF5" s="214">
        <v>-0.11700000000000001</v>
      </c>
      <c r="BG5" s="27">
        <v>0</v>
      </c>
    </row>
    <row r="6" spans="1:59" x14ac:dyDescent="0.2">
      <c r="A6" s="213" t="s">
        <v>46</v>
      </c>
      <c r="B6" s="223">
        <v>42144</v>
      </c>
      <c r="C6" s="14" t="s">
        <v>90</v>
      </c>
      <c r="D6" s="223">
        <v>42158</v>
      </c>
      <c r="E6" s="14" t="s">
        <v>93</v>
      </c>
      <c r="F6" s="14">
        <v>0</v>
      </c>
      <c r="G6" s="14">
        <v>0</v>
      </c>
      <c r="H6" s="214">
        <v>-1.01E-2</v>
      </c>
      <c r="I6" s="27">
        <v>0</v>
      </c>
      <c r="K6" s="213" t="s">
        <v>46</v>
      </c>
      <c r="L6" s="223">
        <v>42144</v>
      </c>
      <c r="M6" s="14" t="s">
        <v>135</v>
      </c>
      <c r="N6" s="223">
        <v>42158</v>
      </c>
      <c r="O6" s="14" t="s">
        <v>93</v>
      </c>
      <c r="P6" s="14">
        <v>0</v>
      </c>
      <c r="Q6" s="14">
        <v>0</v>
      </c>
      <c r="R6" s="214">
        <v>-0.06</v>
      </c>
      <c r="S6" s="27">
        <v>0</v>
      </c>
      <c r="U6" s="213" t="s">
        <v>46</v>
      </c>
      <c r="V6" s="223">
        <v>42144</v>
      </c>
      <c r="W6" s="14" t="s">
        <v>140</v>
      </c>
      <c r="X6" s="223">
        <v>42158</v>
      </c>
      <c r="Y6" s="14" t="s">
        <v>93</v>
      </c>
      <c r="Z6" s="14">
        <v>0</v>
      </c>
      <c r="AA6" s="14">
        <v>0</v>
      </c>
      <c r="AB6" s="214">
        <v>-5.4999999999999997E-3</v>
      </c>
      <c r="AC6" s="27">
        <v>0</v>
      </c>
      <c r="AE6" s="213" t="s">
        <v>46</v>
      </c>
      <c r="AF6" s="223">
        <v>42144</v>
      </c>
      <c r="AG6" s="14" t="s">
        <v>167</v>
      </c>
      <c r="AH6" s="223">
        <v>42158</v>
      </c>
      <c r="AI6" s="14" t="s">
        <v>93</v>
      </c>
      <c r="AJ6" s="14">
        <v>0</v>
      </c>
      <c r="AK6" s="14">
        <v>0</v>
      </c>
      <c r="AL6" s="214">
        <v>-4.4600000000000001E-2</v>
      </c>
      <c r="AM6" s="27">
        <v>0</v>
      </c>
      <c r="AO6" s="213" t="s">
        <v>46</v>
      </c>
      <c r="AP6" s="223">
        <v>42144</v>
      </c>
      <c r="AQ6" s="14" t="s">
        <v>144</v>
      </c>
      <c r="AR6" s="223">
        <v>42158</v>
      </c>
      <c r="AS6" s="14" t="s">
        <v>93</v>
      </c>
      <c r="AT6" s="14">
        <v>0</v>
      </c>
      <c r="AU6" s="14">
        <v>0</v>
      </c>
      <c r="AV6" s="214">
        <v>0.17199999999999999</v>
      </c>
      <c r="AW6" s="27">
        <v>0</v>
      </c>
      <c r="AY6" s="213" t="s">
        <v>46</v>
      </c>
      <c r="AZ6" s="223">
        <v>42144</v>
      </c>
      <c r="BA6" s="14" t="s">
        <v>149</v>
      </c>
      <c r="BB6" s="223">
        <v>42158</v>
      </c>
      <c r="BC6" s="14" t="s">
        <v>93</v>
      </c>
      <c r="BD6" s="14">
        <v>0</v>
      </c>
      <c r="BE6" s="14">
        <v>0</v>
      </c>
      <c r="BF6" s="214">
        <v>-0.10299999999999999</v>
      </c>
      <c r="BG6" s="27">
        <v>0</v>
      </c>
    </row>
    <row r="7" spans="1:59" x14ac:dyDescent="0.2">
      <c r="A7" s="213" t="s">
        <v>46</v>
      </c>
      <c r="B7" s="223">
        <v>42144</v>
      </c>
      <c r="C7" s="14" t="s">
        <v>90</v>
      </c>
      <c r="D7" s="223">
        <v>42165</v>
      </c>
      <c r="E7" s="14" t="s">
        <v>94</v>
      </c>
      <c r="F7" s="14">
        <v>0</v>
      </c>
      <c r="G7" s="14">
        <v>0</v>
      </c>
      <c r="H7" s="214">
        <v>-2.01E-2</v>
      </c>
      <c r="I7" s="27">
        <v>0</v>
      </c>
      <c r="K7" s="213" t="s">
        <v>46</v>
      </c>
      <c r="L7" s="223">
        <v>42144</v>
      </c>
      <c r="M7" s="14" t="s">
        <v>135</v>
      </c>
      <c r="N7" s="223">
        <v>42165</v>
      </c>
      <c r="O7" s="14" t="s">
        <v>94</v>
      </c>
      <c r="P7" s="14">
        <v>0</v>
      </c>
      <c r="Q7" s="14">
        <v>0</v>
      </c>
      <c r="R7" s="214">
        <v>-0.06</v>
      </c>
      <c r="S7" s="27">
        <v>0</v>
      </c>
      <c r="U7" s="213" t="s">
        <v>46</v>
      </c>
      <c r="V7" s="223">
        <v>42144</v>
      </c>
      <c r="W7" s="14" t="s">
        <v>140</v>
      </c>
      <c r="X7" s="223">
        <v>42165</v>
      </c>
      <c r="Y7" s="14" t="s">
        <v>94</v>
      </c>
      <c r="Z7" s="14">
        <v>0</v>
      </c>
      <c r="AA7" s="14">
        <v>0</v>
      </c>
      <c r="AB7" s="214">
        <v>1E-3</v>
      </c>
      <c r="AC7" s="27">
        <v>0</v>
      </c>
      <c r="AE7" s="213" t="s">
        <v>46</v>
      </c>
      <c r="AF7" s="223">
        <v>42144</v>
      </c>
      <c r="AG7" s="14" t="s">
        <v>167</v>
      </c>
      <c r="AH7" s="223">
        <v>42165</v>
      </c>
      <c r="AI7" s="14" t="s">
        <v>94</v>
      </c>
      <c r="AJ7" s="14">
        <v>0</v>
      </c>
      <c r="AK7" s="14">
        <v>0</v>
      </c>
      <c r="AL7" s="214">
        <v>-4.7800000000000002E-2</v>
      </c>
      <c r="AM7" s="27">
        <v>0</v>
      </c>
      <c r="AO7" s="213" t="s">
        <v>46</v>
      </c>
      <c r="AP7" s="223">
        <v>42144</v>
      </c>
      <c r="AQ7" s="14" t="s">
        <v>144</v>
      </c>
      <c r="AR7" s="223">
        <v>42165</v>
      </c>
      <c r="AS7" s="14" t="s">
        <v>94</v>
      </c>
      <c r="AT7" s="14">
        <v>0</v>
      </c>
      <c r="AU7" s="14">
        <v>0</v>
      </c>
      <c r="AV7" s="214">
        <v>0.16900000000000001</v>
      </c>
      <c r="AW7" s="27">
        <v>0</v>
      </c>
      <c r="AY7" s="213" t="s">
        <v>46</v>
      </c>
      <c r="AZ7" s="223">
        <v>42144</v>
      </c>
      <c r="BA7" s="14" t="s">
        <v>149</v>
      </c>
      <c r="BB7" s="223">
        <v>42165</v>
      </c>
      <c r="BC7" s="14" t="s">
        <v>94</v>
      </c>
      <c r="BD7" s="14">
        <v>0</v>
      </c>
      <c r="BE7" s="14">
        <v>0</v>
      </c>
      <c r="BF7" s="214">
        <v>-0.106</v>
      </c>
      <c r="BG7" s="27">
        <v>0</v>
      </c>
    </row>
    <row r="8" spans="1:59" x14ac:dyDescent="0.2">
      <c r="A8" s="213" t="s">
        <v>46</v>
      </c>
      <c r="B8" s="223">
        <v>42144</v>
      </c>
      <c r="C8" s="14" t="s">
        <v>90</v>
      </c>
      <c r="D8" s="223">
        <v>42177</v>
      </c>
      <c r="E8" s="14" t="s">
        <v>6</v>
      </c>
      <c r="F8" s="14">
        <v>0</v>
      </c>
      <c r="G8" s="14">
        <v>0</v>
      </c>
      <c r="H8" s="214">
        <v>-3.5099999999999999E-2</v>
      </c>
      <c r="I8" s="27">
        <v>0</v>
      </c>
      <c r="K8" s="213" t="s">
        <v>46</v>
      </c>
      <c r="L8" s="223">
        <v>42144</v>
      </c>
      <c r="M8" s="14" t="s">
        <v>135</v>
      </c>
      <c r="N8" s="223">
        <v>42177</v>
      </c>
      <c r="O8" s="14" t="s">
        <v>6</v>
      </c>
      <c r="P8" s="14">
        <v>0</v>
      </c>
      <c r="Q8" s="14">
        <v>0</v>
      </c>
      <c r="R8" s="214">
        <v>-0.04</v>
      </c>
      <c r="S8" s="27">
        <v>0</v>
      </c>
      <c r="U8" s="213" t="s">
        <v>46</v>
      </c>
      <c r="V8" s="223">
        <v>42144</v>
      </c>
      <c r="W8" s="14" t="s">
        <v>140</v>
      </c>
      <c r="X8" s="223">
        <v>42177</v>
      </c>
      <c r="Y8" s="14" t="s">
        <v>6</v>
      </c>
      <c r="Z8" s="14">
        <v>0</v>
      </c>
      <c r="AA8" s="14">
        <v>0</v>
      </c>
      <c r="AB8" s="214">
        <v>1.43E-2</v>
      </c>
      <c r="AC8" s="27">
        <v>0</v>
      </c>
      <c r="AE8" s="213" t="s">
        <v>46</v>
      </c>
      <c r="AF8" s="223">
        <v>42144</v>
      </c>
      <c r="AG8" s="14" t="s">
        <v>167</v>
      </c>
      <c r="AH8" s="223">
        <v>42177</v>
      </c>
      <c r="AI8" s="14" t="s">
        <v>6</v>
      </c>
      <c r="AJ8" s="14">
        <v>0</v>
      </c>
      <c r="AK8" s="14">
        <v>0</v>
      </c>
      <c r="AL8" s="214">
        <v>-5.0999999999999997E-2</v>
      </c>
      <c r="AM8" s="27">
        <v>0</v>
      </c>
      <c r="AO8" s="213" t="s">
        <v>46</v>
      </c>
      <c r="AP8" s="223">
        <v>42144</v>
      </c>
      <c r="AQ8" s="14" t="s">
        <v>144</v>
      </c>
      <c r="AR8" s="223">
        <v>42177</v>
      </c>
      <c r="AS8" s="14" t="s">
        <v>6</v>
      </c>
      <c r="AT8" s="14">
        <v>0</v>
      </c>
      <c r="AU8" s="14">
        <v>0</v>
      </c>
      <c r="AV8" s="214">
        <v>0.16589999999999999</v>
      </c>
      <c r="AW8" s="27">
        <v>0</v>
      </c>
      <c r="AY8" s="213" t="s">
        <v>46</v>
      </c>
      <c r="AZ8" s="223">
        <v>42144</v>
      </c>
      <c r="BA8" s="14" t="s">
        <v>149</v>
      </c>
      <c r="BB8" s="223">
        <v>42177</v>
      </c>
      <c r="BC8" s="14" t="s">
        <v>6</v>
      </c>
      <c r="BD8" s="14">
        <v>0</v>
      </c>
      <c r="BE8" s="14">
        <v>0</v>
      </c>
      <c r="BF8" s="214">
        <v>-0.109</v>
      </c>
      <c r="BG8" s="27">
        <v>0</v>
      </c>
    </row>
    <row r="9" spans="1:59" x14ac:dyDescent="0.2">
      <c r="A9" s="213" t="s">
        <v>46</v>
      </c>
      <c r="B9" s="223">
        <v>42144</v>
      </c>
      <c r="C9" s="14" t="s">
        <v>90</v>
      </c>
      <c r="D9" s="223">
        <v>42205</v>
      </c>
      <c r="E9" s="14" t="s">
        <v>95</v>
      </c>
      <c r="F9" s="14">
        <v>0</v>
      </c>
      <c r="G9" s="14">
        <v>0</v>
      </c>
      <c r="H9" s="214">
        <v>-2.2100000000000002E-2</v>
      </c>
      <c r="I9" s="27">
        <v>0</v>
      </c>
      <c r="K9" s="213" t="s">
        <v>46</v>
      </c>
      <c r="L9" s="223">
        <v>42144</v>
      </c>
      <c r="M9" s="14" t="s">
        <v>135</v>
      </c>
      <c r="N9" s="223">
        <v>42205</v>
      </c>
      <c r="O9" s="14" t="s">
        <v>95</v>
      </c>
      <c r="P9" s="14">
        <v>0</v>
      </c>
      <c r="Q9" s="14">
        <v>0</v>
      </c>
      <c r="R9" s="214">
        <v>-0.02</v>
      </c>
      <c r="S9" s="27">
        <v>0</v>
      </c>
      <c r="T9" s="219"/>
      <c r="U9" s="213" t="s">
        <v>46</v>
      </c>
      <c r="V9" s="223">
        <v>42144</v>
      </c>
      <c r="W9" s="14" t="s">
        <v>140</v>
      </c>
      <c r="X9" s="223">
        <v>42205</v>
      </c>
      <c r="Y9" s="14" t="s">
        <v>95</v>
      </c>
      <c r="Z9" s="14">
        <v>0</v>
      </c>
      <c r="AA9" s="14">
        <v>0</v>
      </c>
      <c r="AB9" s="214">
        <v>3.3599999999999998E-2</v>
      </c>
      <c r="AC9" s="27">
        <v>0</v>
      </c>
      <c r="AE9" s="213" t="s">
        <v>45</v>
      </c>
      <c r="AF9" s="223">
        <v>42144</v>
      </c>
      <c r="AG9" s="14" t="s">
        <v>168</v>
      </c>
      <c r="AH9" s="223">
        <v>42205</v>
      </c>
      <c r="AI9" s="14" t="s">
        <v>95</v>
      </c>
      <c r="AJ9" s="14">
        <v>0</v>
      </c>
      <c r="AK9" s="14">
        <v>0</v>
      </c>
      <c r="AL9" s="214">
        <v>-5.6001264000000002E-2</v>
      </c>
      <c r="AM9" s="27">
        <v>0</v>
      </c>
      <c r="AO9" s="213" t="s">
        <v>46</v>
      </c>
      <c r="AP9" s="223">
        <v>42144</v>
      </c>
      <c r="AQ9" s="14" t="s">
        <v>144</v>
      </c>
      <c r="AR9" s="223">
        <v>42205</v>
      </c>
      <c r="AS9" s="14" t="s">
        <v>95</v>
      </c>
      <c r="AT9" s="14">
        <v>0</v>
      </c>
      <c r="AU9" s="14">
        <v>0</v>
      </c>
      <c r="AV9" s="214">
        <v>0.16089999999999999</v>
      </c>
      <c r="AW9" s="27">
        <v>0</v>
      </c>
      <c r="AY9" s="213" t="s">
        <v>46</v>
      </c>
      <c r="AZ9" s="223">
        <v>42144</v>
      </c>
      <c r="BA9" s="14" t="s">
        <v>149</v>
      </c>
      <c r="BB9" s="223">
        <v>42205</v>
      </c>
      <c r="BC9" s="14" t="s">
        <v>95</v>
      </c>
      <c r="BD9" s="14">
        <v>0</v>
      </c>
      <c r="BE9" s="14">
        <v>0</v>
      </c>
      <c r="BF9" s="214">
        <v>-0.114</v>
      </c>
      <c r="BG9" s="27">
        <v>0</v>
      </c>
    </row>
    <row r="10" spans="1:59" x14ac:dyDescent="0.2">
      <c r="A10" s="213" t="s">
        <v>46</v>
      </c>
      <c r="B10" s="223">
        <v>42144</v>
      </c>
      <c r="C10" s="14" t="s">
        <v>90</v>
      </c>
      <c r="D10" s="223">
        <v>42236</v>
      </c>
      <c r="E10" s="14" t="s">
        <v>0</v>
      </c>
      <c r="F10" s="14">
        <v>0</v>
      </c>
      <c r="G10" s="14">
        <v>0</v>
      </c>
      <c r="H10" s="214">
        <v>-1.77E-2</v>
      </c>
      <c r="I10" s="27">
        <v>0</v>
      </c>
      <c r="K10" s="213" t="s">
        <v>46</v>
      </c>
      <c r="L10" s="223">
        <v>42144</v>
      </c>
      <c r="M10" s="14" t="s">
        <v>135</v>
      </c>
      <c r="N10" s="223">
        <v>42236</v>
      </c>
      <c r="O10" s="14" t="s">
        <v>0</v>
      </c>
      <c r="P10" s="14">
        <v>0</v>
      </c>
      <c r="Q10" s="14">
        <v>0</v>
      </c>
      <c r="R10" s="214">
        <v>0.01</v>
      </c>
      <c r="S10" s="27">
        <v>0</v>
      </c>
      <c r="U10" s="213" t="s">
        <v>46</v>
      </c>
      <c r="V10" s="223">
        <v>42144</v>
      </c>
      <c r="W10" s="14" t="s">
        <v>140</v>
      </c>
      <c r="X10" s="223">
        <v>42236</v>
      </c>
      <c r="Y10" s="14" t="s">
        <v>0</v>
      </c>
      <c r="Z10" s="14">
        <v>0</v>
      </c>
      <c r="AA10" s="14">
        <v>0</v>
      </c>
      <c r="AB10" s="214">
        <v>4.48E-2</v>
      </c>
      <c r="AC10" s="27">
        <v>0</v>
      </c>
      <c r="AE10" s="213" t="s">
        <v>45</v>
      </c>
      <c r="AF10" s="223">
        <v>42144</v>
      </c>
      <c r="AG10" s="14" t="s">
        <v>168</v>
      </c>
      <c r="AH10" s="223">
        <v>42236</v>
      </c>
      <c r="AI10" s="14" t="s">
        <v>0</v>
      </c>
      <c r="AJ10" s="14">
        <v>0</v>
      </c>
      <c r="AK10" s="14">
        <v>0</v>
      </c>
      <c r="AL10" s="214">
        <v>-5.8002757000000002E-2</v>
      </c>
      <c r="AM10" s="27">
        <v>0</v>
      </c>
      <c r="AO10" s="213" t="s">
        <v>46</v>
      </c>
      <c r="AP10" s="223">
        <v>42144</v>
      </c>
      <c r="AQ10" s="14" t="s">
        <v>144</v>
      </c>
      <c r="AR10" s="223">
        <v>42236</v>
      </c>
      <c r="AS10" s="14" t="s">
        <v>0</v>
      </c>
      <c r="AT10" s="14">
        <v>0</v>
      </c>
      <c r="AU10" s="14">
        <v>0</v>
      </c>
      <c r="AV10" s="214">
        <v>0.15790000000000001</v>
      </c>
      <c r="AW10" s="27">
        <v>0</v>
      </c>
      <c r="AY10" s="213" t="s">
        <v>46</v>
      </c>
      <c r="AZ10" s="223">
        <v>42144</v>
      </c>
      <c r="BA10" s="14" t="s">
        <v>149</v>
      </c>
      <c r="BB10" s="223">
        <v>42236</v>
      </c>
      <c r="BC10" s="14" t="s">
        <v>0</v>
      </c>
      <c r="BD10" s="14">
        <v>0</v>
      </c>
      <c r="BE10" s="14">
        <v>0</v>
      </c>
      <c r="BF10" s="214">
        <v>-0.11700000000000001</v>
      </c>
      <c r="BG10" s="27">
        <v>0</v>
      </c>
    </row>
    <row r="11" spans="1:59" x14ac:dyDescent="0.2">
      <c r="A11" s="213" t="s">
        <v>46</v>
      </c>
      <c r="B11" s="223">
        <v>42144</v>
      </c>
      <c r="C11" s="14" t="s">
        <v>90</v>
      </c>
      <c r="D11" s="223">
        <v>42268</v>
      </c>
      <c r="E11" s="14" t="s">
        <v>96</v>
      </c>
      <c r="F11" s="14">
        <v>0</v>
      </c>
      <c r="G11" s="14">
        <v>0</v>
      </c>
      <c r="H11" s="214">
        <v>-1.46E-2</v>
      </c>
      <c r="I11" s="27">
        <v>0</v>
      </c>
      <c r="K11" s="213" t="s">
        <v>46</v>
      </c>
      <c r="L11" s="223">
        <v>42144</v>
      </c>
      <c r="M11" s="14" t="s">
        <v>135</v>
      </c>
      <c r="N11" s="223">
        <v>42268</v>
      </c>
      <c r="O11" s="14" t="s">
        <v>96</v>
      </c>
      <c r="P11" s="14">
        <v>0</v>
      </c>
      <c r="Q11" s="14">
        <v>0</v>
      </c>
      <c r="R11" s="214">
        <v>0.03</v>
      </c>
      <c r="S11" s="27">
        <v>0</v>
      </c>
      <c r="U11" s="213" t="s">
        <v>46</v>
      </c>
      <c r="V11" s="223">
        <v>42144</v>
      </c>
      <c r="W11" s="14" t="s">
        <v>140</v>
      </c>
      <c r="X11" s="223">
        <v>42268</v>
      </c>
      <c r="Y11" s="14" t="s">
        <v>96</v>
      </c>
      <c r="Z11" s="14">
        <v>0</v>
      </c>
      <c r="AA11" s="14">
        <v>0</v>
      </c>
      <c r="AB11" s="214">
        <v>4.9599999999999998E-2</v>
      </c>
      <c r="AC11" s="27">
        <v>0</v>
      </c>
      <c r="AE11" s="213" t="s">
        <v>45</v>
      </c>
      <c r="AF11" s="223">
        <v>42144</v>
      </c>
      <c r="AG11" s="14" t="s">
        <v>168</v>
      </c>
      <c r="AH11" s="223">
        <v>42268</v>
      </c>
      <c r="AI11" s="14" t="s">
        <v>96</v>
      </c>
      <c r="AJ11" s="14">
        <v>0</v>
      </c>
      <c r="AK11" s="14">
        <v>0</v>
      </c>
      <c r="AL11" s="214">
        <v>-5.9004361999999998E-2</v>
      </c>
      <c r="AM11" s="27">
        <v>0</v>
      </c>
      <c r="AO11" s="213" t="s">
        <v>46</v>
      </c>
      <c r="AP11" s="223">
        <v>42144</v>
      </c>
      <c r="AQ11" s="14" t="s">
        <v>144</v>
      </c>
      <c r="AR11" s="223">
        <v>42268</v>
      </c>
      <c r="AS11" s="14" t="s">
        <v>96</v>
      </c>
      <c r="AT11" s="14">
        <v>0</v>
      </c>
      <c r="AU11" s="14">
        <v>0</v>
      </c>
      <c r="AV11" s="214">
        <v>0.15590000000000001</v>
      </c>
      <c r="AW11" s="27">
        <v>0</v>
      </c>
      <c r="AY11" s="213" t="s">
        <v>46</v>
      </c>
      <c r="AZ11" s="223">
        <v>42144</v>
      </c>
      <c r="BA11" s="14" t="s">
        <v>149</v>
      </c>
      <c r="BB11" s="223">
        <v>42268</v>
      </c>
      <c r="BC11" s="14" t="s">
        <v>96</v>
      </c>
      <c r="BD11" s="14">
        <v>0</v>
      </c>
      <c r="BE11" s="14">
        <v>0</v>
      </c>
      <c r="BF11" s="214">
        <v>-0.11899999999999999</v>
      </c>
      <c r="BG11" s="27">
        <v>0</v>
      </c>
    </row>
    <row r="12" spans="1:59" x14ac:dyDescent="0.2">
      <c r="A12" s="213" t="s">
        <v>46</v>
      </c>
      <c r="B12" s="223">
        <v>42144</v>
      </c>
      <c r="C12" s="14" t="s">
        <v>90</v>
      </c>
      <c r="D12" s="223">
        <v>42297</v>
      </c>
      <c r="E12" s="14" t="s">
        <v>97</v>
      </c>
      <c r="F12" s="14">
        <v>0</v>
      </c>
      <c r="G12" s="14">
        <v>0</v>
      </c>
      <c r="H12" s="214">
        <v>-1.15E-2</v>
      </c>
      <c r="I12" s="27">
        <v>0</v>
      </c>
      <c r="K12" s="213" t="s">
        <v>46</v>
      </c>
      <c r="L12" s="223">
        <v>42144</v>
      </c>
      <c r="M12" s="14" t="s">
        <v>135</v>
      </c>
      <c r="N12" s="223">
        <v>42297</v>
      </c>
      <c r="O12" s="14" t="s">
        <v>97</v>
      </c>
      <c r="P12" s="14">
        <v>0</v>
      </c>
      <c r="Q12" s="14">
        <v>0</v>
      </c>
      <c r="R12" s="214">
        <v>0.06</v>
      </c>
      <c r="S12" s="27">
        <v>0</v>
      </c>
      <c r="U12" s="213" t="s">
        <v>46</v>
      </c>
      <c r="V12" s="223">
        <v>42144</v>
      </c>
      <c r="W12" s="14" t="s">
        <v>140</v>
      </c>
      <c r="X12" s="223">
        <v>42297</v>
      </c>
      <c r="Y12" s="14" t="s">
        <v>97</v>
      </c>
      <c r="Z12" s="14">
        <v>0</v>
      </c>
      <c r="AA12" s="14">
        <v>0</v>
      </c>
      <c r="AB12" s="214">
        <v>5.3499999999999999E-2</v>
      </c>
      <c r="AC12" s="27">
        <v>0</v>
      </c>
      <c r="AE12" s="213" t="s">
        <v>45</v>
      </c>
      <c r="AF12" s="223">
        <v>42144</v>
      </c>
      <c r="AG12" s="14" t="s">
        <v>168</v>
      </c>
      <c r="AH12" s="223">
        <v>42297</v>
      </c>
      <c r="AI12" s="14" t="s">
        <v>97</v>
      </c>
      <c r="AJ12" s="14">
        <v>0</v>
      </c>
      <c r="AK12" s="14">
        <v>0</v>
      </c>
      <c r="AL12" s="214">
        <v>-5.9006044000000001E-2</v>
      </c>
      <c r="AM12" s="27">
        <v>0</v>
      </c>
      <c r="AO12" s="213" t="s">
        <v>46</v>
      </c>
      <c r="AP12" s="223">
        <v>42144</v>
      </c>
      <c r="AQ12" s="14" t="s">
        <v>144</v>
      </c>
      <c r="AR12" s="223">
        <v>42297</v>
      </c>
      <c r="AS12" s="14" t="s">
        <v>97</v>
      </c>
      <c r="AT12" s="14">
        <v>0</v>
      </c>
      <c r="AU12" s="14">
        <v>0</v>
      </c>
      <c r="AV12" s="214">
        <v>0.15590000000000001</v>
      </c>
      <c r="AW12" s="27">
        <v>0</v>
      </c>
      <c r="AY12" s="213" t="s">
        <v>46</v>
      </c>
      <c r="AZ12" s="223">
        <v>42144</v>
      </c>
      <c r="BA12" s="14" t="s">
        <v>149</v>
      </c>
      <c r="BB12" s="223">
        <v>42297</v>
      </c>
      <c r="BC12" s="14" t="s">
        <v>97</v>
      </c>
      <c r="BD12" s="14">
        <v>0</v>
      </c>
      <c r="BE12" s="14">
        <v>0</v>
      </c>
      <c r="BF12" s="214">
        <v>-0.11899999999999999</v>
      </c>
      <c r="BG12" s="27">
        <v>0</v>
      </c>
    </row>
    <row r="13" spans="1:59" x14ac:dyDescent="0.2">
      <c r="A13" s="213" t="s">
        <v>46</v>
      </c>
      <c r="B13" s="223">
        <v>42144</v>
      </c>
      <c r="C13" s="14" t="s">
        <v>90</v>
      </c>
      <c r="D13" s="223">
        <v>42328</v>
      </c>
      <c r="E13" s="14" t="s">
        <v>7</v>
      </c>
      <c r="F13" s="14">
        <v>0</v>
      </c>
      <c r="G13" s="14">
        <v>0</v>
      </c>
      <c r="H13" s="214">
        <v>-1.03E-2</v>
      </c>
      <c r="I13" s="27">
        <v>0</v>
      </c>
      <c r="K13" s="213" t="s">
        <v>46</v>
      </c>
      <c r="L13" s="223">
        <v>42144</v>
      </c>
      <c r="M13" s="14" t="s">
        <v>135</v>
      </c>
      <c r="N13" s="223">
        <v>42328</v>
      </c>
      <c r="O13" s="14" t="s">
        <v>7</v>
      </c>
      <c r="P13" s="14">
        <v>0</v>
      </c>
      <c r="Q13" s="14">
        <v>0</v>
      </c>
      <c r="R13" s="214">
        <v>0.09</v>
      </c>
      <c r="S13" s="27">
        <v>0</v>
      </c>
      <c r="U13" s="213" t="s">
        <v>46</v>
      </c>
      <c r="V13" s="223">
        <v>42144</v>
      </c>
      <c r="W13" s="14" t="s">
        <v>140</v>
      </c>
      <c r="X13" s="223">
        <v>42328</v>
      </c>
      <c r="Y13" s="14" t="s">
        <v>7</v>
      </c>
      <c r="Z13" s="14">
        <v>0</v>
      </c>
      <c r="AA13" s="14">
        <v>0</v>
      </c>
      <c r="AB13" s="214">
        <v>5.57E-2</v>
      </c>
      <c r="AC13" s="27">
        <v>0</v>
      </c>
      <c r="AE13" s="213" t="s">
        <v>45</v>
      </c>
      <c r="AF13" s="223">
        <v>42144</v>
      </c>
      <c r="AG13" s="14" t="s">
        <v>168</v>
      </c>
      <c r="AH13" s="223">
        <v>42328</v>
      </c>
      <c r="AI13" s="14" t="s">
        <v>7</v>
      </c>
      <c r="AJ13" s="14">
        <v>0</v>
      </c>
      <c r="AK13" s="14">
        <v>0</v>
      </c>
      <c r="AL13" s="214">
        <v>-6.0007555999999997E-2</v>
      </c>
      <c r="AM13" s="27">
        <v>0</v>
      </c>
      <c r="AO13" s="213" t="s">
        <v>46</v>
      </c>
      <c r="AP13" s="223">
        <v>42144</v>
      </c>
      <c r="AQ13" s="14" t="s">
        <v>144</v>
      </c>
      <c r="AR13" s="223">
        <v>42328</v>
      </c>
      <c r="AS13" s="14" t="s">
        <v>7</v>
      </c>
      <c r="AT13" s="14">
        <v>0</v>
      </c>
      <c r="AU13" s="14">
        <v>0</v>
      </c>
      <c r="AV13" s="214">
        <v>0.15490000000000001</v>
      </c>
      <c r="AW13" s="27">
        <v>0</v>
      </c>
      <c r="AY13" s="213" t="s">
        <v>46</v>
      </c>
      <c r="AZ13" s="223">
        <v>42144</v>
      </c>
      <c r="BA13" s="14" t="s">
        <v>149</v>
      </c>
      <c r="BB13" s="223">
        <v>42328</v>
      </c>
      <c r="BC13" s="14" t="s">
        <v>7</v>
      </c>
      <c r="BD13" s="14">
        <v>0</v>
      </c>
      <c r="BE13" s="14">
        <v>0</v>
      </c>
      <c r="BF13" s="214">
        <v>-0.12</v>
      </c>
      <c r="BG13" s="27">
        <v>0</v>
      </c>
    </row>
    <row r="14" spans="1:59" x14ac:dyDescent="0.2">
      <c r="A14" s="213" t="s">
        <v>46</v>
      </c>
      <c r="B14" s="223">
        <v>42144</v>
      </c>
      <c r="C14" s="14" t="s">
        <v>99</v>
      </c>
      <c r="D14" s="223">
        <v>42354</v>
      </c>
      <c r="E14" s="14" t="s">
        <v>184</v>
      </c>
      <c r="F14" s="14">
        <v>0</v>
      </c>
      <c r="G14" s="14">
        <v>0</v>
      </c>
      <c r="H14" s="214">
        <v>-1.01774E-2</v>
      </c>
      <c r="I14" s="27">
        <v>0</v>
      </c>
      <c r="K14" s="213" t="s">
        <v>46</v>
      </c>
      <c r="L14" s="223">
        <v>42144</v>
      </c>
      <c r="M14" s="14" t="s">
        <v>136</v>
      </c>
      <c r="N14" s="223">
        <v>42354</v>
      </c>
      <c r="O14" s="14" t="s">
        <v>184</v>
      </c>
      <c r="P14" s="14">
        <v>0</v>
      </c>
      <c r="Q14" s="14">
        <v>0</v>
      </c>
      <c r="R14" s="214">
        <v>0.106774194</v>
      </c>
      <c r="S14" s="27">
        <v>0</v>
      </c>
      <c r="U14" s="213" t="s">
        <v>46</v>
      </c>
      <c r="V14" s="223">
        <v>42144</v>
      </c>
      <c r="W14" s="14" t="s">
        <v>141</v>
      </c>
      <c r="X14" s="223">
        <v>42354</v>
      </c>
      <c r="Y14" s="14" t="s">
        <v>184</v>
      </c>
      <c r="Z14" s="14">
        <v>0</v>
      </c>
      <c r="AA14" s="14">
        <v>0</v>
      </c>
      <c r="AB14" s="214">
        <v>5.6722599999999998E-2</v>
      </c>
      <c r="AC14" s="27">
        <v>0</v>
      </c>
      <c r="AE14" s="213" t="s">
        <v>45</v>
      </c>
      <c r="AF14" s="223">
        <v>42144</v>
      </c>
      <c r="AG14" s="14" t="s">
        <v>168</v>
      </c>
      <c r="AH14" s="223">
        <v>42359</v>
      </c>
      <c r="AI14" s="14" t="s">
        <v>98</v>
      </c>
      <c r="AJ14" s="14">
        <v>0</v>
      </c>
      <c r="AK14" s="14">
        <v>0</v>
      </c>
      <c r="AL14" s="214">
        <v>-6.3008284999999997E-2</v>
      </c>
      <c r="AM14" s="27">
        <v>0</v>
      </c>
      <c r="AO14" s="213" t="s">
        <v>46</v>
      </c>
      <c r="AP14" s="223">
        <v>42144</v>
      </c>
      <c r="AQ14" s="14" t="s">
        <v>145</v>
      </c>
      <c r="AR14" s="223">
        <v>42354</v>
      </c>
      <c r="AS14" s="14" t="s">
        <v>184</v>
      </c>
      <c r="AT14" s="14">
        <v>0</v>
      </c>
      <c r="AU14" s="14">
        <v>0</v>
      </c>
      <c r="AV14" s="214">
        <v>0.15322259999999999</v>
      </c>
      <c r="AW14" s="27">
        <v>0</v>
      </c>
      <c r="AY14" s="213" t="s">
        <v>46</v>
      </c>
      <c r="AZ14" s="223">
        <v>42144</v>
      </c>
      <c r="BA14" s="14" t="s">
        <v>149</v>
      </c>
      <c r="BB14" s="223">
        <v>42359</v>
      </c>
      <c r="BC14" s="14" t="s">
        <v>98</v>
      </c>
      <c r="BD14" s="14">
        <v>0</v>
      </c>
      <c r="BE14" s="14">
        <v>0</v>
      </c>
      <c r="BF14" s="214">
        <v>-0.122</v>
      </c>
      <c r="BG14" s="27">
        <v>0</v>
      </c>
    </row>
    <row r="15" spans="1:59" x14ac:dyDescent="0.2">
      <c r="A15" s="213" t="s">
        <v>44</v>
      </c>
      <c r="B15" s="223">
        <v>42354</v>
      </c>
      <c r="C15" s="14" t="s">
        <v>100</v>
      </c>
      <c r="D15" s="223">
        <v>42445</v>
      </c>
      <c r="E15" s="14">
        <v>42339</v>
      </c>
      <c r="F15" s="14">
        <v>0</v>
      </c>
      <c r="G15" s="14">
        <v>0</v>
      </c>
      <c r="H15" s="214">
        <v>99.986999999999995</v>
      </c>
      <c r="I15" s="27">
        <v>0</v>
      </c>
      <c r="K15" s="213" t="s">
        <v>44</v>
      </c>
      <c r="L15" s="223">
        <v>42354</v>
      </c>
      <c r="M15" s="14" t="s">
        <v>137</v>
      </c>
      <c r="N15" s="223">
        <v>42445</v>
      </c>
      <c r="O15" s="14">
        <v>42339</v>
      </c>
      <c r="P15" s="14">
        <v>0</v>
      </c>
      <c r="Q15" s="14">
        <v>0</v>
      </c>
      <c r="R15" s="214">
        <v>99.986999999999995</v>
      </c>
      <c r="S15" s="27">
        <v>0</v>
      </c>
      <c r="U15" s="213" t="s">
        <v>44</v>
      </c>
      <c r="V15" s="223">
        <v>42354</v>
      </c>
      <c r="W15" s="14" t="s">
        <v>142</v>
      </c>
      <c r="X15" s="223">
        <v>42445</v>
      </c>
      <c r="Y15" s="14">
        <v>42339</v>
      </c>
      <c r="Z15" s="14">
        <v>0</v>
      </c>
      <c r="AA15" s="14">
        <v>0</v>
      </c>
      <c r="AB15" s="214">
        <v>99.912099999999995</v>
      </c>
      <c r="AC15" s="27">
        <v>0</v>
      </c>
      <c r="AE15" s="213" t="s">
        <v>45</v>
      </c>
      <c r="AF15" s="223">
        <v>42144</v>
      </c>
      <c r="AG15" s="14" t="s">
        <v>168</v>
      </c>
      <c r="AH15" s="223">
        <v>42389</v>
      </c>
      <c r="AI15" s="14" t="s">
        <v>150</v>
      </c>
      <c r="AJ15" s="14">
        <v>0</v>
      </c>
      <c r="AK15" s="14">
        <v>0</v>
      </c>
      <c r="AL15" s="214">
        <v>-6.2010251000000002E-2</v>
      </c>
      <c r="AM15" s="27">
        <v>0</v>
      </c>
      <c r="AO15" s="213" t="s">
        <v>44</v>
      </c>
      <c r="AP15" s="223">
        <v>42354</v>
      </c>
      <c r="AQ15" s="14" t="s">
        <v>146</v>
      </c>
      <c r="AR15" s="223">
        <v>42445</v>
      </c>
      <c r="AS15" s="14">
        <v>42339</v>
      </c>
      <c r="AT15" s="14">
        <v>0</v>
      </c>
      <c r="AU15" s="14">
        <v>0</v>
      </c>
      <c r="AV15" s="214">
        <v>99.812100000000001</v>
      </c>
      <c r="AW15" s="27">
        <v>0</v>
      </c>
      <c r="AY15" s="213" t="s">
        <v>46</v>
      </c>
      <c r="AZ15" s="223">
        <v>42144</v>
      </c>
      <c r="BA15" s="14" t="s">
        <v>149</v>
      </c>
      <c r="BB15" s="223">
        <v>42389</v>
      </c>
      <c r="BC15" s="14" t="s">
        <v>150</v>
      </c>
      <c r="BD15" s="14">
        <v>0</v>
      </c>
      <c r="BE15" s="14">
        <v>0</v>
      </c>
      <c r="BF15" s="214">
        <v>-0.12</v>
      </c>
      <c r="BG15" s="27">
        <v>0</v>
      </c>
    </row>
    <row r="16" spans="1:59" x14ac:dyDescent="0.2">
      <c r="A16" s="213" t="s">
        <v>44</v>
      </c>
      <c r="B16" s="223">
        <v>42445</v>
      </c>
      <c r="C16" s="14" t="s">
        <v>100</v>
      </c>
      <c r="D16" s="223">
        <v>42537</v>
      </c>
      <c r="E16" s="14">
        <v>42430</v>
      </c>
      <c r="F16" s="14">
        <v>0</v>
      </c>
      <c r="G16" s="14">
        <v>0</v>
      </c>
      <c r="H16" s="214">
        <v>99.977000000000004</v>
      </c>
      <c r="I16" s="27">
        <v>0</v>
      </c>
      <c r="K16" s="213" t="s">
        <v>44</v>
      </c>
      <c r="L16" s="223">
        <v>42445</v>
      </c>
      <c r="M16" s="14" t="s">
        <v>137</v>
      </c>
      <c r="N16" s="223">
        <v>42537</v>
      </c>
      <c r="O16" s="14">
        <v>42430</v>
      </c>
      <c r="P16" s="14">
        <v>0</v>
      </c>
      <c r="Q16" s="14">
        <v>0</v>
      </c>
      <c r="R16" s="214">
        <v>99.977000000000004</v>
      </c>
      <c r="S16" s="27">
        <v>0</v>
      </c>
      <c r="U16" s="213" t="s">
        <v>44</v>
      </c>
      <c r="V16" s="223">
        <v>42445</v>
      </c>
      <c r="W16" s="14" t="s">
        <v>142</v>
      </c>
      <c r="X16" s="223">
        <v>42537</v>
      </c>
      <c r="Y16" s="14">
        <v>42430</v>
      </c>
      <c r="Z16" s="14">
        <v>0</v>
      </c>
      <c r="AA16" s="14">
        <v>0</v>
      </c>
      <c r="AB16" s="214">
        <v>99.902000000000001</v>
      </c>
      <c r="AC16" s="27">
        <v>0</v>
      </c>
      <c r="AE16" s="213" t="s">
        <v>45</v>
      </c>
      <c r="AF16" s="223">
        <v>42144</v>
      </c>
      <c r="AG16" s="14" t="s">
        <v>168</v>
      </c>
      <c r="AH16" s="223">
        <v>42422</v>
      </c>
      <c r="AI16" s="14" t="s">
        <v>151</v>
      </c>
      <c r="AJ16" s="14">
        <v>0</v>
      </c>
      <c r="AK16" s="14">
        <v>0</v>
      </c>
      <c r="AL16" s="214">
        <v>-6.3011650000000002E-2</v>
      </c>
      <c r="AM16" s="27">
        <v>0</v>
      </c>
      <c r="AO16" s="213" t="s">
        <v>44</v>
      </c>
      <c r="AP16" s="223">
        <v>42445</v>
      </c>
      <c r="AQ16" s="14" t="s">
        <v>146</v>
      </c>
      <c r="AR16" s="223">
        <v>42537</v>
      </c>
      <c r="AS16" s="14">
        <v>42430</v>
      </c>
      <c r="AT16" s="14">
        <v>0</v>
      </c>
      <c r="AU16" s="14">
        <v>0</v>
      </c>
      <c r="AV16" s="214">
        <v>99.802099999999996</v>
      </c>
      <c r="AW16" s="27">
        <v>0</v>
      </c>
      <c r="AY16" s="213" t="s">
        <v>46</v>
      </c>
      <c r="AZ16" s="223">
        <v>42144</v>
      </c>
      <c r="BA16" s="14" t="s">
        <v>149</v>
      </c>
      <c r="BB16" s="223">
        <v>42422</v>
      </c>
      <c r="BC16" s="14" t="s">
        <v>151</v>
      </c>
      <c r="BD16" s="14">
        <v>0</v>
      </c>
      <c r="BE16" s="14">
        <v>0</v>
      </c>
      <c r="BF16" s="214">
        <v>-0.12</v>
      </c>
      <c r="BG16" s="27">
        <v>0</v>
      </c>
    </row>
    <row r="17" spans="1:59" x14ac:dyDescent="0.2">
      <c r="A17" s="213" t="s">
        <v>44</v>
      </c>
      <c r="B17" s="223">
        <v>42536</v>
      </c>
      <c r="C17" s="14" t="s">
        <v>100</v>
      </c>
      <c r="D17" s="223">
        <v>42628</v>
      </c>
      <c r="E17" s="14">
        <v>42522</v>
      </c>
      <c r="F17" s="14">
        <v>0</v>
      </c>
      <c r="G17" s="14">
        <v>0</v>
      </c>
      <c r="H17" s="214">
        <v>99.962500000000006</v>
      </c>
      <c r="I17" s="27">
        <v>0</v>
      </c>
      <c r="K17" s="213" t="s">
        <v>44</v>
      </c>
      <c r="L17" s="223">
        <v>42536</v>
      </c>
      <c r="M17" s="14" t="s">
        <v>137</v>
      </c>
      <c r="N17" s="223">
        <v>42628</v>
      </c>
      <c r="O17" s="14">
        <v>42522</v>
      </c>
      <c r="P17" s="14">
        <v>0</v>
      </c>
      <c r="Q17" s="14">
        <v>0</v>
      </c>
      <c r="R17" s="214">
        <v>99.962500000000006</v>
      </c>
      <c r="S17" s="27">
        <v>0</v>
      </c>
      <c r="U17" s="213" t="s">
        <v>44</v>
      </c>
      <c r="V17" s="223">
        <v>42536</v>
      </c>
      <c r="W17" s="14" t="s">
        <v>142</v>
      </c>
      <c r="X17" s="223">
        <v>42628</v>
      </c>
      <c r="Y17" s="14">
        <v>42522</v>
      </c>
      <c r="Z17" s="14">
        <v>0</v>
      </c>
      <c r="AA17" s="14">
        <v>0</v>
      </c>
      <c r="AB17" s="214">
        <v>99.887500000000003</v>
      </c>
      <c r="AC17" s="27">
        <v>0</v>
      </c>
      <c r="AE17" s="213" t="s">
        <v>45</v>
      </c>
      <c r="AF17" s="223">
        <v>42144</v>
      </c>
      <c r="AG17" s="14" t="s">
        <v>168</v>
      </c>
      <c r="AH17" s="223">
        <v>42450</v>
      </c>
      <c r="AI17" s="14" t="s">
        <v>152</v>
      </c>
      <c r="AJ17" s="14">
        <v>0</v>
      </c>
      <c r="AK17" s="14">
        <v>0</v>
      </c>
      <c r="AL17" s="214">
        <v>-6.3013006999999996E-2</v>
      </c>
      <c r="AM17" s="27">
        <v>0</v>
      </c>
      <c r="AO17" s="213" t="s">
        <v>44</v>
      </c>
      <c r="AP17" s="223">
        <v>42536</v>
      </c>
      <c r="AQ17" s="14" t="s">
        <v>146</v>
      </c>
      <c r="AR17" s="223">
        <v>42628</v>
      </c>
      <c r="AS17" s="14">
        <v>42522</v>
      </c>
      <c r="AT17" s="14">
        <v>0</v>
      </c>
      <c r="AU17" s="14">
        <v>0</v>
      </c>
      <c r="AV17" s="214">
        <v>99.798000000000002</v>
      </c>
      <c r="AW17" s="27">
        <v>0</v>
      </c>
      <c r="AY17" s="213" t="s">
        <v>46</v>
      </c>
      <c r="AZ17" s="223">
        <v>42144</v>
      </c>
      <c r="BA17" s="14" t="s">
        <v>149</v>
      </c>
      <c r="BB17" s="223">
        <v>42450</v>
      </c>
      <c r="BC17" s="14" t="s">
        <v>152</v>
      </c>
      <c r="BD17" s="14">
        <v>0</v>
      </c>
      <c r="BE17" s="14">
        <v>0</v>
      </c>
      <c r="BF17" s="214">
        <v>-0.12</v>
      </c>
      <c r="BG17" s="27">
        <v>0</v>
      </c>
    </row>
    <row r="18" spans="1:59" x14ac:dyDescent="0.2">
      <c r="A18" s="213" t="s">
        <v>44</v>
      </c>
      <c r="B18" s="223">
        <v>42634</v>
      </c>
      <c r="C18" s="14" t="s">
        <v>100</v>
      </c>
      <c r="D18" s="223">
        <v>42725</v>
      </c>
      <c r="E18" s="14">
        <v>42614</v>
      </c>
      <c r="F18" s="14">
        <v>0</v>
      </c>
      <c r="G18" s="14">
        <v>0</v>
      </c>
      <c r="H18" s="214">
        <v>99.9375</v>
      </c>
      <c r="I18" s="27">
        <v>0</v>
      </c>
      <c r="K18" s="213" t="s">
        <v>44</v>
      </c>
      <c r="L18" s="223">
        <v>42634</v>
      </c>
      <c r="M18" s="14" t="s">
        <v>137</v>
      </c>
      <c r="N18" s="223">
        <v>42725</v>
      </c>
      <c r="O18" s="14">
        <v>42614</v>
      </c>
      <c r="P18" s="14">
        <v>0</v>
      </c>
      <c r="Q18" s="14">
        <v>0</v>
      </c>
      <c r="R18" s="214">
        <v>99.9375</v>
      </c>
      <c r="S18" s="27">
        <v>0</v>
      </c>
      <c r="U18" s="213" t="s">
        <v>44</v>
      </c>
      <c r="V18" s="223">
        <v>42634</v>
      </c>
      <c r="W18" s="14" t="s">
        <v>142</v>
      </c>
      <c r="X18" s="223">
        <v>42725</v>
      </c>
      <c r="Y18" s="14">
        <v>42614</v>
      </c>
      <c r="Z18" s="14">
        <v>0</v>
      </c>
      <c r="AA18" s="14">
        <v>0</v>
      </c>
      <c r="AB18" s="214">
        <v>99.862499999999997</v>
      </c>
      <c r="AC18" s="27">
        <v>0</v>
      </c>
      <c r="AE18" s="213" t="s">
        <v>45</v>
      </c>
      <c r="AF18" s="223">
        <v>42144</v>
      </c>
      <c r="AG18" s="14" t="s">
        <v>168</v>
      </c>
      <c r="AH18" s="223">
        <v>42480</v>
      </c>
      <c r="AI18" s="14" t="s">
        <v>153</v>
      </c>
      <c r="AJ18" s="14">
        <v>0</v>
      </c>
      <c r="AK18" s="14">
        <v>0</v>
      </c>
      <c r="AL18" s="214">
        <v>-6.2014462999999999E-2</v>
      </c>
      <c r="AM18" s="27">
        <v>0</v>
      </c>
      <c r="AO18" s="213" t="s">
        <v>44</v>
      </c>
      <c r="AP18" s="223">
        <v>42634</v>
      </c>
      <c r="AQ18" s="14" t="s">
        <v>146</v>
      </c>
      <c r="AR18" s="223">
        <v>42725</v>
      </c>
      <c r="AS18" s="14">
        <v>42614</v>
      </c>
      <c r="AT18" s="14">
        <v>0</v>
      </c>
      <c r="AU18" s="14">
        <v>0</v>
      </c>
      <c r="AV18" s="214">
        <v>99.772999999999996</v>
      </c>
      <c r="AW18" s="27">
        <v>0</v>
      </c>
      <c r="AY18" s="213" t="s">
        <v>46</v>
      </c>
      <c r="AZ18" s="223">
        <v>42144</v>
      </c>
      <c r="BA18" s="14" t="s">
        <v>149</v>
      </c>
      <c r="BB18" s="223">
        <v>42480</v>
      </c>
      <c r="BC18" s="14" t="s">
        <v>153</v>
      </c>
      <c r="BD18" s="14">
        <v>0</v>
      </c>
      <c r="BE18" s="14">
        <v>0</v>
      </c>
      <c r="BF18" s="214">
        <v>-0.11899999999999999</v>
      </c>
      <c r="BG18" s="27">
        <v>0</v>
      </c>
    </row>
    <row r="19" spans="1:59" x14ac:dyDescent="0.2">
      <c r="A19" s="213" t="s">
        <v>44</v>
      </c>
      <c r="B19" s="223">
        <v>42725</v>
      </c>
      <c r="C19" s="14" t="s">
        <v>100</v>
      </c>
      <c r="D19" s="223">
        <v>42815</v>
      </c>
      <c r="E19" s="14">
        <v>42705</v>
      </c>
      <c r="F19" s="14">
        <v>0</v>
      </c>
      <c r="G19" s="14">
        <v>0</v>
      </c>
      <c r="H19" s="214">
        <v>99.897750000000002</v>
      </c>
      <c r="I19" s="27">
        <v>0</v>
      </c>
      <c r="K19" s="213" t="s">
        <v>44</v>
      </c>
      <c r="L19" s="223">
        <v>42725</v>
      </c>
      <c r="M19" s="14" t="s">
        <v>137</v>
      </c>
      <c r="N19" s="223">
        <v>42815</v>
      </c>
      <c r="O19" s="14">
        <v>42705</v>
      </c>
      <c r="P19" s="14">
        <v>0</v>
      </c>
      <c r="Q19" s="14">
        <v>0</v>
      </c>
      <c r="R19" s="214">
        <v>99.897750000000002</v>
      </c>
      <c r="S19" s="27">
        <v>0</v>
      </c>
      <c r="U19" s="213" t="s">
        <v>44</v>
      </c>
      <c r="V19" s="223">
        <v>42725</v>
      </c>
      <c r="W19" s="14" t="s">
        <v>142</v>
      </c>
      <c r="X19" s="223">
        <v>42815</v>
      </c>
      <c r="Y19" s="14">
        <v>42705</v>
      </c>
      <c r="Z19" s="14">
        <v>0</v>
      </c>
      <c r="AA19" s="14">
        <v>0</v>
      </c>
      <c r="AB19" s="214">
        <v>99.822749999999999</v>
      </c>
      <c r="AC19" s="27">
        <v>0</v>
      </c>
      <c r="AE19" s="213" t="s">
        <v>45</v>
      </c>
      <c r="AF19" s="223">
        <v>42144</v>
      </c>
      <c r="AG19" s="14" t="s">
        <v>168</v>
      </c>
      <c r="AH19" s="223">
        <v>42510</v>
      </c>
      <c r="AI19" s="14" t="s">
        <v>169</v>
      </c>
      <c r="AJ19" s="14">
        <v>0</v>
      </c>
      <c r="AK19" s="14">
        <v>0</v>
      </c>
      <c r="AL19" s="214">
        <v>-6.0016530999999998E-2</v>
      </c>
      <c r="AM19" s="27">
        <v>0</v>
      </c>
      <c r="AO19" s="213" t="s">
        <v>44</v>
      </c>
      <c r="AP19" s="223">
        <v>42725</v>
      </c>
      <c r="AQ19" s="14" t="s">
        <v>146</v>
      </c>
      <c r="AR19" s="223">
        <v>42815</v>
      </c>
      <c r="AS19" s="14">
        <v>42705</v>
      </c>
      <c r="AT19" s="14">
        <v>0</v>
      </c>
      <c r="AU19" s="14">
        <v>0</v>
      </c>
      <c r="AV19" s="214">
        <v>99.733249999999998</v>
      </c>
      <c r="AW19" s="27">
        <v>0</v>
      </c>
      <c r="AY19" s="213" t="s">
        <v>46</v>
      </c>
      <c r="AZ19" s="223">
        <v>42144</v>
      </c>
      <c r="BA19" s="14" t="s">
        <v>149</v>
      </c>
      <c r="BB19" s="223">
        <v>42510</v>
      </c>
      <c r="BC19" s="14" t="s">
        <v>51</v>
      </c>
      <c r="BD19" s="14">
        <v>0</v>
      </c>
      <c r="BE19" s="14">
        <v>0</v>
      </c>
      <c r="BF19" s="214">
        <v>-0.11799999999999999</v>
      </c>
      <c r="BG19" s="27">
        <v>0</v>
      </c>
    </row>
    <row r="20" spans="1:59" x14ac:dyDescent="0.2">
      <c r="A20" s="213" t="s">
        <v>44</v>
      </c>
      <c r="B20" s="223">
        <v>42809</v>
      </c>
      <c r="C20" s="14" t="s">
        <v>100</v>
      </c>
      <c r="D20" s="223">
        <v>42901</v>
      </c>
      <c r="E20" s="14">
        <v>42795</v>
      </c>
      <c r="F20" s="14">
        <v>0</v>
      </c>
      <c r="G20" s="14">
        <v>0</v>
      </c>
      <c r="H20" s="214">
        <v>99.859250000000003</v>
      </c>
      <c r="I20" s="27">
        <v>0</v>
      </c>
      <c r="K20" s="213" t="s">
        <v>44</v>
      </c>
      <c r="L20" s="223">
        <v>42809</v>
      </c>
      <c r="M20" s="14" t="s">
        <v>137</v>
      </c>
      <c r="N20" s="223">
        <v>42901</v>
      </c>
      <c r="O20" s="14">
        <v>42795</v>
      </c>
      <c r="P20" s="14">
        <v>0</v>
      </c>
      <c r="Q20" s="14">
        <v>0</v>
      </c>
      <c r="R20" s="214">
        <v>99.859250000000003</v>
      </c>
      <c r="S20" s="27">
        <v>0</v>
      </c>
      <c r="U20" s="213" t="s">
        <v>44</v>
      </c>
      <c r="V20" s="223">
        <v>42809</v>
      </c>
      <c r="W20" s="14" t="s">
        <v>142</v>
      </c>
      <c r="X20" s="223">
        <v>42901</v>
      </c>
      <c r="Y20" s="14">
        <v>42795</v>
      </c>
      <c r="Z20" s="14">
        <v>0</v>
      </c>
      <c r="AA20" s="14">
        <v>0</v>
      </c>
      <c r="AB20" s="214">
        <v>99.78425</v>
      </c>
      <c r="AC20" s="27">
        <v>0</v>
      </c>
      <c r="AE20" s="213" t="s">
        <v>45</v>
      </c>
      <c r="AF20" s="223">
        <v>42144</v>
      </c>
      <c r="AG20" s="14" t="s">
        <v>170</v>
      </c>
      <c r="AH20" s="223">
        <v>42604</v>
      </c>
      <c r="AI20" s="14" t="s">
        <v>171</v>
      </c>
      <c r="AJ20" s="14">
        <v>0</v>
      </c>
      <c r="AK20" s="14">
        <v>0</v>
      </c>
      <c r="AL20" s="214">
        <v>-5.4581980000000002E-2</v>
      </c>
      <c r="AM20" s="27">
        <v>0</v>
      </c>
      <c r="AO20" s="213" t="s">
        <v>44</v>
      </c>
      <c r="AP20" s="223">
        <v>42809</v>
      </c>
      <c r="AQ20" s="14" t="s">
        <v>146</v>
      </c>
      <c r="AR20" s="223">
        <v>42901</v>
      </c>
      <c r="AS20" s="14">
        <v>42795</v>
      </c>
      <c r="AT20" s="14">
        <v>0</v>
      </c>
      <c r="AU20" s="14">
        <v>0</v>
      </c>
      <c r="AV20" s="214">
        <v>99.694850000000002</v>
      </c>
      <c r="AW20" s="27">
        <v>0</v>
      </c>
      <c r="AY20" s="213" t="s">
        <v>46</v>
      </c>
      <c r="AZ20" s="223">
        <v>42144</v>
      </c>
      <c r="BA20" s="14" t="s">
        <v>149</v>
      </c>
      <c r="BB20" s="223">
        <v>42541</v>
      </c>
      <c r="BC20" s="14" t="s">
        <v>154</v>
      </c>
      <c r="BD20" s="14">
        <v>0</v>
      </c>
      <c r="BE20" s="14">
        <v>0</v>
      </c>
      <c r="BF20" s="214">
        <v>-0.11700000000000001</v>
      </c>
      <c r="BG20" s="27">
        <v>0</v>
      </c>
    </row>
    <row r="21" spans="1:59" x14ac:dyDescent="0.2">
      <c r="A21" s="213" t="s">
        <v>45</v>
      </c>
      <c r="B21" s="223">
        <v>42144</v>
      </c>
      <c r="C21" s="14" t="s">
        <v>101</v>
      </c>
      <c r="D21" s="223">
        <v>43241</v>
      </c>
      <c r="E21" s="14" t="s">
        <v>102</v>
      </c>
      <c r="F21" s="14">
        <v>0</v>
      </c>
      <c r="G21" s="14">
        <v>0</v>
      </c>
      <c r="H21" s="214">
        <v>0.114</v>
      </c>
      <c r="I21" s="27">
        <v>0</v>
      </c>
      <c r="K21" s="213" t="s">
        <v>45</v>
      </c>
      <c r="L21" s="223">
        <v>42144</v>
      </c>
      <c r="M21" s="14" t="s">
        <v>138</v>
      </c>
      <c r="N21" s="223">
        <v>43241</v>
      </c>
      <c r="O21" s="14" t="s">
        <v>102</v>
      </c>
      <c r="P21" s="14">
        <v>0</v>
      </c>
      <c r="Q21" s="14">
        <v>0</v>
      </c>
      <c r="R21" s="214">
        <v>0.19</v>
      </c>
      <c r="S21" s="27">
        <v>0</v>
      </c>
      <c r="U21" s="213" t="s">
        <v>45</v>
      </c>
      <c r="V21" s="223">
        <v>42144</v>
      </c>
      <c r="W21" s="14" t="s">
        <v>138</v>
      </c>
      <c r="X21" s="223">
        <v>43241</v>
      </c>
      <c r="Y21" s="14" t="s">
        <v>102</v>
      </c>
      <c r="Z21" s="14">
        <v>0</v>
      </c>
      <c r="AA21" s="14">
        <v>0</v>
      </c>
      <c r="AB21" s="214">
        <v>0.19</v>
      </c>
      <c r="AC21" s="27">
        <v>0</v>
      </c>
      <c r="AE21" s="213" t="s">
        <v>45</v>
      </c>
      <c r="AF21" s="223">
        <v>42144</v>
      </c>
      <c r="AG21" s="14" t="s">
        <v>170</v>
      </c>
      <c r="AH21" s="223">
        <v>42695</v>
      </c>
      <c r="AI21" s="14" t="s">
        <v>172</v>
      </c>
      <c r="AJ21" s="14">
        <v>0</v>
      </c>
      <c r="AK21" s="14">
        <v>0</v>
      </c>
      <c r="AL21" s="214">
        <v>-4.7857588E-2</v>
      </c>
      <c r="AM21" s="27">
        <v>0</v>
      </c>
      <c r="AO21" s="213" t="s">
        <v>45</v>
      </c>
      <c r="AP21" s="223">
        <v>42144</v>
      </c>
      <c r="AQ21" s="14" t="s">
        <v>147</v>
      </c>
      <c r="AR21" s="223">
        <v>43241</v>
      </c>
      <c r="AS21" s="14" t="s">
        <v>102</v>
      </c>
      <c r="AT21" s="14">
        <v>0</v>
      </c>
      <c r="AU21" s="14">
        <v>0</v>
      </c>
      <c r="AV21" s="214">
        <v>0.28699999999999998</v>
      </c>
      <c r="AW21" s="27">
        <v>0</v>
      </c>
      <c r="AY21" s="213" t="s">
        <v>46</v>
      </c>
      <c r="AZ21" s="223">
        <v>42144</v>
      </c>
      <c r="BA21" s="14" t="s">
        <v>149</v>
      </c>
      <c r="BB21" s="223">
        <v>42571</v>
      </c>
      <c r="BC21" s="14" t="s">
        <v>155</v>
      </c>
      <c r="BD21" s="14">
        <v>0</v>
      </c>
      <c r="BE21" s="14">
        <v>0</v>
      </c>
      <c r="BF21" s="214">
        <v>-0.11600000000000001</v>
      </c>
      <c r="BG21" s="27">
        <v>0</v>
      </c>
    </row>
    <row r="22" spans="1:59" x14ac:dyDescent="0.2">
      <c r="A22" s="213" t="s">
        <v>45</v>
      </c>
      <c r="B22" s="223">
        <v>42144</v>
      </c>
      <c r="C22" s="14" t="s">
        <v>101</v>
      </c>
      <c r="D22" s="223">
        <v>43605</v>
      </c>
      <c r="E22" s="14" t="s">
        <v>103</v>
      </c>
      <c r="F22" s="14">
        <v>0</v>
      </c>
      <c r="G22" s="14">
        <v>0</v>
      </c>
      <c r="H22" s="214">
        <v>0.20899999999999999</v>
      </c>
      <c r="I22" s="27">
        <v>0</v>
      </c>
      <c r="K22" s="213" t="s">
        <v>45</v>
      </c>
      <c r="L22" s="223">
        <v>42144</v>
      </c>
      <c r="M22" s="14" t="s">
        <v>138</v>
      </c>
      <c r="N22" s="223">
        <v>43605</v>
      </c>
      <c r="O22" s="14" t="s">
        <v>103</v>
      </c>
      <c r="P22" s="14">
        <v>0</v>
      </c>
      <c r="Q22" s="14">
        <v>0</v>
      </c>
      <c r="R22" s="214">
        <v>0.28899999999999998</v>
      </c>
      <c r="S22" s="27">
        <v>0</v>
      </c>
      <c r="U22" s="213" t="s">
        <v>45</v>
      </c>
      <c r="V22" s="223">
        <v>42144</v>
      </c>
      <c r="W22" s="14" t="s">
        <v>138</v>
      </c>
      <c r="X22" s="223">
        <v>43605</v>
      </c>
      <c r="Y22" s="14" t="s">
        <v>103</v>
      </c>
      <c r="Z22" s="14">
        <v>0</v>
      </c>
      <c r="AA22" s="14">
        <v>0</v>
      </c>
      <c r="AB22" s="214">
        <v>0.28899999999999998</v>
      </c>
      <c r="AC22" s="27">
        <v>0</v>
      </c>
      <c r="AE22" s="213" t="s">
        <v>45</v>
      </c>
      <c r="AF22" s="223">
        <v>42144</v>
      </c>
      <c r="AG22" s="14" t="s">
        <v>170</v>
      </c>
      <c r="AH22" s="223">
        <v>42786</v>
      </c>
      <c r="AI22" s="14" t="s">
        <v>173</v>
      </c>
      <c r="AJ22" s="14">
        <v>0</v>
      </c>
      <c r="AK22" s="14">
        <v>0</v>
      </c>
      <c r="AL22" s="214">
        <v>-3.9834106000000001E-2</v>
      </c>
      <c r="AM22" s="27">
        <v>0</v>
      </c>
      <c r="AO22" s="213" t="s">
        <v>45</v>
      </c>
      <c r="AP22" s="223">
        <v>42144</v>
      </c>
      <c r="AQ22" s="14" t="s">
        <v>147</v>
      </c>
      <c r="AR22" s="223">
        <v>43605</v>
      </c>
      <c r="AS22" s="14" t="s">
        <v>103</v>
      </c>
      <c r="AT22" s="14">
        <v>0</v>
      </c>
      <c r="AU22" s="14">
        <v>0</v>
      </c>
      <c r="AV22" s="214">
        <v>0.38600000000000001</v>
      </c>
      <c r="AW22" s="27">
        <v>0</v>
      </c>
      <c r="AY22" s="213" t="s">
        <v>46</v>
      </c>
      <c r="AZ22" s="223">
        <v>42144</v>
      </c>
      <c r="BA22" s="14" t="s">
        <v>149</v>
      </c>
      <c r="BB22" s="223">
        <v>42604</v>
      </c>
      <c r="BC22" s="14" t="s">
        <v>156</v>
      </c>
      <c r="BD22" s="14">
        <v>0</v>
      </c>
      <c r="BE22" s="14">
        <v>0</v>
      </c>
      <c r="BF22" s="214">
        <v>-0.115</v>
      </c>
      <c r="BG22" s="27">
        <v>0</v>
      </c>
    </row>
    <row r="23" spans="1:59" x14ac:dyDescent="0.2">
      <c r="A23" s="213" t="s">
        <v>45</v>
      </c>
      <c r="B23" s="223">
        <v>42144</v>
      </c>
      <c r="C23" s="14" t="s">
        <v>101</v>
      </c>
      <c r="D23" s="223">
        <v>43971</v>
      </c>
      <c r="E23" s="14" t="s">
        <v>104</v>
      </c>
      <c r="F23" s="14">
        <v>0</v>
      </c>
      <c r="G23" s="14">
        <v>0</v>
      </c>
      <c r="H23" s="214">
        <v>0.32200000000000001</v>
      </c>
      <c r="I23" s="27">
        <v>0</v>
      </c>
      <c r="K23" s="213" t="s">
        <v>45</v>
      </c>
      <c r="L23" s="223">
        <v>42144</v>
      </c>
      <c r="M23" s="14" t="s">
        <v>138</v>
      </c>
      <c r="N23" s="223">
        <v>43971</v>
      </c>
      <c r="O23" s="14" t="s">
        <v>104</v>
      </c>
      <c r="P23" s="14">
        <v>0</v>
      </c>
      <c r="Q23" s="14">
        <v>0</v>
      </c>
      <c r="R23" s="214">
        <v>0.40500000000000003</v>
      </c>
      <c r="S23" s="27">
        <v>0</v>
      </c>
      <c r="U23" s="213" t="s">
        <v>45</v>
      </c>
      <c r="V23" s="223">
        <v>42144</v>
      </c>
      <c r="W23" s="14" t="s">
        <v>138</v>
      </c>
      <c r="X23" s="223">
        <v>43971</v>
      </c>
      <c r="Y23" s="14" t="s">
        <v>104</v>
      </c>
      <c r="Z23" s="14">
        <v>0</v>
      </c>
      <c r="AA23" s="14">
        <v>0</v>
      </c>
      <c r="AB23" s="214">
        <v>0.40500000000000003</v>
      </c>
      <c r="AC23" s="27">
        <v>0</v>
      </c>
      <c r="AE23" s="213" t="s">
        <v>45</v>
      </c>
      <c r="AF23" s="223">
        <v>42144</v>
      </c>
      <c r="AG23" s="14" t="s">
        <v>170</v>
      </c>
      <c r="AH23" s="223">
        <v>42877</v>
      </c>
      <c r="AI23" s="14" t="s">
        <v>165</v>
      </c>
      <c r="AJ23" s="14">
        <v>0</v>
      </c>
      <c r="AK23" s="14">
        <v>0</v>
      </c>
      <c r="AL23" s="214">
        <v>-0.03</v>
      </c>
      <c r="AM23" s="27">
        <v>0</v>
      </c>
      <c r="AO23" s="213" t="s">
        <v>45</v>
      </c>
      <c r="AP23" s="223">
        <v>42144</v>
      </c>
      <c r="AQ23" s="14" t="s">
        <v>147</v>
      </c>
      <c r="AR23" s="223">
        <v>43971</v>
      </c>
      <c r="AS23" s="14" t="s">
        <v>104</v>
      </c>
      <c r="AT23" s="14">
        <v>0</v>
      </c>
      <c r="AU23" s="14">
        <v>0</v>
      </c>
      <c r="AV23" s="214">
        <v>0.503</v>
      </c>
      <c r="AW23" s="27">
        <v>0</v>
      </c>
      <c r="AY23" s="213" t="s">
        <v>46</v>
      </c>
      <c r="AZ23" s="223">
        <v>42144</v>
      </c>
      <c r="BA23" s="14" t="s">
        <v>149</v>
      </c>
      <c r="BB23" s="223">
        <v>42633</v>
      </c>
      <c r="BC23" s="14" t="s">
        <v>157</v>
      </c>
      <c r="BD23" s="14">
        <v>0</v>
      </c>
      <c r="BE23" s="14">
        <v>0</v>
      </c>
      <c r="BF23" s="214">
        <v>-0.113</v>
      </c>
      <c r="BG23" s="27">
        <v>0</v>
      </c>
    </row>
    <row r="24" spans="1:59" x14ac:dyDescent="0.2">
      <c r="A24" s="213" t="s">
        <v>45</v>
      </c>
      <c r="B24" s="223">
        <v>42144</v>
      </c>
      <c r="C24" s="14" t="s">
        <v>101</v>
      </c>
      <c r="D24" s="223">
        <v>44336</v>
      </c>
      <c r="E24" s="14" t="s">
        <v>105</v>
      </c>
      <c r="F24" s="14">
        <v>0</v>
      </c>
      <c r="G24" s="14">
        <v>0</v>
      </c>
      <c r="H24" s="214">
        <v>0.442</v>
      </c>
      <c r="I24" s="27">
        <v>0</v>
      </c>
      <c r="K24" s="213" t="s">
        <v>45</v>
      </c>
      <c r="L24" s="223">
        <v>42144</v>
      </c>
      <c r="M24" s="14" t="s">
        <v>138</v>
      </c>
      <c r="N24" s="223">
        <v>44336</v>
      </c>
      <c r="O24" s="14" t="s">
        <v>105</v>
      </c>
      <c r="P24" s="14">
        <v>0</v>
      </c>
      <c r="Q24" s="14">
        <v>0</v>
      </c>
      <c r="R24" s="214">
        <v>0.52600000000000002</v>
      </c>
      <c r="S24" s="27">
        <v>0</v>
      </c>
      <c r="U24" s="213" t="s">
        <v>45</v>
      </c>
      <c r="V24" s="223">
        <v>42144</v>
      </c>
      <c r="W24" s="14" t="s">
        <v>138</v>
      </c>
      <c r="X24" s="223">
        <v>44336</v>
      </c>
      <c r="Y24" s="14" t="s">
        <v>105</v>
      </c>
      <c r="Z24" s="14">
        <v>0</v>
      </c>
      <c r="AA24" s="14">
        <v>0</v>
      </c>
      <c r="AB24" s="214">
        <v>0.52600000000000002</v>
      </c>
      <c r="AC24" s="27">
        <v>0</v>
      </c>
      <c r="AE24" s="213" t="s">
        <v>45</v>
      </c>
      <c r="AF24" s="223">
        <v>42144</v>
      </c>
      <c r="AG24" s="14" t="s">
        <v>170</v>
      </c>
      <c r="AH24" s="223">
        <v>42968</v>
      </c>
      <c r="AI24" s="14" t="s">
        <v>174</v>
      </c>
      <c r="AJ24" s="14">
        <v>0</v>
      </c>
      <c r="AK24" s="14">
        <v>0</v>
      </c>
      <c r="AL24" s="214">
        <v>-1.7161968E-2</v>
      </c>
      <c r="AM24" s="27">
        <v>0</v>
      </c>
      <c r="AO24" s="213" t="s">
        <v>45</v>
      </c>
      <c r="AP24" s="223">
        <v>42144</v>
      </c>
      <c r="AQ24" s="14" t="s">
        <v>147</v>
      </c>
      <c r="AR24" s="223">
        <v>44336</v>
      </c>
      <c r="AS24" s="14" t="s">
        <v>105</v>
      </c>
      <c r="AT24" s="14">
        <v>0</v>
      </c>
      <c r="AU24" s="14">
        <v>0</v>
      </c>
      <c r="AV24" s="214">
        <v>0.624</v>
      </c>
      <c r="AW24" s="27">
        <v>0</v>
      </c>
      <c r="AY24" s="213" t="s">
        <v>46</v>
      </c>
      <c r="AZ24" s="223">
        <v>42144</v>
      </c>
      <c r="BA24" s="14" t="s">
        <v>149</v>
      </c>
      <c r="BB24" s="223">
        <v>42663</v>
      </c>
      <c r="BC24" s="14" t="s">
        <v>158</v>
      </c>
      <c r="BD24" s="14">
        <v>0</v>
      </c>
      <c r="BE24" s="14">
        <v>0</v>
      </c>
      <c r="BF24" s="214">
        <v>-0.111</v>
      </c>
      <c r="BG24" s="27">
        <v>0</v>
      </c>
    </row>
    <row r="25" spans="1:59" x14ac:dyDescent="0.2">
      <c r="A25" s="213" t="s">
        <v>45</v>
      </c>
      <c r="B25" s="223">
        <v>42144</v>
      </c>
      <c r="C25" s="14" t="s">
        <v>101</v>
      </c>
      <c r="D25" s="223">
        <v>44701</v>
      </c>
      <c r="E25" s="14" t="s">
        <v>106</v>
      </c>
      <c r="F25" s="14">
        <v>0</v>
      </c>
      <c r="G25" s="14">
        <v>0</v>
      </c>
      <c r="H25" s="214">
        <v>0.56299999999999994</v>
      </c>
      <c r="I25" s="27">
        <v>0</v>
      </c>
      <c r="K25" s="213" t="s">
        <v>45</v>
      </c>
      <c r="L25" s="223">
        <v>42144</v>
      </c>
      <c r="M25" s="14" t="s">
        <v>138</v>
      </c>
      <c r="N25" s="223">
        <v>44701</v>
      </c>
      <c r="O25" s="14" t="s">
        <v>106</v>
      </c>
      <c r="P25" s="14">
        <v>0</v>
      </c>
      <c r="Q25" s="14">
        <v>0</v>
      </c>
      <c r="R25" s="214">
        <v>0.64700000000000002</v>
      </c>
      <c r="S25" s="27">
        <v>0</v>
      </c>
      <c r="U25" s="213" t="s">
        <v>45</v>
      </c>
      <c r="V25" s="223">
        <v>42144</v>
      </c>
      <c r="W25" s="14" t="s">
        <v>138</v>
      </c>
      <c r="X25" s="223">
        <v>44701</v>
      </c>
      <c r="Y25" s="14" t="s">
        <v>106</v>
      </c>
      <c r="Z25" s="14">
        <v>0</v>
      </c>
      <c r="AA25" s="14">
        <v>0</v>
      </c>
      <c r="AB25" s="214">
        <v>0.64700000000000002</v>
      </c>
      <c r="AC25" s="27">
        <v>0</v>
      </c>
      <c r="AE25" s="213" t="s">
        <v>45</v>
      </c>
      <c r="AF25" s="223">
        <v>42144</v>
      </c>
      <c r="AG25" s="14" t="s">
        <v>170</v>
      </c>
      <c r="AH25" s="223">
        <v>43059</v>
      </c>
      <c r="AI25" s="14" t="s">
        <v>175</v>
      </c>
      <c r="AJ25" s="14">
        <v>0</v>
      </c>
      <c r="AK25" s="14">
        <v>0</v>
      </c>
      <c r="AL25" s="214">
        <v>-9.3137000000000005E-4</v>
      </c>
      <c r="AM25" s="27">
        <v>0</v>
      </c>
      <c r="AO25" s="213" t="s">
        <v>45</v>
      </c>
      <c r="AP25" s="223">
        <v>42144</v>
      </c>
      <c r="AQ25" s="14" t="s">
        <v>147</v>
      </c>
      <c r="AR25" s="223">
        <v>44701</v>
      </c>
      <c r="AS25" s="14" t="s">
        <v>106</v>
      </c>
      <c r="AT25" s="14">
        <v>0</v>
      </c>
      <c r="AU25" s="14">
        <v>0</v>
      </c>
      <c r="AV25" s="214">
        <v>0.745</v>
      </c>
      <c r="AW25" s="27">
        <v>0</v>
      </c>
      <c r="AY25" s="213" t="s">
        <v>46</v>
      </c>
      <c r="AZ25" s="223">
        <v>42144</v>
      </c>
      <c r="BA25" s="14" t="s">
        <v>149</v>
      </c>
      <c r="BB25" s="223">
        <v>42695</v>
      </c>
      <c r="BC25" s="14" t="s">
        <v>159</v>
      </c>
      <c r="BD25" s="14">
        <v>0</v>
      </c>
      <c r="BE25" s="14">
        <v>0</v>
      </c>
      <c r="BF25" s="214">
        <v>-0.109</v>
      </c>
      <c r="BG25" s="27">
        <v>0</v>
      </c>
    </row>
    <row r="26" spans="1:59" x14ac:dyDescent="0.2">
      <c r="A26" s="213" t="s">
        <v>45</v>
      </c>
      <c r="B26" s="223">
        <v>42144</v>
      </c>
      <c r="C26" s="14" t="s">
        <v>101</v>
      </c>
      <c r="D26" s="223">
        <v>45068</v>
      </c>
      <c r="E26" s="14" t="s">
        <v>107</v>
      </c>
      <c r="F26" s="14">
        <v>0</v>
      </c>
      <c r="G26" s="14">
        <v>0</v>
      </c>
      <c r="H26" s="214">
        <v>0.67600000000000005</v>
      </c>
      <c r="I26" s="27">
        <v>0</v>
      </c>
      <c r="K26" s="213" t="s">
        <v>45</v>
      </c>
      <c r="L26" s="223">
        <v>42144</v>
      </c>
      <c r="M26" s="14" t="s">
        <v>138</v>
      </c>
      <c r="N26" s="223">
        <v>45068</v>
      </c>
      <c r="O26" s="14" t="s">
        <v>107</v>
      </c>
      <c r="P26" s="14">
        <v>0</v>
      </c>
      <c r="Q26" s="14">
        <v>0</v>
      </c>
      <c r="R26" s="214">
        <v>0.75900000000000001</v>
      </c>
      <c r="S26" s="27">
        <v>0</v>
      </c>
      <c r="U26" s="213" t="s">
        <v>45</v>
      </c>
      <c r="V26" s="223">
        <v>42144</v>
      </c>
      <c r="W26" s="14" t="s">
        <v>138</v>
      </c>
      <c r="X26" s="223">
        <v>45068</v>
      </c>
      <c r="Y26" s="14" t="s">
        <v>107</v>
      </c>
      <c r="Z26" s="14">
        <v>0</v>
      </c>
      <c r="AA26" s="14">
        <v>0</v>
      </c>
      <c r="AB26" s="214">
        <v>0.75900000000000001</v>
      </c>
      <c r="AC26" s="27">
        <v>0</v>
      </c>
      <c r="AE26" s="213" t="s">
        <v>45</v>
      </c>
      <c r="AF26" s="223">
        <v>42144</v>
      </c>
      <c r="AG26" s="14" t="s">
        <v>170</v>
      </c>
      <c r="AH26" s="223">
        <v>43151</v>
      </c>
      <c r="AI26" s="14" t="s">
        <v>176</v>
      </c>
      <c r="AJ26" s="14">
        <v>0</v>
      </c>
      <c r="AK26" s="14">
        <v>0</v>
      </c>
      <c r="AL26" s="214">
        <v>1.764715E-2</v>
      </c>
      <c r="AM26" s="27">
        <v>0</v>
      </c>
      <c r="AO26" s="213" t="s">
        <v>45</v>
      </c>
      <c r="AP26" s="223">
        <v>42144</v>
      </c>
      <c r="AQ26" s="14" t="s">
        <v>147</v>
      </c>
      <c r="AR26" s="223">
        <v>45068</v>
      </c>
      <c r="AS26" s="14" t="s">
        <v>107</v>
      </c>
      <c r="AT26" s="14">
        <v>0</v>
      </c>
      <c r="AU26" s="14">
        <v>0</v>
      </c>
      <c r="AV26" s="214">
        <v>0.85699999999999998</v>
      </c>
      <c r="AW26" s="27">
        <v>0</v>
      </c>
      <c r="AY26" s="213" t="s">
        <v>46</v>
      </c>
      <c r="AZ26" s="223">
        <v>42144</v>
      </c>
      <c r="BA26" s="14" t="s">
        <v>149</v>
      </c>
      <c r="BB26" s="223">
        <v>42724</v>
      </c>
      <c r="BC26" s="14" t="s">
        <v>160</v>
      </c>
      <c r="BD26" s="14">
        <v>0</v>
      </c>
      <c r="BE26" s="14">
        <v>0</v>
      </c>
      <c r="BF26" s="214">
        <v>-0.107</v>
      </c>
      <c r="BG26" s="27">
        <v>0</v>
      </c>
    </row>
    <row r="27" spans="1:59" x14ac:dyDescent="0.2">
      <c r="A27" s="213" t="s">
        <v>45</v>
      </c>
      <c r="B27" s="223">
        <v>42144</v>
      </c>
      <c r="C27" s="14" t="s">
        <v>101</v>
      </c>
      <c r="D27" s="223">
        <v>45432</v>
      </c>
      <c r="E27" s="14" t="s">
        <v>108</v>
      </c>
      <c r="F27" s="14">
        <v>0</v>
      </c>
      <c r="G27" s="14">
        <v>0</v>
      </c>
      <c r="H27" s="214">
        <v>0.77700000000000002</v>
      </c>
      <c r="I27" s="27">
        <v>0</v>
      </c>
      <c r="K27" s="213" t="s">
        <v>45</v>
      </c>
      <c r="L27" s="223">
        <v>42144</v>
      </c>
      <c r="M27" s="14" t="s">
        <v>138</v>
      </c>
      <c r="N27" s="223">
        <v>45432</v>
      </c>
      <c r="O27" s="14" t="s">
        <v>108</v>
      </c>
      <c r="P27" s="14">
        <v>0</v>
      </c>
      <c r="Q27" s="14">
        <v>0</v>
      </c>
      <c r="R27" s="214">
        <v>0.85799999999999998</v>
      </c>
      <c r="S27" s="27">
        <v>0</v>
      </c>
      <c r="U27" s="213" t="s">
        <v>45</v>
      </c>
      <c r="V27" s="223">
        <v>42144</v>
      </c>
      <c r="W27" s="14" t="s">
        <v>138</v>
      </c>
      <c r="X27" s="223">
        <v>45432</v>
      </c>
      <c r="Y27" s="14" t="s">
        <v>108</v>
      </c>
      <c r="Z27" s="14">
        <v>0</v>
      </c>
      <c r="AA27" s="14">
        <v>0</v>
      </c>
      <c r="AB27" s="214">
        <v>0.85799999999999998</v>
      </c>
      <c r="AC27" s="27">
        <v>0</v>
      </c>
      <c r="AE27" s="213" t="s">
        <v>45</v>
      </c>
      <c r="AF27" s="223">
        <v>42144</v>
      </c>
      <c r="AG27" s="14" t="s">
        <v>170</v>
      </c>
      <c r="AH27" s="223">
        <v>43241</v>
      </c>
      <c r="AI27" s="14" t="s">
        <v>102</v>
      </c>
      <c r="AJ27" s="14">
        <v>0</v>
      </c>
      <c r="AK27" s="14">
        <v>0</v>
      </c>
      <c r="AL27" s="214">
        <v>3.6999999999999998E-2</v>
      </c>
      <c r="AM27" s="27">
        <v>0</v>
      </c>
      <c r="AO27" s="213" t="s">
        <v>45</v>
      </c>
      <c r="AP27" s="223">
        <v>42144</v>
      </c>
      <c r="AQ27" s="14" t="s">
        <v>147</v>
      </c>
      <c r="AR27" s="223">
        <v>45432</v>
      </c>
      <c r="AS27" s="14" t="s">
        <v>108</v>
      </c>
      <c r="AT27" s="14">
        <v>0</v>
      </c>
      <c r="AU27" s="14">
        <v>0</v>
      </c>
      <c r="AV27" s="214">
        <v>0.95499999999999996</v>
      </c>
      <c r="AW27" s="27">
        <v>0</v>
      </c>
      <c r="AY27" s="213" t="s">
        <v>46</v>
      </c>
      <c r="AZ27" s="223">
        <v>42144</v>
      </c>
      <c r="BA27" s="14" t="s">
        <v>149</v>
      </c>
      <c r="BB27" s="223">
        <v>42755</v>
      </c>
      <c r="BC27" s="14" t="s">
        <v>161</v>
      </c>
      <c r="BD27" s="14">
        <v>0</v>
      </c>
      <c r="BE27" s="14">
        <v>0</v>
      </c>
      <c r="BF27" s="214">
        <v>-0.105</v>
      </c>
      <c r="BG27" s="27">
        <v>0</v>
      </c>
    </row>
    <row r="28" spans="1:59" x14ac:dyDescent="0.2">
      <c r="A28" s="213" t="s">
        <v>45</v>
      </c>
      <c r="B28" s="223">
        <v>42144</v>
      </c>
      <c r="C28" s="14" t="s">
        <v>101</v>
      </c>
      <c r="D28" s="223">
        <v>45797</v>
      </c>
      <c r="E28" s="14" t="s">
        <v>109</v>
      </c>
      <c r="F28" s="14">
        <v>0</v>
      </c>
      <c r="G28" s="14">
        <v>0</v>
      </c>
      <c r="H28" s="214">
        <v>0.86299999999999999</v>
      </c>
      <c r="I28" s="27">
        <v>0</v>
      </c>
      <c r="K28" s="213" t="s">
        <v>45</v>
      </c>
      <c r="L28" s="223">
        <v>42144</v>
      </c>
      <c r="M28" s="14" t="s">
        <v>138</v>
      </c>
      <c r="N28" s="223">
        <v>45797</v>
      </c>
      <c r="O28" s="14" t="s">
        <v>109</v>
      </c>
      <c r="P28" s="14">
        <v>0</v>
      </c>
      <c r="Q28" s="14">
        <v>0</v>
      </c>
      <c r="R28" s="214">
        <v>0.94199999999999995</v>
      </c>
      <c r="S28" s="27">
        <v>0</v>
      </c>
      <c r="U28" s="213" t="s">
        <v>45</v>
      </c>
      <c r="V28" s="223">
        <v>42144</v>
      </c>
      <c r="W28" s="14" t="s">
        <v>138</v>
      </c>
      <c r="X28" s="223">
        <v>45797</v>
      </c>
      <c r="Y28" s="14" t="s">
        <v>109</v>
      </c>
      <c r="Z28" s="14">
        <v>0</v>
      </c>
      <c r="AA28" s="14">
        <v>0</v>
      </c>
      <c r="AB28" s="214">
        <v>0.94199999999999995</v>
      </c>
      <c r="AC28" s="27">
        <v>0</v>
      </c>
      <c r="AE28" s="213" t="s">
        <v>45</v>
      </c>
      <c r="AF28" s="223">
        <v>42144</v>
      </c>
      <c r="AG28" s="14" t="s">
        <v>170</v>
      </c>
      <c r="AH28" s="223">
        <v>43605</v>
      </c>
      <c r="AI28" s="14" t="s">
        <v>103</v>
      </c>
      <c r="AJ28" s="14">
        <v>0</v>
      </c>
      <c r="AK28" s="14">
        <v>0</v>
      </c>
      <c r="AL28" s="214">
        <v>0.127</v>
      </c>
      <c r="AM28" s="27">
        <v>0</v>
      </c>
      <c r="AO28" s="213" t="s">
        <v>45</v>
      </c>
      <c r="AP28" s="223">
        <v>42144</v>
      </c>
      <c r="AQ28" s="14" t="s">
        <v>147</v>
      </c>
      <c r="AR28" s="223">
        <v>45797</v>
      </c>
      <c r="AS28" s="14" t="s">
        <v>109</v>
      </c>
      <c r="AT28" s="14">
        <v>0</v>
      </c>
      <c r="AU28" s="14">
        <v>0</v>
      </c>
      <c r="AV28" s="214">
        <v>1.0369999999999999</v>
      </c>
      <c r="AW28" s="27">
        <v>0</v>
      </c>
      <c r="AY28" s="213" t="s">
        <v>46</v>
      </c>
      <c r="AZ28" s="223">
        <v>42144</v>
      </c>
      <c r="BA28" s="14" t="s">
        <v>149</v>
      </c>
      <c r="BB28" s="223">
        <v>42786</v>
      </c>
      <c r="BC28" s="14" t="s">
        <v>162</v>
      </c>
      <c r="BD28" s="14">
        <v>0</v>
      </c>
      <c r="BE28" s="14">
        <v>0</v>
      </c>
      <c r="BF28" s="214">
        <v>-0.10199999999999999</v>
      </c>
      <c r="BG28" s="27">
        <v>0</v>
      </c>
    </row>
    <row r="29" spans="1:59" x14ac:dyDescent="0.2">
      <c r="A29" s="213" t="s">
        <v>45</v>
      </c>
      <c r="B29" s="223">
        <v>42144</v>
      </c>
      <c r="C29" s="14" t="s">
        <v>101</v>
      </c>
      <c r="D29" s="223">
        <v>46162</v>
      </c>
      <c r="E29" s="14" t="s">
        <v>110</v>
      </c>
      <c r="F29" s="14">
        <v>0</v>
      </c>
      <c r="G29" s="14">
        <v>0</v>
      </c>
      <c r="H29" s="214">
        <v>0.94031549000000003</v>
      </c>
      <c r="I29" s="27">
        <v>0</v>
      </c>
      <c r="K29" s="213" t="s">
        <v>45</v>
      </c>
      <c r="L29" s="223">
        <v>42144</v>
      </c>
      <c r="M29" s="14" t="s">
        <v>138</v>
      </c>
      <c r="N29" s="223">
        <v>46162</v>
      </c>
      <c r="O29" s="14" t="s">
        <v>110</v>
      </c>
      <c r="P29" s="14">
        <v>0</v>
      </c>
      <c r="Q29" s="14">
        <v>0</v>
      </c>
      <c r="R29" s="214">
        <v>1.017007032</v>
      </c>
      <c r="S29" s="27">
        <v>0</v>
      </c>
      <c r="U29" s="213" t="s">
        <v>45</v>
      </c>
      <c r="V29" s="223">
        <v>42144</v>
      </c>
      <c r="W29" s="14" t="s">
        <v>138</v>
      </c>
      <c r="X29" s="223">
        <v>46162</v>
      </c>
      <c r="Y29" s="14" t="s">
        <v>110</v>
      </c>
      <c r="Z29" s="14">
        <v>0</v>
      </c>
      <c r="AA29" s="14">
        <v>0</v>
      </c>
      <c r="AB29" s="214">
        <v>1.017007032</v>
      </c>
      <c r="AC29" s="27">
        <v>0</v>
      </c>
      <c r="AE29" s="213" t="s">
        <v>45</v>
      </c>
      <c r="AF29" s="223">
        <v>42144</v>
      </c>
      <c r="AG29" s="14" t="s">
        <v>170</v>
      </c>
      <c r="AH29" s="223">
        <v>43971</v>
      </c>
      <c r="AI29" s="14" t="s">
        <v>104</v>
      </c>
      <c r="AJ29" s="14">
        <v>0</v>
      </c>
      <c r="AK29" s="14">
        <v>0</v>
      </c>
      <c r="AL29" s="214">
        <v>0.23499999999999999</v>
      </c>
      <c r="AM29" s="27">
        <v>0</v>
      </c>
      <c r="AO29" s="213" t="s">
        <v>45</v>
      </c>
      <c r="AP29" s="223">
        <v>42144</v>
      </c>
      <c r="AQ29" s="14" t="s">
        <v>147</v>
      </c>
      <c r="AR29" s="223">
        <v>46162</v>
      </c>
      <c r="AS29" s="14" t="s">
        <v>110</v>
      </c>
      <c r="AT29" s="14">
        <v>0</v>
      </c>
      <c r="AU29" s="14">
        <v>0</v>
      </c>
      <c r="AV29" s="214">
        <v>1.1096866110000001</v>
      </c>
      <c r="AW29" s="27">
        <v>0</v>
      </c>
      <c r="AY29" s="213" t="s">
        <v>46</v>
      </c>
      <c r="AZ29" s="223">
        <v>42144</v>
      </c>
      <c r="BA29" s="14" t="s">
        <v>149</v>
      </c>
      <c r="BB29" s="223">
        <v>42814</v>
      </c>
      <c r="BC29" s="14" t="s">
        <v>163</v>
      </c>
      <c r="BD29" s="14">
        <v>0</v>
      </c>
      <c r="BE29" s="14">
        <v>0</v>
      </c>
      <c r="BF29" s="214">
        <v>-9.9000000000000005E-2</v>
      </c>
      <c r="BG29" s="27">
        <v>0</v>
      </c>
    </row>
    <row r="30" spans="1:59" x14ac:dyDescent="0.2">
      <c r="A30" s="213" t="s">
        <v>45</v>
      </c>
      <c r="B30" s="223">
        <v>42144</v>
      </c>
      <c r="C30" s="14" t="s">
        <v>101</v>
      </c>
      <c r="D30" s="223">
        <v>46527</v>
      </c>
      <c r="E30" s="14" t="s">
        <v>111</v>
      </c>
      <c r="F30" s="14">
        <v>0</v>
      </c>
      <c r="G30" s="14">
        <v>0</v>
      </c>
      <c r="H30" s="214">
        <v>1.0089999999999999</v>
      </c>
      <c r="I30" s="27">
        <v>0</v>
      </c>
      <c r="K30" s="213" t="s">
        <v>45</v>
      </c>
      <c r="L30" s="223">
        <v>42144</v>
      </c>
      <c r="M30" s="14" t="s">
        <v>138</v>
      </c>
      <c r="N30" s="223">
        <v>46527</v>
      </c>
      <c r="O30" s="14" t="s">
        <v>111</v>
      </c>
      <c r="P30" s="14">
        <v>0</v>
      </c>
      <c r="Q30" s="14">
        <v>0</v>
      </c>
      <c r="R30" s="214">
        <v>1.083</v>
      </c>
      <c r="S30" s="27">
        <v>0</v>
      </c>
      <c r="U30" s="213" t="s">
        <v>45</v>
      </c>
      <c r="V30" s="223">
        <v>42144</v>
      </c>
      <c r="W30" s="14" t="s">
        <v>138</v>
      </c>
      <c r="X30" s="223">
        <v>46527</v>
      </c>
      <c r="Y30" s="14" t="s">
        <v>111</v>
      </c>
      <c r="Z30" s="14">
        <v>0</v>
      </c>
      <c r="AA30" s="14">
        <v>0</v>
      </c>
      <c r="AB30" s="214">
        <v>1.083</v>
      </c>
      <c r="AC30" s="27">
        <v>0</v>
      </c>
      <c r="AE30" s="213" t="s">
        <v>45</v>
      </c>
      <c r="AF30" s="223">
        <v>42144</v>
      </c>
      <c r="AG30" s="14" t="s">
        <v>170</v>
      </c>
      <c r="AH30" s="223">
        <v>44336</v>
      </c>
      <c r="AI30" s="14" t="s">
        <v>105</v>
      </c>
      <c r="AJ30" s="14">
        <v>0</v>
      </c>
      <c r="AK30" s="14">
        <v>0</v>
      </c>
      <c r="AL30" s="214">
        <v>0.35199999999999998</v>
      </c>
      <c r="AM30" s="27">
        <v>0</v>
      </c>
      <c r="AO30" s="213" t="s">
        <v>45</v>
      </c>
      <c r="AP30" s="223">
        <v>42144</v>
      </c>
      <c r="AQ30" s="14" t="s">
        <v>147</v>
      </c>
      <c r="AR30" s="223">
        <v>46527</v>
      </c>
      <c r="AS30" s="14" t="s">
        <v>111</v>
      </c>
      <c r="AT30" s="14">
        <v>0</v>
      </c>
      <c r="AU30" s="14">
        <v>0</v>
      </c>
      <c r="AV30" s="214">
        <v>1.173</v>
      </c>
      <c r="AW30" s="27">
        <v>0</v>
      </c>
      <c r="AY30" s="213" t="s">
        <v>46</v>
      </c>
      <c r="AZ30" s="223">
        <v>42144</v>
      </c>
      <c r="BA30" s="14" t="s">
        <v>149</v>
      </c>
      <c r="BB30" s="223">
        <v>42845</v>
      </c>
      <c r="BC30" s="14" t="s">
        <v>164</v>
      </c>
      <c r="BD30" s="14">
        <v>0</v>
      </c>
      <c r="BE30" s="14">
        <v>0</v>
      </c>
      <c r="BF30" s="214">
        <v>-9.5000000000000001E-2</v>
      </c>
      <c r="BG30" s="27">
        <v>0</v>
      </c>
    </row>
    <row r="31" spans="1:59" x14ac:dyDescent="0.2">
      <c r="A31" s="213" t="s">
        <v>45</v>
      </c>
      <c r="B31" s="223">
        <v>42144</v>
      </c>
      <c r="C31" s="14" t="s">
        <v>101</v>
      </c>
      <c r="D31" s="223">
        <v>46895</v>
      </c>
      <c r="E31" s="14" t="s">
        <v>112</v>
      </c>
      <c r="F31" s="14">
        <v>0</v>
      </c>
      <c r="G31" s="14">
        <v>0</v>
      </c>
      <c r="H31" s="214">
        <v>1.0686575030000001</v>
      </c>
      <c r="I31" s="27">
        <v>0</v>
      </c>
      <c r="K31" s="213" t="s">
        <v>45</v>
      </c>
      <c r="L31" s="223">
        <v>42144</v>
      </c>
      <c r="M31" s="14" t="s">
        <v>138</v>
      </c>
      <c r="N31" s="223">
        <v>46895</v>
      </c>
      <c r="O31" s="14" t="s">
        <v>112</v>
      </c>
      <c r="P31" s="14">
        <v>0</v>
      </c>
      <c r="Q31" s="14">
        <v>0</v>
      </c>
      <c r="R31" s="214">
        <v>1.139669246</v>
      </c>
      <c r="S31" s="27">
        <v>0</v>
      </c>
      <c r="U31" s="213" t="s">
        <v>45</v>
      </c>
      <c r="V31" s="223">
        <v>42144</v>
      </c>
      <c r="W31" s="14" t="s">
        <v>138</v>
      </c>
      <c r="X31" s="223">
        <v>46895</v>
      </c>
      <c r="Y31" s="14" t="s">
        <v>112</v>
      </c>
      <c r="Z31" s="14">
        <v>0</v>
      </c>
      <c r="AA31" s="14">
        <v>0</v>
      </c>
      <c r="AB31" s="214">
        <v>1.139669246</v>
      </c>
      <c r="AC31" s="27">
        <v>0</v>
      </c>
      <c r="AE31" s="213" t="s">
        <v>45</v>
      </c>
      <c r="AF31" s="223">
        <v>42144</v>
      </c>
      <c r="AG31" s="14" t="s">
        <v>170</v>
      </c>
      <c r="AH31" s="223">
        <v>44701</v>
      </c>
      <c r="AI31" s="14" t="s">
        <v>106</v>
      </c>
      <c r="AJ31" s="14">
        <v>0</v>
      </c>
      <c r="AK31" s="14">
        <v>0</v>
      </c>
      <c r="AL31" s="214">
        <v>0.47199999999999998</v>
      </c>
      <c r="AM31" s="27">
        <v>0</v>
      </c>
      <c r="AO31" s="213" t="s">
        <v>45</v>
      </c>
      <c r="AP31" s="223">
        <v>42144</v>
      </c>
      <c r="AQ31" s="14" t="s">
        <v>147</v>
      </c>
      <c r="AR31" s="223">
        <v>46895</v>
      </c>
      <c r="AS31" s="14" t="s">
        <v>112</v>
      </c>
      <c r="AT31" s="14">
        <v>0</v>
      </c>
      <c r="AU31" s="14">
        <v>0</v>
      </c>
      <c r="AV31" s="214">
        <v>1.2265693479999999</v>
      </c>
      <c r="AW31" s="27">
        <v>0</v>
      </c>
      <c r="AY31" s="213" t="s">
        <v>46</v>
      </c>
      <c r="AZ31" s="223">
        <v>42144</v>
      </c>
      <c r="BA31" s="14" t="s">
        <v>149</v>
      </c>
      <c r="BB31" s="223">
        <v>42877</v>
      </c>
      <c r="BC31" s="14" t="s">
        <v>165</v>
      </c>
      <c r="BD31" s="14">
        <v>0</v>
      </c>
      <c r="BE31" s="14">
        <v>0</v>
      </c>
      <c r="BF31" s="214">
        <v>-9.0999999999999998E-2</v>
      </c>
      <c r="BG31" s="27">
        <v>0</v>
      </c>
    </row>
    <row r="32" spans="1:59" x14ac:dyDescent="0.2">
      <c r="A32" s="213" t="s">
        <v>45</v>
      </c>
      <c r="B32" s="223">
        <v>42144</v>
      </c>
      <c r="C32" s="14" t="s">
        <v>101</v>
      </c>
      <c r="D32" s="223">
        <v>47259</v>
      </c>
      <c r="E32" s="14" t="s">
        <v>113</v>
      </c>
      <c r="F32" s="14">
        <v>0</v>
      </c>
      <c r="G32" s="14">
        <v>0</v>
      </c>
      <c r="H32" s="214">
        <v>1.118677761</v>
      </c>
      <c r="I32" s="27">
        <v>0</v>
      </c>
      <c r="K32" s="213" t="s">
        <v>45</v>
      </c>
      <c r="L32" s="223">
        <v>42144</v>
      </c>
      <c r="M32" s="14" t="s">
        <v>138</v>
      </c>
      <c r="N32" s="223">
        <v>47259</v>
      </c>
      <c r="O32" s="14" t="s">
        <v>113</v>
      </c>
      <c r="P32" s="14">
        <v>0</v>
      </c>
      <c r="Q32" s="14">
        <v>0</v>
      </c>
      <c r="R32" s="214">
        <v>1.1866365160000001</v>
      </c>
      <c r="S32" s="27">
        <v>0</v>
      </c>
      <c r="U32" s="213" t="s">
        <v>45</v>
      </c>
      <c r="V32" s="223">
        <v>42144</v>
      </c>
      <c r="W32" s="14" t="s">
        <v>138</v>
      </c>
      <c r="X32" s="223">
        <v>47259</v>
      </c>
      <c r="Y32" s="14" t="s">
        <v>113</v>
      </c>
      <c r="Z32" s="14">
        <v>0</v>
      </c>
      <c r="AA32" s="14">
        <v>0</v>
      </c>
      <c r="AB32" s="214">
        <v>1.1866365160000001</v>
      </c>
      <c r="AC32" s="27">
        <v>0</v>
      </c>
      <c r="AE32" s="213" t="s">
        <v>45</v>
      </c>
      <c r="AF32" s="223">
        <v>42144</v>
      </c>
      <c r="AG32" s="14" t="s">
        <v>170</v>
      </c>
      <c r="AH32" s="223">
        <v>45068</v>
      </c>
      <c r="AI32" s="14" t="s">
        <v>107</v>
      </c>
      <c r="AJ32" s="14">
        <v>0</v>
      </c>
      <c r="AK32" s="14">
        <v>0</v>
      </c>
      <c r="AL32" s="214">
        <v>0.58299999999999996</v>
      </c>
      <c r="AM32" s="27">
        <v>0</v>
      </c>
      <c r="AO32" s="213" t="s">
        <v>45</v>
      </c>
      <c r="AP32" s="223">
        <v>42144</v>
      </c>
      <c r="AQ32" s="14" t="s">
        <v>147</v>
      </c>
      <c r="AR32" s="223">
        <v>47259</v>
      </c>
      <c r="AS32" s="14" t="s">
        <v>113</v>
      </c>
      <c r="AT32" s="14">
        <v>0</v>
      </c>
      <c r="AU32" s="14">
        <v>0</v>
      </c>
      <c r="AV32" s="214">
        <v>1.2704199920000001</v>
      </c>
      <c r="AW32" s="27">
        <v>0</v>
      </c>
      <c r="AY32" s="213" t="s">
        <v>46</v>
      </c>
      <c r="AZ32" s="223">
        <v>42144</v>
      </c>
      <c r="BA32" s="14" t="s">
        <v>149</v>
      </c>
      <c r="BB32" s="223">
        <v>43241</v>
      </c>
      <c r="BC32" s="14" t="s">
        <v>102</v>
      </c>
      <c r="BD32" s="14">
        <v>0</v>
      </c>
      <c r="BE32" s="14">
        <v>0</v>
      </c>
      <c r="BF32" s="214">
        <v>-2.5999999999999999E-2</v>
      </c>
      <c r="BG32" s="27">
        <v>0</v>
      </c>
    </row>
    <row r="33" spans="1:59" x14ac:dyDescent="0.2">
      <c r="A33" s="213" t="s">
        <v>45</v>
      </c>
      <c r="B33" s="223">
        <v>42144</v>
      </c>
      <c r="C33" s="14" t="s">
        <v>101</v>
      </c>
      <c r="D33" s="223">
        <v>11098</v>
      </c>
      <c r="E33" s="14" t="s">
        <v>114</v>
      </c>
      <c r="F33" s="14">
        <v>0</v>
      </c>
      <c r="G33" s="14">
        <v>0</v>
      </c>
      <c r="H33" s="214">
        <v>1.161</v>
      </c>
      <c r="I33" s="27">
        <v>0</v>
      </c>
      <c r="K33" s="213" t="s">
        <v>45</v>
      </c>
      <c r="L33" s="223">
        <v>42144</v>
      </c>
      <c r="M33" s="14" t="s">
        <v>138</v>
      </c>
      <c r="N33" s="223">
        <v>11098</v>
      </c>
      <c r="O33" s="14" t="s">
        <v>114</v>
      </c>
      <c r="P33" s="14">
        <v>0</v>
      </c>
      <c r="Q33" s="14">
        <v>0</v>
      </c>
      <c r="R33" s="214">
        <v>1.226</v>
      </c>
      <c r="S33" s="27">
        <v>0</v>
      </c>
      <c r="U33" s="213" t="s">
        <v>45</v>
      </c>
      <c r="V33" s="223">
        <v>42144</v>
      </c>
      <c r="W33" s="14" t="s">
        <v>138</v>
      </c>
      <c r="X33" s="223">
        <v>11098</v>
      </c>
      <c r="Y33" s="14" t="s">
        <v>114</v>
      </c>
      <c r="Z33" s="14">
        <v>0</v>
      </c>
      <c r="AA33" s="14">
        <v>0</v>
      </c>
      <c r="AB33" s="214">
        <v>1.226</v>
      </c>
      <c r="AC33" s="27">
        <v>0</v>
      </c>
      <c r="AE33" s="213" t="s">
        <v>45</v>
      </c>
      <c r="AF33" s="223">
        <v>42144</v>
      </c>
      <c r="AG33" s="14" t="s">
        <v>170</v>
      </c>
      <c r="AH33" s="223">
        <v>45432</v>
      </c>
      <c r="AI33" s="14" t="s">
        <v>108</v>
      </c>
      <c r="AJ33" s="14">
        <v>0</v>
      </c>
      <c r="AK33" s="14">
        <v>0</v>
      </c>
      <c r="AL33" s="214">
        <v>0.68300000000000005</v>
      </c>
      <c r="AM33" s="27">
        <v>0</v>
      </c>
      <c r="AO33" s="213" t="s">
        <v>45</v>
      </c>
      <c r="AP33" s="223">
        <v>42144</v>
      </c>
      <c r="AQ33" s="14" t="s">
        <v>147</v>
      </c>
      <c r="AR33" s="223">
        <v>11098</v>
      </c>
      <c r="AS33" s="14" t="s">
        <v>114</v>
      </c>
      <c r="AT33" s="14">
        <v>0</v>
      </c>
      <c r="AU33" s="14">
        <v>0</v>
      </c>
      <c r="AV33" s="214">
        <v>1.3069999999999999</v>
      </c>
      <c r="AW33" s="27">
        <v>0</v>
      </c>
      <c r="AY33" s="213" t="s">
        <v>46</v>
      </c>
      <c r="AZ33" s="223">
        <v>42144</v>
      </c>
      <c r="BA33" s="14" t="s">
        <v>149</v>
      </c>
      <c r="BB33" s="223">
        <v>43605</v>
      </c>
      <c r="BC33" s="14" t="s">
        <v>103</v>
      </c>
      <c r="BD33" s="14">
        <v>0</v>
      </c>
      <c r="BE33" s="14">
        <v>0</v>
      </c>
      <c r="BF33" s="214">
        <v>6.5000000000000002E-2</v>
      </c>
      <c r="BG33" s="27">
        <v>0</v>
      </c>
    </row>
    <row r="34" spans="1:59" x14ac:dyDescent="0.2">
      <c r="A34" s="213" t="s">
        <v>45</v>
      </c>
      <c r="B34" s="223">
        <v>42144</v>
      </c>
      <c r="C34" s="14" t="s">
        <v>101</v>
      </c>
      <c r="D34" s="223">
        <v>11463</v>
      </c>
      <c r="E34" s="14" t="s">
        <v>115</v>
      </c>
      <c r="F34" s="14">
        <v>0</v>
      </c>
      <c r="G34" s="14">
        <v>0</v>
      </c>
      <c r="H34" s="214">
        <v>1.196559446</v>
      </c>
      <c r="I34" s="27">
        <v>0</v>
      </c>
      <c r="K34" s="213" t="s">
        <v>45</v>
      </c>
      <c r="L34" s="223">
        <v>42144</v>
      </c>
      <c r="M34" s="14" t="s">
        <v>138</v>
      </c>
      <c r="N34" s="223">
        <v>11463</v>
      </c>
      <c r="O34" s="14" t="s">
        <v>115</v>
      </c>
      <c r="P34" s="14">
        <v>0</v>
      </c>
      <c r="Q34" s="14">
        <v>0</v>
      </c>
      <c r="R34" s="214">
        <v>1.2587940820000001</v>
      </c>
      <c r="S34" s="27">
        <v>0</v>
      </c>
      <c r="U34" s="213" t="s">
        <v>45</v>
      </c>
      <c r="V34" s="223">
        <v>42144</v>
      </c>
      <c r="W34" s="14" t="s">
        <v>138</v>
      </c>
      <c r="X34" s="223">
        <v>11463</v>
      </c>
      <c r="Y34" s="14" t="s">
        <v>115</v>
      </c>
      <c r="Z34" s="14">
        <v>0</v>
      </c>
      <c r="AA34" s="14">
        <v>0</v>
      </c>
      <c r="AB34" s="214">
        <v>1.2587940820000001</v>
      </c>
      <c r="AC34" s="27">
        <v>0</v>
      </c>
      <c r="AE34" s="213" t="s">
        <v>45</v>
      </c>
      <c r="AF34" s="223">
        <v>42144</v>
      </c>
      <c r="AG34" s="14" t="s">
        <v>170</v>
      </c>
      <c r="AH34" s="223">
        <v>45797</v>
      </c>
      <c r="AI34" s="14" t="s">
        <v>109</v>
      </c>
      <c r="AJ34" s="14">
        <v>0</v>
      </c>
      <c r="AK34" s="14">
        <v>0</v>
      </c>
      <c r="AL34" s="214">
        <v>0.76900000000000002</v>
      </c>
      <c r="AM34" s="27">
        <v>0</v>
      </c>
      <c r="AO34" s="213" t="s">
        <v>45</v>
      </c>
      <c r="AP34" s="223">
        <v>42144</v>
      </c>
      <c r="AQ34" s="14" t="s">
        <v>147</v>
      </c>
      <c r="AR34" s="223">
        <v>11463</v>
      </c>
      <c r="AS34" s="14" t="s">
        <v>115</v>
      </c>
      <c r="AT34" s="14">
        <v>0</v>
      </c>
      <c r="AU34" s="14">
        <v>0</v>
      </c>
      <c r="AV34" s="214">
        <v>1.3375383890000001</v>
      </c>
      <c r="AW34" s="27">
        <v>0</v>
      </c>
      <c r="AY34" s="213" t="s">
        <v>46</v>
      </c>
      <c r="AZ34" s="223">
        <v>42144</v>
      </c>
      <c r="BA34" s="14" t="s">
        <v>149</v>
      </c>
      <c r="BB34" s="223">
        <v>43971</v>
      </c>
      <c r="BC34" s="14" t="s">
        <v>104</v>
      </c>
      <c r="BD34" s="14">
        <v>0</v>
      </c>
      <c r="BE34" s="14">
        <v>0</v>
      </c>
      <c r="BF34" s="214">
        <v>0.17399999999999999</v>
      </c>
      <c r="BG34" s="27">
        <v>0</v>
      </c>
    </row>
    <row r="35" spans="1:59" x14ac:dyDescent="0.2">
      <c r="A35" s="213" t="s">
        <v>45</v>
      </c>
      <c r="B35" s="223">
        <v>42144</v>
      </c>
      <c r="C35" s="14" t="s">
        <v>101</v>
      </c>
      <c r="D35" s="223">
        <v>11829</v>
      </c>
      <c r="E35" s="14" t="s">
        <v>116</v>
      </c>
      <c r="F35" s="14">
        <v>0</v>
      </c>
      <c r="G35" s="14">
        <v>0</v>
      </c>
      <c r="H35" s="214">
        <v>1.2263809569999999</v>
      </c>
      <c r="I35" s="27">
        <v>0</v>
      </c>
      <c r="K35" s="213" t="s">
        <v>45</v>
      </c>
      <c r="L35" s="223">
        <v>42144</v>
      </c>
      <c r="M35" s="14" t="s">
        <v>138</v>
      </c>
      <c r="N35" s="223">
        <v>11829</v>
      </c>
      <c r="O35" s="14" t="s">
        <v>116</v>
      </c>
      <c r="P35" s="14">
        <v>0</v>
      </c>
      <c r="Q35" s="14">
        <v>0</v>
      </c>
      <c r="R35" s="214">
        <v>1.2860533139999999</v>
      </c>
      <c r="S35" s="27">
        <v>0</v>
      </c>
      <c r="U35" s="213" t="s">
        <v>45</v>
      </c>
      <c r="V35" s="223">
        <v>42144</v>
      </c>
      <c r="W35" s="14" t="s">
        <v>138</v>
      </c>
      <c r="X35" s="223">
        <v>11829</v>
      </c>
      <c r="Y35" s="14" t="s">
        <v>116</v>
      </c>
      <c r="Z35" s="14">
        <v>0</v>
      </c>
      <c r="AA35" s="14">
        <v>0</v>
      </c>
      <c r="AB35" s="214">
        <v>1.2860533139999999</v>
      </c>
      <c r="AC35" s="27">
        <v>0</v>
      </c>
      <c r="AE35" s="213" t="s">
        <v>45</v>
      </c>
      <c r="AF35" s="223">
        <v>42144</v>
      </c>
      <c r="AG35" s="14" t="s">
        <v>170</v>
      </c>
      <c r="AH35" s="223">
        <v>46162</v>
      </c>
      <c r="AI35" s="14" t="s">
        <v>110</v>
      </c>
      <c r="AJ35" s="14">
        <v>0</v>
      </c>
      <c r="AK35" s="14">
        <v>0</v>
      </c>
      <c r="AL35" s="214">
        <v>0.84615203900000002</v>
      </c>
      <c r="AM35" s="27">
        <v>0</v>
      </c>
      <c r="AO35" s="213" t="s">
        <v>45</v>
      </c>
      <c r="AP35" s="223">
        <v>42144</v>
      </c>
      <c r="AQ35" s="14" t="s">
        <v>147</v>
      </c>
      <c r="AR35" s="223">
        <v>11829</v>
      </c>
      <c r="AS35" s="14" t="s">
        <v>116</v>
      </c>
      <c r="AT35" s="14">
        <v>0</v>
      </c>
      <c r="AU35" s="14">
        <v>0</v>
      </c>
      <c r="AV35" s="214">
        <v>1.3629915909999999</v>
      </c>
      <c r="AW35" s="27">
        <v>0</v>
      </c>
      <c r="AY35" s="213" t="s">
        <v>46</v>
      </c>
      <c r="AZ35" s="223">
        <v>42144</v>
      </c>
      <c r="BA35" s="14" t="s">
        <v>149</v>
      </c>
      <c r="BB35" s="223">
        <v>44336</v>
      </c>
      <c r="BC35" s="14" t="s">
        <v>105</v>
      </c>
      <c r="BD35" s="14">
        <v>0</v>
      </c>
      <c r="BE35" s="14">
        <v>0</v>
      </c>
      <c r="BF35" s="214">
        <v>0.29399999999999998</v>
      </c>
      <c r="BG35" s="27">
        <v>0</v>
      </c>
    </row>
    <row r="36" spans="1:59" x14ac:dyDescent="0.2">
      <c r="A36" s="213" t="s">
        <v>45</v>
      </c>
      <c r="B36" s="223">
        <v>42144</v>
      </c>
      <c r="C36" s="14" t="s">
        <v>101</v>
      </c>
      <c r="D36" s="223">
        <v>12194</v>
      </c>
      <c r="E36" s="14" t="s">
        <v>117</v>
      </c>
      <c r="F36" s="14">
        <v>0</v>
      </c>
      <c r="G36" s="14">
        <v>0</v>
      </c>
      <c r="H36" s="214">
        <v>1.2507057699999999</v>
      </c>
      <c r="I36" s="27">
        <v>0</v>
      </c>
      <c r="K36" s="213" t="s">
        <v>45</v>
      </c>
      <c r="L36" s="223">
        <v>42144</v>
      </c>
      <c r="M36" s="14" t="s">
        <v>138</v>
      </c>
      <c r="N36" s="223">
        <v>12194</v>
      </c>
      <c r="O36" s="14" t="s">
        <v>117</v>
      </c>
      <c r="P36" s="14">
        <v>0</v>
      </c>
      <c r="Q36" s="14">
        <v>0</v>
      </c>
      <c r="R36" s="214">
        <v>1.307995016</v>
      </c>
      <c r="S36" s="27">
        <v>0</v>
      </c>
      <c r="U36" s="213" t="s">
        <v>45</v>
      </c>
      <c r="V36" s="223">
        <v>42144</v>
      </c>
      <c r="W36" s="14" t="s">
        <v>138</v>
      </c>
      <c r="X36" s="223">
        <v>12194</v>
      </c>
      <c r="Y36" s="14" t="s">
        <v>117</v>
      </c>
      <c r="Z36" s="14">
        <v>0</v>
      </c>
      <c r="AA36" s="14">
        <v>0</v>
      </c>
      <c r="AB36" s="214">
        <v>1.307995016</v>
      </c>
      <c r="AC36" s="27">
        <v>0</v>
      </c>
      <c r="AE36" s="213" t="s">
        <v>45</v>
      </c>
      <c r="AF36" s="223">
        <v>42144</v>
      </c>
      <c r="AG36" s="14" t="s">
        <v>170</v>
      </c>
      <c r="AH36" s="223">
        <v>46527</v>
      </c>
      <c r="AI36" s="14" t="s">
        <v>111</v>
      </c>
      <c r="AJ36" s="14">
        <v>0</v>
      </c>
      <c r="AK36" s="14">
        <v>0</v>
      </c>
      <c r="AL36" s="214">
        <v>0.91500000000000004</v>
      </c>
      <c r="AM36" s="27">
        <v>0</v>
      </c>
      <c r="AO36" s="213" t="s">
        <v>45</v>
      </c>
      <c r="AP36" s="223">
        <v>42144</v>
      </c>
      <c r="AQ36" s="14" t="s">
        <v>147</v>
      </c>
      <c r="AR36" s="223">
        <v>12194</v>
      </c>
      <c r="AS36" s="14" t="s">
        <v>117</v>
      </c>
      <c r="AT36" s="14">
        <v>0</v>
      </c>
      <c r="AU36" s="14">
        <v>0</v>
      </c>
      <c r="AV36" s="214">
        <v>1.3834345779999999</v>
      </c>
      <c r="AW36" s="27">
        <v>0</v>
      </c>
      <c r="AY36" s="213" t="s">
        <v>46</v>
      </c>
      <c r="AZ36" s="223">
        <v>42144</v>
      </c>
      <c r="BA36" s="14" t="s">
        <v>149</v>
      </c>
      <c r="BB36" s="223">
        <v>44701</v>
      </c>
      <c r="BC36" s="14" t="s">
        <v>106</v>
      </c>
      <c r="BD36" s="14">
        <v>0</v>
      </c>
      <c r="BE36" s="14">
        <v>0</v>
      </c>
      <c r="BF36" s="214">
        <v>0.41399999999999998</v>
      </c>
      <c r="BG36" s="27">
        <v>0</v>
      </c>
    </row>
    <row r="37" spans="1:59" x14ac:dyDescent="0.2">
      <c r="A37" s="213" t="s">
        <v>45</v>
      </c>
      <c r="B37" s="223">
        <v>42144</v>
      </c>
      <c r="C37" s="14" t="s">
        <v>101</v>
      </c>
      <c r="D37" s="223">
        <v>12561</v>
      </c>
      <c r="E37" s="14" t="s">
        <v>118</v>
      </c>
      <c r="F37" s="14">
        <v>0</v>
      </c>
      <c r="G37" s="14">
        <v>0</v>
      </c>
      <c r="H37" s="214">
        <v>1.270500084</v>
      </c>
      <c r="I37" s="27">
        <v>0</v>
      </c>
      <c r="K37" s="213" t="s">
        <v>45</v>
      </c>
      <c r="L37" s="223">
        <v>42144</v>
      </c>
      <c r="M37" s="14" t="s">
        <v>138</v>
      </c>
      <c r="N37" s="223">
        <v>12561</v>
      </c>
      <c r="O37" s="14" t="s">
        <v>118</v>
      </c>
      <c r="P37" s="14">
        <v>0</v>
      </c>
      <c r="Q37" s="14">
        <v>0</v>
      </c>
      <c r="R37" s="214">
        <v>1.325559677</v>
      </c>
      <c r="S37" s="27">
        <v>0</v>
      </c>
      <c r="U37" s="213" t="s">
        <v>45</v>
      </c>
      <c r="V37" s="223">
        <v>42144</v>
      </c>
      <c r="W37" s="14" t="s">
        <v>138</v>
      </c>
      <c r="X37" s="223">
        <v>12561</v>
      </c>
      <c r="Y37" s="14" t="s">
        <v>118</v>
      </c>
      <c r="Z37" s="14">
        <v>0</v>
      </c>
      <c r="AA37" s="14">
        <v>0</v>
      </c>
      <c r="AB37" s="214">
        <v>1.325559677</v>
      </c>
      <c r="AC37" s="27">
        <v>0</v>
      </c>
      <c r="AE37" s="213" t="s">
        <v>45</v>
      </c>
      <c r="AF37" s="223">
        <v>42144</v>
      </c>
      <c r="AG37" s="14" t="s">
        <v>170</v>
      </c>
      <c r="AH37" s="223">
        <v>46895</v>
      </c>
      <c r="AI37" s="14" t="s">
        <v>112</v>
      </c>
      <c r="AJ37" s="14">
        <v>0</v>
      </c>
      <c r="AK37" s="14">
        <v>0</v>
      </c>
      <c r="AL37" s="214">
        <v>0.97562716900000002</v>
      </c>
      <c r="AM37" s="27">
        <v>0</v>
      </c>
      <c r="AO37" s="213" t="s">
        <v>45</v>
      </c>
      <c r="AP37" s="223">
        <v>42144</v>
      </c>
      <c r="AQ37" s="14" t="s">
        <v>147</v>
      </c>
      <c r="AR37" s="223">
        <v>12561</v>
      </c>
      <c r="AS37" s="14" t="s">
        <v>118</v>
      </c>
      <c r="AT37" s="14">
        <v>0</v>
      </c>
      <c r="AU37" s="14">
        <v>0</v>
      </c>
      <c r="AV37" s="214">
        <v>1.399707399</v>
      </c>
      <c r="AW37" s="27">
        <v>0</v>
      </c>
      <c r="AY37" s="213" t="s">
        <v>46</v>
      </c>
      <c r="AZ37" s="223">
        <v>42144</v>
      </c>
      <c r="BA37" s="14" t="s">
        <v>149</v>
      </c>
      <c r="BB37" s="223">
        <v>45068</v>
      </c>
      <c r="BC37" s="14" t="s">
        <v>107</v>
      </c>
      <c r="BD37" s="14">
        <v>0</v>
      </c>
      <c r="BE37" s="14">
        <v>0</v>
      </c>
      <c r="BF37" s="214">
        <v>0.52600000000000002</v>
      </c>
      <c r="BG37" s="27">
        <v>0</v>
      </c>
    </row>
    <row r="38" spans="1:59" x14ac:dyDescent="0.2">
      <c r="A38" s="213" t="s">
        <v>45</v>
      </c>
      <c r="B38" s="223">
        <v>42144</v>
      </c>
      <c r="C38" s="14" t="s">
        <v>101</v>
      </c>
      <c r="D38" s="223">
        <v>12925</v>
      </c>
      <c r="E38" s="14" t="s">
        <v>119</v>
      </c>
      <c r="F38" s="14">
        <v>0</v>
      </c>
      <c r="G38" s="14">
        <v>0</v>
      </c>
      <c r="H38" s="214">
        <v>1.286</v>
      </c>
      <c r="I38" s="27">
        <v>0</v>
      </c>
      <c r="K38" s="213" t="s">
        <v>45</v>
      </c>
      <c r="L38" s="223">
        <v>42144</v>
      </c>
      <c r="M38" s="14" t="s">
        <v>138</v>
      </c>
      <c r="N38" s="223">
        <v>12925</v>
      </c>
      <c r="O38" s="14" t="s">
        <v>119</v>
      </c>
      <c r="P38" s="14">
        <v>0</v>
      </c>
      <c r="Q38" s="14">
        <v>0</v>
      </c>
      <c r="R38" s="214">
        <v>1.339</v>
      </c>
      <c r="S38" s="27">
        <v>0</v>
      </c>
      <c r="U38" s="213" t="s">
        <v>45</v>
      </c>
      <c r="V38" s="223">
        <v>42144</v>
      </c>
      <c r="W38" s="14" t="s">
        <v>138</v>
      </c>
      <c r="X38" s="223">
        <v>12925</v>
      </c>
      <c r="Y38" s="14" t="s">
        <v>119</v>
      </c>
      <c r="Z38" s="14">
        <v>0</v>
      </c>
      <c r="AA38" s="14">
        <v>0</v>
      </c>
      <c r="AB38" s="214">
        <v>1.339</v>
      </c>
      <c r="AC38" s="27">
        <v>0</v>
      </c>
      <c r="AE38" s="213" t="s">
        <v>45</v>
      </c>
      <c r="AF38" s="223">
        <v>42144</v>
      </c>
      <c r="AG38" s="14" t="s">
        <v>170</v>
      </c>
      <c r="AH38" s="223">
        <v>47259</v>
      </c>
      <c r="AI38" s="14" t="s">
        <v>113</v>
      </c>
      <c r="AJ38" s="14">
        <v>0</v>
      </c>
      <c r="AK38" s="14">
        <v>0</v>
      </c>
      <c r="AL38" s="214">
        <v>1.027112979</v>
      </c>
      <c r="AM38" s="27">
        <v>0</v>
      </c>
      <c r="AO38" s="213" t="s">
        <v>45</v>
      </c>
      <c r="AP38" s="223">
        <v>42144</v>
      </c>
      <c r="AQ38" s="14" t="s">
        <v>147</v>
      </c>
      <c r="AR38" s="223">
        <v>12925</v>
      </c>
      <c r="AS38" s="14" t="s">
        <v>119</v>
      </c>
      <c r="AT38" s="14">
        <v>0</v>
      </c>
      <c r="AU38" s="14">
        <v>0</v>
      </c>
      <c r="AV38" s="214">
        <v>1.4119999999999999</v>
      </c>
      <c r="AW38" s="27">
        <v>0</v>
      </c>
      <c r="AY38" s="213" t="s">
        <v>46</v>
      </c>
      <c r="AZ38" s="223">
        <v>42144</v>
      </c>
      <c r="BA38" s="14" t="s">
        <v>149</v>
      </c>
      <c r="BB38" s="223">
        <v>45432</v>
      </c>
      <c r="BC38" s="14" t="s">
        <v>108</v>
      </c>
      <c r="BD38" s="14">
        <v>0</v>
      </c>
      <c r="BE38" s="14">
        <v>0</v>
      </c>
      <c r="BF38" s="214">
        <v>0.625</v>
      </c>
      <c r="BG38" s="27">
        <v>0</v>
      </c>
    </row>
    <row r="39" spans="1:59" x14ac:dyDescent="0.2">
      <c r="A39" s="213" t="s">
        <v>45</v>
      </c>
      <c r="B39" s="223">
        <v>42144</v>
      </c>
      <c r="C39" s="14" t="s">
        <v>101</v>
      </c>
      <c r="D39" s="223">
        <v>13290</v>
      </c>
      <c r="E39" s="14" t="s">
        <v>120</v>
      </c>
      <c r="F39" s="14">
        <v>0</v>
      </c>
      <c r="G39" s="14">
        <v>0</v>
      </c>
      <c r="H39" s="214">
        <v>1.2980469100000001</v>
      </c>
      <c r="I39" s="27">
        <v>0</v>
      </c>
      <c r="K39" s="213" t="s">
        <v>45</v>
      </c>
      <c r="L39" s="223">
        <v>42144</v>
      </c>
      <c r="M39" s="14" t="s">
        <v>138</v>
      </c>
      <c r="N39" s="223">
        <v>13290</v>
      </c>
      <c r="O39" s="14" t="s">
        <v>120</v>
      </c>
      <c r="P39" s="14">
        <v>0</v>
      </c>
      <c r="Q39" s="14">
        <v>0</v>
      </c>
      <c r="R39" s="214">
        <v>1.3491317620000001</v>
      </c>
      <c r="S39" s="27">
        <v>0</v>
      </c>
      <c r="U39" s="213" t="s">
        <v>45</v>
      </c>
      <c r="V39" s="223">
        <v>42144</v>
      </c>
      <c r="W39" s="14" t="s">
        <v>138</v>
      </c>
      <c r="X39" s="223">
        <v>13290</v>
      </c>
      <c r="Y39" s="14" t="s">
        <v>120</v>
      </c>
      <c r="Z39" s="14">
        <v>0</v>
      </c>
      <c r="AA39" s="14">
        <v>0</v>
      </c>
      <c r="AB39" s="214">
        <v>1.3491317620000001</v>
      </c>
      <c r="AC39" s="27">
        <v>0</v>
      </c>
      <c r="AE39" s="213" t="s">
        <v>45</v>
      </c>
      <c r="AF39" s="223">
        <v>42144</v>
      </c>
      <c r="AG39" s="14" t="s">
        <v>170</v>
      </c>
      <c r="AH39" s="223">
        <v>11098</v>
      </c>
      <c r="AI39" s="14" t="s">
        <v>114</v>
      </c>
      <c r="AJ39" s="14">
        <v>0</v>
      </c>
      <c r="AK39" s="14">
        <v>0</v>
      </c>
      <c r="AL39" s="214">
        <v>1.071</v>
      </c>
      <c r="AM39" s="27">
        <v>0</v>
      </c>
      <c r="AO39" s="213" t="s">
        <v>45</v>
      </c>
      <c r="AP39" s="223">
        <v>42144</v>
      </c>
      <c r="AQ39" s="14" t="s">
        <v>147</v>
      </c>
      <c r="AR39" s="223">
        <v>13290</v>
      </c>
      <c r="AS39" s="14" t="s">
        <v>120</v>
      </c>
      <c r="AT39" s="14">
        <v>0</v>
      </c>
      <c r="AU39" s="14">
        <v>0</v>
      </c>
      <c r="AV39" s="214">
        <v>1.4210648779999999</v>
      </c>
      <c r="AW39" s="27">
        <v>0</v>
      </c>
      <c r="AY39" s="213" t="s">
        <v>46</v>
      </c>
      <c r="AZ39" s="223">
        <v>42144</v>
      </c>
      <c r="BA39" s="14" t="s">
        <v>149</v>
      </c>
      <c r="BB39" s="223">
        <v>45797</v>
      </c>
      <c r="BC39" s="14" t="s">
        <v>109</v>
      </c>
      <c r="BD39" s="14">
        <v>0</v>
      </c>
      <c r="BE39" s="14">
        <v>0</v>
      </c>
      <c r="BF39" s="214">
        <v>0.71099999999999997</v>
      </c>
      <c r="BG39" s="27">
        <v>0</v>
      </c>
    </row>
    <row r="40" spans="1:59" x14ac:dyDescent="0.2">
      <c r="A40" s="213" t="s">
        <v>45</v>
      </c>
      <c r="B40" s="223">
        <v>42144</v>
      </c>
      <c r="C40" s="14" t="s">
        <v>101</v>
      </c>
      <c r="D40" s="223">
        <v>13655</v>
      </c>
      <c r="E40" s="14" t="s">
        <v>121</v>
      </c>
      <c r="F40" s="14">
        <v>0</v>
      </c>
      <c r="G40" s="14">
        <v>0</v>
      </c>
      <c r="H40" s="214">
        <v>1.3070878939999999</v>
      </c>
      <c r="I40" s="27">
        <v>0</v>
      </c>
      <c r="K40" s="213" t="s">
        <v>45</v>
      </c>
      <c r="L40" s="223">
        <v>42144</v>
      </c>
      <c r="M40" s="14" t="s">
        <v>138</v>
      </c>
      <c r="N40" s="223">
        <v>13655</v>
      </c>
      <c r="O40" s="14" t="s">
        <v>121</v>
      </c>
      <c r="P40" s="14">
        <v>0</v>
      </c>
      <c r="Q40" s="14">
        <v>0</v>
      </c>
      <c r="R40" s="214">
        <v>1.356403316</v>
      </c>
      <c r="S40" s="27">
        <v>0</v>
      </c>
      <c r="U40" s="213" t="s">
        <v>45</v>
      </c>
      <c r="V40" s="223">
        <v>42144</v>
      </c>
      <c r="W40" s="14" t="s">
        <v>138</v>
      </c>
      <c r="X40" s="223">
        <v>13655</v>
      </c>
      <c r="Y40" s="14" t="s">
        <v>121</v>
      </c>
      <c r="Z40" s="14">
        <v>0</v>
      </c>
      <c r="AA40" s="14">
        <v>0</v>
      </c>
      <c r="AB40" s="214">
        <v>1.356403316</v>
      </c>
      <c r="AC40" s="27">
        <v>0</v>
      </c>
      <c r="AE40" s="213" t="s">
        <v>45</v>
      </c>
      <c r="AF40" s="223">
        <v>42144</v>
      </c>
      <c r="AG40" s="14" t="s">
        <v>170</v>
      </c>
      <c r="AH40" s="223">
        <v>11463</v>
      </c>
      <c r="AI40" s="14" t="s">
        <v>115</v>
      </c>
      <c r="AJ40" s="14">
        <v>0</v>
      </c>
      <c r="AK40" s="14">
        <v>0</v>
      </c>
      <c r="AL40" s="214">
        <v>1.1080010220000001</v>
      </c>
      <c r="AM40" s="27">
        <v>0</v>
      </c>
      <c r="AO40" s="213" t="s">
        <v>45</v>
      </c>
      <c r="AP40" s="223">
        <v>42144</v>
      </c>
      <c r="AQ40" s="14" t="s">
        <v>147</v>
      </c>
      <c r="AR40" s="223">
        <v>13655</v>
      </c>
      <c r="AS40" s="14" t="s">
        <v>121</v>
      </c>
      <c r="AT40" s="14">
        <v>0</v>
      </c>
      <c r="AU40" s="14">
        <v>0</v>
      </c>
      <c r="AV40" s="214">
        <v>1.427311711</v>
      </c>
      <c r="AW40" s="27">
        <v>0</v>
      </c>
      <c r="AY40" s="213" t="s">
        <v>46</v>
      </c>
      <c r="AZ40" s="223">
        <v>42144</v>
      </c>
      <c r="BA40" s="14" t="s">
        <v>149</v>
      </c>
      <c r="BB40" s="223">
        <v>46162</v>
      </c>
      <c r="BC40" s="14" t="s">
        <v>110</v>
      </c>
      <c r="BD40" s="14">
        <v>0</v>
      </c>
      <c r="BE40" s="14">
        <v>0</v>
      </c>
      <c r="BF40" s="214">
        <v>0.78900000000000003</v>
      </c>
      <c r="BG40" s="27">
        <v>0</v>
      </c>
    </row>
    <row r="41" spans="1:59" x14ac:dyDescent="0.2">
      <c r="A41" s="213" t="s">
        <v>45</v>
      </c>
      <c r="B41" s="223">
        <v>42144</v>
      </c>
      <c r="C41" s="14" t="s">
        <v>101</v>
      </c>
      <c r="D41" s="223">
        <v>14020</v>
      </c>
      <c r="E41" s="14" t="s">
        <v>122</v>
      </c>
      <c r="F41" s="14">
        <v>0</v>
      </c>
      <c r="G41" s="14">
        <v>0</v>
      </c>
      <c r="H41" s="214">
        <v>1.314014265</v>
      </c>
      <c r="I41" s="27">
        <v>0</v>
      </c>
      <c r="K41" s="213" t="s">
        <v>45</v>
      </c>
      <c r="L41" s="223">
        <v>42144</v>
      </c>
      <c r="M41" s="14" t="s">
        <v>138</v>
      </c>
      <c r="N41" s="223">
        <v>14020</v>
      </c>
      <c r="O41" s="14" t="s">
        <v>122</v>
      </c>
      <c r="P41" s="14">
        <v>0</v>
      </c>
      <c r="Q41" s="14">
        <v>0</v>
      </c>
      <c r="R41" s="214">
        <v>1.361721382</v>
      </c>
      <c r="S41" s="27">
        <v>0</v>
      </c>
      <c r="U41" s="213" t="s">
        <v>45</v>
      </c>
      <c r="V41" s="223">
        <v>42144</v>
      </c>
      <c r="W41" s="14" t="s">
        <v>138</v>
      </c>
      <c r="X41" s="223">
        <v>14020</v>
      </c>
      <c r="Y41" s="14" t="s">
        <v>122</v>
      </c>
      <c r="Z41" s="14">
        <v>0</v>
      </c>
      <c r="AA41" s="14">
        <v>0</v>
      </c>
      <c r="AB41" s="214">
        <v>1.361721382</v>
      </c>
      <c r="AC41" s="27">
        <v>0</v>
      </c>
      <c r="AE41" s="213" t="s">
        <v>45</v>
      </c>
      <c r="AF41" s="223">
        <v>42144</v>
      </c>
      <c r="AG41" s="14" t="s">
        <v>170</v>
      </c>
      <c r="AH41" s="223">
        <v>11829</v>
      </c>
      <c r="AI41" s="14" t="s">
        <v>116</v>
      </c>
      <c r="AJ41" s="14">
        <v>0</v>
      </c>
      <c r="AK41" s="14">
        <v>0</v>
      </c>
      <c r="AL41" s="214">
        <v>1.139165172</v>
      </c>
      <c r="AM41" s="27">
        <v>0</v>
      </c>
      <c r="AO41" s="213" t="s">
        <v>45</v>
      </c>
      <c r="AP41" s="223">
        <v>42144</v>
      </c>
      <c r="AQ41" s="14" t="s">
        <v>147</v>
      </c>
      <c r="AR41" s="223">
        <v>14020</v>
      </c>
      <c r="AS41" s="14" t="s">
        <v>122</v>
      </c>
      <c r="AT41" s="14">
        <v>0</v>
      </c>
      <c r="AU41" s="14">
        <v>0</v>
      </c>
      <c r="AV41" s="214">
        <v>1.431640501</v>
      </c>
      <c r="AW41" s="27">
        <v>0</v>
      </c>
      <c r="AY41" s="213" t="s">
        <v>46</v>
      </c>
      <c r="AZ41" s="223">
        <v>42144</v>
      </c>
      <c r="BA41" s="14" t="s">
        <v>149</v>
      </c>
      <c r="BB41" s="223">
        <v>46527</v>
      </c>
      <c r="BC41" s="14" t="s">
        <v>111</v>
      </c>
      <c r="BD41" s="14">
        <v>0</v>
      </c>
      <c r="BE41" s="14">
        <v>0</v>
      </c>
      <c r="BF41" s="214">
        <v>0.85799999999999998</v>
      </c>
      <c r="BG41" s="27">
        <v>0</v>
      </c>
    </row>
    <row r="42" spans="1:59" x14ac:dyDescent="0.2">
      <c r="A42" s="213" t="s">
        <v>45</v>
      </c>
      <c r="B42" s="223">
        <v>42144</v>
      </c>
      <c r="C42" s="14" t="s">
        <v>101</v>
      </c>
      <c r="D42" s="223">
        <v>14385</v>
      </c>
      <c r="E42" s="14" t="s">
        <v>123</v>
      </c>
      <c r="F42" s="14">
        <v>0</v>
      </c>
      <c r="G42" s="14">
        <v>0</v>
      </c>
      <c r="H42" s="214">
        <v>1.319435291</v>
      </c>
      <c r="I42" s="27">
        <v>0</v>
      </c>
      <c r="K42" s="213" t="s">
        <v>45</v>
      </c>
      <c r="L42" s="223">
        <v>42144</v>
      </c>
      <c r="M42" s="14" t="s">
        <v>138</v>
      </c>
      <c r="N42" s="223">
        <v>14385</v>
      </c>
      <c r="O42" s="14" t="s">
        <v>123</v>
      </c>
      <c r="P42" s="14">
        <v>0</v>
      </c>
      <c r="Q42" s="14">
        <v>0</v>
      </c>
      <c r="R42" s="214">
        <v>1.3657026889999999</v>
      </c>
      <c r="S42" s="27">
        <v>0</v>
      </c>
      <c r="U42" s="213" t="s">
        <v>45</v>
      </c>
      <c r="V42" s="223">
        <v>42144</v>
      </c>
      <c r="W42" s="14" t="s">
        <v>138</v>
      </c>
      <c r="X42" s="223">
        <v>14385</v>
      </c>
      <c r="Y42" s="14" t="s">
        <v>123</v>
      </c>
      <c r="Z42" s="14">
        <v>0</v>
      </c>
      <c r="AA42" s="14">
        <v>0</v>
      </c>
      <c r="AB42" s="214">
        <v>1.3657026889999999</v>
      </c>
      <c r="AC42" s="27">
        <v>0</v>
      </c>
      <c r="AE42" s="213" t="s">
        <v>45</v>
      </c>
      <c r="AF42" s="223">
        <v>42144</v>
      </c>
      <c r="AG42" s="14" t="s">
        <v>170</v>
      </c>
      <c r="AH42" s="223">
        <v>12194</v>
      </c>
      <c r="AI42" s="14" t="s">
        <v>117</v>
      </c>
      <c r="AJ42" s="14">
        <v>0</v>
      </c>
      <c r="AK42" s="14">
        <v>0</v>
      </c>
      <c r="AL42" s="214">
        <v>1.1648300620000001</v>
      </c>
      <c r="AM42" s="27">
        <v>0</v>
      </c>
      <c r="AO42" s="213" t="s">
        <v>45</v>
      </c>
      <c r="AP42" s="223">
        <v>42144</v>
      </c>
      <c r="AQ42" s="14" t="s">
        <v>147</v>
      </c>
      <c r="AR42" s="223">
        <v>14385</v>
      </c>
      <c r="AS42" s="14" t="s">
        <v>123</v>
      </c>
      <c r="AT42" s="14">
        <v>0</v>
      </c>
      <c r="AU42" s="14">
        <v>0</v>
      </c>
      <c r="AV42" s="214">
        <v>1.434655427</v>
      </c>
      <c r="AW42" s="27">
        <v>0</v>
      </c>
      <c r="AY42" s="213" t="s">
        <v>46</v>
      </c>
      <c r="AZ42" s="223">
        <v>42144</v>
      </c>
      <c r="BA42" s="14" t="s">
        <v>149</v>
      </c>
      <c r="BB42" s="223">
        <v>46895</v>
      </c>
      <c r="BC42" s="14" t="s">
        <v>112</v>
      </c>
      <c r="BD42" s="14">
        <v>0</v>
      </c>
      <c r="BE42" s="14">
        <v>0</v>
      </c>
      <c r="BF42" s="214">
        <v>0.91700000000000004</v>
      </c>
      <c r="BG42" s="27">
        <v>0</v>
      </c>
    </row>
    <row r="43" spans="1:59" x14ac:dyDescent="0.2">
      <c r="A43" s="213" t="s">
        <v>45</v>
      </c>
      <c r="B43" s="223">
        <v>42144</v>
      </c>
      <c r="C43" s="14" t="s">
        <v>101</v>
      </c>
      <c r="D43" s="223">
        <v>14752</v>
      </c>
      <c r="E43" s="14" t="s">
        <v>124</v>
      </c>
      <c r="F43" s="14">
        <v>0</v>
      </c>
      <c r="G43" s="14">
        <v>0</v>
      </c>
      <c r="H43" s="214">
        <v>1.3240000000000001</v>
      </c>
      <c r="I43" s="27">
        <v>0</v>
      </c>
      <c r="K43" s="213" t="s">
        <v>45</v>
      </c>
      <c r="L43" s="223">
        <v>42144</v>
      </c>
      <c r="M43" s="14" t="s">
        <v>138</v>
      </c>
      <c r="N43" s="223">
        <v>14752</v>
      </c>
      <c r="O43" s="14" t="s">
        <v>124</v>
      </c>
      <c r="P43" s="14">
        <v>0</v>
      </c>
      <c r="Q43" s="14">
        <v>0</v>
      </c>
      <c r="R43" s="214">
        <v>1.369</v>
      </c>
      <c r="S43" s="27">
        <v>0</v>
      </c>
      <c r="U43" s="213" t="s">
        <v>45</v>
      </c>
      <c r="V43" s="223">
        <v>42144</v>
      </c>
      <c r="W43" s="14" t="s">
        <v>138</v>
      </c>
      <c r="X43" s="223">
        <v>14752</v>
      </c>
      <c r="Y43" s="14" t="s">
        <v>124</v>
      </c>
      <c r="Z43" s="14">
        <v>0</v>
      </c>
      <c r="AA43" s="14">
        <v>0</v>
      </c>
      <c r="AB43" s="214">
        <v>1.369</v>
      </c>
      <c r="AC43" s="27">
        <v>0</v>
      </c>
      <c r="AE43" s="213" t="s">
        <v>45</v>
      </c>
      <c r="AF43" s="223">
        <v>42144</v>
      </c>
      <c r="AG43" s="14" t="s">
        <v>170</v>
      </c>
      <c r="AH43" s="223">
        <v>12561</v>
      </c>
      <c r="AI43" s="14" t="s">
        <v>118</v>
      </c>
      <c r="AJ43" s="14">
        <v>0</v>
      </c>
      <c r="AK43" s="14">
        <v>0</v>
      </c>
      <c r="AL43" s="214">
        <v>1.1860203680000001</v>
      </c>
      <c r="AM43" s="27">
        <v>0</v>
      </c>
      <c r="AO43" s="213" t="s">
        <v>45</v>
      </c>
      <c r="AP43" s="223">
        <v>42144</v>
      </c>
      <c r="AQ43" s="14" t="s">
        <v>147</v>
      </c>
      <c r="AR43" s="223">
        <v>14752</v>
      </c>
      <c r="AS43" s="14" t="s">
        <v>124</v>
      </c>
      <c r="AT43" s="14">
        <v>0</v>
      </c>
      <c r="AU43" s="14">
        <v>0</v>
      </c>
      <c r="AV43" s="214">
        <v>1.4370000000000001</v>
      </c>
      <c r="AW43" s="27">
        <v>0</v>
      </c>
      <c r="AY43" s="213" t="s">
        <v>46</v>
      </c>
      <c r="AZ43" s="223">
        <v>42144</v>
      </c>
      <c r="BA43" s="14" t="s">
        <v>149</v>
      </c>
      <c r="BB43" s="223">
        <v>47259</v>
      </c>
      <c r="BC43" s="14" t="s">
        <v>113</v>
      </c>
      <c r="BD43" s="14">
        <v>0</v>
      </c>
      <c r="BE43" s="14">
        <v>0</v>
      </c>
      <c r="BF43" s="214">
        <v>0.96799999999999997</v>
      </c>
      <c r="BG43" s="27">
        <v>0</v>
      </c>
    </row>
    <row r="44" spans="1:59" x14ac:dyDescent="0.2">
      <c r="A44" s="213" t="s">
        <v>45</v>
      </c>
      <c r="B44" s="223">
        <v>42144</v>
      </c>
      <c r="C44" s="14" t="s">
        <v>101</v>
      </c>
      <c r="D44" s="223">
        <v>15116</v>
      </c>
      <c r="E44" s="14" t="s">
        <v>125</v>
      </c>
      <c r="F44" s="14">
        <v>0</v>
      </c>
      <c r="G44" s="14">
        <v>0</v>
      </c>
      <c r="H44" s="214">
        <v>1.3278037229999999</v>
      </c>
      <c r="I44" s="27">
        <v>0</v>
      </c>
      <c r="K44" s="213" t="s">
        <v>45</v>
      </c>
      <c r="L44" s="223">
        <v>42144</v>
      </c>
      <c r="M44" s="14" t="s">
        <v>138</v>
      </c>
      <c r="N44" s="223">
        <v>15116</v>
      </c>
      <c r="O44" s="14" t="s">
        <v>125</v>
      </c>
      <c r="P44" s="14">
        <v>0</v>
      </c>
      <c r="Q44" s="14">
        <v>0</v>
      </c>
      <c r="R44" s="214">
        <v>1.3717083830000001</v>
      </c>
      <c r="S44" s="27">
        <v>0</v>
      </c>
      <c r="U44" s="213" t="s">
        <v>45</v>
      </c>
      <c r="V44" s="223">
        <v>42144</v>
      </c>
      <c r="W44" s="14" t="s">
        <v>138</v>
      </c>
      <c r="X44" s="223">
        <v>15116</v>
      </c>
      <c r="Y44" s="14" t="s">
        <v>125</v>
      </c>
      <c r="Z44" s="14">
        <v>0</v>
      </c>
      <c r="AA44" s="14">
        <v>0</v>
      </c>
      <c r="AB44" s="214">
        <v>1.3717083830000001</v>
      </c>
      <c r="AC44" s="27">
        <v>0</v>
      </c>
      <c r="AE44" s="213" t="s">
        <v>45</v>
      </c>
      <c r="AF44" s="223">
        <v>42144</v>
      </c>
      <c r="AG44" s="14" t="s">
        <v>170</v>
      </c>
      <c r="AH44" s="223">
        <v>12925</v>
      </c>
      <c r="AI44" s="14" t="s">
        <v>119</v>
      </c>
      <c r="AJ44" s="14">
        <v>0</v>
      </c>
      <c r="AK44" s="14">
        <v>0</v>
      </c>
      <c r="AL44" s="214">
        <v>1.2030000000000001</v>
      </c>
      <c r="AM44" s="27">
        <v>0</v>
      </c>
      <c r="AO44" s="213" t="s">
        <v>45</v>
      </c>
      <c r="AP44" s="223">
        <v>42144</v>
      </c>
      <c r="AQ44" s="14" t="s">
        <v>147</v>
      </c>
      <c r="AR44" s="223">
        <v>15116</v>
      </c>
      <c r="AS44" s="14" t="s">
        <v>125</v>
      </c>
      <c r="AT44" s="14">
        <v>0</v>
      </c>
      <c r="AU44" s="14">
        <v>0</v>
      </c>
      <c r="AV44" s="214">
        <v>1.4387686989999999</v>
      </c>
      <c r="AW44" s="27">
        <v>0</v>
      </c>
      <c r="AY44" s="213" t="s">
        <v>46</v>
      </c>
      <c r="AZ44" s="223">
        <v>42144</v>
      </c>
      <c r="BA44" s="14" t="s">
        <v>149</v>
      </c>
      <c r="BB44" s="223">
        <v>11098</v>
      </c>
      <c r="BC44" s="14" t="s">
        <v>114</v>
      </c>
      <c r="BD44" s="14">
        <v>0</v>
      </c>
      <c r="BE44" s="14">
        <v>0</v>
      </c>
      <c r="BF44" s="214">
        <v>1.012</v>
      </c>
      <c r="BG44" s="27">
        <v>0</v>
      </c>
    </row>
    <row r="45" spans="1:59" x14ac:dyDescent="0.2">
      <c r="A45" s="213" t="s">
        <v>45</v>
      </c>
      <c r="B45" s="223">
        <v>42144</v>
      </c>
      <c r="C45" s="14" t="s">
        <v>101</v>
      </c>
      <c r="D45" s="223">
        <v>15481</v>
      </c>
      <c r="E45" s="14" t="s">
        <v>126</v>
      </c>
      <c r="F45" s="14">
        <v>0</v>
      </c>
      <c r="G45" s="14">
        <v>0</v>
      </c>
      <c r="H45" s="214">
        <v>1.3312436169999999</v>
      </c>
      <c r="I45" s="27">
        <v>0</v>
      </c>
      <c r="K45" s="213" t="s">
        <v>45</v>
      </c>
      <c r="L45" s="223">
        <v>42144</v>
      </c>
      <c r="M45" s="14" t="s">
        <v>138</v>
      </c>
      <c r="N45" s="223">
        <v>15481</v>
      </c>
      <c r="O45" s="14" t="s">
        <v>126</v>
      </c>
      <c r="P45" s="14">
        <v>0</v>
      </c>
      <c r="Q45" s="14">
        <v>0</v>
      </c>
      <c r="R45" s="214">
        <v>1.374157109</v>
      </c>
      <c r="S45" s="27">
        <v>0</v>
      </c>
      <c r="U45" s="213" t="s">
        <v>45</v>
      </c>
      <c r="V45" s="223">
        <v>42144</v>
      </c>
      <c r="W45" s="14" t="s">
        <v>138</v>
      </c>
      <c r="X45" s="223">
        <v>15481</v>
      </c>
      <c r="Y45" s="14" t="s">
        <v>126</v>
      </c>
      <c r="Z45" s="14">
        <v>0</v>
      </c>
      <c r="AA45" s="14">
        <v>0</v>
      </c>
      <c r="AB45" s="214">
        <v>1.374157109</v>
      </c>
      <c r="AC45" s="27">
        <v>0</v>
      </c>
      <c r="AE45" s="213" t="s">
        <v>45</v>
      </c>
      <c r="AF45" s="223">
        <v>42144</v>
      </c>
      <c r="AG45" s="14" t="s">
        <v>170</v>
      </c>
      <c r="AH45" s="223">
        <v>13290</v>
      </c>
      <c r="AI45" s="14" t="s">
        <v>120</v>
      </c>
      <c r="AJ45" s="14">
        <v>0</v>
      </c>
      <c r="AK45" s="14">
        <v>0</v>
      </c>
      <c r="AL45" s="214">
        <v>1.2166357480000001</v>
      </c>
      <c r="AM45" s="27">
        <v>0</v>
      </c>
      <c r="AO45" s="213" t="s">
        <v>45</v>
      </c>
      <c r="AP45" s="223">
        <v>42144</v>
      </c>
      <c r="AQ45" s="14" t="s">
        <v>147</v>
      </c>
      <c r="AR45" s="223">
        <v>15481</v>
      </c>
      <c r="AS45" s="14" t="s">
        <v>126</v>
      </c>
      <c r="AT45" s="14">
        <v>0</v>
      </c>
      <c r="AU45" s="14">
        <v>0</v>
      </c>
      <c r="AV45" s="214">
        <v>1.4403163489999999</v>
      </c>
      <c r="AW45" s="27">
        <v>0</v>
      </c>
      <c r="AY45" s="213" t="s">
        <v>46</v>
      </c>
      <c r="AZ45" s="223">
        <v>42144</v>
      </c>
      <c r="BA45" s="14" t="s">
        <v>149</v>
      </c>
      <c r="BB45" s="223">
        <v>11463</v>
      </c>
      <c r="BC45" s="14" t="s">
        <v>115</v>
      </c>
      <c r="BD45" s="14">
        <v>0</v>
      </c>
      <c r="BE45" s="14">
        <v>0</v>
      </c>
      <c r="BF45" s="214">
        <v>1.05</v>
      </c>
      <c r="BG45" s="27">
        <v>0</v>
      </c>
    </row>
    <row r="46" spans="1:59" x14ac:dyDescent="0.2">
      <c r="A46" s="213" t="s">
        <v>45</v>
      </c>
      <c r="B46" s="223">
        <v>42144</v>
      </c>
      <c r="C46" s="14" t="s">
        <v>101</v>
      </c>
      <c r="D46" s="223">
        <v>15846</v>
      </c>
      <c r="E46" s="14" t="s">
        <v>127</v>
      </c>
      <c r="F46" s="14">
        <v>0</v>
      </c>
      <c r="G46" s="14">
        <v>0</v>
      </c>
      <c r="H46" s="214">
        <v>1.3344769750000001</v>
      </c>
      <c r="I46" s="27">
        <v>0</v>
      </c>
      <c r="K46" s="213" t="s">
        <v>45</v>
      </c>
      <c r="L46" s="223">
        <v>42144</v>
      </c>
      <c r="M46" s="14" t="s">
        <v>138</v>
      </c>
      <c r="N46" s="223">
        <v>15846</v>
      </c>
      <c r="O46" s="14" t="s">
        <v>127</v>
      </c>
      <c r="P46" s="14">
        <v>0</v>
      </c>
      <c r="Q46" s="14">
        <v>0</v>
      </c>
      <c r="R46" s="214">
        <v>1.376444317</v>
      </c>
      <c r="S46" s="27">
        <v>0</v>
      </c>
      <c r="U46" s="213" t="s">
        <v>45</v>
      </c>
      <c r="V46" s="223">
        <v>42144</v>
      </c>
      <c r="W46" s="14" t="s">
        <v>138</v>
      </c>
      <c r="X46" s="223">
        <v>15846</v>
      </c>
      <c r="Y46" s="14" t="s">
        <v>127</v>
      </c>
      <c r="Z46" s="14">
        <v>0</v>
      </c>
      <c r="AA46" s="14">
        <v>0</v>
      </c>
      <c r="AB46" s="214">
        <v>1.376444317</v>
      </c>
      <c r="AC46" s="27">
        <v>0</v>
      </c>
      <c r="AE46" s="213" t="s">
        <v>45</v>
      </c>
      <c r="AF46" s="223">
        <v>42144</v>
      </c>
      <c r="AG46" s="14" t="s">
        <v>170</v>
      </c>
      <c r="AH46" s="223">
        <v>13655</v>
      </c>
      <c r="AI46" s="14" t="s">
        <v>121</v>
      </c>
      <c r="AJ46" s="14">
        <v>0</v>
      </c>
      <c r="AK46" s="14">
        <v>0</v>
      </c>
      <c r="AL46" s="214">
        <v>1.2273339640000001</v>
      </c>
      <c r="AM46" s="27">
        <v>0</v>
      </c>
      <c r="AO46" s="213" t="s">
        <v>45</v>
      </c>
      <c r="AP46" s="223">
        <v>42144</v>
      </c>
      <c r="AQ46" s="14" t="s">
        <v>147</v>
      </c>
      <c r="AR46" s="223">
        <v>15846</v>
      </c>
      <c r="AS46" s="14" t="s">
        <v>127</v>
      </c>
      <c r="AT46" s="14">
        <v>0</v>
      </c>
      <c r="AU46" s="14">
        <v>0</v>
      </c>
      <c r="AV46" s="214">
        <v>1.441775711</v>
      </c>
      <c r="AW46" s="27">
        <v>0</v>
      </c>
      <c r="AY46" s="213" t="s">
        <v>46</v>
      </c>
      <c r="AZ46" s="223">
        <v>42144</v>
      </c>
      <c r="BA46" s="14" t="s">
        <v>149</v>
      </c>
      <c r="BB46" s="223">
        <v>11829</v>
      </c>
      <c r="BC46" s="14" t="s">
        <v>116</v>
      </c>
      <c r="BD46" s="14">
        <v>0</v>
      </c>
      <c r="BE46" s="14">
        <v>0</v>
      </c>
      <c r="BF46" s="214">
        <v>1.0820000000000001</v>
      </c>
      <c r="BG46" s="27">
        <v>0</v>
      </c>
    </row>
    <row r="47" spans="1:59" x14ac:dyDescent="0.2">
      <c r="A47" s="213" t="s">
        <v>45</v>
      </c>
      <c r="B47" s="223">
        <v>42144</v>
      </c>
      <c r="C47" s="14" t="s">
        <v>101</v>
      </c>
      <c r="D47" s="223">
        <v>16212</v>
      </c>
      <c r="E47" s="14" t="s">
        <v>128</v>
      </c>
      <c r="F47" s="14">
        <v>0</v>
      </c>
      <c r="G47" s="14">
        <v>0</v>
      </c>
      <c r="H47" s="214">
        <v>1.3377579930000001</v>
      </c>
      <c r="I47" s="27">
        <v>0</v>
      </c>
      <c r="K47" s="213" t="s">
        <v>45</v>
      </c>
      <c r="L47" s="223">
        <v>42144</v>
      </c>
      <c r="M47" s="14" t="s">
        <v>138</v>
      </c>
      <c r="N47" s="223">
        <v>16212</v>
      </c>
      <c r="O47" s="14" t="s">
        <v>128</v>
      </c>
      <c r="P47" s="14">
        <v>0</v>
      </c>
      <c r="Q47" s="14">
        <v>0</v>
      </c>
      <c r="R47" s="214">
        <v>1.378771628</v>
      </c>
      <c r="S47" s="27">
        <v>0</v>
      </c>
      <c r="U47" s="213" t="s">
        <v>45</v>
      </c>
      <c r="V47" s="223">
        <v>42144</v>
      </c>
      <c r="W47" s="14" t="s">
        <v>138</v>
      </c>
      <c r="X47" s="223">
        <v>16212</v>
      </c>
      <c r="Y47" s="14" t="s">
        <v>128</v>
      </c>
      <c r="Z47" s="14">
        <v>0</v>
      </c>
      <c r="AA47" s="14">
        <v>0</v>
      </c>
      <c r="AB47" s="214">
        <v>1.378771628</v>
      </c>
      <c r="AC47" s="27">
        <v>0</v>
      </c>
      <c r="AE47" s="213" t="s">
        <v>45</v>
      </c>
      <c r="AF47" s="223">
        <v>42144</v>
      </c>
      <c r="AG47" s="14" t="s">
        <v>170</v>
      </c>
      <c r="AH47" s="223">
        <v>14020</v>
      </c>
      <c r="AI47" s="14" t="s">
        <v>122</v>
      </c>
      <c r="AJ47" s="14">
        <v>0</v>
      </c>
      <c r="AK47" s="14">
        <v>0</v>
      </c>
      <c r="AL47" s="214">
        <v>1.235913837</v>
      </c>
      <c r="AM47" s="27">
        <v>0</v>
      </c>
      <c r="AO47" s="213" t="s">
        <v>45</v>
      </c>
      <c r="AP47" s="223">
        <v>42144</v>
      </c>
      <c r="AQ47" s="14" t="s">
        <v>147</v>
      </c>
      <c r="AR47" s="223">
        <v>16212</v>
      </c>
      <c r="AS47" s="14" t="s">
        <v>128</v>
      </c>
      <c r="AT47" s="14">
        <v>0</v>
      </c>
      <c r="AU47" s="14">
        <v>0</v>
      </c>
      <c r="AV47" s="214">
        <v>1.4433786470000001</v>
      </c>
      <c r="AW47" s="27">
        <v>0</v>
      </c>
      <c r="AY47" s="213" t="s">
        <v>46</v>
      </c>
      <c r="AZ47" s="223">
        <v>42144</v>
      </c>
      <c r="BA47" s="14" t="s">
        <v>149</v>
      </c>
      <c r="BB47" s="223">
        <v>12194</v>
      </c>
      <c r="BC47" s="14" t="s">
        <v>117</v>
      </c>
      <c r="BD47" s="14">
        <v>0</v>
      </c>
      <c r="BE47" s="14">
        <v>0</v>
      </c>
      <c r="BF47" s="214">
        <v>1.109</v>
      </c>
      <c r="BG47" s="27">
        <v>0</v>
      </c>
    </row>
    <row r="48" spans="1:59" x14ac:dyDescent="0.2">
      <c r="A48" s="213" t="s">
        <v>45</v>
      </c>
      <c r="B48" s="223">
        <v>42144</v>
      </c>
      <c r="C48" s="14" t="s">
        <v>101</v>
      </c>
      <c r="D48" s="223">
        <v>16579</v>
      </c>
      <c r="E48" s="14" t="s">
        <v>129</v>
      </c>
      <c r="F48" s="14">
        <v>0</v>
      </c>
      <c r="G48" s="14">
        <v>0</v>
      </c>
      <c r="H48" s="214">
        <v>1.341</v>
      </c>
      <c r="I48" s="27">
        <v>0</v>
      </c>
      <c r="K48" s="213" t="s">
        <v>45</v>
      </c>
      <c r="L48" s="223">
        <v>42144</v>
      </c>
      <c r="M48" s="14" t="s">
        <v>138</v>
      </c>
      <c r="N48" s="223">
        <v>16579</v>
      </c>
      <c r="O48" s="14" t="s">
        <v>129</v>
      </c>
      <c r="P48" s="14">
        <v>0</v>
      </c>
      <c r="Q48" s="14">
        <v>0</v>
      </c>
      <c r="R48" s="214">
        <v>1.381</v>
      </c>
      <c r="S48" s="27">
        <v>0</v>
      </c>
      <c r="U48" s="213" t="s">
        <v>45</v>
      </c>
      <c r="V48" s="223">
        <v>42144</v>
      </c>
      <c r="W48" s="14" t="s">
        <v>138</v>
      </c>
      <c r="X48" s="223">
        <v>16579</v>
      </c>
      <c r="Y48" s="14" t="s">
        <v>129</v>
      </c>
      <c r="Z48" s="14">
        <v>0</v>
      </c>
      <c r="AA48" s="14">
        <v>0</v>
      </c>
      <c r="AB48" s="214">
        <v>1.381</v>
      </c>
      <c r="AC48" s="27">
        <v>0</v>
      </c>
      <c r="AE48" s="213" t="s">
        <v>45</v>
      </c>
      <c r="AF48" s="223">
        <v>42144</v>
      </c>
      <c r="AG48" s="14" t="s">
        <v>170</v>
      </c>
      <c r="AH48" s="223">
        <v>14385</v>
      </c>
      <c r="AI48" s="14" t="s">
        <v>123</v>
      </c>
      <c r="AJ48" s="14">
        <v>0</v>
      </c>
      <c r="AK48" s="14">
        <v>0</v>
      </c>
      <c r="AL48" s="214">
        <v>1.2429333410000001</v>
      </c>
      <c r="AM48" s="27">
        <v>0</v>
      </c>
      <c r="AO48" s="213" t="s">
        <v>45</v>
      </c>
      <c r="AP48" s="223">
        <v>42144</v>
      </c>
      <c r="AQ48" s="14" t="s">
        <v>147</v>
      </c>
      <c r="AR48" s="223">
        <v>16579</v>
      </c>
      <c r="AS48" s="14" t="s">
        <v>129</v>
      </c>
      <c r="AT48" s="14">
        <v>0</v>
      </c>
      <c r="AU48" s="14">
        <v>0</v>
      </c>
      <c r="AV48" s="214">
        <v>1.4450000000000001</v>
      </c>
      <c r="AW48" s="27">
        <v>0</v>
      </c>
      <c r="AY48" s="213" t="s">
        <v>46</v>
      </c>
      <c r="AZ48" s="223">
        <v>42144</v>
      </c>
      <c r="BA48" s="14" t="s">
        <v>149</v>
      </c>
      <c r="BB48" s="223">
        <v>12561</v>
      </c>
      <c r="BC48" s="14" t="s">
        <v>118</v>
      </c>
      <c r="BD48" s="14">
        <v>0</v>
      </c>
      <c r="BE48" s="14">
        <v>0</v>
      </c>
      <c r="BF48" s="214">
        <v>1.131</v>
      </c>
      <c r="BG48" s="27">
        <v>0</v>
      </c>
    </row>
    <row r="49" spans="1:59" x14ac:dyDescent="0.2">
      <c r="A49" s="213" t="s">
        <v>45</v>
      </c>
      <c r="B49" s="223">
        <v>42144</v>
      </c>
      <c r="C49" s="14" t="s">
        <v>101</v>
      </c>
      <c r="D49" s="223">
        <v>16943</v>
      </c>
      <c r="E49" s="14" t="s">
        <v>130</v>
      </c>
      <c r="F49" s="14">
        <v>0</v>
      </c>
      <c r="G49" s="14">
        <v>0</v>
      </c>
      <c r="H49" s="214">
        <v>1.34432727</v>
      </c>
      <c r="I49" s="27">
        <v>0</v>
      </c>
      <c r="K49" s="213" t="s">
        <v>45</v>
      </c>
      <c r="L49" s="223">
        <v>42144</v>
      </c>
      <c r="M49" s="14" t="s">
        <v>138</v>
      </c>
      <c r="N49" s="223">
        <v>16943</v>
      </c>
      <c r="O49" s="14" t="s">
        <v>130</v>
      </c>
      <c r="P49" s="14">
        <v>0</v>
      </c>
      <c r="Q49" s="14">
        <v>0</v>
      </c>
      <c r="R49" s="214">
        <v>1.3832439599999999</v>
      </c>
      <c r="S49" s="27">
        <v>0</v>
      </c>
      <c r="U49" s="213" t="s">
        <v>45</v>
      </c>
      <c r="V49" s="223">
        <v>42144</v>
      </c>
      <c r="W49" s="14" t="s">
        <v>138</v>
      </c>
      <c r="X49" s="223">
        <v>16943</v>
      </c>
      <c r="Y49" s="14" t="s">
        <v>130</v>
      </c>
      <c r="Z49" s="14">
        <v>0</v>
      </c>
      <c r="AA49" s="14">
        <v>0</v>
      </c>
      <c r="AB49" s="214">
        <v>1.3832439599999999</v>
      </c>
      <c r="AC49" s="27">
        <v>0</v>
      </c>
      <c r="AE49" s="213" t="s">
        <v>45</v>
      </c>
      <c r="AF49" s="223">
        <v>42144</v>
      </c>
      <c r="AG49" s="14" t="s">
        <v>170</v>
      </c>
      <c r="AH49" s="223">
        <v>14752</v>
      </c>
      <c r="AI49" s="14" t="s">
        <v>124</v>
      </c>
      <c r="AJ49" s="14">
        <v>0</v>
      </c>
      <c r="AK49" s="14">
        <v>0</v>
      </c>
      <c r="AL49" s="214">
        <v>1.2490000000000001</v>
      </c>
      <c r="AM49" s="27">
        <v>0</v>
      </c>
      <c r="AO49" s="213" t="s">
        <v>45</v>
      </c>
      <c r="AP49" s="223">
        <v>42144</v>
      </c>
      <c r="AQ49" s="14" t="s">
        <v>147</v>
      </c>
      <c r="AR49" s="223">
        <v>16943</v>
      </c>
      <c r="AS49" s="14" t="s">
        <v>130</v>
      </c>
      <c r="AT49" s="14">
        <v>0</v>
      </c>
      <c r="AU49" s="14">
        <v>0</v>
      </c>
      <c r="AV49" s="214">
        <v>1.4467738189999999</v>
      </c>
      <c r="AW49" s="27">
        <v>0</v>
      </c>
      <c r="AY49" s="213" t="s">
        <v>46</v>
      </c>
      <c r="AZ49" s="223">
        <v>42144</v>
      </c>
      <c r="BA49" s="14" t="s">
        <v>149</v>
      </c>
      <c r="BB49" s="223">
        <v>12925</v>
      </c>
      <c r="BC49" s="14" t="s">
        <v>119</v>
      </c>
      <c r="BD49" s="14">
        <v>0</v>
      </c>
      <c r="BE49" s="14">
        <v>0</v>
      </c>
      <c r="BF49" s="214">
        <v>1.149</v>
      </c>
      <c r="BG49" s="27">
        <v>0</v>
      </c>
    </row>
    <row r="50" spans="1:59" x14ac:dyDescent="0.2">
      <c r="A50" s="213" t="s">
        <v>45</v>
      </c>
      <c r="B50" s="223">
        <v>42144</v>
      </c>
      <c r="C50" s="14" t="s">
        <v>101</v>
      </c>
      <c r="D50" s="223">
        <v>17307</v>
      </c>
      <c r="E50" s="14" t="s">
        <v>131</v>
      </c>
      <c r="F50" s="14">
        <v>0</v>
      </c>
      <c r="G50" s="14">
        <v>0</v>
      </c>
      <c r="H50" s="214">
        <v>1.347603501</v>
      </c>
      <c r="I50" s="27">
        <v>0</v>
      </c>
      <c r="K50" s="213" t="s">
        <v>45</v>
      </c>
      <c r="L50" s="223">
        <v>42144</v>
      </c>
      <c r="M50" s="14" t="s">
        <v>138</v>
      </c>
      <c r="N50" s="223">
        <v>17307</v>
      </c>
      <c r="O50" s="14" t="s">
        <v>131</v>
      </c>
      <c r="P50" s="14">
        <v>0</v>
      </c>
      <c r="Q50" s="14">
        <v>0</v>
      </c>
      <c r="R50" s="214">
        <v>1.3853925460000001</v>
      </c>
      <c r="S50" s="27">
        <v>0</v>
      </c>
      <c r="U50" s="213" t="s">
        <v>45</v>
      </c>
      <c r="V50" s="223">
        <v>42144</v>
      </c>
      <c r="W50" s="14" t="s">
        <v>138</v>
      </c>
      <c r="X50" s="223">
        <v>17307</v>
      </c>
      <c r="Y50" s="14" t="s">
        <v>131</v>
      </c>
      <c r="Z50" s="14">
        <v>0</v>
      </c>
      <c r="AA50" s="14">
        <v>0</v>
      </c>
      <c r="AB50" s="214">
        <v>1.3853925460000001</v>
      </c>
      <c r="AC50" s="27">
        <v>0</v>
      </c>
      <c r="AE50" s="213" t="s">
        <v>45</v>
      </c>
      <c r="AF50" s="223">
        <v>42144</v>
      </c>
      <c r="AG50" s="14" t="s">
        <v>170</v>
      </c>
      <c r="AH50" s="223">
        <v>15116</v>
      </c>
      <c r="AI50" s="14" t="s">
        <v>125</v>
      </c>
      <c r="AJ50" s="14">
        <v>0</v>
      </c>
      <c r="AK50" s="14">
        <v>0</v>
      </c>
      <c r="AL50" s="214">
        <v>1.2541770000000001</v>
      </c>
      <c r="AM50" s="27">
        <v>0</v>
      </c>
      <c r="AO50" s="213" t="s">
        <v>45</v>
      </c>
      <c r="AP50" s="223">
        <v>42144</v>
      </c>
      <c r="AQ50" s="14" t="s">
        <v>147</v>
      </c>
      <c r="AR50" s="223">
        <v>17307</v>
      </c>
      <c r="AS50" s="14" t="s">
        <v>131</v>
      </c>
      <c r="AT50" s="14">
        <v>0</v>
      </c>
      <c r="AU50" s="14">
        <v>0</v>
      </c>
      <c r="AV50" s="214">
        <v>1.4485493359999999</v>
      </c>
      <c r="AW50" s="27">
        <v>0</v>
      </c>
      <c r="AY50" s="213" t="s">
        <v>46</v>
      </c>
      <c r="AZ50" s="223">
        <v>42144</v>
      </c>
      <c r="BA50" s="14" t="s">
        <v>149</v>
      </c>
      <c r="BB50" s="223">
        <v>13290</v>
      </c>
      <c r="BC50" s="14" t="s">
        <v>120</v>
      </c>
      <c r="BD50" s="14">
        <v>0</v>
      </c>
      <c r="BE50" s="14">
        <v>0</v>
      </c>
      <c r="BF50" s="214">
        <v>1.163</v>
      </c>
      <c r="BG50" s="27">
        <v>0</v>
      </c>
    </row>
    <row r="51" spans="1:59" x14ac:dyDescent="0.2">
      <c r="A51" s="213" t="s">
        <v>45</v>
      </c>
      <c r="B51" s="223">
        <v>42144</v>
      </c>
      <c r="C51" s="14" t="s">
        <v>101</v>
      </c>
      <c r="D51" s="223">
        <v>17673</v>
      </c>
      <c r="E51" s="14" t="s">
        <v>132</v>
      </c>
      <c r="F51" s="14">
        <v>0</v>
      </c>
      <c r="G51" s="14">
        <v>0</v>
      </c>
      <c r="H51" s="214">
        <v>1.350744787</v>
      </c>
      <c r="I51" s="27">
        <v>0</v>
      </c>
      <c r="K51" s="213" t="s">
        <v>45</v>
      </c>
      <c r="L51" s="223">
        <v>42144</v>
      </c>
      <c r="M51" s="14" t="s">
        <v>138</v>
      </c>
      <c r="N51" s="223">
        <v>17673</v>
      </c>
      <c r="O51" s="14" t="s">
        <v>132</v>
      </c>
      <c r="P51" s="14">
        <v>0</v>
      </c>
      <c r="Q51" s="14">
        <v>0</v>
      </c>
      <c r="R51" s="214">
        <v>1.387400084</v>
      </c>
      <c r="S51" s="27">
        <v>0</v>
      </c>
      <c r="U51" s="213" t="s">
        <v>45</v>
      </c>
      <c r="V51" s="223">
        <v>42144</v>
      </c>
      <c r="W51" s="14" t="s">
        <v>138</v>
      </c>
      <c r="X51" s="223">
        <v>17673</v>
      </c>
      <c r="Y51" s="14" t="s">
        <v>132</v>
      </c>
      <c r="Z51" s="14">
        <v>0</v>
      </c>
      <c r="AA51" s="14">
        <v>0</v>
      </c>
      <c r="AB51" s="214">
        <v>1.387400084</v>
      </c>
      <c r="AC51" s="27">
        <v>0</v>
      </c>
      <c r="AE51" s="213" t="s">
        <v>45</v>
      </c>
      <c r="AF51" s="223">
        <v>42144</v>
      </c>
      <c r="AG51" s="14" t="s">
        <v>170</v>
      </c>
      <c r="AH51" s="223">
        <v>15481</v>
      </c>
      <c r="AI51" s="14" t="s">
        <v>126</v>
      </c>
      <c r="AJ51" s="14">
        <v>0</v>
      </c>
      <c r="AK51" s="14">
        <v>0</v>
      </c>
      <c r="AL51" s="214">
        <v>1.258885415</v>
      </c>
      <c r="AM51" s="27">
        <v>0</v>
      </c>
      <c r="AO51" s="213" t="s">
        <v>45</v>
      </c>
      <c r="AP51" s="223">
        <v>42144</v>
      </c>
      <c r="AQ51" s="14" t="s">
        <v>147</v>
      </c>
      <c r="AR51" s="223">
        <v>17673</v>
      </c>
      <c r="AS51" s="14" t="s">
        <v>132</v>
      </c>
      <c r="AT51" s="14">
        <v>0</v>
      </c>
      <c r="AU51" s="14">
        <v>0</v>
      </c>
      <c r="AV51" s="214">
        <v>1.4502435440000001</v>
      </c>
      <c r="AW51" s="27">
        <v>0</v>
      </c>
      <c r="AY51" s="213" t="s">
        <v>46</v>
      </c>
      <c r="AZ51" s="223">
        <v>42144</v>
      </c>
      <c r="BA51" s="14" t="s">
        <v>149</v>
      </c>
      <c r="BB51" s="223">
        <v>13655</v>
      </c>
      <c r="BC51" s="14" t="s">
        <v>121</v>
      </c>
      <c r="BD51" s="14">
        <v>0</v>
      </c>
      <c r="BE51" s="14">
        <v>0</v>
      </c>
      <c r="BF51" s="214">
        <v>1.175</v>
      </c>
      <c r="BG51" s="27">
        <v>0</v>
      </c>
    </row>
    <row r="52" spans="1:59" x14ac:dyDescent="0.2">
      <c r="A52" s="213" t="s">
        <v>45</v>
      </c>
      <c r="B52" s="223">
        <v>42144</v>
      </c>
      <c r="C52" s="14" t="s">
        <v>101</v>
      </c>
      <c r="D52" s="223">
        <v>18038</v>
      </c>
      <c r="E52" s="14" t="s">
        <v>133</v>
      </c>
      <c r="F52" s="14">
        <v>0</v>
      </c>
      <c r="G52" s="14">
        <v>0</v>
      </c>
      <c r="H52" s="214">
        <v>1.353383124</v>
      </c>
      <c r="I52" s="27">
        <v>0</v>
      </c>
      <c r="K52" s="213" t="s">
        <v>45</v>
      </c>
      <c r="L52" s="223">
        <v>42144</v>
      </c>
      <c r="M52" s="14" t="s">
        <v>138</v>
      </c>
      <c r="N52" s="223">
        <v>18038</v>
      </c>
      <c r="O52" s="14" t="s">
        <v>133</v>
      </c>
      <c r="P52" s="14">
        <v>0</v>
      </c>
      <c r="Q52" s="14">
        <v>0</v>
      </c>
      <c r="R52" s="214">
        <v>1.388939699</v>
      </c>
      <c r="S52" s="27">
        <v>0</v>
      </c>
      <c r="U52" s="213" t="s">
        <v>45</v>
      </c>
      <c r="V52" s="223">
        <v>42144</v>
      </c>
      <c r="W52" s="14" t="s">
        <v>138</v>
      </c>
      <c r="X52" s="223">
        <v>18038</v>
      </c>
      <c r="Y52" s="14" t="s">
        <v>133</v>
      </c>
      <c r="Z52" s="14">
        <v>0</v>
      </c>
      <c r="AA52" s="14">
        <v>0</v>
      </c>
      <c r="AB52" s="214">
        <v>1.388939699</v>
      </c>
      <c r="AC52" s="27">
        <v>0</v>
      </c>
      <c r="AE52" s="213" t="s">
        <v>45</v>
      </c>
      <c r="AF52" s="223">
        <v>42144</v>
      </c>
      <c r="AG52" s="14" t="s">
        <v>170</v>
      </c>
      <c r="AH52" s="223">
        <v>15846</v>
      </c>
      <c r="AI52" s="14" t="s">
        <v>127</v>
      </c>
      <c r="AJ52" s="14">
        <v>0</v>
      </c>
      <c r="AK52" s="14">
        <v>0</v>
      </c>
      <c r="AL52" s="214">
        <v>1.2633002330000001</v>
      </c>
      <c r="AM52" s="27">
        <v>0</v>
      </c>
      <c r="AO52" s="213" t="s">
        <v>45</v>
      </c>
      <c r="AP52" s="223">
        <v>42144</v>
      </c>
      <c r="AQ52" s="14" t="s">
        <v>147</v>
      </c>
      <c r="AR52" s="223">
        <v>18038</v>
      </c>
      <c r="AS52" s="14" t="s">
        <v>133</v>
      </c>
      <c r="AT52" s="14">
        <v>0</v>
      </c>
      <c r="AU52" s="14">
        <v>0</v>
      </c>
      <c r="AV52" s="214">
        <v>1.4514889820000001</v>
      </c>
      <c r="AW52" s="27">
        <v>0</v>
      </c>
      <c r="AY52" s="213" t="s">
        <v>46</v>
      </c>
      <c r="AZ52" s="223">
        <v>42144</v>
      </c>
      <c r="BA52" s="14" t="s">
        <v>149</v>
      </c>
      <c r="BB52" s="223">
        <v>14020</v>
      </c>
      <c r="BC52" s="14" t="s">
        <v>122</v>
      </c>
      <c r="BD52" s="14">
        <v>0</v>
      </c>
      <c r="BE52" s="14">
        <v>0</v>
      </c>
      <c r="BF52" s="214">
        <v>1.1830000000000001</v>
      </c>
      <c r="BG52" s="27">
        <v>0</v>
      </c>
    </row>
    <row r="53" spans="1:59" x14ac:dyDescent="0.2">
      <c r="A53" s="213" t="s">
        <v>45</v>
      </c>
      <c r="B53" s="223">
        <v>42144</v>
      </c>
      <c r="C53" s="14" t="s">
        <v>101</v>
      </c>
      <c r="D53" s="223">
        <v>18403</v>
      </c>
      <c r="E53" s="14" t="s">
        <v>185</v>
      </c>
      <c r="F53" s="14">
        <v>0</v>
      </c>
      <c r="G53" s="14">
        <v>0</v>
      </c>
      <c r="H53" s="214">
        <v>1.3554758579999999</v>
      </c>
      <c r="I53" s="27">
        <v>0</v>
      </c>
      <c r="K53" s="213" t="s">
        <v>45</v>
      </c>
      <c r="L53" s="223">
        <v>42144</v>
      </c>
      <c r="M53" s="14" t="s">
        <v>138</v>
      </c>
      <c r="N53" s="223">
        <v>18403</v>
      </c>
      <c r="O53" s="14" t="s">
        <v>185</v>
      </c>
      <c r="P53" s="14">
        <v>0</v>
      </c>
      <c r="Q53" s="14">
        <v>0</v>
      </c>
      <c r="R53" s="214">
        <v>1.39</v>
      </c>
      <c r="S53" s="27">
        <v>0</v>
      </c>
      <c r="U53" s="213" t="s">
        <v>45</v>
      </c>
      <c r="V53" s="223">
        <v>42144</v>
      </c>
      <c r="W53" s="14" t="s">
        <v>138</v>
      </c>
      <c r="X53" s="223">
        <v>18403</v>
      </c>
      <c r="Y53" s="14" t="s">
        <v>185</v>
      </c>
      <c r="Z53" s="14">
        <v>0</v>
      </c>
      <c r="AA53" s="14">
        <v>0</v>
      </c>
      <c r="AB53" s="214">
        <v>1.39</v>
      </c>
      <c r="AC53" s="27">
        <v>0</v>
      </c>
      <c r="AE53" s="213" t="s">
        <v>45</v>
      </c>
      <c r="AF53" s="223">
        <v>42144</v>
      </c>
      <c r="AG53" s="14" t="s">
        <v>170</v>
      </c>
      <c r="AH53" s="223">
        <v>16212</v>
      </c>
      <c r="AI53" s="14" t="s">
        <v>128</v>
      </c>
      <c r="AJ53" s="14">
        <v>0</v>
      </c>
      <c r="AK53" s="14">
        <v>0</v>
      </c>
      <c r="AL53" s="214">
        <v>1.26769178</v>
      </c>
      <c r="AM53" s="27">
        <v>0</v>
      </c>
      <c r="AO53" s="213" t="s">
        <v>45</v>
      </c>
      <c r="AP53" s="223">
        <v>42144</v>
      </c>
      <c r="AQ53" s="14" t="s">
        <v>147</v>
      </c>
      <c r="AR53" s="223">
        <v>18403</v>
      </c>
      <c r="AS53" s="14" t="s">
        <v>185</v>
      </c>
      <c r="AT53" s="14">
        <v>0</v>
      </c>
      <c r="AU53" s="14">
        <v>0</v>
      </c>
      <c r="AV53" s="214">
        <v>1.4522470730000001</v>
      </c>
      <c r="AW53" s="27">
        <v>0</v>
      </c>
      <c r="AY53" s="213" t="s">
        <v>46</v>
      </c>
      <c r="AZ53" s="223">
        <v>42144</v>
      </c>
      <c r="BA53" s="14" t="s">
        <v>149</v>
      </c>
      <c r="BB53" s="223">
        <v>14385</v>
      </c>
      <c r="BC53" s="14" t="s">
        <v>123</v>
      </c>
      <c r="BD53" s="14">
        <v>0</v>
      </c>
      <c r="BE53" s="14">
        <v>0</v>
      </c>
      <c r="BF53" s="214">
        <v>1.1910000000000001</v>
      </c>
      <c r="BG53" s="27">
        <v>0</v>
      </c>
    </row>
    <row r="54" spans="1:59" x14ac:dyDescent="0.2">
      <c r="A54" s="213" t="s">
        <v>45</v>
      </c>
      <c r="B54" s="223">
        <v>42144</v>
      </c>
      <c r="C54" s="14" t="s">
        <v>101</v>
      </c>
      <c r="D54" s="223">
        <v>18770</v>
      </c>
      <c r="E54" s="14" t="s">
        <v>186</v>
      </c>
      <c r="F54" s="14">
        <v>0</v>
      </c>
      <c r="G54" s="14">
        <v>0</v>
      </c>
      <c r="H54" s="214">
        <v>1.356904289</v>
      </c>
      <c r="I54" s="27">
        <v>0</v>
      </c>
      <c r="K54" s="213" t="s">
        <v>45</v>
      </c>
      <c r="L54" s="223">
        <v>42144</v>
      </c>
      <c r="M54" s="14" t="s">
        <v>138</v>
      </c>
      <c r="N54" s="223">
        <v>18770</v>
      </c>
      <c r="O54" s="14" t="s">
        <v>186</v>
      </c>
      <c r="P54" s="14">
        <v>0</v>
      </c>
      <c r="Q54" s="14">
        <v>0</v>
      </c>
      <c r="R54" s="214">
        <v>1.390501467</v>
      </c>
      <c r="S54" s="27">
        <v>0</v>
      </c>
      <c r="U54" s="213" t="s">
        <v>45</v>
      </c>
      <c r="V54" s="223">
        <v>42144</v>
      </c>
      <c r="W54" s="14" t="s">
        <v>138</v>
      </c>
      <c r="X54" s="223">
        <v>18770</v>
      </c>
      <c r="Y54" s="14" t="s">
        <v>186</v>
      </c>
      <c r="Z54" s="14">
        <v>0</v>
      </c>
      <c r="AA54" s="14">
        <v>0</v>
      </c>
      <c r="AB54" s="214">
        <v>1.390501467</v>
      </c>
      <c r="AC54" s="27">
        <v>0</v>
      </c>
      <c r="AE54" s="213" t="s">
        <v>45</v>
      </c>
      <c r="AF54" s="223">
        <v>42144</v>
      </c>
      <c r="AG54" s="14" t="s">
        <v>170</v>
      </c>
      <c r="AH54" s="223">
        <v>16579</v>
      </c>
      <c r="AI54" s="14" t="s">
        <v>129</v>
      </c>
      <c r="AJ54" s="14">
        <v>0</v>
      </c>
      <c r="AK54" s="14">
        <v>0</v>
      </c>
      <c r="AL54" s="214">
        <v>1.272</v>
      </c>
      <c r="AM54" s="27">
        <v>0</v>
      </c>
      <c r="AO54" s="213" t="s">
        <v>45</v>
      </c>
      <c r="AP54" s="223">
        <v>42144</v>
      </c>
      <c r="AQ54" s="14" t="s">
        <v>147</v>
      </c>
      <c r="AR54" s="223">
        <v>18770</v>
      </c>
      <c r="AS54" s="14" t="s">
        <v>186</v>
      </c>
      <c r="AT54" s="14">
        <v>0</v>
      </c>
      <c r="AU54" s="14">
        <v>0</v>
      </c>
      <c r="AV54" s="214">
        <v>1.452393249</v>
      </c>
      <c r="AW54" s="27">
        <v>0</v>
      </c>
      <c r="AY54" s="213" t="s">
        <v>46</v>
      </c>
      <c r="AZ54" s="223">
        <v>42144</v>
      </c>
      <c r="BA54" s="14" t="s">
        <v>149</v>
      </c>
      <c r="BB54" s="223">
        <v>14752</v>
      </c>
      <c r="BC54" s="14" t="s">
        <v>124</v>
      </c>
      <c r="BD54" s="14">
        <v>0</v>
      </c>
      <c r="BE54" s="14">
        <v>0</v>
      </c>
      <c r="BF54" s="214">
        <v>1.1970000000000001</v>
      </c>
      <c r="BG54" s="27">
        <v>0</v>
      </c>
    </row>
    <row r="55" spans="1:59" x14ac:dyDescent="0.2">
      <c r="A55" s="213" t="s">
        <v>45</v>
      </c>
      <c r="B55" s="223">
        <v>42144</v>
      </c>
      <c r="C55" s="14" t="s">
        <v>101</v>
      </c>
      <c r="D55" s="223">
        <v>19134</v>
      </c>
      <c r="E55" s="14" t="s">
        <v>187</v>
      </c>
      <c r="F55" s="14">
        <v>0</v>
      </c>
      <c r="G55" s="14">
        <v>0</v>
      </c>
      <c r="H55" s="214">
        <v>1.357624331</v>
      </c>
      <c r="I55" s="27">
        <v>0</v>
      </c>
      <c r="K55" s="213" t="s">
        <v>45</v>
      </c>
      <c r="L55" s="223">
        <v>42144</v>
      </c>
      <c r="M55" s="14" t="s">
        <v>138</v>
      </c>
      <c r="N55" s="223">
        <v>19134</v>
      </c>
      <c r="O55" s="14" t="s">
        <v>187</v>
      </c>
      <c r="P55" s="14">
        <v>0</v>
      </c>
      <c r="Q55" s="14">
        <v>0</v>
      </c>
      <c r="R55" s="214">
        <v>1.3905146740000001</v>
      </c>
      <c r="S55" s="27">
        <v>0</v>
      </c>
      <c r="U55" s="213" t="s">
        <v>45</v>
      </c>
      <c r="V55" s="223">
        <v>42144</v>
      </c>
      <c r="W55" s="14" t="s">
        <v>138</v>
      </c>
      <c r="X55" s="223">
        <v>19134</v>
      </c>
      <c r="Y55" s="14" t="s">
        <v>187</v>
      </c>
      <c r="Z55" s="14">
        <v>0</v>
      </c>
      <c r="AA55" s="14">
        <v>0</v>
      </c>
      <c r="AB55" s="214">
        <v>1.3905146740000001</v>
      </c>
      <c r="AC55" s="27">
        <v>0</v>
      </c>
      <c r="AE55" s="213" t="s">
        <v>45</v>
      </c>
      <c r="AF55" s="223">
        <v>42144</v>
      </c>
      <c r="AG55" s="14" t="s">
        <v>170</v>
      </c>
      <c r="AH55" s="223">
        <v>16943</v>
      </c>
      <c r="AI55" s="14" t="s">
        <v>130</v>
      </c>
      <c r="AJ55" s="14">
        <v>0</v>
      </c>
      <c r="AK55" s="14">
        <v>0</v>
      </c>
      <c r="AL55" s="214">
        <v>1.276343255</v>
      </c>
      <c r="AM55" s="27">
        <v>0</v>
      </c>
      <c r="AO55" s="213" t="s">
        <v>45</v>
      </c>
      <c r="AP55" s="223">
        <v>42144</v>
      </c>
      <c r="AQ55" s="14" t="s">
        <v>147</v>
      </c>
      <c r="AR55" s="223">
        <v>19134</v>
      </c>
      <c r="AS55" s="14" t="s">
        <v>187</v>
      </c>
      <c r="AT55" s="14">
        <v>0</v>
      </c>
      <c r="AU55" s="14">
        <v>0</v>
      </c>
      <c r="AV55" s="214">
        <v>1.4519068310000001</v>
      </c>
      <c r="AW55" s="27">
        <v>0</v>
      </c>
      <c r="AY55" s="213" t="s">
        <v>46</v>
      </c>
      <c r="AZ55" s="223">
        <v>42144</v>
      </c>
      <c r="BA55" s="14" t="s">
        <v>149</v>
      </c>
      <c r="BB55" s="223">
        <v>15116</v>
      </c>
      <c r="BC55" s="14" t="s">
        <v>125</v>
      </c>
      <c r="BD55" s="14">
        <v>0</v>
      </c>
      <c r="BE55" s="14">
        <v>0</v>
      </c>
      <c r="BF55" s="214">
        <v>1.2030000000000001</v>
      </c>
      <c r="BG55" s="27">
        <v>0</v>
      </c>
    </row>
    <row r="56" spans="1:59" x14ac:dyDescent="0.2">
      <c r="A56" s="213" t="s">
        <v>45</v>
      </c>
      <c r="B56" s="223">
        <v>42144</v>
      </c>
      <c r="C56" s="14" t="s">
        <v>101</v>
      </c>
      <c r="D56" s="223">
        <v>19499</v>
      </c>
      <c r="E56" s="14" t="s">
        <v>188</v>
      </c>
      <c r="F56" s="14">
        <v>0</v>
      </c>
      <c r="G56" s="14">
        <v>0</v>
      </c>
      <c r="H56" s="214">
        <v>1.357396102</v>
      </c>
      <c r="I56" s="27">
        <v>0</v>
      </c>
      <c r="K56" s="213" t="s">
        <v>45</v>
      </c>
      <c r="L56" s="223">
        <v>42144</v>
      </c>
      <c r="M56" s="14" t="s">
        <v>138</v>
      </c>
      <c r="N56" s="223">
        <v>19499</v>
      </c>
      <c r="O56" s="14" t="s">
        <v>188</v>
      </c>
      <c r="P56" s="14">
        <v>0</v>
      </c>
      <c r="Q56" s="14">
        <v>0</v>
      </c>
      <c r="R56" s="214">
        <v>1.389889836</v>
      </c>
      <c r="S56" s="27">
        <v>0</v>
      </c>
      <c r="U56" s="213" t="s">
        <v>45</v>
      </c>
      <c r="V56" s="223">
        <v>42144</v>
      </c>
      <c r="W56" s="14" t="s">
        <v>138</v>
      </c>
      <c r="X56" s="223">
        <v>19499</v>
      </c>
      <c r="Y56" s="14" t="s">
        <v>188</v>
      </c>
      <c r="Z56" s="14">
        <v>0</v>
      </c>
      <c r="AA56" s="14">
        <v>0</v>
      </c>
      <c r="AB56" s="214">
        <v>1.389889836</v>
      </c>
      <c r="AC56" s="27">
        <v>0</v>
      </c>
      <c r="AE56" s="213" t="s">
        <v>45</v>
      </c>
      <c r="AF56" s="223">
        <v>42144</v>
      </c>
      <c r="AG56" s="14" t="s">
        <v>170</v>
      </c>
      <c r="AH56" s="223">
        <v>17307</v>
      </c>
      <c r="AI56" s="14" t="s">
        <v>131</v>
      </c>
      <c r="AJ56" s="14">
        <v>0</v>
      </c>
      <c r="AK56" s="14">
        <v>0</v>
      </c>
      <c r="AL56" s="214">
        <v>1.280593436</v>
      </c>
      <c r="AM56" s="27">
        <v>0</v>
      </c>
      <c r="AO56" s="213" t="s">
        <v>45</v>
      </c>
      <c r="AP56" s="223">
        <v>42144</v>
      </c>
      <c r="AQ56" s="14" t="s">
        <v>147</v>
      </c>
      <c r="AR56" s="223">
        <v>19499</v>
      </c>
      <c r="AS56" s="14" t="s">
        <v>188</v>
      </c>
      <c r="AT56" s="14">
        <v>0</v>
      </c>
      <c r="AU56" s="14">
        <v>0</v>
      </c>
      <c r="AV56" s="214">
        <v>1.450523609</v>
      </c>
      <c r="AW56" s="27">
        <v>0</v>
      </c>
      <c r="AY56" s="213" t="s">
        <v>46</v>
      </c>
      <c r="AZ56" s="223">
        <v>42144</v>
      </c>
      <c r="BA56" s="14" t="s">
        <v>149</v>
      </c>
      <c r="BB56" s="223">
        <v>15481</v>
      </c>
      <c r="BC56" s="14" t="s">
        <v>126</v>
      </c>
      <c r="BD56" s="14">
        <v>0</v>
      </c>
      <c r="BE56" s="14">
        <v>0</v>
      </c>
      <c r="BF56" s="214">
        <v>1.2090000000000001</v>
      </c>
      <c r="BG56" s="27">
        <v>0</v>
      </c>
    </row>
    <row r="57" spans="1:59" x14ac:dyDescent="0.2">
      <c r="A57" s="213" t="s">
        <v>45</v>
      </c>
      <c r="B57" s="223">
        <v>42144</v>
      </c>
      <c r="C57" s="14" t="s">
        <v>101</v>
      </c>
      <c r="D57" s="223">
        <v>19864</v>
      </c>
      <c r="E57" s="14" t="s">
        <v>189</v>
      </c>
      <c r="F57" s="14">
        <v>0</v>
      </c>
      <c r="G57" s="14">
        <v>0</v>
      </c>
      <c r="H57" s="214">
        <v>1.356212835</v>
      </c>
      <c r="I57" s="27">
        <v>0</v>
      </c>
      <c r="K57" s="213" t="s">
        <v>45</v>
      </c>
      <c r="L57" s="223">
        <v>42144</v>
      </c>
      <c r="M57" s="14" t="s">
        <v>138</v>
      </c>
      <c r="N57" s="223">
        <v>19864</v>
      </c>
      <c r="O57" s="14" t="s">
        <v>189</v>
      </c>
      <c r="P57" s="14">
        <v>0</v>
      </c>
      <c r="Q57" s="14">
        <v>0</v>
      </c>
      <c r="R57" s="214">
        <v>1.388715991</v>
      </c>
      <c r="S57" s="27">
        <v>0</v>
      </c>
      <c r="U57" s="213" t="s">
        <v>45</v>
      </c>
      <c r="V57" s="223">
        <v>42144</v>
      </c>
      <c r="W57" s="14" t="s">
        <v>138</v>
      </c>
      <c r="X57" s="223">
        <v>19864</v>
      </c>
      <c r="Y57" s="14" t="s">
        <v>189</v>
      </c>
      <c r="Z57" s="14">
        <v>0</v>
      </c>
      <c r="AA57" s="14">
        <v>0</v>
      </c>
      <c r="AB57" s="214">
        <v>1.388715991</v>
      </c>
      <c r="AC57" s="27">
        <v>0</v>
      </c>
      <c r="AE57" s="213" t="s">
        <v>45</v>
      </c>
      <c r="AF57" s="223">
        <v>42144</v>
      </c>
      <c r="AG57" s="14" t="s">
        <v>170</v>
      </c>
      <c r="AH57" s="223">
        <v>17673</v>
      </c>
      <c r="AI57" s="14" t="s">
        <v>132</v>
      </c>
      <c r="AJ57" s="14">
        <v>0</v>
      </c>
      <c r="AK57" s="14">
        <v>0</v>
      </c>
      <c r="AL57" s="214">
        <v>1.284664225</v>
      </c>
      <c r="AM57" s="27">
        <v>0</v>
      </c>
      <c r="AO57" s="213" t="s">
        <v>45</v>
      </c>
      <c r="AP57" s="223">
        <v>42144</v>
      </c>
      <c r="AQ57" s="14" t="s">
        <v>147</v>
      </c>
      <c r="AR57" s="223">
        <v>19864</v>
      </c>
      <c r="AS57" s="14" t="s">
        <v>189</v>
      </c>
      <c r="AT57" s="14">
        <v>0</v>
      </c>
      <c r="AU57" s="14">
        <v>0</v>
      </c>
      <c r="AV57" s="214">
        <v>1.4482461200000001</v>
      </c>
      <c r="AW57" s="27">
        <v>0</v>
      </c>
      <c r="AY57" s="213" t="s">
        <v>46</v>
      </c>
      <c r="AZ57" s="223">
        <v>42144</v>
      </c>
      <c r="BA57" s="14" t="s">
        <v>149</v>
      </c>
      <c r="BB57" s="223">
        <v>15846</v>
      </c>
      <c r="BC57" s="14" t="s">
        <v>127</v>
      </c>
      <c r="BD57" s="14">
        <v>0</v>
      </c>
      <c r="BE57" s="14">
        <v>0</v>
      </c>
      <c r="BF57" s="214">
        <v>1.214</v>
      </c>
      <c r="BG57" s="27">
        <v>0</v>
      </c>
    </row>
    <row r="58" spans="1:59" x14ac:dyDescent="0.2">
      <c r="A58" s="213" t="s">
        <v>45</v>
      </c>
      <c r="B58" s="223">
        <v>42144</v>
      </c>
      <c r="C58" s="14" t="s">
        <v>101</v>
      </c>
      <c r="D58" s="223">
        <v>20229</v>
      </c>
      <c r="E58" s="14" t="s">
        <v>190</v>
      </c>
      <c r="F58" s="14">
        <v>0</v>
      </c>
      <c r="G58" s="14">
        <v>0</v>
      </c>
      <c r="H58" s="214">
        <v>1.3540000000000001</v>
      </c>
      <c r="I58" s="27">
        <v>0</v>
      </c>
      <c r="K58" s="213" t="s">
        <v>45</v>
      </c>
      <c r="L58" s="223">
        <v>42144</v>
      </c>
      <c r="M58" s="14" t="s">
        <v>138</v>
      </c>
      <c r="N58" s="223">
        <v>20229</v>
      </c>
      <c r="O58" s="14" t="s">
        <v>190</v>
      </c>
      <c r="P58" s="14">
        <v>0</v>
      </c>
      <c r="Q58" s="14">
        <v>0</v>
      </c>
      <c r="R58" s="214">
        <v>1.387</v>
      </c>
      <c r="S58" s="27">
        <v>0</v>
      </c>
      <c r="U58" s="213" t="s">
        <v>45</v>
      </c>
      <c r="V58" s="223">
        <v>42144</v>
      </c>
      <c r="W58" s="14" t="s">
        <v>138</v>
      </c>
      <c r="X58" s="223">
        <v>20229</v>
      </c>
      <c r="Y58" s="14" t="s">
        <v>190</v>
      </c>
      <c r="Z58" s="14">
        <v>0</v>
      </c>
      <c r="AA58" s="14">
        <v>0</v>
      </c>
      <c r="AB58" s="214">
        <v>1.387</v>
      </c>
      <c r="AC58" s="27">
        <v>0</v>
      </c>
      <c r="AE58" s="213" t="s">
        <v>45</v>
      </c>
      <c r="AF58" s="223">
        <v>42144</v>
      </c>
      <c r="AG58" s="14" t="s">
        <v>170</v>
      </c>
      <c r="AH58" s="223">
        <v>18038</v>
      </c>
      <c r="AI58" s="14" t="s">
        <v>133</v>
      </c>
      <c r="AJ58" s="14">
        <v>0</v>
      </c>
      <c r="AK58" s="14">
        <v>0</v>
      </c>
      <c r="AL58" s="214">
        <v>1.2881860000000001</v>
      </c>
      <c r="AM58" s="27">
        <v>0</v>
      </c>
      <c r="AO58" s="213" t="s">
        <v>45</v>
      </c>
      <c r="AP58" s="223">
        <v>42144</v>
      </c>
      <c r="AQ58" s="14" t="s">
        <v>147</v>
      </c>
      <c r="AR58" s="223">
        <v>20229</v>
      </c>
      <c r="AS58" s="14" t="s">
        <v>190</v>
      </c>
      <c r="AT58" s="14">
        <v>0</v>
      </c>
      <c r="AU58" s="14">
        <v>0</v>
      </c>
      <c r="AV58" s="214">
        <v>1.4450000000000001</v>
      </c>
      <c r="AW58" s="27">
        <v>0</v>
      </c>
      <c r="AY58" s="213" t="s">
        <v>46</v>
      </c>
      <c r="AZ58" s="223">
        <v>42144</v>
      </c>
      <c r="BA58" s="14" t="s">
        <v>149</v>
      </c>
      <c r="BB58" s="223">
        <v>16212</v>
      </c>
      <c r="BC58" s="14" t="s">
        <v>128</v>
      </c>
      <c r="BD58" s="14">
        <v>0</v>
      </c>
      <c r="BE58" s="14">
        <v>0</v>
      </c>
      <c r="BF58" s="214">
        <v>1.22</v>
      </c>
      <c r="BG58" s="27">
        <v>0</v>
      </c>
    </row>
    <row r="59" spans="1:59" x14ac:dyDescent="0.2">
      <c r="A59" s="213" t="s">
        <v>45</v>
      </c>
      <c r="B59" s="223">
        <v>42144</v>
      </c>
      <c r="C59" s="14" t="s">
        <v>101</v>
      </c>
      <c r="D59" s="223">
        <v>23882</v>
      </c>
      <c r="E59" s="14" t="s">
        <v>191</v>
      </c>
      <c r="F59" s="14">
        <v>0</v>
      </c>
      <c r="G59" s="14">
        <v>0</v>
      </c>
      <c r="H59" s="214">
        <v>1.3089999999999999</v>
      </c>
      <c r="I59" s="27">
        <v>0</v>
      </c>
      <c r="K59" s="213" t="s">
        <v>45</v>
      </c>
      <c r="L59" s="223">
        <v>42144</v>
      </c>
      <c r="M59" s="14" t="s">
        <v>138</v>
      </c>
      <c r="N59" s="223">
        <v>23882</v>
      </c>
      <c r="O59" s="14" t="s">
        <v>191</v>
      </c>
      <c r="P59" s="14">
        <v>0</v>
      </c>
      <c r="Q59" s="14">
        <v>0</v>
      </c>
      <c r="R59" s="214">
        <v>1.3380000000000001</v>
      </c>
      <c r="S59" s="27">
        <v>0</v>
      </c>
      <c r="U59" s="213" t="s">
        <v>45</v>
      </c>
      <c r="V59" s="223">
        <v>42144</v>
      </c>
      <c r="W59" s="14" t="s">
        <v>138</v>
      </c>
      <c r="X59" s="223">
        <v>23882</v>
      </c>
      <c r="Y59" s="14" t="s">
        <v>191</v>
      </c>
      <c r="Z59" s="14">
        <v>0</v>
      </c>
      <c r="AA59" s="14">
        <v>0</v>
      </c>
      <c r="AB59" s="214">
        <v>1.3380000000000001</v>
      </c>
      <c r="AC59" s="27">
        <v>0</v>
      </c>
      <c r="AE59" s="213" t="s">
        <v>45</v>
      </c>
      <c r="AF59" s="223">
        <v>42144</v>
      </c>
      <c r="AG59" s="14" t="s">
        <v>170</v>
      </c>
      <c r="AH59" s="223">
        <v>18403</v>
      </c>
      <c r="AI59" s="14" t="s">
        <v>185</v>
      </c>
      <c r="AJ59" s="14">
        <v>0</v>
      </c>
      <c r="AK59" s="14">
        <v>0</v>
      </c>
      <c r="AL59" s="214">
        <v>1.291112118</v>
      </c>
      <c r="AM59" s="27">
        <v>0</v>
      </c>
      <c r="AO59" s="213" t="s">
        <v>45</v>
      </c>
      <c r="AP59" s="223">
        <v>42144</v>
      </c>
      <c r="AQ59" s="14" t="s">
        <v>147</v>
      </c>
      <c r="AR59" s="223">
        <v>23882</v>
      </c>
      <c r="AS59" s="14" t="s">
        <v>191</v>
      </c>
      <c r="AT59" s="14">
        <v>0</v>
      </c>
      <c r="AU59" s="14">
        <v>0</v>
      </c>
      <c r="AV59" s="214">
        <v>1.3919999999999999</v>
      </c>
      <c r="AW59" s="27">
        <v>0</v>
      </c>
      <c r="AY59" s="213" t="s">
        <v>46</v>
      </c>
      <c r="AZ59" s="223">
        <v>42144</v>
      </c>
      <c r="BA59" s="14" t="s">
        <v>149</v>
      </c>
      <c r="BB59" s="223">
        <v>16579</v>
      </c>
      <c r="BC59" s="14" t="s">
        <v>129</v>
      </c>
      <c r="BD59" s="14">
        <v>0</v>
      </c>
      <c r="BE59" s="14">
        <v>0</v>
      </c>
      <c r="BF59" s="214">
        <v>1.2250000000000001</v>
      </c>
      <c r="BG59" s="27">
        <v>0</v>
      </c>
    </row>
    <row r="60" spans="1:59" x14ac:dyDescent="0.2">
      <c r="A60" s="213" t="s">
        <v>45</v>
      </c>
      <c r="B60" s="223">
        <v>42144</v>
      </c>
      <c r="C60" s="14" t="s">
        <v>101</v>
      </c>
      <c r="D60" s="223">
        <v>27534</v>
      </c>
      <c r="E60" s="14" t="s">
        <v>192</v>
      </c>
      <c r="F60" s="14">
        <v>0</v>
      </c>
      <c r="G60" s="14">
        <v>0</v>
      </c>
      <c r="H60" s="214">
        <v>1.2969999999999999</v>
      </c>
      <c r="I60" s="27">
        <v>0</v>
      </c>
      <c r="K60" s="213" t="s">
        <v>45</v>
      </c>
      <c r="L60" s="223">
        <v>42144</v>
      </c>
      <c r="M60" s="14" t="s">
        <v>138</v>
      </c>
      <c r="N60" s="223">
        <v>27534</v>
      </c>
      <c r="O60" s="14" t="s">
        <v>192</v>
      </c>
      <c r="P60" s="14">
        <v>0</v>
      </c>
      <c r="Q60" s="14">
        <v>0</v>
      </c>
      <c r="R60" s="214">
        <v>1.323</v>
      </c>
      <c r="S60" s="27">
        <v>0</v>
      </c>
      <c r="U60" s="213" t="s">
        <v>45</v>
      </c>
      <c r="V60" s="223">
        <v>42144</v>
      </c>
      <c r="W60" s="14" t="s">
        <v>138</v>
      </c>
      <c r="X60" s="223">
        <v>27534</v>
      </c>
      <c r="Y60" s="14" t="s">
        <v>192</v>
      </c>
      <c r="Z60" s="14">
        <v>0</v>
      </c>
      <c r="AA60" s="14">
        <v>0</v>
      </c>
      <c r="AB60" s="214">
        <v>1.323</v>
      </c>
      <c r="AC60" s="27">
        <v>0</v>
      </c>
      <c r="AE60" s="213" t="s">
        <v>45</v>
      </c>
      <c r="AF60" s="223">
        <v>42144</v>
      </c>
      <c r="AG60" s="14" t="s">
        <v>170</v>
      </c>
      <c r="AH60" s="223">
        <v>18770</v>
      </c>
      <c r="AI60" s="14" t="s">
        <v>186</v>
      </c>
      <c r="AJ60" s="14">
        <v>0</v>
      </c>
      <c r="AK60" s="14">
        <v>0</v>
      </c>
      <c r="AL60" s="214">
        <v>1.2933263340000001</v>
      </c>
      <c r="AM60" s="27">
        <v>0</v>
      </c>
      <c r="AO60" s="213" t="s">
        <v>45</v>
      </c>
      <c r="AP60" s="223">
        <v>42144</v>
      </c>
      <c r="AQ60" s="14" t="s">
        <v>147</v>
      </c>
      <c r="AR60" s="223">
        <v>27534</v>
      </c>
      <c r="AS60" s="14" t="s">
        <v>192</v>
      </c>
      <c r="AT60" s="14">
        <v>0</v>
      </c>
      <c r="AU60" s="14">
        <v>0</v>
      </c>
      <c r="AV60" s="214">
        <v>1.3740000000000001</v>
      </c>
      <c r="AW60" s="27">
        <v>0</v>
      </c>
      <c r="AY60" s="213" t="s">
        <v>46</v>
      </c>
      <c r="AZ60" s="223">
        <v>42144</v>
      </c>
      <c r="BA60" s="14" t="s">
        <v>149</v>
      </c>
      <c r="BB60" s="223">
        <v>18403</v>
      </c>
      <c r="BC60" s="14" t="s">
        <v>185</v>
      </c>
      <c r="BD60" s="14">
        <v>0</v>
      </c>
      <c r="BE60" s="14">
        <v>0</v>
      </c>
      <c r="BF60" s="214">
        <v>1.2470000000000001</v>
      </c>
      <c r="BG60" s="27">
        <v>0</v>
      </c>
    </row>
    <row r="61" spans="1:59" x14ac:dyDescent="0.2">
      <c r="A61" s="213"/>
      <c r="B61" s="223"/>
      <c r="C61" s="14"/>
      <c r="D61" s="223"/>
      <c r="E61" s="14"/>
      <c r="F61" s="14"/>
      <c r="G61" s="14"/>
      <c r="H61" s="214"/>
      <c r="I61" s="27"/>
      <c r="K61" s="213"/>
      <c r="L61" s="223"/>
      <c r="M61" s="14"/>
      <c r="N61" s="223"/>
      <c r="O61" s="14"/>
      <c r="P61" s="14"/>
      <c r="Q61" s="14"/>
      <c r="R61" s="214"/>
      <c r="S61" s="27"/>
      <c r="U61" s="213"/>
      <c r="V61" s="223"/>
      <c r="W61" s="14"/>
      <c r="X61" s="223"/>
      <c r="Y61" s="14"/>
      <c r="Z61" s="14"/>
      <c r="AA61" s="14"/>
      <c r="AB61" s="214"/>
      <c r="AC61" s="27"/>
      <c r="AE61" s="213" t="s">
        <v>45</v>
      </c>
      <c r="AF61" s="223">
        <v>42144</v>
      </c>
      <c r="AG61" s="14" t="s">
        <v>170</v>
      </c>
      <c r="AH61" s="223">
        <v>19134</v>
      </c>
      <c r="AI61" s="14" t="s">
        <v>187</v>
      </c>
      <c r="AJ61" s="14">
        <v>0</v>
      </c>
      <c r="AK61" s="14">
        <v>0</v>
      </c>
      <c r="AL61" s="214">
        <v>1.294768954</v>
      </c>
      <c r="AM61" s="27">
        <v>0</v>
      </c>
      <c r="AO61" s="213"/>
      <c r="AP61" s="223"/>
      <c r="AQ61" s="14"/>
      <c r="AR61" s="223"/>
      <c r="AS61" s="14"/>
      <c r="AT61" s="14"/>
      <c r="AU61" s="14"/>
      <c r="AV61" s="214"/>
      <c r="AW61" s="27"/>
      <c r="AY61" s="213" t="s">
        <v>46</v>
      </c>
      <c r="AZ61" s="223">
        <v>42144</v>
      </c>
      <c r="BA61" s="14" t="s">
        <v>149</v>
      </c>
      <c r="BB61" s="223">
        <v>20229</v>
      </c>
      <c r="BC61" s="14" t="s">
        <v>190</v>
      </c>
      <c r="BD61" s="14">
        <v>0</v>
      </c>
      <c r="BE61" s="14">
        <v>0</v>
      </c>
      <c r="BF61" s="214">
        <v>1.2529999999999999</v>
      </c>
      <c r="BG61" s="27">
        <v>0</v>
      </c>
    </row>
    <row r="62" spans="1:59" x14ac:dyDescent="0.2">
      <c r="A62" s="213"/>
      <c r="B62" s="223"/>
      <c r="C62" s="14"/>
      <c r="D62" s="223"/>
      <c r="E62" s="14"/>
      <c r="F62" s="14"/>
      <c r="G62" s="14"/>
      <c r="H62" s="214"/>
      <c r="I62" s="27"/>
      <c r="K62" s="213"/>
      <c r="L62" s="223"/>
      <c r="M62" s="14"/>
      <c r="N62" s="223"/>
      <c r="O62" s="14"/>
      <c r="P62" s="14"/>
      <c r="Q62" s="14"/>
      <c r="R62" s="214"/>
      <c r="S62" s="27"/>
      <c r="U62" s="213"/>
      <c r="V62" s="223"/>
      <c r="W62" s="14"/>
      <c r="X62" s="223"/>
      <c r="Y62" s="14"/>
      <c r="Z62" s="14"/>
      <c r="AA62" s="14"/>
      <c r="AB62" s="214"/>
      <c r="AC62" s="27"/>
      <c r="AE62" s="213" t="s">
        <v>45</v>
      </c>
      <c r="AF62" s="223">
        <v>42144</v>
      </c>
      <c r="AG62" s="14" t="s">
        <v>170</v>
      </c>
      <c r="AH62" s="223">
        <v>19499</v>
      </c>
      <c r="AI62" s="14" t="s">
        <v>188</v>
      </c>
      <c r="AJ62" s="14">
        <v>0</v>
      </c>
      <c r="AK62" s="14">
        <v>0</v>
      </c>
      <c r="AL62" s="214">
        <v>1.295214745</v>
      </c>
      <c r="AM62" s="27">
        <v>0</v>
      </c>
      <c r="AO62" s="213"/>
      <c r="AP62" s="223"/>
      <c r="AQ62" s="14"/>
      <c r="AR62" s="223"/>
      <c r="AS62" s="14"/>
      <c r="AT62" s="14"/>
      <c r="AU62" s="14"/>
      <c r="AV62" s="214"/>
      <c r="AW62" s="27"/>
      <c r="AY62" s="213" t="s">
        <v>46</v>
      </c>
      <c r="AZ62" s="223">
        <v>42144</v>
      </c>
      <c r="BA62" s="14" t="s">
        <v>149</v>
      </c>
      <c r="BB62" s="223">
        <v>23882</v>
      </c>
      <c r="BC62" s="14" t="s">
        <v>191</v>
      </c>
      <c r="BD62" s="14">
        <v>0</v>
      </c>
      <c r="BE62" s="14">
        <v>0</v>
      </c>
      <c r="BF62" s="214">
        <v>1.218</v>
      </c>
      <c r="BG62" s="27">
        <v>0</v>
      </c>
    </row>
    <row r="63" spans="1:59" x14ac:dyDescent="0.2">
      <c r="A63" s="213"/>
      <c r="B63" s="223"/>
      <c r="C63" s="14"/>
      <c r="D63" s="223"/>
      <c r="E63" s="14"/>
      <c r="F63" s="14"/>
      <c r="G63" s="14"/>
      <c r="H63" s="214"/>
      <c r="I63" s="27"/>
      <c r="K63" s="213"/>
      <c r="L63" s="223"/>
      <c r="M63" s="14"/>
      <c r="N63" s="223"/>
      <c r="O63" s="14"/>
      <c r="P63" s="14"/>
      <c r="Q63" s="14"/>
      <c r="R63" s="214"/>
      <c r="S63" s="27"/>
      <c r="U63" s="213"/>
      <c r="V63" s="223"/>
      <c r="W63" s="14"/>
      <c r="X63" s="223"/>
      <c r="Y63" s="14"/>
      <c r="Z63" s="14"/>
      <c r="AA63" s="14"/>
      <c r="AB63" s="214"/>
      <c r="AC63" s="27"/>
      <c r="AE63" s="213" t="s">
        <v>45</v>
      </c>
      <c r="AF63" s="223">
        <v>42144</v>
      </c>
      <c r="AG63" s="14" t="s">
        <v>170</v>
      </c>
      <c r="AH63" s="223">
        <v>19864</v>
      </c>
      <c r="AI63" s="14" t="s">
        <v>189</v>
      </c>
      <c r="AJ63" s="14">
        <v>0</v>
      </c>
      <c r="AK63" s="14">
        <v>0</v>
      </c>
      <c r="AL63" s="214">
        <v>1.294650198</v>
      </c>
      <c r="AM63" s="27">
        <v>0</v>
      </c>
      <c r="AO63" s="213"/>
      <c r="AP63" s="223"/>
      <c r="AQ63" s="14"/>
      <c r="AR63" s="223"/>
      <c r="AS63" s="14"/>
      <c r="AT63" s="14"/>
      <c r="AU63" s="14"/>
      <c r="AV63" s="214"/>
      <c r="AW63" s="27"/>
      <c r="AY63" s="213" t="s">
        <v>46</v>
      </c>
      <c r="AZ63" s="223">
        <v>42144</v>
      </c>
      <c r="BA63" s="14" t="s">
        <v>149</v>
      </c>
      <c r="BB63" s="223">
        <v>27534</v>
      </c>
      <c r="BC63" s="14" t="s">
        <v>192</v>
      </c>
      <c r="BD63" s="14">
        <v>0</v>
      </c>
      <c r="BE63" s="14">
        <v>0</v>
      </c>
      <c r="BF63" s="214">
        <v>1.2130000000000001</v>
      </c>
      <c r="BG63" s="27">
        <v>0</v>
      </c>
    </row>
    <row r="64" spans="1:59" x14ac:dyDescent="0.2">
      <c r="A64" s="213"/>
      <c r="B64" s="223"/>
      <c r="C64" s="14"/>
      <c r="D64" s="223"/>
      <c r="E64" s="14"/>
      <c r="F64" s="14"/>
      <c r="G64" s="14"/>
      <c r="H64" s="214"/>
      <c r="I64" s="27"/>
      <c r="K64" s="213"/>
      <c r="L64" s="223"/>
      <c r="M64" s="14"/>
      <c r="N64" s="223"/>
      <c r="O64" s="14"/>
      <c r="P64" s="14"/>
      <c r="Q64" s="14"/>
      <c r="R64" s="214"/>
      <c r="S64" s="27"/>
      <c r="U64" s="213"/>
      <c r="V64" s="223"/>
      <c r="W64" s="14"/>
      <c r="X64" s="223"/>
      <c r="Y64" s="14"/>
      <c r="Z64" s="14"/>
      <c r="AA64" s="14"/>
      <c r="AB64" s="214"/>
      <c r="AC64" s="27"/>
      <c r="AE64" s="213" t="s">
        <v>45</v>
      </c>
      <c r="AF64" s="223">
        <v>42144</v>
      </c>
      <c r="AG64" s="14" t="s">
        <v>170</v>
      </c>
      <c r="AH64" s="223">
        <v>20229</v>
      </c>
      <c r="AI64" s="14" t="s">
        <v>190</v>
      </c>
      <c r="AJ64" s="14">
        <v>0</v>
      </c>
      <c r="AK64" s="14">
        <v>0</v>
      </c>
      <c r="AL64" s="214">
        <v>1.2929999999999999</v>
      </c>
      <c r="AM64" s="27">
        <v>0</v>
      </c>
      <c r="AO64" s="213"/>
      <c r="AP64" s="223"/>
      <c r="AQ64" s="14"/>
      <c r="AR64" s="223"/>
      <c r="AS64" s="14"/>
      <c r="AT64" s="14"/>
      <c r="AU64" s="14"/>
      <c r="AV64" s="214"/>
      <c r="AW64" s="27"/>
      <c r="AY64" s="213"/>
      <c r="AZ64" s="223"/>
      <c r="BA64" s="14"/>
      <c r="BB64" s="223"/>
      <c r="BC64" s="14"/>
      <c r="BD64" s="14"/>
      <c r="BE64" s="14"/>
      <c r="BF64" s="214"/>
      <c r="BG64" s="27"/>
    </row>
    <row r="65" spans="1:59" x14ac:dyDescent="0.2">
      <c r="A65" s="213"/>
      <c r="B65" s="223"/>
      <c r="C65" s="14"/>
      <c r="D65" s="223"/>
      <c r="E65" s="14"/>
      <c r="F65" s="14"/>
      <c r="G65" s="14"/>
      <c r="H65" s="214"/>
      <c r="I65" s="27"/>
      <c r="K65" s="213"/>
      <c r="L65" s="223"/>
      <c r="M65" s="14"/>
      <c r="N65" s="223"/>
      <c r="O65" s="14"/>
      <c r="P65" s="14"/>
      <c r="Q65" s="14"/>
      <c r="R65" s="214"/>
      <c r="S65" s="27"/>
      <c r="U65" s="213"/>
      <c r="V65" s="223"/>
      <c r="W65" s="14"/>
      <c r="X65" s="223"/>
      <c r="Y65" s="14"/>
      <c r="Z65" s="14"/>
      <c r="AA65" s="14"/>
      <c r="AB65" s="214"/>
      <c r="AC65" s="27"/>
      <c r="AE65" s="213" t="s">
        <v>45</v>
      </c>
      <c r="AF65" s="223">
        <v>42144</v>
      </c>
      <c r="AG65" s="14" t="s">
        <v>170</v>
      </c>
      <c r="AH65" s="223">
        <v>23882</v>
      </c>
      <c r="AI65" s="14" t="s">
        <v>191</v>
      </c>
      <c r="AJ65" s="14">
        <v>0</v>
      </c>
      <c r="AK65" s="14">
        <v>0</v>
      </c>
      <c r="AL65" s="214">
        <v>1.252</v>
      </c>
      <c r="AM65" s="27">
        <v>0</v>
      </c>
      <c r="AO65" s="213"/>
      <c r="AP65" s="223"/>
      <c r="AQ65" s="14"/>
      <c r="AR65" s="223"/>
      <c r="AS65" s="14"/>
      <c r="AT65" s="14"/>
      <c r="AU65" s="14"/>
      <c r="AV65" s="214"/>
      <c r="AW65" s="27"/>
      <c r="AY65" s="213"/>
      <c r="AZ65" s="223"/>
      <c r="BA65" s="14"/>
      <c r="BB65" s="223"/>
      <c r="BC65" s="14"/>
      <c r="BD65" s="14"/>
      <c r="BE65" s="14"/>
      <c r="BF65" s="214"/>
      <c r="BG65" s="27"/>
    </row>
    <row r="66" spans="1:59" x14ac:dyDescent="0.2">
      <c r="A66" s="213"/>
      <c r="B66" s="223"/>
      <c r="C66" s="14"/>
      <c r="D66" s="223"/>
      <c r="E66" s="14"/>
      <c r="F66" s="14"/>
      <c r="G66" s="14"/>
      <c r="H66" s="214"/>
      <c r="I66" s="27"/>
      <c r="K66" s="213"/>
      <c r="L66" s="223"/>
      <c r="M66" s="14"/>
      <c r="N66" s="223"/>
      <c r="O66" s="14"/>
      <c r="P66" s="14"/>
      <c r="Q66" s="14"/>
      <c r="R66" s="214"/>
      <c r="S66" s="27"/>
      <c r="U66" s="213"/>
      <c r="V66" s="223"/>
      <c r="W66" s="14"/>
      <c r="X66" s="223"/>
      <c r="Y66" s="14"/>
      <c r="Z66" s="14"/>
      <c r="AA66" s="14"/>
      <c r="AB66" s="214"/>
      <c r="AC66" s="27"/>
      <c r="AE66" s="213" t="s">
        <v>45</v>
      </c>
      <c r="AF66" s="223">
        <v>42144</v>
      </c>
      <c r="AG66" s="14" t="s">
        <v>170</v>
      </c>
      <c r="AH66" s="223">
        <v>27534</v>
      </c>
      <c r="AI66" s="14" t="s">
        <v>192</v>
      </c>
      <c r="AJ66" s="14">
        <v>0</v>
      </c>
      <c r="AK66" s="14">
        <v>0</v>
      </c>
      <c r="AL66" s="214">
        <v>1.244</v>
      </c>
      <c r="AM66" s="27">
        <v>0</v>
      </c>
      <c r="AO66" s="213"/>
      <c r="AP66" s="223"/>
      <c r="AQ66" s="14"/>
      <c r="AR66" s="223"/>
      <c r="AS66" s="14"/>
      <c r="AT66" s="14"/>
      <c r="AU66" s="14"/>
      <c r="AV66" s="214"/>
      <c r="AW66" s="27"/>
      <c r="AY66" s="213"/>
      <c r="AZ66" s="223"/>
      <c r="BA66" s="14"/>
      <c r="BB66" s="223"/>
      <c r="BC66" s="14"/>
      <c r="BD66" s="14"/>
      <c r="BE66" s="14"/>
      <c r="BF66" s="214"/>
      <c r="BG66" s="27"/>
    </row>
    <row r="67" spans="1:59" x14ac:dyDescent="0.2">
      <c r="A67" s="213"/>
      <c r="B67" s="223"/>
      <c r="C67" s="14"/>
      <c r="D67" s="223"/>
      <c r="E67" s="14"/>
      <c r="F67" s="14"/>
      <c r="G67" s="14"/>
      <c r="H67" s="214"/>
      <c r="I67" s="27"/>
      <c r="K67" s="213"/>
      <c r="L67" s="223"/>
      <c r="M67" s="14"/>
      <c r="N67" s="223"/>
      <c r="O67" s="14"/>
      <c r="P67" s="14"/>
      <c r="Q67" s="14"/>
      <c r="R67" s="214"/>
      <c r="S67" s="27"/>
      <c r="U67" s="213"/>
      <c r="V67" s="223"/>
      <c r="W67" s="14"/>
      <c r="X67" s="223"/>
      <c r="Y67" s="14"/>
      <c r="Z67" s="14"/>
      <c r="AA67" s="14"/>
      <c r="AB67" s="214"/>
      <c r="AC67" s="27"/>
      <c r="AE67" s="213"/>
      <c r="AF67" s="223"/>
      <c r="AG67" s="14"/>
      <c r="AH67" s="223"/>
      <c r="AI67" s="14"/>
      <c r="AJ67" s="14"/>
      <c r="AK67" s="14"/>
      <c r="AL67" s="214"/>
      <c r="AM67" s="27"/>
      <c r="AO67" s="213"/>
      <c r="AP67" s="223"/>
      <c r="AQ67" s="14"/>
      <c r="AR67" s="223"/>
      <c r="AS67" s="14"/>
      <c r="AT67" s="14"/>
      <c r="AU67" s="14"/>
      <c r="AV67" s="214"/>
      <c r="AW67" s="27"/>
      <c r="AY67" s="213"/>
      <c r="AZ67" s="223"/>
      <c r="BA67" s="14"/>
      <c r="BB67" s="223"/>
      <c r="BC67" s="14"/>
      <c r="BD67" s="14"/>
      <c r="BE67" s="14"/>
      <c r="BF67" s="214"/>
      <c r="BG67" s="27"/>
    </row>
    <row r="68" spans="1:59" x14ac:dyDescent="0.2">
      <c r="A68" s="213"/>
      <c r="B68" s="223"/>
      <c r="C68" s="14"/>
      <c r="D68" s="223"/>
      <c r="E68" s="14"/>
      <c r="F68" s="14"/>
      <c r="G68" s="14"/>
      <c r="H68" s="214"/>
      <c r="I68" s="27"/>
      <c r="K68" s="213"/>
      <c r="L68" s="223"/>
      <c r="M68" s="14"/>
      <c r="N68" s="223"/>
      <c r="O68" s="14"/>
      <c r="P68" s="14"/>
      <c r="Q68" s="14"/>
      <c r="R68" s="214"/>
      <c r="S68" s="27"/>
      <c r="U68" s="213"/>
      <c r="V68" s="223"/>
      <c r="W68" s="14"/>
      <c r="X68" s="223"/>
      <c r="Y68" s="14"/>
      <c r="Z68" s="14"/>
      <c r="AA68" s="14"/>
      <c r="AB68" s="214"/>
      <c r="AC68" s="27"/>
      <c r="AE68" s="213"/>
      <c r="AF68" s="223"/>
      <c r="AG68" s="14"/>
      <c r="AH68" s="223"/>
      <c r="AI68" s="14"/>
      <c r="AJ68" s="14"/>
      <c r="AK68" s="14"/>
      <c r="AL68" s="214"/>
      <c r="AM68" s="27"/>
      <c r="AO68" s="213"/>
      <c r="AP68" s="223"/>
      <c r="AQ68" s="14"/>
      <c r="AR68" s="223"/>
      <c r="AS68" s="14"/>
      <c r="AT68" s="14"/>
      <c r="AU68" s="14"/>
      <c r="AV68" s="214"/>
      <c r="AW68" s="27"/>
      <c r="AY68" s="213"/>
      <c r="AZ68" s="223"/>
      <c r="BA68" s="14"/>
      <c r="BB68" s="223"/>
      <c r="BC68" s="14"/>
      <c r="BD68" s="14"/>
      <c r="BE68" s="14"/>
      <c r="BF68" s="214"/>
      <c r="BG68" s="27"/>
    </row>
    <row r="69" spans="1:59" x14ac:dyDescent="0.2">
      <c r="A69" s="213"/>
      <c r="B69" s="223"/>
      <c r="C69" s="14"/>
      <c r="D69" s="223"/>
      <c r="E69" s="14"/>
      <c r="F69" s="14"/>
      <c r="G69" s="14"/>
      <c r="H69" s="214"/>
      <c r="I69" s="27"/>
      <c r="K69" s="213"/>
      <c r="L69" s="223"/>
      <c r="M69" s="14"/>
      <c r="N69" s="223"/>
      <c r="O69" s="14"/>
      <c r="P69" s="14"/>
      <c r="Q69" s="14"/>
      <c r="R69" s="214"/>
      <c r="S69" s="27"/>
      <c r="U69" s="213"/>
      <c r="V69" s="223"/>
      <c r="W69" s="14"/>
      <c r="X69" s="223"/>
      <c r="Y69" s="14"/>
      <c r="Z69" s="14"/>
      <c r="AA69" s="14"/>
      <c r="AB69" s="214"/>
      <c r="AC69" s="27"/>
      <c r="AE69" s="213"/>
      <c r="AF69" s="223"/>
      <c r="AG69" s="14"/>
      <c r="AH69" s="223"/>
      <c r="AI69" s="14"/>
      <c r="AJ69" s="14"/>
      <c r="AK69" s="14"/>
      <c r="AL69" s="214"/>
      <c r="AM69" s="27"/>
      <c r="AO69" s="213"/>
      <c r="AP69" s="223"/>
      <c r="AQ69" s="14"/>
      <c r="AR69" s="223"/>
      <c r="AS69" s="14"/>
      <c r="AT69" s="14"/>
      <c r="AU69" s="14"/>
      <c r="AV69" s="214"/>
      <c r="AW69" s="27"/>
      <c r="AY69" s="213"/>
      <c r="AZ69" s="223"/>
      <c r="BA69" s="14"/>
      <c r="BB69" s="223"/>
      <c r="BC69" s="14"/>
      <c r="BD69" s="14"/>
      <c r="BE69" s="14"/>
      <c r="BF69" s="214"/>
      <c r="BG69" s="27"/>
    </row>
    <row r="70" spans="1:59" x14ac:dyDescent="0.2">
      <c r="A70" s="213"/>
      <c r="B70" s="223"/>
      <c r="C70" s="14"/>
      <c r="D70" s="223"/>
      <c r="E70" s="14"/>
      <c r="F70" s="14"/>
      <c r="G70" s="14"/>
      <c r="H70" s="214"/>
      <c r="I70" s="27"/>
      <c r="K70" s="213"/>
      <c r="L70" s="223"/>
      <c r="M70" s="14"/>
      <c r="N70" s="223"/>
      <c r="O70" s="14"/>
      <c r="P70" s="14"/>
      <c r="Q70" s="14"/>
      <c r="R70" s="214"/>
      <c r="S70" s="27"/>
      <c r="U70" s="213"/>
      <c r="V70" s="223"/>
      <c r="W70" s="14"/>
      <c r="X70" s="223"/>
      <c r="Y70" s="14"/>
      <c r="Z70" s="14"/>
      <c r="AA70" s="14"/>
      <c r="AB70" s="214"/>
      <c r="AC70" s="27"/>
      <c r="AE70" s="213"/>
      <c r="AF70" s="223"/>
      <c r="AG70" s="14"/>
      <c r="AH70" s="223"/>
      <c r="AI70" s="14"/>
      <c r="AJ70" s="14"/>
      <c r="AK70" s="14"/>
      <c r="AL70" s="214"/>
      <c r="AM70" s="27"/>
      <c r="AO70" s="213"/>
      <c r="AP70" s="223"/>
      <c r="AQ70" s="14"/>
      <c r="AR70" s="223"/>
      <c r="AS70" s="14"/>
      <c r="AT70" s="14"/>
      <c r="AU70" s="14"/>
      <c r="AV70" s="214"/>
      <c r="AW70" s="27"/>
      <c r="AY70" s="213"/>
      <c r="AZ70" s="223"/>
      <c r="BA70" s="14"/>
      <c r="BB70" s="223"/>
      <c r="BC70" s="14"/>
      <c r="BD70" s="14"/>
      <c r="BE70" s="14"/>
      <c r="BF70" s="214"/>
      <c r="BG70" s="27"/>
    </row>
    <row r="71" spans="1:59" x14ac:dyDescent="0.2">
      <c r="A71" s="213"/>
      <c r="B71" s="223"/>
      <c r="C71" s="14"/>
      <c r="D71" s="223"/>
      <c r="E71" s="14"/>
      <c r="F71" s="14"/>
      <c r="G71" s="14"/>
      <c r="H71" s="214"/>
      <c r="I71" s="27"/>
      <c r="K71" s="213"/>
      <c r="L71" s="223"/>
      <c r="M71" s="14"/>
      <c r="N71" s="223"/>
      <c r="O71" s="14"/>
      <c r="P71" s="14"/>
      <c r="Q71" s="14"/>
      <c r="R71" s="214"/>
      <c r="S71" s="27"/>
      <c r="U71" s="213"/>
      <c r="V71" s="223"/>
      <c r="W71" s="14"/>
      <c r="X71" s="223"/>
      <c r="Y71" s="14"/>
      <c r="Z71" s="14"/>
      <c r="AA71" s="14"/>
      <c r="AB71" s="214"/>
      <c r="AC71" s="27"/>
      <c r="AE71" s="213"/>
      <c r="AF71" s="223"/>
      <c r="AG71" s="14"/>
      <c r="AH71" s="223"/>
      <c r="AI71" s="14"/>
      <c r="AJ71" s="14"/>
      <c r="AK71" s="14"/>
      <c r="AL71" s="214"/>
      <c r="AM71" s="27"/>
      <c r="AO71" s="213"/>
      <c r="AP71" s="223"/>
      <c r="AQ71" s="14"/>
      <c r="AR71" s="223"/>
      <c r="AS71" s="14"/>
      <c r="AT71" s="14"/>
      <c r="AU71" s="14"/>
      <c r="AV71" s="214"/>
      <c r="AW71" s="27"/>
      <c r="AY71" s="213"/>
      <c r="AZ71" s="223"/>
      <c r="BA71" s="14"/>
      <c r="BB71" s="223"/>
      <c r="BC71" s="14"/>
      <c r="BD71" s="14"/>
      <c r="BE71" s="14"/>
      <c r="BF71" s="214"/>
      <c r="BG71" s="27"/>
    </row>
    <row r="72" spans="1:59" x14ac:dyDescent="0.2">
      <c r="A72" s="213"/>
      <c r="B72" s="223"/>
      <c r="C72" s="14"/>
      <c r="D72" s="223"/>
      <c r="E72" s="14"/>
      <c r="F72" s="14"/>
      <c r="G72" s="14"/>
      <c r="H72" s="214"/>
      <c r="I72" s="27"/>
      <c r="K72" s="213"/>
      <c r="L72" s="223"/>
      <c r="M72" s="14"/>
      <c r="N72" s="223"/>
      <c r="O72" s="14"/>
      <c r="P72" s="14"/>
      <c r="Q72" s="14"/>
      <c r="R72" s="214"/>
      <c r="S72" s="27"/>
      <c r="U72" s="213"/>
      <c r="V72" s="223"/>
      <c r="W72" s="14"/>
      <c r="X72" s="223"/>
      <c r="Y72" s="14"/>
      <c r="Z72" s="14"/>
      <c r="AA72" s="14"/>
      <c r="AB72" s="214"/>
      <c r="AC72" s="27"/>
      <c r="AE72" s="213"/>
      <c r="AF72" s="223"/>
      <c r="AG72" s="14"/>
      <c r="AH72" s="223"/>
      <c r="AI72" s="14"/>
      <c r="AJ72" s="14"/>
      <c r="AK72" s="14"/>
      <c r="AL72" s="214"/>
      <c r="AM72" s="27"/>
      <c r="AO72" s="213"/>
      <c r="AP72" s="223"/>
      <c r="AQ72" s="14"/>
      <c r="AR72" s="223"/>
      <c r="AS72" s="14"/>
      <c r="AT72" s="14"/>
      <c r="AU72" s="14"/>
      <c r="AV72" s="214"/>
      <c r="AW72" s="27"/>
      <c r="AY72" s="213"/>
      <c r="AZ72" s="223"/>
      <c r="BA72" s="14"/>
      <c r="BB72" s="223"/>
      <c r="BC72" s="14"/>
      <c r="BD72" s="14"/>
      <c r="BE72" s="14"/>
      <c r="BF72" s="214"/>
      <c r="BG72" s="27"/>
    </row>
    <row r="73" spans="1:59" x14ac:dyDescent="0.2">
      <c r="A73" s="213"/>
      <c r="B73" s="223"/>
      <c r="C73" s="14"/>
      <c r="D73" s="223"/>
      <c r="E73" s="14"/>
      <c r="F73" s="14"/>
      <c r="G73" s="14"/>
      <c r="H73" s="214"/>
      <c r="I73" s="27"/>
      <c r="K73" s="213"/>
      <c r="L73" s="223"/>
      <c r="M73" s="14"/>
      <c r="N73" s="223"/>
      <c r="O73" s="14"/>
      <c r="P73" s="14"/>
      <c r="Q73" s="14"/>
      <c r="R73" s="214"/>
      <c r="S73" s="27"/>
      <c r="U73" s="213"/>
      <c r="V73" s="223"/>
      <c r="W73" s="14"/>
      <c r="X73" s="223"/>
      <c r="Y73" s="14"/>
      <c r="Z73" s="14"/>
      <c r="AA73" s="14"/>
      <c r="AB73" s="214"/>
      <c r="AC73" s="27"/>
      <c r="AE73" s="213"/>
      <c r="AF73" s="223"/>
      <c r="AG73" s="14"/>
      <c r="AH73" s="223"/>
      <c r="AI73" s="14"/>
      <c r="AJ73" s="14"/>
      <c r="AK73" s="14"/>
      <c r="AL73" s="214"/>
      <c r="AM73" s="27"/>
      <c r="AO73" s="213"/>
      <c r="AP73" s="223"/>
      <c r="AQ73" s="14"/>
      <c r="AR73" s="223"/>
      <c r="AS73" s="14"/>
      <c r="AT73" s="14"/>
      <c r="AU73" s="14"/>
      <c r="AV73" s="214"/>
      <c r="AW73" s="27"/>
      <c r="AY73" s="213"/>
      <c r="AZ73" s="223"/>
      <c r="BA73" s="14"/>
      <c r="BB73" s="223"/>
      <c r="BC73" s="14"/>
      <c r="BD73" s="14"/>
      <c r="BE73" s="14"/>
      <c r="BF73" s="214"/>
      <c r="BG73" s="27"/>
    </row>
    <row r="74" spans="1:59" ht="12" thickBot="1" x14ac:dyDescent="0.25">
      <c r="A74" s="220"/>
      <c r="B74" s="224"/>
      <c r="C74" s="17"/>
      <c r="D74" s="224"/>
      <c r="E74" s="17"/>
      <c r="F74" s="17"/>
      <c r="G74" s="17"/>
      <c r="H74" s="221"/>
      <c r="I74" s="28"/>
      <c r="K74" s="220"/>
      <c r="L74" s="224"/>
      <c r="M74" s="17"/>
      <c r="N74" s="224"/>
      <c r="O74" s="17"/>
      <c r="P74" s="17"/>
      <c r="Q74" s="17"/>
      <c r="R74" s="221"/>
      <c r="S74" s="28"/>
      <c r="U74" s="220"/>
      <c r="V74" s="224"/>
      <c r="W74" s="17"/>
      <c r="X74" s="224"/>
      <c r="Y74" s="17"/>
      <c r="Z74" s="17"/>
      <c r="AA74" s="17"/>
      <c r="AB74" s="221"/>
      <c r="AC74" s="28"/>
      <c r="AE74" s="220"/>
      <c r="AF74" s="224"/>
      <c r="AG74" s="17"/>
      <c r="AH74" s="224"/>
      <c r="AI74" s="17"/>
      <c r="AJ74" s="17"/>
      <c r="AK74" s="17"/>
      <c r="AL74" s="221"/>
      <c r="AM74" s="28"/>
      <c r="AO74" s="220"/>
      <c r="AP74" s="224"/>
      <c r="AQ74" s="17"/>
      <c r="AR74" s="224"/>
      <c r="AS74" s="17"/>
      <c r="AT74" s="17"/>
      <c r="AU74" s="17"/>
      <c r="AV74" s="221"/>
      <c r="AW74" s="28"/>
      <c r="AY74" s="220"/>
      <c r="AZ74" s="224"/>
      <c r="BA74" s="17"/>
      <c r="BB74" s="224"/>
      <c r="BC74" s="17"/>
      <c r="BD74" s="17"/>
      <c r="BE74" s="17"/>
      <c r="BF74" s="221"/>
      <c r="BG74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GeneralSettings</vt:lpstr>
      <vt:lpstr>EURSTD</vt:lpstr>
      <vt:lpstr>EUR3M</vt:lpstr>
      <vt:lpstr>EUR6M</vt:lpstr>
      <vt:lpstr>EUR1Y</vt:lpstr>
      <vt:lpstr>EUR1M</vt:lpstr>
      <vt:lpstr>EURON</vt:lpstr>
      <vt:lpstr>Euribor</vt:lpstr>
      <vt:lpstr>PastedValue</vt:lpstr>
      <vt:lpstr>Calendar</vt:lpstr>
      <vt:lpstr>Currency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Euribor!FamilyName</vt:lpstr>
      <vt:lpstr>ObjectOverwrite</vt:lpstr>
      <vt:lpstr>Permanent</vt:lpstr>
      <vt:lpstr>Settlementdate</vt:lpstr>
      <vt:lpstr>Trigger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2014-09-18T08:07:51Z</dcterms:created>
  <dcterms:modified xsi:type="dcterms:W3CDTF">2015-05-19T08:54:34Z</dcterms:modified>
</cp:coreProperties>
</file>