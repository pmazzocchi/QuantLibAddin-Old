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225" yWindow="-15" windowWidth="15270" windowHeight="8115" tabRatio="729"/>
  </bookViews>
  <sheets>
    <sheet name="General Settings" sheetId="6" r:id="rId1"/>
    <sheet name="RateHelpers" sheetId="5" r:id="rId2"/>
    <sheet name="Selected" sheetId="4" r:id="rId3"/>
    <sheet name="Deposits" sheetId="9" r:id="rId4"/>
    <sheet name="IMM Eonia" sheetId="29" r:id="rId5"/>
    <sheet name="Swaps" sheetId="25" r:id="rId6"/>
    <sheet name="Jumps" sheetId="27" r:id="rId7"/>
    <sheet name="Monitor" sheetId="26" r:id="rId8"/>
  </sheets>
  <externalReferences>
    <externalReference r:id="rId9"/>
  </externalReferences>
  <definedNames>
    <definedName name="_xlnm._FilterDatabase" localSheetId="7" hidden="1">Monitor!$B$10:$F$3559</definedName>
    <definedName name="Accuracy">'General Settings'!$D$20</definedName>
    <definedName name="Calendar">'General Settings'!$D$18</definedName>
    <definedName name="Currency">'General Settings'!$D$4</definedName>
    <definedName name="DataTable">Monitor!$B$3:$I$9</definedName>
    <definedName name="DayCounter">'General Settings'!$D$19</definedName>
    <definedName name="DepoInclusionCriteria">Selected!$B$6</definedName>
    <definedName name="Discounting">'General Settings'!$K$14</definedName>
    <definedName name="Discounting2">'General Settings'!$K$15</definedName>
    <definedName name="FamilyName">'General Settings'!$K$11</definedName>
    <definedName name="FileOverwrite">'General Settings'!$K$6</definedName>
    <definedName name="FRASeries">IF(CheckFRA=FALSE,FRANull,FRAQuotes)</definedName>
    <definedName name="FrontFuturesRollingDays">Selected!$B$5</definedName>
    <definedName name="IborIndex">Monitor!$AA$9</definedName>
    <definedName name="IborType">'General Settings'!$D$7</definedName>
    <definedName name="IMMFutSeries">IF(CheckIMMFut=FALSE,IMMFutNull,IMMFutQuotes)</definedName>
    <definedName name="IndexTenor">'General Settings'!$D$6</definedName>
    <definedName name="Interpolator1st">'General Settings'!$E$22</definedName>
    <definedName name="Interpolator2nd">'General Settings'!$F$22</definedName>
    <definedName name="JumpDates">Jumps!$C$6:$C$18</definedName>
    <definedName name="JumpQuotes">Jumps!$G$6:$G$18</definedName>
    <definedName name="MaxECB">Swaps!$J$2</definedName>
    <definedName name="MinDistance">RateHelpers!$H$2:$H$54</definedName>
    <definedName name="MoneyMarketDayCounter">'General Settings'!$K$13</definedName>
    <definedName name="Months">'General Settings'!$D$5</definedName>
    <definedName name="NDays">'General Settings'!$D$17</definedName>
    <definedName name="nIMMFutures">Selected!$B$3</definedName>
    <definedName name="nSerialFutures">Selected!$B$4</definedName>
    <definedName name="ObjectOverwrite">'General Settings'!$D$12</definedName>
    <definedName name="ONValueDates">Monitor!$Z$11:$Z$355</definedName>
    <definedName name="Permanent">'General Settings'!$D$10</definedName>
    <definedName name="_xlnm.Print_Area" localSheetId="2">Selected!$D$2:$J$51</definedName>
    <definedName name="QuoteSuffix">'General Settings'!$K$12</definedName>
    <definedName name="RateHelperPrefix">'General Settings'!$D$9</definedName>
    <definedName name="RateHelpers">RateHelpers!$B$2:$B$54</definedName>
    <definedName name="RateHelpers1st">RateHelpers!$A$2:$A$54</definedName>
    <definedName name="RateHelpersIncluded">RateHelpers!$F$2:$F$54</definedName>
    <definedName name="RateHelpersIncluded1st">RateHelpers!$E$2:$E$54</definedName>
    <definedName name="RateHelpersPriority">RateHelpers!$G$2:$G$54</definedName>
    <definedName name="RateHelpersSelected">Selected!$A$8</definedName>
    <definedName name="RecalcTrigger">Monitor!$J$12</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Settings'!$D$21</definedName>
    <definedName name="Trigger">'General Settings'!$D$11</definedName>
    <definedName name="YieldCurve">'General Settings'!$D$14</definedName>
    <definedName name="YieldCurve1st">'General Settings'!$E$14</definedName>
    <definedName name="YieldCurve2nd">'General Settings'!$F$14</definedName>
  </definedNames>
  <calcPr calcId="145621"/>
</workbook>
</file>

<file path=xl/calcChain.xml><?xml version="1.0" encoding="utf-8"?>
<calcChain xmlns="http://schemas.openxmlformats.org/spreadsheetml/2006/main">
  <c r="D14" i="6" l="1"/>
  <c r="V11" i="26" l="1" a="1"/>
  <c r="D28" i="6"/>
  <c r="F16" i="6"/>
  <c r="D16" i="6"/>
  <c r="E16" i="6"/>
  <c r="M1" i="4"/>
  <c r="L1" i="4"/>
  <c r="J1" i="4"/>
  <c r="E33" i="5"/>
  <c r="E32" i="5"/>
  <c r="E31" i="5"/>
  <c r="E30" i="5"/>
  <c r="E29" i="5"/>
  <c r="E28" i="5"/>
  <c r="E27" i="5"/>
  <c r="E26" i="5"/>
  <c r="E25" i="5"/>
  <c r="E24" i="5"/>
  <c r="E18" i="5"/>
  <c r="E17" i="5"/>
  <c r="E16" i="5"/>
  <c r="E15" i="5"/>
  <c r="E14" i="5"/>
  <c r="E4" i="5"/>
  <c r="H2" i="9" l="1"/>
  <c r="F26" i="25"/>
  <c r="E39" i="25"/>
  <c r="F39" i="25" s="1"/>
  <c r="E38" i="25"/>
  <c r="F38" i="25" s="1"/>
  <c r="E37" i="25"/>
  <c r="F37" i="25" s="1"/>
  <c r="E36" i="25"/>
  <c r="F36" i="25" s="1"/>
  <c r="E35" i="25"/>
  <c r="F35" i="25" s="1"/>
  <c r="E34" i="25"/>
  <c r="F34" i="25" s="1"/>
  <c r="E33" i="25"/>
  <c r="F33" i="25" s="1"/>
  <c r="E32" i="25"/>
  <c r="F32" i="25" s="1"/>
  <c r="E31" i="25"/>
  <c r="F31" i="25" s="1"/>
  <c r="E30" i="25"/>
  <c r="F30" i="25" s="1"/>
  <c r="E29" i="25"/>
  <c r="F29" i="25" s="1"/>
  <c r="E28" i="25"/>
  <c r="F28" i="25" s="1"/>
  <c r="E27" i="25"/>
  <c r="F27" i="25" s="1"/>
  <c r="E26" i="25"/>
  <c r="E25" i="25"/>
  <c r="E24" i="25"/>
  <c r="E23" i="25"/>
  <c r="E22" i="25"/>
  <c r="E21" i="25"/>
  <c r="E20" i="25"/>
  <c r="E19" i="25"/>
  <c r="E18" i="25"/>
  <c r="E17" i="25"/>
  <c r="E16" i="25"/>
  <c r="E15" i="25"/>
  <c r="E14" i="25"/>
  <c r="E13" i="25"/>
  <c r="E12" i="25"/>
  <c r="E11" i="25"/>
  <c r="E10" i="25"/>
  <c r="E9" i="25"/>
  <c r="E8" i="25"/>
  <c r="E7" i="25"/>
  <c r="E6" i="25"/>
  <c r="E5" i="25"/>
  <c r="I2" i="9"/>
  <c r="E4" i="9" l="1"/>
  <c r="E5" i="9"/>
  <c r="F4" i="9"/>
  <c r="G4" i="9"/>
  <c r="F5" i="9"/>
  <c r="G5" i="9"/>
  <c r="H4" i="9"/>
  <c r="I4" i="9"/>
  <c r="H5" i="9"/>
  <c r="I5" i="9"/>
  <c r="B4" i="5" l="1"/>
  <c r="A4" i="5"/>
  <c r="B3" i="5"/>
  <c r="A3" i="5"/>
  <c r="G4" i="29"/>
  <c r="G5" i="29"/>
  <c r="G6" i="29"/>
  <c r="G7" i="29"/>
  <c r="G3" i="29"/>
  <c r="E3" i="29" a="1"/>
  <c r="E3" i="29" l="1"/>
  <c r="E6" i="29"/>
  <c r="E4" i="29"/>
  <c r="E5" i="29"/>
  <c r="E7" i="29"/>
  <c r="F4" i="29"/>
  <c r="F7" i="29"/>
  <c r="F3" i="29"/>
  <c r="F5" i="29"/>
  <c r="F6" i="29"/>
  <c r="H5" i="29" l="1"/>
  <c r="H3" i="29"/>
  <c r="H7" i="29"/>
  <c r="H4" i="29"/>
  <c r="H6" i="29"/>
  <c r="J5" i="29"/>
  <c r="J7" i="29"/>
  <c r="J4" i="29"/>
  <c r="J3" i="29"/>
  <c r="J6" i="29"/>
  <c r="K5" i="29"/>
  <c r="K4" i="29"/>
  <c r="K3" i="29"/>
  <c r="K6" i="29"/>
  <c r="K7" i="29"/>
  <c r="M6" i="29"/>
  <c r="M7" i="29"/>
  <c r="M3" i="29"/>
  <c r="D2" i="27"/>
  <c r="M4" i="29"/>
  <c r="E40" i="25"/>
  <c r="M5" i="29"/>
  <c r="L5" i="29"/>
  <c r="L7" i="29"/>
  <c r="L4" i="29"/>
  <c r="L3" i="29"/>
  <c r="L6" i="29"/>
  <c r="B18" i="5" l="1"/>
  <c r="B17" i="5"/>
  <c r="B14" i="5"/>
  <c r="B15" i="5"/>
  <c r="B16" i="5"/>
  <c r="A17" i="5"/>
  <c r="A14" i="5"/>
  <c r="A15" i="5"/>
  <c r="A18" i="5"/>
  <c r="A16" i="5"/>
  <c r="D7" i="27"/>
  <c r="G7" i="27" s="1"/>
  <c r="D8" i="27"/>
  <c r="G8" i="27" s="1"/>
  <c r="D9" i="27"/>
  <c r="G9" i="27" s="1"/>
  <c r="D10" i="27"/>
  <c r="G10" i="27" s="1"/>
  <c r="D11" i="27"/>
  <c r="G11" i="27" s="1"/>
  <c r="D12" i="27"/>
  <c r="G12" i="27" s="1"/>
  <c r="D13" i="27"/>
  <c r="G13" i="27" s="1"/>
  <c r="D14" i="27"/>
  <c r="G14" i="27" s="1"/>
  <c r="D15" i="27"/>
  <c r="G15" i="27" s="1"/>
  <c r="D16" i="27"/>
  <c r="G16" i="27" s="1"/>
  <c r="D17" i="27"/>
  <c r="G17" i="27" s="1"/>
  <c r="D18" i="27"/>
  <c r="G18" i="27" s="1"/>
  <c r="D6" i="27"/>
  <c r="G6" i="27" s="1"/>
  <c r="C18" i="5"/>
  <c r="I18" i="5"/>
  <c r="J18" i="5"/>
  <c r="D18" i="5"/>
  <c r="I16" i="5"/>
  <c r="D16" i="5"/>
  <c r="J16" i="5"/>
  <c r="C16" i="5"/>
  <c r="I17" i="5"/>
  <c r="C17" i="5"/>
  <c r="J17" i="5"/>
  <c r="D17" i="5"/>
  <c r="I14" i="5"/>
  <c r="J14" i="5"/>
  <c r="D14" i="5"/>
  <c r="C14" i="5"/>
  <c r="I15" i="5"/>
  <c r="C15" i="5"/>
  <c r="D15" i="5"/>
  <c r="J15" i="5"/>
  <c r="C40" i="25"/>
  <c r="E7" i="27"/>
  <c r="E11" i="27"/>
  <c r="Y11" i="26"/>
  <c r="E14" i="27"/>
  <c r="D3" i="27"/>
  <c r="E16" i="27"/>
  <c r="E12" i="27"/>
  <c r="C18" i="27"/>
  <c r="E6" i="27"/>
  <c r="E9" i="27"/>
  <c r="E17" i="27"/>
  <c r="E18" i="27"/>
  <c r="E8" i="27"/>
  <c r="E10" i="27"/>
  <c r="Z11" i="26"/>
  <c r="E15" i="27"/>
  <c r="E13" i="27"/>
  <c r="C6" i="27"/>
  <c r="F4" i="26" l="1"/>
  <c r="F5" i="26"/>
  <c r="F6" i="26"/>
  <c r="F7" i="26"/>
  <c r="F8" i="26"/>
  <c r="F9" i="26"/>
  <c r="F3" i="26"/>
  <c r="C7" i="27"/>
  <c r="F40" i="25" l="1"/>
  <c r="C8" i="27"/>
  <c r="C4" i="26"/>
  <c r="C6" i="26"/>
  <c r="C5" i="26"/>
  <c r="C3" i="26"/>
  <c r="C7" i="26" l="1"/>
  <c r="C9" i="27"/>
  <c r="H2" i="25"/>
  <c r="I2" i="25" s="1"/>
  <c r="H32" i="25"/>
  <c r="H34" i="25"/>
  <c r="H35" i="25"/>
  <c r="H29" i="25"/>
  <c r="H37" i="25"/>
  <c r="H33" i="25"/>
  <c r="H27" i="25"/>
  <c r="H36" i="25"/>
  <c r="H30" i="25"/>
  <c r="H38" i="25"/>
  <c r="H26" i="25"/>
  <c r="H28" i="25"/>
  <c r="H31" i="25"/>
  <c r="H39" i="25"/>
  <c r="G32" i="25"/>
  <c r="G33" i="25"/>
  <c r="G34" i="25"/>
  <c r="G30" i="25"/>
  <c r="G38" i="25"/>
  <c r="G31" i="25"/>
  <c r="G39" i="25"/>
  <c r="G26" i="25"/>
  <c r="G29" i="25"/>
  <c r="G27" i="25"/>
  <c r="G35" i="25"/>
  <c r="G28" i="25"/>
  <c r="G36" i="25"/>
  <c r="G37" i="25"/>
  <c r="J32" i="25"/>
  <c r="J34" i="25"/>
  <c r="J35" i="25"/>
  <c r="J29" i="25"/>
  <c r="J37" i="25"/>
  <c r="J33" i="25"/>
  <c r="J27" i="25"/>
  <c r="J36" i="25"/>
  <c r="J30" i="25"/>
  <c r="J38" i="25"/>
  <c r="J26" i="25"/>
  <c r="J28" i="25"/>
  <c r="J31" i="25"/>
  <c r="J39" i="25"/>
  <c r="I32" i="25"/>
  <c r="I33" i="25"/>
  <c r="I34" i="25"/>
  <c r="I30" i="25"/>
  <c r="I38" i="25"/>
  <c r="I31" i="25"/>
  <c r="I39" i="25"/>
  <c r="I26" i="25"/>
  <c r="I29" i="25"/>
  <c r="I27" i="25"/>
  <c r="I35" i="25"/>
  <c r="I28" i="25"/>
  <c r="I36" i="25"/>
  <c r="I37" i="25"/>
  <c r="A52" i="5" l="1"/>
  <c r="A51" i="5"/>
  <c r="A43" i="5"/>
  <c r="A50" i="5"/>
  <c r="A42" i="5"/>
  <c r="A44" i="5"/>
  <c r="A41" i="5"/>
  <c r="A54" i="5"/>
  <c r="A46" i="5"/>
  <c r="A53" i="5"/>
  <c r="A45" i="5"/>
  <c r="A49" i="5"/>
  <c r="A48" i="5"/>
  <c r="A47" i="5"/>
  <c r="B54" i="5"/>
  <c r="B46" i="5"/>
  <c r="B43" i="5"/>
  <c r="B41" i="5"/>
  <c r="B53" i="5"/>
  <c r="B45" i="5"/>
  <c r="B51" i="5"/>
  <c r="B42" i="5"/>
  <c r="B48" i="5"/>
  <c r="B52" i="5"/>
  <c r="B44" i="5"/>
  <c r="B50" i="5"/>
  <c r="B49" i="5"/>
  <c r="B47" i="5"/>
  <c r="C8" i="26"/>
  <c r="C9" i="26" s="1"/>
  <c r="X530" i="26"/>
  <c r="X531" i="26" s="1"/>
  <c r="X532" i="26" s="1"/>
  <c r="X533" i="26" s="1"/>
  <c r="X534" i="26" s="1"/>
  <c r="X535" i="26" s="1"/>
  <c r="X536" i="26" s="1"/>
  <c r="X537" i="26" s="1"/>
  <c r="X538" i="26" s="1"/>
  <c r="X539" i="26" s="1"/>
  <c r="X540" i="26" s="1"/>
  <c r="X541" i="26" s="1"/>
  <c r="X542" i="26" s="1"/>
  <c r="X543" i="26" s="1"/>
  <c r="X544" i="26" s="1"/>
  <c r="X545" i="26" s="1"/>
  <c r="X546" i="26" s="1"/>
  <c r="X547" i="26" s="1"/>
  <c r="X548" i="26" s="1"/>
  <c r="X549" i="26" s="1"/>
  <c r="X550" i="26" s="1"/>
  <c r="X551" i="26" s="1"/>
  <c r="X552" i="26" s="1"/>
  <c r="X553" i="26" s="1"/>
  <c r="X554" i="26" s="1"/>
  <c r="X555" i="26" s="1"/>
  <c r="X556" i="26" s="1"/>
  <c r="X557" i="26" s="1"/>
  <c r="X558" i="26" s="1"/>
  <c r="X559" i="26" s="1"/>
  <c r="X560" i="26" s="1"/>
  <c r="X561" i="26" s="1"/>
  <c r="X562" i="26" s="1"/>
  <c r="X563" i="26" s="1"/>
  <c r="X564" i="26" s="1"/>
  <c r="X565" i="26" s="1"/>
  <c r="X566" i="26" s="1"/>
  <c r="X567" i="26" s="1"/>
  <c r="X568" i="26" s="1"/>
  <c r="X569" i="26" s="1"/>
  <c r="X570" i="26" s="1"/>
  <c r="X571" i="26" s="1"/>
  <c r="X572" i="26" s="1"/>
  <c r="X573" i="26" s="1"/>
  <c r="X574" i="26" s="1"/>
  <c r="X575" i="26" s="1"/>
  <c r="X576" i="26" s="1"/>
  <c r="X577" i="26" s="1"/>
  <c r="X578" i="26" s="1"/>
  <c r="X579" i="26" s="1"/>
  <c r="X580" i="26" s="1"/>
  <c r="X581" i="26" s="1"/>
  <c r="X582" i="26" s="1"/>
  <c r="X583" i="26" s="1"/>
  <c r="X584" i="26" s="1"/>
  <c r="X585" i="26" s="1"/>
  <c r="X586" i="26" s="1"/>
  <c r="X587" i="26" s="1"/>
  <c r="X588" i="26" s="1"/>
  <c r="X589" i="26" s="1"/>
  <c r="X590" i="26" s="1"/>
  <c r="X591" i="26" s="1"/>
  <c r="X592" i="26" s="1"/>
  <c r="X593" i="26" s="1"/>
  <c r="X594" i="26" s="1"/>
  <c r="X595" i="26" s="1"/>
  <c r="X596" i="26" s="1"/>
  <c r="X597" i="26" s="1"/>
  <c r="X598" i="26" s="1"/>
  <c r="X599" i="26" s="1"/>
  <c r="X600" i="26" s="1"/>
  <c r="X601" i="26" s="1"/>
  <c r="X602" i="26" s="1"/>
  <c r="X603" i="26" s="1"/>
  <c r="X604" i="26" s="1"/>
  <c r="X605" i="26" s="1"/>
  <c r="X606" i="26" s="1"/>
  <c r="X607" i="26" s="1"/>
  <c r="X608" i="26" s="1"/>
  <c r="X609" i="26" s="1"/>
  <c r="X610" i="26" s="1"/>
  <c r="X611" i="26" s="1"/>
  <c r="X612" i="26" s="1"/>
  <c r="X613" i="26" s="1"/>
  <c r="X614" i="26" s="1"/>
  <c r="X615" i="26" s="1"/>
  <c r="X616" i="26" s="1"/>
  <c r="X617" i="26" s="1"/>
  <c r="X618" i="26" s="1"/>
  <c r="X619" i="26" s="1"/>
  <c r="X620" i="26" s="1"/>
  <c r="X621" i="26" s="1"/>
  <c r="X622" i="26" s="1"/>
  <c r="X623" i="26" s="1"/>
  <c r="X624" i="26" s="1"/>
  <c r="X625" i="26" s="1"/>
  <c r="X626" i="26" s="1"/>
  <c r="X627" i="26" s="1"/>
  <c r="X628" i="26" s="1"/>
  <c r="X629" i="26" s="1"/>
  <c r="X630" i="26" s="1"/>
  <c r="X631" i="26" s="1"/>
  <c r="X632" i="26" s="1"/>
  <c r="X633" i="26" s="1"/>
  <c r="X634" i="26" s="1"/>
  <c r="X635" i="26" s="1"/>
  <c r="X636" i="26" s="1"/>
  <c r="X637" i="26" s="1"/>
  <c r="X638" i="26" s="1"/>
  <c r="X639" i="26" s="1"/>
  <c r="X640" i="26" s="1"/>
  <c r="X641" i="26" s="1"/>
  <c r="X642" i="26" s="1"/>
  <c r="X643" i="26" s="1"/>
  <c r="X644" i="26" s="1"/>
  <c r="X645" i="26" s="1"/>
  <c r="X646" i="26" s="1"/>
  <c r="X647" i="26" s="1"/>
  <c r="X648" i="26" s="1"/>
  <c r="X649" i="26" s="1"/>
  <c r="X650" i="26" s="1"/>
  <c r="X651" i="26" s="1"/>
  <c r="X652" i="26" s="1"/>
  <c r="X653" i="26" s="1"/>
  <c r="X654" i="26" s="1"/>
  <c r="X655" i="26" s="1"/>
  <c r="X656" i="26" s="1"/>
  <c r="X657" i="26" s="1"/>
  <c r="X658" i="26" s="1"/>
  <c r="X659" i="26" s="1"/>
  <c r="X660" i="26" s="1"/>
  <c r="X661" i="26" s="1"/>
  <c r="X662" i="26" s="1"/>
  <c r="X663" i="26" s="1"/>
  <c r="X664" i="26" s="1"/>
  <c r="X665" i="26" s="1"/>
  <c r="X666" i="26" s="1"/>
  <c r="X667" i="26" s="1"/>
  <c r="X668" i="26" s="1"/>
  <c r="X669" i="26" s="1"/>
  <c r="X670" i="26" s="1"/>
  <c r="X671" i="26" s="1"/>
  <c r="X672" i="26" s="1"/>
  <c r="X673" i="26" s="1"/>
  <c r="X674" i="26" s="1"/>
  <c r="X675" i="26" s="1"/>
  <c r="X676" i="26" s="1"/>
  <c r="X677" i="26" s="1"/>
  <c r="X678" i="26" s="1"/>
  <c r="X679" i="26" s="1"/>
  <c r="X680" i="26" s="1"/>
  <c r="X681" i="26" s="1"/>
  <c r="X682" i="26" s="1"/>
  <c r="X683" i="26" s="1"/>
  <c r="X684" i="26" s="1"/>
  <c r="X685" i="26" s="1"/>
  <c r="X686" i="26" s="1"/>
  <c r="X687" i="26" s="1"/>
  <c r="X688" i="26" s="1"/>
  <c r="X689" i="26" s="1"/>
  <c r="X690" i="26" s="1"/>
  <c r="X691" i="26" s="1"/>
  <c r="X692" i="26" s="1"/>
  <c r="X693" i="26" s="1"/>
  <c r="X694" i="26" s="1"/>
  <c r="X695" i="26" s="1"/>
  <c r="X696" i="26" s="1"/>
  <c r="X697" i="26" s="1"/>
  <c r="X698" i="26" s="1"/>
  <c r="X699" i="26" s="1"/>
  <c r="X700" i="26" s="1"/>
  <c r="X701" i="26" s="1"/>
  <c r="X702" i="26" s="1"/>
  <c r="X703" i="26" s="1"/>
  <c r="X704" i="26" s="1"/>
  <c r="X705" i="26" s="1"/>
  <c r="X706" i="26" s="1"/>
  <c r="X707" i="26" s="1"/>
  <c r="X708" i="26" s="1"/>
  <c r="X709" i="26" s="1"/>
  <c r="X710" i="26" s="1"/>
  <c r="X711" i="26" s="1"/>
  <c r="X712" i="26" s="1"/>
  <c r="X713" i="26" s="1"/>
  <c r="X714" i="26" s="1"/>
  <c r="X715" i="26" s="1"/>
  <c r="X716" i="26" s="1"/>
  <c r="X717" i="26" s="1"/>
  <c r="X718" i="26" s="1"/>
  <c r="X719" i="26" s="1"/>
  <c r="X720" i="26" s="1"/>
  <c r="X721" i="26" s="1"/>
  <c r="X722" i="26" s="1"/>
  <c r="X723" i="26" s="1"/>
  <c r="X724" i="26" s="1"/>
  <c r="X725" i="26" s="1"/>
  <c r="X726" i="26" s="1"/>
  <c r="X727" i="26" s="1"/>
  <c r="X728" i="26" s="1"/>
  <c r="X729" i="26" s="1"/>
  <c r="X730" i="26" s="1"/>
  <c r="X731" i="26" s="1"/>
  <c r="X732" i="26" s="1"/>
  <c r="X733" i="26" s="1"/>
  <c r="X734" i="26" s="1"/>
  <c r="X735" i="26" s="1"/>
  <c r="X736" i="26" s="1"/>
  <c r="X737" i="26" s="1"/>
  <c r="X738" i="26" s="1"/>
  <c r="X739" i="26" s="1"/>
  <c r="X740" i="26" s="1"/>
  <c r="X741" i="26" s="1"/>
  <c r="X742" i="26" s="1"/>
  <c r="X743" i="26" s="1"/>
  <c r="X744" i="26" s="1"/>
  <c r="X745" i="26" s="1"/>
  <c r="X746" i="26" s="1"/>
  <c r="X747" i="26" s="1"/>
  <c r="X748" i="26" s="1"/>
  <c r="X749" i="26" s="1"/>
  <c r="X750" i="26" s="1"/>
  <c r="X751" i="26" s="1"/>
  <c r="X752" i="26" s="1"/>
  <c r="X753" i="26" s="1"/>
  <c r="X754" i="26" s="1"/>
  <c r="X755" i="26" s="1"/>
  <c r="X756" i="26" s="1"/>
  <c r="X757" i="26" s="1"/>
  <c r="X758" i="26" s="1"/>
  <c r="X759" i="26" s="1"/>
  <c r="X760" i="26" s="1"/>
  <c r="X761" i="26" s="1"/>
  <c r="X762" i="26" s="1"/>
  <c r="X763" i="26" s="1"/>
  <c r="X764" i="26" s="1"/>
  <c r="X765" i="26" s="1"/>
  <c r="X766" i="26" s="1"/>
  <c r="X767" i="26" s="1"/>
  <c r="X768" i="26" s="1"/>
  <c r="X769" i="26" s="1"/>
  <c r="X770" i="26" s="1"/>
  <c r="X771" i="26" s="1"/>
  <c r="X772" i="26" s="1"/>
  <c r="X773" i="26" s="1"/>
  <c r="X774" i="26" s="1"/>
  <c r="X775" i="26" s="1"/>
  <c r="X776" i="26" s="1"/>
  <c r="X777" i="26" s="1"/>
  <c r="X778" i="26" s="1"/>
  <c r="X779" i="26" s="1"/>
  <c r="X780" i="26" s="1"/>
  <c r="X781" i="26" s="1"/>
  <c r="X782" i="26" s="1"/>
  <c r="X783" i="26" s="1"/>
  <c r="X784" i="26" s="1"/>
  <c r="X785" i="26" s="1"/>
  <c r="X786" i="26" s="1"/>
  <c r="X787" i="26" s="1"/>
  <c r="X788" i="26" s="1"/>
  <c r="X789" i="26" s="1"/>
  <c r="X790" i="26" s="1"/>
  <c r="X791" i="26" s="1"/>
  <c r="X792" i="26" s="1"/>
  <c r="X793" i="26" s="1"/>
  <c r="X794" i="26" s="1"/>
  <c r="X795" i="26" s="1"/>
  <c r="X796" i="26" s="1"/>
  <c r="X797" i="26" s="1"/>
  <c r="X798" i="26" s="1"/>
  <c r="X799" i="26" s="1"/>
  <c r="X800" i="26" s="1"/>
  <c r="X801" i="26" s="1"/>
  <c r="X802" i="26" s="1"/>
  <c r="X803" i="26" s="1"/>
  <c r="X804" i="26" s="1"/>
  <c r="X805" i="26" s="1"/>
  <c r="X806" i="26" s="1"/>
  <c r="X807" i="26" s="1"/>
  <c r="X808" i="26" s="1"/>
  <c r="X809" i="26" s="1"/>
  <c r="X810" i="26" s="1"/>
  <c r="X811" i="26" s="1"/>
  <c r="X812" i="26" s="1"/>
  <c r="X813" i="26" s="1"/>
  <c r="X814" i="26" s="1"/>
  <c r="X815" i="26" s="1"/>
  <c r="X816" i="26" s="1"/>
  <c r="X817" i="26" s="1"/>
  <c r="X818" i="26" s="1"/>
  <c r="X819" i="26" s="1"/>
  <c r="X820" i="26" s="1"/>
  <c r="X821" i="26" s="1"/>
  <c r="X822" i="26" s="1"/>
  <c r="X823" i="26" s="1"/>
  <c r="X824" i="26" s="1"/>
  <c r="X825" i="26" s="1"/>
  <c r="X826" i="26" s="1"/>
  <c r="X827" i="26" s="1"/>
  <c r="X828" i="26" s="1"/>
  <c r="X829" i="26" s="1"/>
  <c r="X830" i="26" s="1"/>
  <c r="X831" i="26" s="1"/>
  <c r="X832" i="26" s="1"/>
  <c r="X833" i="26" s="1"/>
  <c r="X834" i="26" s="1"/>
  <c r="X835" i="26" s="1"/>
  <c r="X836" i="26" s="1"/>
  <c r="X837" i="26" s="1"/>
  <c r="X838" i="26" s="1"/>
  <c r="X839" i="26" s="1"/>
  <c r="X840" i="26" s="1"/>
  <c r="X841" i="26" s="1"/>
  <c r="X842" i="26" s="1"/>
  <c r="X843" i="26" s="1"/>
  <c r="X844" i="26" s="1"/>
  <c r="X845" i="26" s="1"/>
  <c r="X846" i="26" s="1"/>
  <c r="X847" i="26" s="1"/>
  <c r="X848" i="26" s="1"/>
  <c r="X849" i="26" s="1"/>
  <c r="X850" i="26" s="1"/>
  <c r="X851" i="26" s="1"/>
  <c r="X852" i="26" s="1"/>
  <c r="X853" i="26" s="1"/>
  <c r="X854" i="26" s="1"/>
  <c r="X855" i="26" s="1"/>
  <c r="X856" i="26" s="1"/>
  <c r="X857" i="26" s="1"/>
  <c r="X858" i="26" s="1"/>
  <c r="X859" i="26" s="1"/>
  <c r="X860" i="26" s="1"/>
  <c r="X861" i="26" s="1"/>
  <c r="X862" i="26" s="1"/>
  <c r="X863" i="26" s="1"/>
  <c r="X864" i="26" s="1"/>
  <c r="X865" i="26" s="1"/>
  <c r="X866" i="26" s="1"/>
  <c r="X867" i="26" s="1"/>
  <c r="X868" i="26" s="1"/>
  <c r="X869" i="26" s="1"/>
  <c r="X870" i="26" s="1"/>
  <c r="X871" i="26" s="1"/>
  <c r="X872" i="26" s="1"/>
  <c r="X873" i="26" s="1"/>
  <c r="X874" i="26" s="1"/>
  <c r="X875" i="26" s="1"/>
  <c r="X876" i="26" s="1"/>
  <c r="X877" i="26" s="1"/>
  <c r="X878" i="26" s="1"/>
  <c r="X879" i="26" s="1"/>
  <c r="X880" i="26" s="1"/>
  <c r="X881" i="26" s="1"/>
  <c r="X882" i="26" s="1"/>
  <c r="X883" i="26" s="1"/>
  <c r="X884" i="26" s="1"/>
  <c r="X885" i="26" s="1"/>
  <c r="X886" i="26" s="1"/>
  <c r="X887" i="26" s="1"/>
  <c r="X888" i="26" s="1"/>
  <c r="X889" i="26" s="1"/>
  <c r="X890" i="26" s="1"/>
  <c r="X891" i="26" s="1"/>
  <c r="X892" i="26" s="1"/>
  <c r="X893" i="26" s="1"/>
  <c r="X894" i="26" s="1"/>
  <c r="X895" i="26" s="1"/>
  <c r="X896" i="26" s="1"/>
  <c r="X897" i="26" s="1"/>
  <c r="X898" i="26" s="1"/>
  <c r="X899" i="26" s="1"/>
  <c r="X900" i="26" s="1"/>
  <c r="X901" i="26" s="1"/>
  <c r="X902" i="26" s="1"/>
  <c r="X903" i="26" s="1"/>
  <c r="X904" i="26" s="1"/>
  <c r="X905" i="26" s="1"/>
  <c r="X906" i="26" s="1"/>
  <c r="X907" i="26" s="1"/>
  <c r="X908" i="26" s="1"/>
  <c r="X909" i="26" s="1"/>
  <c r="X910" i="26" s="1"/>
  <c r="X911" i="26" s="1"/>
  <c r="X912" i="26" s="1"/>
  <c r="X913" i="26" s="1"/>
  <c r="X914" i="26" s="1"/>
  <c r="X915" i="26" s="1"/>
  <c r="X916" i="26" s="1"/>
  <c r="X917" i="26" s="1"/>
  <c r="X918" i="26" s="1"/>
  <c r="X919" i="26" s="1"/>
  <c r="X920" i="26" s="1"/>
  <c r="X921" i="26" s="1"/>
  <c r="X922" i="26" s="1"/>
  <c r="X923" i="26" s="1"/>
  <c r="X924" i="26" s="1"/>
  <c r="X925" i="26" s="1"/>
  <c r="X926" i="26" s="1"/>
  <c r="X927" i="26" s="1"/>
  <c r="X928" i="26" s="1"/>
  <c r="X929" i="26" s="1"/>
  <c r="X930" i="26" s="1"/>
  <c r="X931" i="26" s="1"/>
  <c r="X932" i="26" s="1"/>
  <c r="X933" i="26" s="1"/>
  <c r="X934" i="26" s="1"/>
  <c r="X935" i="26" s="1"/>
  <c r="X936" i="26" s="1"/>
  <c r="X937" i="26" s="1"/>
  <c r="X938" i="26" s="1"/>
  <c r="X939" i="26" s="1"/>
  <c r="X940" i="26" s="1"/>
  <c r="X941" i="26" s="1"/>
  <c r="X942" i="26" s="1"/>
  <c r="X943" i="26" s="1"/>
  <c r="X944" i="26" s="1"/>
  <c r="X945" i="26" s="1"/>
  <c r="X946" i="26" s="1"/>
  <c r="X947" i="26" s="1"/>
  <c r="X948" i="26" s="1"/>
  <c r="X949" i="26" s="1"/>
  <c r="X950" i="26" s="1"/>
  <c r="X951" i="26" s="1"/>
  <c r="X952" i="26" s="1"/>
  <c r="X953" i="26" s="1"/>
  <c r="X954" i="26" s="1"/>
  <c r="X955" i="26" s="1"/>
  <c r="X956" i="26" s="1"/>
  <c r="X957" i="26" s="1"/>
  <c r="X958" i="26" s="1"/>
  <c r="X959" i="26" s="1"/>
  <c r="X960" i="26" s="1"/>
  <c r="X961" i="26" s="1"/>
  <c r="X962" i="26" s="1"/>
  <c r="X963" i="26" s="1"/>
  <c r="X964" i="26" s="1"/>
  <c r="X965" i="26" s="1"/>
  <c r="X966" i="26" s="1"/>
  <c r="X967" i="26" s="1"/>
  <c r="X968" i="26" s="1"/>
  <c r="X969" i="26" s="1"/>
  <c r="X970" i="26" s="1"/>
  <c r="X971" i="26" s="1"/>
  <c r="X972" i="26" s="1"/>
  <c r="X973" i="26" s="1"/>
  <c r="X974" i="26" s="1"/>
  <c r="X975" i="26" s="1"/>
  <c r="X976" i="26" s="1"/>
  <c r="X977" i="26" s="1"/>
  <c r="X978" i="26" s="1"/>
  <c r="X979" i="26" s="1"/>
  <c r="X980" i="26" s="1"/>
  <c r="X981" i="26" s="1"/>
  <c r="X982" i="26" s="1"/>
  <c r="X983" i="26" s="1"/>
  <c r="X984" i="26" s="1"/>
  <c r="X985" i="26" s="1"/>
  <c r="X986" i="26" s="1"/>
  <c r="X987" i="26" s="1"/>
  <c r="X988" i="26" s="1"/>
  <c r="X989" i="26" s="1"/>
  <c r="X990" i="26" s="1"/>
  <c r="X991" i="26" s="1"/>
  <c r="X992" i="26" s="1"/>
  <c r="X993" i="26" s="1"/>
  <c r="X994" i="26" s="1"/>
  <c r="X995" i="26" s="1"/>
  <c r="X996" i="26" s="1"/>
  <c r="X997" i="26" s="1"/>
  <c r="X998" i="26" s="1"/>
  <c r="X999" i="26" s="1"/>
  <c r="X1000" i="26" s="1"/>
  <c r="X1001" i="26" s="1"/>
  <c r="X1002" i="26" s="1"/>
  <c r="X1003" i="26" s="1"/>
  <c r="X1004" i="26" s="1"/>
  <c r="X1005" i="26" s="1"/>
  <c r="X1006" i="26" s="1"/>
  <c r="X1007" i="26" s="1"/>
  <c r="X1008" i="26" s="1"/>
  <c r="X1009" i="26" s="1"/>
  <c r="X1010" i="26" s="1"/>
  <c r="X1011" i="26" s="1"/>
  <c r="X1012" i="26" s="1"/>
  <c r="X1013" i="26" s="1"/>
  <c r="X1014" i="26" s="1"/>
  <c r="X1015" i="26" s="1"/>
  <c r="X1016" i="26" s="1"/>
  <c r="X1017" i="26" s="1"/>
  <c r="X1018" i="26" s="1"/>
  <c r="X1019" i="26" s="1"/>
  <c r="X1020" i="26" s="1"/>
  <c r="X1021" i="26" s="1"/>
  <c r="X1022" i="26" s="1"/>
  <c r="X1023" i="26" s="1"/>
  <c r="X1024" i="26" s="1"/>
  <c r="X1025" i="26" s="1"/>
  <c r="X1026" i="26" s="1"/>
  <c r="X1027" i="26" s="1"/>
  <c r="X1028" i="26" s="1"/>
  <c r="X1029" i="26" s="1"/>
  <c r="X1030" i="26" s="1"/>
  <c r="X1031" i="26" s="1"/>
  <c r="X1032" i="26" s="1"/>
  <c r="X1033" i="26" s="1"/>
  <c r="X1034" i="26" s="1"/>
  <c r="X1035" i="26" s="1"/>
  <c r="X1036" i="26" s="1"/>
  <c r="X1037" i="26" s="1"/>
  <c r="X1038" i="26" s="1"/>
  <c r="X1039" i="26" s="1"/>
  <c r="X1040" i="26" s="1"/>
  <c r="X1041" i="26" s="1"/>
  <c r="X1042" i="26" s="1"/>
  <c r="X1043" i="26" s="1"/>
  <c r="X1044" i="26" s="1"/>
  <c r="X1045" i="26" s="1"/>
  <c r="X1046" i="26" s="1"/>
  <c r="X1047" i="26" s="1"/>
  <c r="X1048" i="26" s="1"/>
  <c r="X1049" i="26" s="1"/>
  <c r="X1050" i="26" s="1"/>
  <c r="X1051" i="26" s="1"/>
  <c r="X1052" i="26" s="1"/>
  <c r="X1053" i="26" s="1"/>
  <c r="X1054" i="26" s="1"/>
  <c r="X1055" i="26" s="1"/>
  <c r="X1056" i="26" s="1"/>
  <c r="X1057" i="26" s="1"/>
  <c r="X1058" i="26" s="1"/>
  <c r="X1059" i="26" s="1"/>
  <c r="X1060" i="26" s="1"/>
  <c r="X1061" i="26" s="1"/>
  <c r="X1062" i="26" s="1"/>
  <c r="X1063" i="26" s="1"/>
  <c r="X1064" i="26" s="1"/>
  <c r="X1065" i="26" s="1"/>
  <c r="X1066" i="26" s="1"/>
  <c r="X1067" i="26" s="1"/>
  <c r="X1068" i="26" s="1"/>
  <c r="X1069" i="26" s="1"/>
  <c r="X1070" i="26" s="1"/>
  <c r="X1071" i="26" s="1"/>
  <c r="X1072" i="26" s="1"/>
  <c r="X1073" i="26" s="1"/>
  <c r="X1074" i="26" s="1"/>
  <c r="X1075" i="26" s="1"/>
  <c r="X1076" i="26" s="1"/>
  <c r="X1077" i="26" s="1"/>
  <c r="X1078" i="26" s="1"/>
  <c r="X1079" i="26" s="1"/>
  <c r="X1080" i="26" s="1"/>
  <c r="X1081" i="26" s="1"/>
  <c r="X1082" i="26" s="1"/>
  <c r="X1083" i="26" s="1"/>
  <c r="X1084" i="26" s="1"/>
  <c r="X1085" i="26" s="1"/>
  <c r="X1086" i="26" s="1"/>
  <c r="X1087" i="26" s="1"/>
  <c r="X1088" i="26" s="1"/>
  <c r="X1089" i="26" s="1"/>
  <c r="X1090" i="26" s="1"/>
  <c r="X1091" i="26" s="1"/>
  <c r="X1092" i="26" s="1"/>
  <c r="X1093" i="26" s="1"/>
  <c r="X1094" i="26" s="1"/>
  <c r="X1095" i="26" s="1"/>
  <c r="X1096" i="26" s="1"/>
  <c r="X1097" i="26" s="1"/>
  <c r="X1098" i="26" s="1"/>
  <c r="X1099" i="26" s="1"/>
  <c r="X1100" i="26" s="1"/>
  <c r="X1101" i="26" s="1"/>
  <c r="X1102" i="26" s="1"/>
  <c r="X1103" i="26" s="1"/>
  <c r="X1104" i="26" s="1"/>
  <c r="X1105" i="26" s="1"/>
  <c r="X1106" i="26" s="1"/>
  <c r="X1107" i="26" s="1"/>
  <c r="X1108" i="26" s="1"/>
  <c r="X1109" i="26" s="1"/>
  <c r="X1110" i="26" s="1"/>
  <c r="X1111" i="26" s="1"/>
  <c r="X1112" i="26" s="1"/>
  <c r="X1113" i="26" s="1"/>
  <c r="X1114" i="26" s="1"/>
  <c r="X1115" i="26" s="1"/>
  <c r="X1116" i="26" s="1"/>
  <c r="X1117" i="26" s="1"/>
  <c r="X1118" i="26" s="1"/>
  <c r="X1119" i="26" s="1"/>
  <c r="X1120" i="26" s="1"/>
  <c r="X1121" i="26" s="1"/>
  <c r="X1122" i="26" s="1"/>
  <c r="X1123" i="26" s="1"/>
  <c r="X1124" i="26" s="1"/>
  <c r="X1125" i="26" s="1"/>
  <c r="X1126" i="26" s="1"/>
  <c r="X1127" i="26" s="1"/>
  <c r="X1128" i="26" s="1"/>
  <c r="X1129" i="26" s="1"/>
  <c r="X1130" i="26" s="1"/>
  <c r="X1131" i="26" s="1"/>
  <c r="X1132" i="26" s="1"/>
  <c r="X1133" i="26" s="1"/>
  <c r="X1134" i="26" s="1"/>
  <c r="X1135" i="26" s="1"/>
  <c r="X1136" i="26" s="1"/>
  <c r="X1137" i="26" s="1"/>
  <c r="X1138" i="26" s="1"/>
  <c r="X1139" i="26" s="1"/>
  <c r="X1140" i="26" s="1"/>
  <c r="X1141" i="26" s="1"/>
  <c r="X1142" i="26" s="1"/>
  <c r="X1143" i="26" s="1"/>
  <c r="X1144" i="26" s="1"/>
  <c r="X1145" i="26" s="1"/>
  <c r="X1146" i="26" s="1"/>
  <c r="X1147" i="26" s="1"/>
  <c r="X1148" i="26" s="1"/>
  <c r="X1149" i="26" s="1"/>
  <c r="X1150" i="26" s="1"/>
  <c r="X1151" i="26" s="1"/>
  <c r="X1152" i="26" s="1"/>
  <c r="X1153" i="26" s="1"/>
  <c r="X1154" i="26" s="1"/>
  <c r="X1155" i="26" s="1"/>
  <c r="X1156" i="26" s="1"/>
  <c r="X1157" i="26" s="1"/>
  <c r="X1158" i="26" s="1"/>
  <c r="X1159" i="26" s="1"/>
  <c r="X1160" i="26" s="1"/>
  <c r="X1161" i="26" s="1"/>
  <c r="X1162" i="26" s="1"/>
  <c r="X1163" i="26" s="1"/>
  <c r="X1164" i="26" s="1"/>
  <c r="X1165" i="26" s="1"/>
  <c r="X1166" i="26" s="1"/>
  <c r="X1167" i="26" s="1"/>
  <c r="X1168" i="26" s="1"/>
  <c r="X1169" i="26" s="1"/>
  <c r="X1170" i="26" s="1"/>
  <c r="X1171" i="26" s="1"/>
  <c r="X1172" i="26" s="1"/>
  <c r="X1173" i="26" s="1"/>
  <c r="X1174" i="26" s="1"/>
  <c r="X1175" i="26" s="1"/>
  <c r="X1176" i="26" s="1"/>
  <c r="X1177" i="26" s="1"/>
  <c r="X1178" i="26" s="1"/>
  <c r="X1179" i="26" s="1"/>
  <c r="X1180" i="26" s="1"/>
  <c r="X1181" i="26" s="1"/>
  <c r="X1182" i="26" s="1"/>
  <c r="X1183" i="26" s="1"/>
  <c r="X1184" i="26" s="1"/>
  <c r="X1185" i="26" s="1"/>
  <c r="X1186" i="26" s="1"/>
  <c r="X1187" i="26" s="1"/>
  <c r="X1188" i="26" s="1"/>
  <c r="X1189" i="26" s="1"/>
  <c r="X1190" i="26" s="1"/>
  <c r="X1191" i="26" s="1"/>
  <c r="X1192" i="26" s="1"/>
  <c r="X1193" i="26" s="1"/>
  <c r="X1194" i="26" s="1"/>
  <c r="X1195" i="26" s="1"/>
  <c r="X1196" i="26" s="1"/>
  <c r="X1197" i="26" s="1"/>
  <c r="X1198" i="26" s="1"/>
  <c r="X1199" i="26" s="1"/>
  <c r="X1200" i="26" s="1"/>
  <c r="X1201" i="26" s="1"/>
  <c r="X1202" i="26" s="1"/>
  <c r="X1203" i="26" s="1"/>
  <c r="X1204" i="26" s="1"/>
  <c r="X1205" i="26" s="1"/>
  <c r="X1206" i="26" s="1"/>
  <c r="X1207" i="26" s="1"/>
  <c r="X1208" i="26" s="1"/>
  <c r="X1209" i="26" s="1"/>
  <c r="X1210" i="26" s="1"/>
  <c r="X1211" i="26" s="1"/>
  <c r="X1212" i="26" s="1"/>
  <c r="X1213" i="26" s="1"/>
  <c r="X1214" i="26" s="1"/>
  <c r="X1215" i="26" s="1"/>
  <c r="X1216" i="26" s="1"/>
  <c r="X1217" i="26" s="1"/>
  <c r="X1218" i="26" s="1"/>
  <c r="X1219" i="26" s="1"/>
  <c r="X1220" i="26" s="1"/>
  <c r="X1221" i="26" s="1"/>
  <c r="X1222" i="26" s="1"/>
  <c r="X1223" i="26" s="1"/>
  <c r="X1224" i="26" s="1"/>
  <c r="X1225" i="26" s="1"/>
  <c r="X1226" i="26" s="1"/>
  <c r="X1227" i="26" s="1"/>
  <c r="X1228" i="26" s="1"/>
  <c r="X1229" i="26" s="1"/>
  <c r="X1230" i="26" s="1"/>
  <c r="X1231" i="26" s="1"/>
  <c r="X1232" i="26" s="1"/>
  <c r="X1233" i="26" s="1"/>
  <c r="X1234" i="26" s="1"/>
  <c r="X1235" i="26" s="1"/>
  <c r="X1236" i="26" s="1"/>
  <c r="X1237" i="26" s="1"/>
  <c r="X1238" i="26" s="1"/>
  <c r="X1239" i="26" s="1"/>
  <c r="X1240" i="26" s="1"/>
  <c r="X1241" i="26" s="1"/>
  <c r="X1242" i="26" s="1"/>
  <c r="X1243" i="26" s="1"/>
  <c r="X1244" i="26" s="1"/>
  <c r="X1245" i="26" s="1"/>
  <c r="X1246" i="26" s="1"/>
  <c r="X1247" i="26" s="1"/>
  <c r="X1248" i="26" s="1"/>
  <c r="X1249" i="26" s="1"/>
  <c r="X1250" i="26" s="1"/>
  <c r="X1251" i="26" s="1"/>
  <c r="X1252" i="26" s="1"/>
  <c r="X1253" i="26" s="1"/>
  <c r="X1254" i="26" s="1"/>
  <c r="X1255" i="26" s="1"/>
  <c r="X1256" i="26" s="1"/>
  <c r="X1257" i="26" s="1"/>
  <c r="X1258" i="26" s="1"/>
  <c r="X1259" i="26" s="1"/>
  <c r="X1260" i="26" s="1"/>
  <c r="X1261" i="26" s="1"/>
  <c r="X1262" i="26" s="1"/>
  <c r="X1263" i="26" s="1"/>
  <c r="X1264" i="26" s="1"/>
  <c r="X1265" i="26" s="1"/>
  <c r="X1266" i="26" s="1"/>
  <c r="X1267" i="26" s="1"/>
  <c r="X1268" i="26" s="1"/>
  <c r="X1269" i="26" s="1"/>
  <c r="X1270" i="26" s="1"/>
  <c r="X1271" i="26" s="1"/>
  <c r="X1272" i="26" s="1"/>
  <c r="X1273" i="26" s="1"/>
  <c r="X1274" i="26" s="1"/>
  <c r="X1275" i="26" s="1"/>
  <c r="X1276" i="26" s="1"/>
  <c r="X1277" i="26" s="1"/>
  <c r="X1278" i="26" s="1"/>
  <c r="X1279" i="26" s="1"/>
  <c r="X1280" i="26" s="1"/>
  <c r="X1281" i="26" s="1"/>
  <c r="X1282" i="26" s="1"/>
  <c r="X1283" i="26" s="1"/>
  <c r="X1284" i="26" s="1"/>
  <c r="X1285" i="26" s="1"/>
  <c r="X1286" i="26" s="1"/>
  <c r="X1287" i="26" s="1"/>
  <c r="X1288" i="26" s="1"/>
  <c r="X1289" i="26" s="1"/>
  <c r="X1290" i="26" s="1"/>
  <c r="X1291" i="26" s="1"/>
  <c r="X1292" i="26" s="1"/>
  <c r="X1293" i="26" s="1"/>
  <c r="X1294" i="26" s="1"/>
  <c r="X1295" i="26" s="1"/>
  <c r="X1296" i="26" s="1"/>
  <c r="X1297" i="26" s="1"/>
  <c r="X1298" i="26" s="1"/>
  <c r="X1299" i="26" s="1"/>
  <c r="X1300" i="26" s="1"/>
  <c r="X1301" i="26" s="1"/>
  <c r="X1302" i="26" s="1"/>
  <c r="X1303" i="26" s="1"/>
  <c r="X1304" i="26" s="1"/>
  <c r="X1305" i="26" s="1"/>
  <c r="X1306" i="26" s="1"/>
  <c r="X1307" i="26" s="1"/>
  <c r="X1308" i="26" s="1"/>
  <c r="X1309" i="26" s="1"/>
  <c r="X1310" i="26" s="1"/>
  <c r="X1311" i="26" s="1"/>
  <c r="X1312" i="26" s="1"/>
  <c r="X1313" i="26" s="1"/>
  <c r="X1314" i="26" s="1"/>
  <c r="X1315" i="26" s="1"/>
  <c r="X1316" i="26" s="1"/>
  <c r="X1317" i="26" s="1"/>
  <c r="X1318" i="26" s="1"/>
  <c r="X1319" i="26" s="1"/>
  <c r="X1320" i="26" s="1"/>
  <c r="X1321" i="26" s="1"/>
  <c r="X1322" i="26" s="1"/>
  <c r="X1323" i="26" s="1"/>
  <c r="X1324" i="26" s="1"/>
  <c r="X1325" i="26" s="1"/>
  <c r="X1326" i="26" s="1"/>
  <c r="X1327" i="26" s="1"/>
  <c r="X1328" i="26" s="1"/>
  <c r="X1329" i="26" s="1"/>
  <c r="X1330" i="26" s="1"/>
  <c r="X1331" i="26" s="1"/>
  <c r="X1332" i="26" s="1"/>
  <c r="X1333" i="26" s="1"/>
  <c r="X1334" i="26" s="1"/>
  <c r="X1335" i="26" s="1"/>
  <c r="X1336" i="26" s="1"/>
  <c r="X1337" i="26" s="1"/>
  <c r="X1338" i="26" s="1"/>
  <c r="X1339" i="26" s="1"/>
  <c r="X1340" i="26" s="1"/>
  <c r="X1341" i="26" s="1"/>
  <c r="X1342" i="26" s="1"/>
  <c r="X1343" i="26" s="1"/>
  <c r="X1344" i="26" s="1"/>
  <c r="X1345" i="26" s="1"/>
  <c r="X1346" i="26" s="1"/>
  <c r="X1347" i="26" s="1"/>
  <c r="X1348" i="26" s="1"/>
  <c r="X1349" i="26" s="1"/>
  <c r="X1350" i="26" s="1"/>
  <c r="X1351" i="26" s="1"/>
  <c r="X1352" i="26" s="1"/>
  <c r="X1353" i="26" s="1"/>
  <c r="X1354" i="26" s="1"/>
  <c r="X1355" i="26" s="1"/>
  <c r="X1356" i="26" s="1"/>
  <c r="X1357" i="26" s="1"/>
  <c r="X1358" i="26" s="1"/>
  <c r="X1359" i="26" s="1"/>
  <c r="X1360" i="26" s="1"/>
  <c r="X1361" i="26" s="1"/>
  <c r="X1362" i="26" s="1"/>
  <c r="X1363" i="26" s="1"/>
  <c r="X1364" i="26" s="1"/>
  <c r="X1365" i="26" s="1"/>
  <c r="X1366" i="26" s="1"/>
  <c r="X1367" i="26" s="1"/>
  <c r="X1368" i="26" s="1"/>
  <c r="X1369" i="26" s="1"/>
  <c r="X1370" i="26" s="1"/>
  <c r="X1371" i="26" s="1"/>
  <c r="X1372" i="26" s="1"/>
  <c r="X1373" i="26" s="1"/>
  <c r="X1374" i="26" s="1"/>
  <c r="X1375" i="26" s="1"/>
  <c r="X1376" i="26" s="1"/>
  <c r="X1377" i="26" s="1"/>
  <c r="X1378" i="26" s="1"/>
  <c r="X1379" i="26" s="1"/>
  <c r="X1380" i="26" s="1"/>
  <c r="X1381" i="26" s="1"/>
  <c r="X1382" i="26" s="1"/>
  <c r="X1383" i="26" s="1"/>
  <c r="X1384" i="26" s="1"/>
  <c r="X1385" i="26" s="1"/>
  <c r="X1386" i="26" s="1"/>
  <c r="X1387" i="26" s="1"/>
  <c r="X1388" i="26" s="1"/>
  <c r="X1389" i="26" s="1"/>
  <c r="X1390" i="26" s="1"/>
  <c r="X1391" i="26" s="1"/>
  <c r="X1392" i="26" s="1"/>
  <c r="X1393" i="26" s="1"/>
  <c r="X1394" i="26" s="1"/>
  <c r="X1395" i="26" s="1"/>
  <c r="X1396" i="26" s="1"/>
  <c r="X1397" i="26" s="1"/>
  <c r="X1398" i="26" s="1"/>
  <c r="X1399" i="26" s="1"/>
  <c r="X1400" i="26" s="1"/>
  <c r="X1401" i="26" s="1"/>
  <c r="X1402" i="26" s="1"/>
  <c r="X1403" i="26" s="1"/>
  <c r="X1404" i="26" s="1"/>
  <c r="X1405" i="26" s="1"/>
  <c r="X1406" i="26" s="1"/>
  <c r="X1407" i="26" s="1"/>
  <c r="X1408" i="26" s="1"/>
  <c r="X1409" i="26" s="1"/>
  <c r="X1410" i="26" s="1"/>
  <c r="X1411" i="26" s="1"/>
  <c r="X1412" i="26" s="1"/>
  <c r="X1413" i="26" s="1"/>
  <c r="X1414" i="26" s="1"/>
  <c r="X1415" i="26" s="1"/>
  <c r="X1416" i="26" s="1"/>
  <c r="X1417" i="26" s="1"/>
  <c r="X1418" i="26" s="1"/>
  <c r="X1419" i="26" s="1"/>
  <c r="X1420" i="26" s="1"/>
  <c r="X1421" i="26" s="1"/>
  <c r="X1422" i="26" s="1"/>
  <c r="X1423" i="26" s="1"/>
  <c r="X1424" i="26" s="1"/>
  <c r="X1425" i="26" s="1"/>
  <c r="X1426" i="26" s="1"/>
  <c r="X1427" i="26" s="1"/>
  <c r="X1428" i="26" s="1"/>
  <c r="X1429" i="26" s="1"/>
  <c r="X1430" i="26" s="1"/>
  <c r="X1431" i="26" s="1"/>
  <c r="X1432" i="26" s="1"/>
  <c r="X1433" i="26" s="1"/>
  <c r="X1434" i="26" s="1"/>
  <c r="X1435" i="26" s="1"/>
  <c r="X1436" i="26" s="1"/>
  <c r="X1437" i="26" s="1"/>
  <c r="X1438" i="26" s="1"/>
  <c r="X1439" i="26" s="1"/>
  <c r="X1440" i="26" s="1"/>
  <c r="X1441" i="26" s="1"/>
  <c r="X1442" i="26" s="1"/>
  <c r="X1443" i="26" s="1"/>
  <c r="X1444" i="26" s="1"/>
  <c r="X1445" i="26" s="1"/>
  <c r="X1446" i="26" s="1"/>
  <c r="X1447" i="26" s="1"/>
  <c r="X1448" i="26" s="1"/>
  <c r="X1449" i="26" s="1"/>
  <c r="X1450" i="26" s="1"/>
  <c r="X1451" i="26" s="1"/>
  <c r="X1452" i="26" s="1"/>
  <c r="X1453" i="26" s="1"/>
  <c r="X1454" i="26" s="1"/>
  <c r="X1455" i="26" s="1"/>
  <c r="X1456" i="26" s="1"/>
  <c r="X1457" i="26" s="1"/>
  <c r="X1458" i="26" s="1"/>
  <c r="X1459" i="26" s="1"/>
  <c r="X1460" i="26" s="1"/>
  <c r="X1461" i="26" s="1"/>
  <c r="X1462" i="26" s="1"/>
  <c r="X1463" i="26" s="1"/>
  <c r="X1464" i="26" s="1"/>
  <c r="X1465" i="26" s="1"/>
  <c r="X1466" i="26" s="1"/>
  <c r="X1467" i="26" s="1"/>
  <c r="X1468" i="26" s="1"/>
  <c r="X1469" i="26" s="1"/>
  <c r="X1470" i="26" s="1"/>
  <c r="X1471" i="26" s="1"/>
  <c r="X1472" i="26" s="1"/>
  <c r="X1473" i="26" s="1"/>
  <c r="X1474" i="26" s="1"/>
  <c r="X1475" i="26" s="1"/>
  <c r="X1476" i="26" s="1"/>
  <c r="X1477" i="26" s="1"/>
  <c r="X1478" i="26" s="1"/>
  <c r="X1479" i="26" s="1"/>
  <c r="X1480" i="26" s="1"/>
  <c r="X1481" i="26" s="1"/>
  <c r="X1482" i="26" s="1"/>
  <c r="X1483" i="26" s="1"/>
  <c r="X1484" i="26" s="1"/>
  <c r="X1485" i="26" s="1"/>
  <c r="X1486" i="26" s="1"/>
  <c r="X1487" i="26" s="1"/>
  <c r="X1488" i="26" s="1"/>
  <c r="X1489" i="26" s="1"/>
  <c r="X1490" i="26" s="1"/>
  <c r="X1491" i="26" s="1"/>
  <c r="X1492" i="26" s="1"/>
  <c r="X1493" i="26" s="1"/>
  <c r="X1494" i="26" s="1"/>
  <c r="X1495" i="26" s="1"/>
  <c r="X1496" i="26" s="1"/>
  <c r="X1497" i="26" s="1"/>
  <c r="X1498" i="26" s="1"/>
  <c r="X1499" i="26" s="1"/>
  <c r="X1500" i="26" s="1"/>
  <c r="X1501" i="26" s="1"/>
  <c r="X1502" i="26" s="1"/>
  <c r="X1503" i="26" s="1"/>
  <c r="X1504" i="26" s="1"/>
  <c r="X1505" i="26" s="1"/>
  <c r="X1506" i="26" s="1"/>
  <c r="X1507" i="26" s="1"/>
  <c r="X1508" i="26" s="1"/>
  <c r="X1509" i="26" s="1"/>
  <c r="X1510" i="26" s="1"/>
  <c r="X1511" i="26" s="1"/>
  <c r="X1512" i="26" s="1"/>
  <c r="X1513" i="26" s="1"/>
  <c r="X1514" i="26" s="1"/>
  <c r="X1515" i="26" s="1"/>
  <c r="X1516" i="26" s="1"/>
  <c r="X1517" i="26" s="1"/>
  <c r="X1518" i="26" s="1"/>
  <c r="X1519" i="26" s="1"/>
  <c r="X1520" i="26" s="1"/>
  <c r="X1521" i="26" s="1"/>
  <c r="X1522" i="26" s="1"/>
  <c r="X1523" i="26" s="1"/>
  <c r="X1524" i="26" s="1"/>
  <c r="X1525" i="26" s="1"/>
  <c r="X1526" i="26" s="1"/>
  <c r="X1527" i="26" s="1"/>
  <c r="X1528" i="26" s="1"/>
  <c r="X1529" i="26" s="1"/>
  <c r="X1530" i="26" s="1"/>
  <c r="X1531" i="26" s="1"/>
  <c r="X1532" i="26" s="1"/>
  <c r="X1533" i="26" s="1"/>
  <c r="X1534" i="26" s="1"/>
  <c r="X1535" i="26" s="1"/>
  <c r="X1536" i="26" s="1"/>
  <c r="X1537" i="26" s="1"/>
  <c r="X1538" i="26" s="1"/>
  <c r="X1539" i="26" s="1"/>
  <c r="X1540" i="26" s="1"/>
  <c r="X1541" i="26" s="1"/>
  <c r="X1542" i="26" s="1"/>
  <c r="X1543" i="26" s="1"/>
  <c r="X1544" i="26" s="1"/>
  <c r="X1545" i="26" s="1"/>
  <c r="X1546" i="26" s="1"/>
  <c r="X1547" i="26" s="1"/>
  <c r="X1548" i="26" s="1"/>
  <c r="X1549" i="26" s="1"/>
  <c r="X1550" i="26" s="1"/>
  <c r="X1551" i="26" s="1"/>
  <c r="X1552" i="26" s="1"/>
  <c r="X1553" i="26" s="1"/>
  <c r="X1554" i="26" s="1"/>
  <c r="X1555" i="26" s="1"/>
  <c r="X1556" i="26" s="1"/>
  <c r="X1557" i="26" s="1"/>
  <c r="X1558" i="26" s="1"/>
  <c r="X1559" i="26" s="1"/>
  <c r="X1560" i="26" s="1"/>
  <c r="X1561" i="26" s="1"/>
  <c r="X1562" i="26" s="1"/>
  <c r="X1563" i="26" s="1"/>
  <c r="X1564" i="26" s="1"/>
  <c r="X1565" i="26" s="1"/>
  <c r="X1566" i="26" s="1"/>
  <c r="X1567" i="26" s="1"/>
  <c r="X1568" i="26" s="1"/>
  <c r="X1569" i="26" s="1"/>
  <c r="X1570" i="26" s="1"/>
  <c r="X1571" i="26" s="1"/>
  <c r="X1572" i="26" s="1"/>
  <c r="X1573" i="26" s="1"/>
  <c r="X1574" i="26" s="1"/>
  <c r="X1575" i="26" s="1"/>
  <c r="X1576" i="26" s="1"/>
  <c r="X1577" i="26" s="1"/>
  <c r="X1578" i="26" s="1"/>
  <c r="X1579" i="26" s="1"/>
  <c r="X1580" i="26" s="1"/>
  <c r="X1581" i="26" s="1"/>
  <c r="X1582" i="26" s="1"/>
  <c r="X1583" i="26" s="1"/>
  <c r="X1584" i="26" s="1"/>
  <c r="X1585" i="26" s="1"/>
  <c r="X1586" i="26" s="1"/>
  <c r="X1587" i="26" s="1"/>
  <c r="X1588" i="26" s="1"/>
  <c r="X1589" i="26" s="1"/>
  <c r="X1590" i="26" s="1"/>
  <c r="X1591" i="26" s="1"/>
  <c r="X1592" i="26" s="1"/>
  <c r="X1593" i="26" s="1"/>
  <c r="X1594" i="26" s="1"/>
  <c r="X1595" i="26" s="1"/>
  <c r="X1596" i="26" s="1"/>
  <c r="X1597" i="26" s="1"/>
  <c r="X1598" i="26" s="1"/>
  <c r="X1599" i="26" s="1"/>
  <c r="X1600" i="26" s="1"/>
  <c r="X1601" i="26" s="1"/>
  <c r="X1602" i="26" s="1"/>
  <c r="X1603" i="26" s="1"/>
  <c r="X1604" i="26" s="1"/>
  <c r="X1605" i="26" s="1"/>
  <c r="X1606" i="26" s="1"/>
  <c r="X1607" i="26" s="1"/>
  <c r="X1608" i="26" s="1"/>
  <c r="X1609" i="26" s="1"/>
  <c r="X1610" i="26" s="1"/>
  <c r="X1611" i="26" s="1"/>
  <c r="X1612" i="26" s="1"/>
  <c r="X1613" i="26" s="1"/>
  <c r="X1614" i="26" s="1"/>
  <c r="X1615" i="26" s="1"/>
  <c r="X1616" i="26" s="1"/>
  <c r="X1617" i="26" s="1"/>
  <c r="X1618" i="26" s="1"/>
  <c r="X1619" i="26" s="1"/>
  <c r="X1620" i="26" s="1"/>
  <c r="X1621" i="26" s="1"/>
  <c r="X1622" i="26" s="1"/>
  <c r="X1623" i="26" s="1"/>
  <c r="X1624" i="26" s="1"/>
  <c r="X1625" i="26" s="1"/>
  <c r="X1626" i="26" s="1"/>
  <c r="X1627" i="26" s="1"/>
  <c r="X1628" i="26" s="1"/>
  <c r="X1629" i="26" s="1"/>
  <c r="X1630" i="26" s="1"/>
  <c r="X1631" i="26" s="1"/>
  <c r="X1632" i="26" s="1"/>
  <c r="X1633" i="26" s="1"/>
  <c r="X1634" i="26" s="1"/>
  <c r="X1635" i="26" s="1"/>
  <c r="X1636" i="26" s="1"/>
  <c r="X1637" i="26" s="1"/>
  <c r="X1638" i="26" s="1"/>
  <c r="X1639" i="26" s="1"/>
  <c r="X1640" i="26" s="1"/>
  <c r="X1641" i="26" s="1"/>
  <c r="X1642" i="26" s="1"/>
  <c r="X1643" i="26" s="1"/>
  <c r="X1644" i="26" s="1"/>
  <c r="X1645" i="26" s="1"/>
  <c r="X1646" i="26" s="1"/>
  <c r="X1647" i="26" s="1"/>
  <c r="X1648" i="26" s="1"/>
  <c r="X1649" i="26" s="1"/>
  <c r="X1650" i="26" s="1"/>
  <c r="X1651" i="26" s="1"/>
  <c r="X1652" i="26" s="1"/>
  <c r="X1653" i="26" s="1"/>
  <c r="X1654" i="26" s="1"/>
  <c r="X1655" i="26" s="1"/>
  <c r="X1656" i="26" s="1"/>
  <c r="X1657" i="26" s="1"/>
  <c r="X1658" i="26" s="1"/>
  <c r="X1659" i="26" s="1"/>
  <c r="X1660" i="26" s="1"/>
  <c r="X1661" i="26" s="1"/>
  <c r="X1662" i="26" s="1"/>
  <c r="X1663" i="26" s="1"/>
  <c r="X1664" i="26" s="1"/>
  <c r="X1665" i="26" s="1"/>
  <c r="X1666" i="26" s="1"/>
  <c r="X1667" i="26" s="1"/>
  <c r="X1668" i="26" s="1"/>
  <c r="X1669" i="26" s="1"/>
  <c r="X1670" i="26" s="1"/>
  <c r="X1671" i="26" s="1"/>
  <c r="X1672" i="26" s="1"/>
  <c r="X1673" i="26" s="1"/>
  <c r="X1674" i="26" s="1"/>
  <c r="X1675" i="26" s="1"/>
  <c r="X1676" i="26" s="1"/>
  <c r="X1677" i="26" s="1"/>
  <c r="X1678" i="26" s="1"/>
  <c r="X1679" i="26" s="1"/>
  <c r="X1680" i="26" s="1"/>
  <c r="X1681" i="26" s="1"/>
  <c r="X1682" i="26" s="1"/>
  <c r="X1683" i="26" s="1"/>
  <c r="X1684" i="26" s="1"/>
  <c r="X1685" i="26" s="1"/>
  <c r="X1686" i="26" s="1"/>
  <c r="X1687" i="26" s="1"/>
  <c r="X1688" i="26" s="1"/>
  <c r="X1689" i="26" s="1"/>
  <c r="X1690" i="26" s="1"/>
  <c r="X1691" i="26" s="1"/>
  <c r="X1692" i="26" s="1"/>
  <c r="X1693" i="26" s="1"/>
  <c r="X1694" i="26" s="1"/>
  <c r="X1695" i="26" s="1"/>
  <c r="X1696" i="26" s="1"/>
  <c r="X1697" i="26" s="1"/>
  <c r="X1698" i="26" s="1"/>
  <c r="X1699" i="26" s="1"/>
  <c r="X1700" i="26" s="1"/>
  <c r="X1701" i="26" s="1"/>
  <c r="X1702" i="26" s="1"/>
  <c r="X1703" i="26" s="1"/>
  <c r="X1704" i="26" s="1"/>
  <c r="X1705" i="26" s="1"/>
  <c r="X1706" i="26" s="1"/>
  <c r="X1707" i="26" s="1"/>
  <c r="X1708" i="26" s="1"/>
  <c r="X1709" i="26" s="1"/>
  <c r="X1710" i="26" s="1"/>
  <c r="X1711" i="26" s="1"/>
  <c r="X1712" i="26" s="1"/>
  <c r="X1713" i="26" s="1"/>
  <c r="X1714" i="26" s="1"/>
  <c r="X1715" i="26" s="1"/>
  <c r="X1716" i="26" s="1"/>
  <c r="X1717" i="26" s="1"/>
  <c r="X1718" i="26" s="1"/>
  <c r="X1719" i="26" s="1"/>
  <c r="X1720" i="26" s="1"/>
  <c r="X1721" i="26" s="1"/>
  <c r="X1722" i="26" s="1"/>
  <c r="X1723" i="26" s="1"/>
  <c r="X1724" i="26" s="1"/>
  <c r="X1725" i="26" s="1"/>
  <c r="X1726" i="26" s="1"/>
  <c r="X1727" i="26" s="1"/>
  <c r="X1728" i="26" s="1"/>
  <c r="X1729" i="26" s="1"/>
  <c r="X1730" i="26" s="1"/>
  <c r="X1731" i="26" s="1"/>
  <c r="X1732" i="26" s="1"/>
  <c r="X1733" i="26" s="1"/>
  <c r="X1734" i="26" s="1"/>
  <c r="X1735" i="26" s="1"/>
  <c r="X1736" i="26" s="1"/>
  <c r="X1737" i="26" s="1"/>
  <c r="X1738" i="26" s="1"/>
  <c r="X1739" i="26" s="1"/>
  <c r="X1740" i="26" s="1"/>
  <c r="X1741" i="26" s="1"/>
  <c r="X1742" i="26" s="1"/>
  <c r="X1743" i="26" s="1"/>
  <c r="X1744" i="26" s="1"/>
  <c r="X1745" i="26" s="1"/>
  <c r="X1746" i="26" s="1"/>
  <c r="X1747" i="26" s="1"/>
  <c r="X1748" i="26" s="1"/>
  <c r="X1749" i="26" s="1"/>
  <c r="X1750" i="26" s="1"/>
  <c r="X1751" i="26" s="1"/>
  <c r="X1752" i="26" s="1"/>
  <c r="X1753" i="26" s="1"/>
  <c r="X1754" i="26" s="1"/>
  <c r="X1755" i="26" s="1"/>
  <c r="X1756" i="26" s="1"/>
  <c r="X1757" i="26" s="1"/>
  <c r="X1758" i="26" s="1"/>
  <c r="X1759" i="26" s="1"/>
  <c r="X1760" i="26" s="1"/>
  <c r="X1761" i="26" s="1"/>
  <c r="X1762" i="26" s="1"/>
  <c r="X1763" i="26" s="1"/>
  <c r="X1764" i="26" s="1"/>
  <c r="X1765" i="26" s="1"/>
  <c r="X1766" i="26" s="1"/>
  <c r="X1767" i="26" s="1"/>
  <c r="X1768" i="26" s="1"/>
  <c r="X1769" i="26" s="1"/>
  <c r="X1770" i="26" s="1"/>
  <c r="X1771" i="26" s="1"/>
  <c r="X1772" i="26" s="1"/>
  <c r="X1773" i="26" s="1"/>
  <c r="X1774" i="26" s="1"/>
  <c r="X1775" i="26" s="1"/>
  <c r="X1776" i="26" s="1"/>
  <c r="X1777" i="26" s="1"/>
  <c r="X1778" i="26" s="1"/>
  <c r="X1779" i="26" s="1"/>
  <c r="X1780" i="26" s="1"/>
  <c r="X1781" i="26" s="1"/>
  <c r="X1782" i="26" s="1"/>
  <c r="X1783" i="26" s="1"/>
  <c r="X1784" i="26" s="1"/>
  <c r="X1785" i="26" s="1"/>
  <c r="X1786" i="26" s="1"/>
  <c r="X1787" i="26" s="1"/>
  <c r="X1788" i="26" s="1"/>
  <c r="X1789" i="26" s="1"/>
  <c r="X1790" i="26" s="1"/>
  <c r="X1791" i="26" s="1"/>
  <c r="X1792" i="26" s="1"/>
  <c r="X1793" i="26" s="1"/>
  <c r="X1794" i="26" s="1"/>
  <c r="X1795" i="26" s="1"/>
  <c r="X1796" i="26" s="1"/>
  <c r="X1797" i="26" s="1"/>
  <c r="X1798" i="26" s="1"/>
  <c r="X1799" i="26" s="1"/>
  <c r="X1800" i="26" s="1"/>
  <c r="X1801" i="26" s="1"/>
  <c r="X1802" i="26" s="1"/>
  <c r="X1803" i="26" s="1"/>
  <c r="X1804" i="26" s="1"/>
  <c r="X1805" i="26" s="1"/>
  <c r="X1806" i="26" s="1"/>
  <c r="X1807" i="26" s="1"/>
  <c r="X1808" i="26" s="1"/>
  <c r="X1809" i="26" s="1"/>
  <c r="X1810" i="26" s="1"/>
  <c r="X1811" i="26" s="1"/>
  <c r="X1812" i="26" s="1"/>
  <c r="X1813" i="26" s="1"/>
  <c r="X1814" i="26" s="1"/>
  <c r="X1815" i="26" s="1"/>
  <c r="X1816" i="26" s="1"/>
  <c r="X1817" i="26" s="1"/>
  <c r="X1818" i="26" s="1"/>
  <c r="X1819" i="26" s="1"/>
  <c r="X1820" i="26" s="1"/>
  <c r="X1821" i="26" s="1"/>
  <c r="X1822" i="26" s="1"/>
  <c r="X1823" i="26" s="1"/>
  <c r="X1824" i="26" s="1"/>
  <c r="X1825" i="26" s="1"/>
  <c r="X1826" i="26" s="1"/>
  <c r="X1827" i="26" s="1"/>
  <c r="X1828" i="26" s="1"/>
  <c r="X1829" i="26" s="1"/>
  <c r="X1830" i="26" s="1"/>
  <c r="X1831" i="26" s="1"/>
  <c r="X1832" i="26" s="1"/>
  <c r="X1833" i="26" s="1"/>
  <c r="X1834" i="26" s="1"/>
  <c r="X1835" i="26" s="1"/>
  <c r="X1836" i="26" s="1"/>
  <c r="X1837" i="26" s="1"/>
  <c r="X1838" i="26" s="1"/>
  <c r="X1839" i="26" s="1"/>
  <c r="X1840" i="26" s="1"/>
  <c r="X1841" i="26" s="1"/>
  <c r="X1842" i="26" s="1"/>
  <c r="X1843" i="26" s="1"/>
  <c r="X1844" i="26" s="1"/>
  <c r="X1845" i="26" s="1"/>
  <c r="X1846" i="26" s="1"/>
  <c r="X1847" i="26" s="1"/>
  <c r="X1848" i="26" s="1"/>
  <c r="X1849" i="26" s="1"/>
  <c r="X1850" i="26" s="1"/>
  <c r="X1851" i="26" s="1"/>
  <c r="X1852" i="26" s="1"/>
  <c r="X1853" i="26" s="1"/>
  <c r="X1854" i="26" s="1"/>
  <c r="X1855" i="26" s="1"/>
  <c r="X1856" i="26" s="1"/>
  <c r="X1857" i="26" s="1"/>
  <c r="X1858" i="26" s="1"/>
  <c r="X1859" i="26" s="1"/>
  <c r="X1860" i="26" s="1"/>
  <c r="X1861" i="26" s="1"/>
  <c r="X1862" i="26" s="1"/>
  <c r="X1863" i="26" s="1"/>
  <c r="X1864" i="26" s="1"/>
  <c r="X1865" i="26" s="1"/>
  <c r="X1866" i="26" s="1"/>
  <c r="X1867" i="26" s="1"/>
  <c r="X1868" i="26" s="1"/>
  <c r="X1869" i="26" s="1"/>
  <c r="X1870" i="26" s="1"/>
  <c r="X1871" i="26" s="1"/>
  <c r="X1872" i="26" s="1"/>
  <c r="X1873" i="26" s="1"/>
  <c r="X1874" i="26" s="1"/>
  <c r="X1875" i="26" s="1"/>
  <c r="X1876" i="26" s="1"/>
  <c r="X1877" i="26" s="1"/>
  <c r="X1878" i="26" s="1"/>
  <c r="X1879" i="26" s="1"/>
  <c r="X1880" i="26" s="1"/>
  <c r="X1881" i="26" s="1"/>
  <c r="X1882" i="26" s="1"/>
  <c r="X1883" i="26" s="1"/>
  <c r="X1884" i="26" s="1"/>
  <c r="X1885" i="26" s="1"/>
  <c r="X1886" i="26" s="1"/>
  <c r="X1887" i="26" s="1"/>
  <c r="X1888" i="26" s="1"/>
  <c r="X1889" i="26" s="1"/>
  <c r="X1890" i="26" s="1"/>
  <c r="X1891" i="26" s="1"/>
  <c r="X1892" i="26" s="1"/>
  <c r="X1893" i="26" s="1"/>
  <c r="X1894" i="26" s="1"/>
  <c r="X1895" i="26" s="1"/>
  <c r="X1896" i="26" s="1"/>
  <c r="X1897" i="26" s="1"/>
  <c r="X1898" i="26" s="1"/>
  <c r="X1899" i="26" s="1"/>
  <c r="X1900" i="26" s="1"/>
  <c r="X1901" i="26" s="1"/>
  <c r="X1902" i="26" s="1"/>
  <c r="X1903" i="26" s="1"/>
  <c r="X1904" i="26" s="1"/>
  <c r="X1905" i="26" s="1"/>
  <c r="X1906" i="26" s="1"/>
  <c r="X1907" i="26" s="1"/>
  <c r="X1908" i="26" s="1"/>
  <c r="X1909" i="26" s="1"/>
  <c r="X1910" i="26" s="1"/>
  <c r="X1911" i="26" s="1"/>
  <c r="X1912" i="26" s="1"/>
  <c r="X1913" i="26" s="1"/>
  <c r="X1914" i="26" s="1"/>
  <c r="X1915" i="26" s="1"/>
  <c r="X1916" i="26" s="1"/>
  <c r="X1917" i="26" s="1"/>
  <c r="X1918" i="26" s="1"/>
  <c r="X1919" i="26" s="1"/>
  <c r="X1920" i="26" s="1"/>
  <c r="X1921" i="26" s="1"/>
  <c r="X1922" i="26" s="1"/>
  <c r="X1923" i="26" s="1"/>
  <c r="X1924" i="26" s="1"/>
  <c r="X1925" i="26" s="1"/>
  <c r="X1926" i="26" s="1"/>
  <c r="X1927" i="26" s="1"/>
  <c r="X1928" i="26" s="1"/>
  <c r="X1929" i="26" s="1"/>
  <c r="X1930" i="26" s="1"/>
  <c r="X1931" i="26" s="1"/>
  <c r="X1932" i="26" s="1"/>
  <c r="X1933" i="26" s="1"/>
  <c r="X1934" i="26" s="1"/>
  <c r="X1935" i="26" s="1"/>
  <c r="X1936" i="26" s="1"/>
  <c r="X1937" i="26" s="1"/>
  <c r="X1938" i="26" s="1"/>
  <c r="X1939" i="26" s="1"/>
  <c r="X1940" i="26" s="1"/>
  <c r="X1941" i="26" s="1"/>
  <c r="X1942" i="26" s="1"/>
  <c r="X1943" i="26" s="1"/>
  <c r="X1944" i="26" s="1"/>
  <c r="X1945" i="26" s="1"/>
  <c r="X1946" i="26" s="1"/>
  <c r="X1947" i="26" s="1"/>
  <c r="X1948" i="26" s="1"/>
  <c r="X1949" i="26" s="1"/>
  <c r="X1950" i="26" s="1"/>
  <c r="X1951" i="26" s="1"/>
  <c r="X1952" i="26" s="1"/>
  <c r="X1953" i="26" s="1"/>
  <c r="X1954" i="26" s="1"/>
  <c r="X1955" i="26" s="1"/>
  <c r="X1956" i="26" s="1"/>
  <c r="X1957" i="26" s="1"/>
  <c r="X1958" i="26" s="1"/>
  <c r="X1959" i="26" s="1"/>
  <c r="X1960" i="26" s="1"/>
  <c r="X1961" i="26" s="1"/>
  <c r="X1962" i="26" s="1"/>
  <c r="X1963" i="26" s="1"/>
  <c r="X1964" i="26" s="1"/>
  <c r="X1965" i="26" s="1"/>
  <c r="X1966" i="26" s="1"/>
  <c r="X1967" i="26" s="1"/>
  <c r="X1968" i="26" s="1"/>
  <c r="X1969" i="26" s="1"/>
  <c r="X1970" i="26" s="1"/>
  <c r="X1971" i="26" s="1"/>
  <c r="X1972" i="26" s="1"/>
  <c r="X1973" i="26" s="1"/>
  <c r="X1974" i="26" s="1"/>
  <c r="X1975" i="26" s="1"/>
  <c r="X1976" i="26" s="1"/>
  <c r="X1977" i="26" s="1"/>
  <c r="X1978" i="26" s="1"/>
  <c r="X1979" i="26" s="1"/>
  <c r="X1980" i="26" s="1"/>
  <c r="X1981" i="26" s="1"/>
  <c r="X1982" i="26" s="1"/>
  <c r="X1983" i="26" s="1"/>
  <c r="X1984" i="26" s="1"/>
  <c r="X1985" i="26" s="1"/>
  <c r="X1986" i="26" s="1"/>
  <c r="X1987" i="26" s="1"/>
  <c r="X1988" i="26" s="1"/>
  <c r="X1989" i="26" s="1"/>
  <c r="X1990" i="26" s="1"/>
  <c r="X1991" i="26" s="1"/>
  <c r="X1992" i="26" s="1"/>
  <c r="X1993" i="26" s="1"/>
  <c r="X1994" i="26" s="1"/>
  <c r="X1995" i="26" s="1"/>
  <c r="X1996" i="26" s="1"/>
  <c r="X1997" i="26" s="1"/>
  <c r="X1998" i="26" s="1"/>
  <c r="X1999" i="26" s="1"/>
  <c r="X2000" i="26" s="1"/>
  <c r="X2001" i="26" s="1"/>
  <c r="X2002" i="26" s="1"/>
  <c r="X2003" i="26" s="1"/>
  <c r="X2004" i="26" s="1"/>
  <c r="X2005" i="26" s="1"/>
  <c r="X2006" i="26" s="1"/>
  <c r="X2007" i="26" s="1"/>
  <c r="X2008" i="26" s="1"/>
  <c r="X2009" i="26" s="1"/>
  <c r="X2010" i="26" s="1"/>
  <c r="X2011" i="26" s="1"/>
  <c r="X2012" i="26" s="1"/>
  <c r="X2013" i="26" s="1"/>
  <c r="X2014" i="26" s="1"/>
  <c r="X2015" i="26" s="1"/>
  <c r="X2016" i="26" s="1"/>
  <c r="X2017" i="26" s="1"/>
  <c r="X2018" i="26" s="1"/>
  <c r="X2019" i="26" s="1"/>
  <c r="X2020" i="26" s="1"/>
  <c r="X2021" i="26" s="1"/>
  <c r="X2022" i="26" s="1"/>
  <c r="X2023" i="26" s="1"/>
  <c r="X2024" i="26" s="1"/>
  <c r="X2025" i="26" s="1"/>
  <c r="X2026" i="26" s="1"/>
  <c r="X2027" i="26" s="1"/>
  <c r="X2028" i="26" s="1"/>
  <c r="X2029" i="26" s="1"/>
  <c r="X2030" i="26" s="1"/>
  <c r="X2031" i="26" s="1"/>
  <c r="X2032" i="26" s="1"/>
  <c r="X2033" i="26" s="1"/>
  <c r="X2034" i="26" s="1"/>
  <c r="X2035" i="26" s="1"/>
  <c r="X2036" i="26" s="1"/>
  <c r="X2037" i="26" s="1"/>
  <c r="X2038" i="26" s="1"/>
  <c r="X2039" i="26" s="1"/>
  <c r="X2040" i="26" s="1"/>
  <c r="X2041" i="26" s="1"/>
  <c r="X2042" i="26" s="1"/>
  <c r="X2043" i="26" s="1"/>
  <c r="X2044" i="26" s="1"/>
  <c r="X2045" i="26" s="1"/>
  <c r="X2046" i="26" s="1"/>
  <c r="X2047" i="26" s="1"/>
  <c r="X2048" i="26" s="1"/>
  <c r="X2049" i="26" s="1"/>
  <c r="X2050" i="26" s="1"/>
  <c r="X2051" i="26" s="1"/>
  <c r="X2052" i="26" s="1"/>
  <c r="X2053" i="26" s="1"/>
  <c r="X2054" i="26" s="1"/>
  <c r="X2055" i="26" s="1"/>
  <c r="X2056" i="26" s="1"/>
  <c r="X2057" i="26" s="1"/>
  <c r="X2058" i="26" s="1"/>
  <c r="X2059" i="26" s="1"/>
  <c r="X2060" i="26" s="1"/>
  <c r="X2061" i="26" s="1"/>
  <c r="X2062" i="26" s="1"/>
  <c r="X2063" i="26" s="1"/>
  <c r="X2064" i="26" s="1"/>
  <c r="X2065" i="26" s="1"/>
  <c r="X2066" i="26" s="1"/>
  <c r="X2067" i="26" s="1"/>
  <c r="X2068" i="26" s="1"/>
  <c r="X2069" i="26" s="1"/>
  <c r="X2070" i="26" s="1"/>
  <c r="X2071" i="26" s="1"/>
  <c r="X2072" i="26" s="1"/>
  <c r="X2073" i="26" s="1"/>
  <c r="X2074" i="26" s="1"/>
  <c r="X2075" i="26" s="1"/>
  <c r="X2076" i="26" s="1"/>
  <c r="X2077" i="26" s="1"/>
  <c r="X2078" i="26" s="1"/>
  <c r="X2079" i="26" s="1"/>
  <c r="X2080" i="26" s="1"/>
  <c r="X2081" i="26" s="1"/>
  <c r="X2082" i="26" s="1"/>
  <c r="X2083" i="26" s="1"/>
  <c r="X2084" i="26" s="1"/>
  <c r="X2085" i="26" s="1"/>
  <c r="X2086" i="26" s="1"/>
  <c r="X2087" i="26" s="1"/>
  <c r="X2088" i="26" s="1"/>
  <c r="X2089" i="26" s="1"/>
  <c r="X2090" i="26" s="1"/>
  <c r="X2091" i="26" s="1"/>
  <c r="X2092" i="26" s="1"/>
  <c r="X2093" i="26" s="1"/>
  <c r="X2094" i="26" s="1"/>
  <c r="X2095" i="26" s="1"/>
  <c r="X2096" i="26" s="1"/>
  <c r="X2097" i="26" s="1"/>
  <c r="X2098" i="26" s="1"/>
  <c r="X2099" i="26" s="1"/>
  <c r="X2100" i="26" s="1"/>
  <c r="X2101" i="26" s="1"/>
  <c r="X2102" i="26" s="1"/>
  <c r="X2103" i="26" s="1"/>
  <c r="X2104" i="26" s="1"/>
  <c r="X2105" i="26" s="1"/>
  <c r="X2106" i="26" s="1"/>
  <c r="X2107" i="26" s="1"/>
  <c r="X2108" i="26" s="1"/>
  <c r="X2109" i="26" s="1"/>
  <c r="X2110" i="26" s="1"/>
  <c r="X2111" i="26" s="1"/>
  <c r="X2112" i="26" s="1"/>
  <c r="X2113" i="26" s="1"/>
  <c r="X2114" i="26" s="1"/>
  <c r="X2115" i="26" s="1"/>
  <c r="X2116" i="26" s="1"/>
  <c r="X2117" i="26" s="1"/>
  <c r="X2118" i="26" s="1"/>
  <c r="X2119" i="26" s="1"/>
  <c r="X2120" i="26" s="1"/>
  <c r="X2121" i="26" s="1"/>
  <c r="X2122" i="26" s="1"/>
  <c r="X2123" i="26" s="1"/>
  <c r="X2124" i="26" s="1"/>
  <c r="X2125" i="26" s="1"/>
  <c r="X2126" i="26" s="1"/>
  <c r="X2127" i="26" s="1"/>
  <c r="X2128" i="26" s="1"/>
  <c r="X2129" i="26" s="1"/>
  <c r="X2130" i="26" s="1"/>
  <c r="X2131" i="26" s="1"/>
  <c r="X2132" i="26" s="1"/>
  <c r="X2133" i="26" s="1"/>
  <c r="X2134" i="26" s="1"/>
  <c r="X2135" i="26" s="1"/>
  <c r="X2136" i="26" s="1"/>
  <c r="X2137" i="26" s="1"/>
  <c r="X2138" i="26" s="1"/>
  <c r="X2139" i="26" s="1"/>
  <c r="X2140" i="26" s="1"/>
  <c r="X2141" i="26" s="1"/>
  <c r="X2142" i="26" s="1"/>
  <c r="X2143" i="26" s="1"/>
  <c r="X2144" i="26" s="1"/>
  <c r="X2145" i="26" s="1"/>
  <c r="X2146" i="26" s="1"/>
  <c r="X2147" i="26" s="1"/>
  <c r="X2148" i="26" s="1"/>
  <c r="X2149" i="26" s="1"/>
  <c r="X2150" i="26" s="1"/>
  <c r="X2151" i="26" s="1"/>
  <c r="X2152" i="26" s="1"/>
  <c r="X2153" i="26" s="1"/>
  <c r="X2154" i="26" s="1"/>
  <c r="X2155" i="26" s="1"/>
  <c r="X2156" i="26" s="1"/>
  <c r="X2157" i="26" s="1"/>
  <c r="X2158" i="26" s="1"/>
  <c r="X2159" i="26" s="1"/>
  <c r="X2160" i="26" s="1"/>
  <c r="X2161" i="26" s="1"/>
  <c r="X2162" i="26" s="1"/>
  <c r="X2163" i="26" s="1"/>
  <c r="X2164" i="26" s="1"/>
  <c r="X2165" i="26" s="1"/>
  <c r="X2166" i="26" s="1"/>
  <c r="X2167" i="26" s="1"/>
  <c r="X2168" i="26" s="1"/>
  <c r="X2169" i="26" s="1"/>
  <c r="X2170" i="26" s="1"/>
  <c r="X2171" i="26" s="1"/>
  <c r="X2172" i="26" s="1"/>
  <c r="X2173" i="26" s="1"/>
  <c r="X2174" i="26" s="1"/>
  <c r="X2175" i="26" s="1"/>
  <c r="X2176" i="26" s="1"/>
  <c r="X2177" i="26" s="1"/>
  <c r="X2178" i="26" s="1"/>
  <c r="X2179" i="26" s="1"/>
  <c r="X2180" i="26" s="1"/>
  <c r="X2181" i="26" s="1"/>
  <c r="X2182" i="26" s="1"/>
  <c r="X2183" i="26" s="1"/>
  <c r="X2184" i="26" s="1"/>
  <c r="X2185" i="26" s="1"/>
  <c r="X2186" i="26" s="1"/>
  <c r="X2187" i="26" s="1"/>
  <c r="X2188" i="26" s="1"/>
  <c r="X2189" i="26" s="1"/>
  <c r="X2190" i="26" s="1"/>
  <c r="X2191" i="26" s="1"/>
  <c r="X2192" i="26" s="1"/>
  <c r="X2193" i="26" s="1"/>
  <c r="X2194" i="26" s="1"/>
  <c r="X2195" i="26" s="1"/>
  <c r="X2196" i="26" s="1"/>
  <c r="X2197" i="26" s="1"/>
  <c r="X2198" i="26" s="1"/>
  <c r="X2199" i="26" s="1"/>
  <c r="X2200" i="26" s="1"/>
  <c r="X2201" i="26" s="1"/>
  <c r="X2202" i="26" s="1"/>
  <c r="X2203" i="26" s="1"/>
  <c r="X2204" i="26" s="1"/>
  <c r="X2205" i="26" s="1"/>
  <c r="X2206" i="26" s="1"/>
  <c r="X2207" i="26" s="1"/>
  <c r="X2208" i="26" s="1"/>
  <c r="X2209" i="26" s="1"/>
  <c r="X2210" i="26" s="1"/>
  <c r="X2211" i="26" s="1"/>
  <c r="X2212" i="26" s="1"/>
  <c r="X2213" i="26" s="1"/>
  <c r="X2214" i="26" s="1"/>
  <c r="X2215" i="26" s="1"/>
  <c r="X2216" i="26" s="1"/>
  <c r="X2217" i="26" s="1"/>
  <c r="X2218" i="26" s="1"/>
  <c r="X2219" i="26" s="1"/>
  <c r="X2220" i="26" s="1"/>
  <c r="X2221" i="26" s="1"/>
  <c r="X2222" i="26" s="1"/>
  <c r="X2223" i="26" s="1"/>
  <c r="X2224" i="26" s="1"/>
  <c r="X2225" i="26" s="1"/>
  <c r="X2226" i="26" s="1"/>
  <c r="X2227" i="26" s="1"/>
  <c r="X2228" i="26" s="1"/>
  <c r="X2229" i="26" s="1"/>
  <c r="X2230" i="26" s="1"/>
  <c r="X2231" i="26" s="1"/>
  <c r="X2232" i="26" s="1"/>
  <c r="X2233" i="26" s="1"/>
  <c r="X2234" i="26" s="1"/>
  <c r="X2235" i="26" s="1"/>
  <c r="X2236" i="26" s="1"/>
  <c r="X2237" i="26" s="1"/>
  <c r="X2238" i="26" s="1"/>
  <c r="X2239" i="26" s="1"/>
  <c r="X2240" i="26" s="1"/>
  <c r="X2241" i="26" s="1"/>
  <c r="X2242" i="26" s="1"/>
  <c r="X2243" i="26" s="1"/>
  <c r="X2244" i="26" s="1"/>
  <c r="X2245" i="26" s="1"/>
  <c r="X2246" i="26" s="1"/>
  <c r="X2247" i="26" s="1"/>
  <c r="X2248" i="26" s="1"/>
  <c r="X2249" i="26" s="1"/>
  <c r="X2250" i="26" s="1"/>
  <c r="X2251" i="26" s="1"/>
  <c r="X2252" i="26" s="1"/>
  <c r="X2253" i="26" s="1"/>
  <c r="X2254" i="26" s="1"/>
  <c r="X2255" i="26" s="1"/>
  <c r="X2256" i="26" s="1"/>
  <c r="X2257" i="26" s="1"/>
  <c r="X2258" i="26" s="1"/>
  <c r="X2259" i="26" s="1"/>
  <c r="X2260" i="26" s="1"/>
  <c r="X2261" i="26" s="1"/>
  <c r="X2262" i="26" s="1"/>
  <c r="X2263" i="26" s="1"/>
  <c r="X2264" i="26" s="1"/>
  <c r="X2265" i="26" s="1"/>
  <c r="X2266" i="26" s="1"/>
  <c r="X2267" i="26" s="1"/>
  <c r="X2268" i="26" s="1"/>
  <c r="X2269" i="26" s="1"/>
  <c r="X2270" i="26" s="1"/>
  <c r="X2271" i="26" s="1"/>
  <c r="X2272" i="26" s="1"/>
  <c r="X2273" i="26" s="1"/>
  <c r="X2274" i="26" s="1"/>
  <c r="X2275" i="26" s="1"/>
  <c r="X2276" i="26" s="1"/>
  <c r="X2277" i="26" s="1"/>
  <c r="X2278" i="26" s="1"/>
  <c r="X2279" i="26" s="1"/>
  <c r="X2280" i="26" s="1"/>
  <c r="X2281" i="26" s="1"/>
  <c r="X2282" i="26" s="1"/>
  <c r="X2283" i="26" s="1"/>
  <c r="X2284" i="26" s="1"/>
  <c r="X2285" i="26" s="1"/>
  <c r="X2286" i="26" s="1"/>
  <c r="X2287" i="26" s="1"/>
  <c r="X2288" i="26" s="1"/>
  <c r="X2289" i="26" s="1"/>
  <c r="X2290" i="26" s="1"/>
  <c r="X2291" i="26" s="1"/>
  <c r="X2292" i="26" s="1"/>
  <c r="X2293" i="26" s="1"/>
  <c r="X2294" i="26" s="1"/>
  <c r="X2295" i="26" s="1"/>
  <c r="X2296" i="26" s="1"/>
  <c r="X2297" i="26" s="1"/>
  <c r="X2298" i="26" s="1"/>
  <c r="X2299" i="26" s="1"/>
  <c r="X2300" i="26" s="1"/>
  <c r="X2301" i="26" s="1"/>
  <c r="X2302" i="26" s="1"/>
  <c r="X2303" i="26" s="1"/>
  <c r="X2304" i="26" s="1"/>
  <c r="X2305" i="26" s="1"/>
  <c r="X2306" i="26" s="1"/>
  <c r="X2307" i="26" s="1"/>
  <c r="X2308" i="26" s="1"/>
  <c r="X2309" i="26" s="1"/>
  <c r="X2310" i="26" s="1"/>
  <c r="X2311" i="26" s="1"/>
  <c r="X2312" i="26" s="1"/>
  <c r="X2313" i="26" s="1"/>
  <c r="X2314" i="26" s="1"/>
  <c r="X2315" i="26" s="1"/>
  <c r="X2316" i="26" s="1"/>
  <c r="X2317" i="26" s="1"/>
  <c r="X2318" i="26" s="1"/>
  <c r="X2319" i="26" s="1"/>
  <c r="X2320" i="26" s="1"/>
  <c r="X2321" i="26" s="1"/>
  <c r="X2322" i="26" s="1"/>
  <c r="X2323" i="26" s="1"/>
  <c r="X2324" i="26" s="1"/>
  <c r="X2325" i="26" s="1"/>
  <c r="X2326" i="26" s="1"/>
  <c r="X2327" i="26" s="1"/>
  <c r="X2328" i="26" s="1"/>
  <c r="X2329" i="26" s="1"/>
  <c r="X2330" i="26" s="1"/>
  <c r="X2331" i="26" s="1"/>
  <c r="X2332" i="26" s="1"/>
  <c r="X2333" i="26" s="1"/>
  <c r="X2334" i="26" s="1"/>
  <c r="X2335" i="26" s="1"/>
  <c r="X2336" i="26" s="1"/>
  <c r="X2337" i="26" s="1"/>
  <c r="X2338" i="26" s="1"/>
  <c r="X2339" i="26" s="1"/>
  <c r="X2340" i="26" s="1"/>
  <c r="X2341" i="26" s="1"/>
  <c r="X2342" i="26" s="1"/>
  <c r="X2343" i="26" s="1"/>
  <c r="X2344" i="26" s="1"/>
  <c r="X2345" i="26" s="1"/>
  <c r="X2346" i="26" s="1"/>
  <c r="X2347" i="26" s="1"/>
  <c r="X2348" i="26" s="1"/>
  <c r="X2349" i="26" s="1"/>
  <c r="X2350" i="26" s="1"/>
  <c r="X2351" i="26" s="1"/>
  <c r="X2352" i="26" s="1"/>
  <c r="X2353" i="26" s="1"/>
  <c r="X2354" i="26" s="1"/>
  <c r="X2355" i="26" s="1"/>
  <c r="X2356" i="26" s="1"/>
  <c r="X2357" i="26" s="1"/>
  <c r="X2358" i="26" s="1"/>
  <c r="X2359" i="26" s="1"/>
  <c r="X2360" i="26" s="1"/>
  <c r="X2361" i="26" s="1"/>
  <c r="X2362" i="26" s="1"/>
  <c r="X2363" i="26" s="1"/>
  <c r="X2364" i="26" s="1"/>
  <c r="X2365" i="26" s="1"/>
  <c r="X2366" i="26" s="1"/>
  <c r="X2367" i="26" s="1"/>
  <c r="X2368" i="26" s="1"/>
  <c r="X2369" i="26" s="1"/>
  <c r="X2370" i="26" s="1"/>
  <c r="X2371" i="26" s="1"/>
  <c r="X2372" i="26" s="1"/>
  <c r="X2373" i="26" s="1"/>
  <c r="X2374" i="26" s="1"/>
  <c r="X2375" i="26" s="1"/>
  <c r="X2376" i="26" s="1"/>
  <c r="X2377" i="26" s="1"/>
  <c r="X2378" i="26" s="1"/>
  <c r="X2379" i="26" s="1"/>
  <c r="X2380" i="26" s="1"/>
  <c r="X2381" i="26" s="1"/>
  <c r="X2382" i="26" s="1"/>
  <c r="X2383" i="26" s="1"/>
  <c r="X2384" i="26" s="1"/>
  <c r="X2385" i="26" s="1"/>
  <c r="X2386" i="26" s="1"/>
  <c r="X2387" i="26" s="1"/>
  <c r="X2388" i="26" s="1"/>
  <c r="X2389" i="26" s="1"/>
  <c r="X2390" i="26" s="1"/>
  <c r="X2391" i="26" s="1"/>
  <c r="X2392" i="26" s="1"/>
  <c r="X2393" i="26" s="1"/>
  <c r="X2394" i="26" s="1"/>
  <c r="X2395" i="26" s="1"/>
  <c r="X2396" i="26" s="1"/>
  <c r="X2397" i="26" s="1"/>
  <c r="X2398" i="26" s="1"/>
  <c r="X2399" i="26" s="1"/>
  <c r="X2400" i="26" s="1"/>
  <c r="X2401" i="26" s="1"/>
  <c r="X2402" i="26" s="1"/>
  <c r="X2403" i="26" s="1"/>
  <c r="X2404" i="26" s="1"/>
  <c r="X2405" i="26" s="1"/>
  <c r="X2406" i="26" s="1"/>
  <c r="X2407" i="26" s="1"/>
  <c r="X2408" i="26" s="1"/>
  <c r="X2409" i="26" s="1"/>
  <c r="X2410" i="26" s="1"/>
  <c r="X2411" i="26" s="1"/>
  <c r="X2412" i="26" s="1"/>
  <c r="X2413" i="26" s="1"/>
  <c r="X2414" i="26" s="1"/>
  <c r="X2415" i="26" s="1"/>
  <c r="X2416" i="26" s="1"/>
  <c r="X2417" i="26" s="1"/>
  <c r="X2418" i="26" s="1"/>
  <c r="X2419" i="26" s="1"/>
  <c r="X2420" i="26" s="1"/>
  <c r="X2421" i="26" s="1"/>
  <c r="X2422" i="26" s="1"/>
  <c r="X2423" i="26" s="1"/>
  <c r="X2424" i="26" s="1"/>
  <c r="X2425" i="26" s="1"/>
  <c r="X2426" i="26" s="1"/>
  <c r="X2427" i="26" s="1"/>
  <c r="X2428" i="26" s="1"/>
  <c r="X2429" i="26" s="1"/>
  <c r="X2430" i="26" s="1"/>
  <c r="X2431" i="26" s="1"/>
  <c r="X2432" i="26" s="1"/>
  <c r="X2433" i="26" s="1"/>
  <c r="X2434" i="26" s="1"/>
  <c r="X2435" i="26" s="1"/>
  <c r="X2436" i="26" s="1"/>
  <c r="X2437" i="26" s="1"/>
  <c r="X2438" i="26" s="1"/>
  <c r="X2439" i="26" s="1"/>
  <c r="X2440" i="26" s="1"/>
  <c r="X2441" i="26" s="1"/>
  <c r="X2442" i="26" s="1"/>
  <c r="X2443" i="26" s="1"/>
  <c r="X2444" i="26" s="1"/>
  <c r="X2445" i="26" s="1"/>
  <c r="X2446" i="26" s="1"/>
  <c r="X2447" i="26" s="1"/>
  <c r="X2448" i="26" s="1"/>
  <c r="X2449" i="26" s="1"/>
  <c r="X2450" i="26" s="1"/>
  <c r="X2451" i="26" s="1"/>
  <c r="X2452" i="26" s="1"/>
  <c r="X2453" i="26" s="1"/>
  <c r="X2454" i="26" s="1"/>
  <c r="X2455" i="26" s="1"/>
  <c r="X2456" i="26" s="1"/>
  <c r="X2457" i="26" s="1"/>
  <c r="X2458" i="26" s="1"/>
  <c r="X2459" i="26" s="1"/>
  <c r="X2460" i="26" s="1"/>
  <c r="X2461" i="26" s="1"/>
  <c r="X2462" i="26" s="1"/>
  <c r="X2463" i="26" s="1"/>
  <c r="X2464" i="26" s="1"/>
  <c r="X2465" i="26" s="1"/>
  <c r="X2466" i="26" s="1"/>
  <c r="X2467" i="26" s="1"/>
  <c r="X2468" i="26" s="1"/>
  <c r="X2469" i="26" s="1"/>
  <c r="X2470" i="26" s="1"/>
  <c r="X2471" i="26" s="1"/>
  <c r="X2472" i="26" s="1"/>
  <c r="X2473" i="26" s="1"/>
  <c r="X2474" i="26" s="1"/>
  <c r="X2475" i="26" s="1"/>
  <c r="X2476" i="26" s="1"/>
  <c r="X2477" i="26" s="1"/>
  <c r="X2478" i="26" s="1"/>
  <c r="X2479" i="26" s="1"/>
  <c r="X2480" i="26" s="1"/>
  <c r="X2481" i="26" s="1"/>
  <c r="X2482" i="26" s="1"/>
  <c r="X2483" i="26" s="1"/>
  <c r="X2484" i="26" s="1"/>
  <c r="X2485" i="26" s="1"/>
  <c r="X2486" i="26" s="1"/>
  <c r="X2487" i="26" s="1"/>
  <c r="X2488" i="26" s="1"/>
  <c r="X2489" i="26" s="1"/>
  <c r="X2490" i="26" s="1"/>
  <c r="X2491" i="26" s="1"/>
  <c r="X2492" i="26" s="1"/>
  <c r="X2493" i="26" s="1"/>
  <c r="X2494" i="26" s="1"/>
  <c r="X2495" i="26" s="1"/>
  <c r="X2496" i="26" s="1"/>
  <c r="X2497" i="26" s="1"/>
  <c r="X2498" i="26" s="1"/>
  <c r="X2499" i="26" s="1"/>
  <c r="X2500" i="26" s="1"/>
  <c r="X2501" i="26" s="1"/>
  <c r="X2502" i="26" s="1"/>
  <c r="X2503" i="26" s="1"/>
  <c r="X2504" i="26" s="1"/>
  <c r="X2505" i="26" s="1"/>
  <c r="X2506" i="26" s="1"/>
  <c r="X2507" i="26" s="1"/>
  <c r="X2508" i="26" s="1"/>
  <c r="X2509" i="26" s="1"/>
  <c r="X2510" i="26" s="1"/>
  <c r="X2511" i="26" s="1"/>
  <c r="X2512" i="26" s="1"/>
  <c r="X2513" i="26" s="1"/>
  <c r="X2514" i="26" s="1"/>
  <c r="X2515" i="26" s="1"/>
  <c r="X2516" i="26" s="1"/>
  <c r="X2517" i="26" s="1"/>
  <c r="X2518" i="26" s="1"/>
  <c r="X2519" i="26" s="1"/>
  <c r="X2520" i="26" s="1"/>
  <c r="X2521" i="26" s="1"/>
  <c r="X2522" i="26" s="1"/>
  <c r="X2523" i="26" s="1"/>
  <c r="X2524" i="26" s="1"/>
  <c r="X2525" i="26" s="1"/>
  <c r="X2526" i="26" s="1"/>
  <c r="X2527" i="26" s="1"/>
  <c r="X2528" i="26" s="1"/>
  <c r="X2529" i="26" s="1"/>
  <c r="X2530" i="26" s="1"/>
  <c r="X2531" i="26" s="1"/>
  <c r="X2532" i="26" s="1"/>
  <c r="X2533" i="26" s="1"/>
  <c r="X2534" i="26" s="1"/>
  <c r="X2535" i="26" s="1"/>
  <c r="X2536" i="26" s="1"/>
  <c r="X2537" i="26" s="1"/>
  <c r="X2538" i="26" s="1"/>
  <c r="X2539" i="26" s="1"/>
  <c r="X2540" i="26" s="1"/>
  <c r="X2541" i="26" s="1"/>
  <c r="X2542" i="26" s="1"/>
  <c r="X2543" i="26" s="1"/>
  <c r="X2544" i="26" s="1"/>
  <c r="X2545" i="26" s="1"/>
  <c r="X2546" i="26" s="1"/>
  <c r="X2547" i="26" s="1"/>
  <c r="X2548" i="26" s="1"/>
  <c r="X2549" i="26" s="1"/>
  <c r="X2550" i="26" s="1"/>
  <c r="X2551" i="26" s="1"/>
  <c r="X2552" i="26" s="1"/>
  <c r="X2553" i="26" s="1"/>
  <c r="X2554" i="26" s="1"/>
  <c r="X2555" i="26" s="1"/>
  <c r="X2556" i="26" s="1"/>
  <c r="X2557" i="26" s="1"/>
  <c r="X2558" i="26" s="1"/>
  <c r="X2559" i="26" s="1"/>
  <c r="X2560" i="26" s="1"/>
  <c r="X2561" i="26" s="1"/>
  <c r="X2562" i="26" s="1"/>
  <c r="X2563" i="26" s="1"/>
  <c r="X2564" i="26" s="1"/>
  <c r="X2565" i="26" s="1"/>
  <c r="X2566" i="26" s="1"/>
  <c r="X2567" i="26" s="1"/>
  <c r="X2568" i="26" s="1"/>
  <c r="X2569" i="26" s="1"/>
  <c r="X2570" i="26" s="1"/>
  <c r="X2571" i="26" s="1"/>
  <c r="X2572" i="26" s="1"/>
  <c r="X2573" i="26" s="1"/>
  <c r="X2574" i="26" s="1"/>
  <c r="X2575" i="26" s="1"/>
  <c r="X2576" i="26" s="1"/>
  <c r="X2577" i="26" s="1"/>
  <c r="X2578" i="26" s="1"/>
  <c r="X2579" i="26" s="1"/>
  <c r="X2580" i="26" s="1"/>
  <c r="X2581" i="26" s="1"/>
  <c r="X2582" i="26" s="1"/>
  <c r="X2583" i="26" s="1"/>
  <c r="X2584" i="26" s="1"/>
  <c r="X2585" i="26" s="1"/>
  <c r="X2586" i="26" s="1"/>
  <c r="X2587" i="26" s="1"/>
  <c r="X2588" i="26" s="1"/>
  <c r="X2589" i="26" s="1"/>
  <c r="X2590" i="26" s="1"/>
  <c r="X2591" i="26" s="1"/>
  <c r="X2592" i="26" s="1"/>
  <c r="X2593" i="26" s="1"/>
  <c r="X2594" i="26" s="1"/>
  <c r="X2595" i="26" s="1"/>
  <c r="X2596" i="26" s="1"/>
  <c r="X2597" i="26" s="1"/>
  <c r="X2598" i="26" s="1"/>
  <c r="X2599" i="26" s="1"/>
  <c r="X2600" i="26" s="1"/>
  <c r="X2601" i="26" s="1"/>
  <c r="X2602" i="26" s="1"/>
  <c r="X2603" i="26" s="1"/>
  <c r="X2604" i="26" s="1"/>
  <c r="X2605" i="26" s="1"/>
  <c r="X2606" i="26" s="1"/>
  <c r="X2607" i="26" s="1"/>
  <c r="X2608" i="26" s="1"/>
  <c r="X2609" i="26" s="1"/>
  <c r="X2610" i="26" s="1"/>
  <c r="X2611" i="26" s="1"/>
  <c r="X2612" i="26" s="1"/>
  <c r="X2613" i="26" s="1"/>
  <c r="X2614" i="26" s="1"/>
  <c r="X2615" i="26" s="1"/>
  <c r="X2616" i="26" s="1"/>
  <c r="X2617" i="26" s="1"/>
  <c r="X2618" i="26" s="1"/>
  <c r="X2619" i="26" s="1"/>
  <c r="X2620" i="26" s="1"/>
  <c r="X2621" i="26" s="1"/>
  <c r="X2622" i="26" s="1"/>
  <c r="X2623" i="26" s="1"/>
  <c r="X2624" i="26" s="1"/>
  <c r="X2625" i="26" s="1"/>
  <c r="X2626" i="26" s="1"/>
  <c r="X2627" i="26" s="1"/>
  <c r="X2628" i="26" s="1"/>
  <c r="X2629" i="26" s="1"/>
  <c r="X2630" i="26" s="1"/>
  <c r="X2631" i="26" s="1"/>
  <c r="X2632" i="26" s="1"/>
  <c r="X2633" i="26" s="1"/>
  <c r="X2634" i="26" s="1"/>
  <c r="X2635" i="26" s="1"/>
  <c r="X2636" i="26" s="1"/>
  <c r="X2637" i="26" s="1"/>
  <c r="X2638" i="26" s="1"/>
  <c r="X2639" i="26" s="1"/>
  <c r="X2640" i="26" s="1"/>
  <c r="X2641" i="26" s="1"/>
  <c r="X2642" i="26" s="1"/>
  <c r="X2643" i="26" s="1"/>
  <c r="X2644" i="26" s="1"/>
  <c r="X2645" i="26" s="1"/>
  <c r="X2646" i="26" s="1"/>
  <c r="X2647" i="26" s="1"/>
  <c r="X2648" i="26" s="1"/>
  <c r="X2649" i="26" s="1"/>
  <c r="X2650" i="26" s="1"/>
  <c r="X2651" i="26" s="1"/>
  <c r="X2652" i="26" s="1"/>
  <c r="X2653" i="26" s="1"/>
  <c r="X2654" i="26" s="1"/>
  <c r="X2655" i="26" s="1"/>
  <c r="X2656" i="26" s="1"/>
  <c r="X2657" i="26" s="1"/>
  <c r="X2658" i="26" s="1"/>
  <c r="X2659" i="26" s="1"/>
  <c r="X2660" i="26" s="1"/>
  <c r="X2661" i="26" s="1"/>
  <c r="X2662" i="26" s="1"/>
  <c r="X2663" i="26" s="1"/>
  <c r="X2664" i="26" s="1"/>
  <c r="X2665" i="26" s="1"/>
  <c r="X2666" i="26" s="1"/>
  <c r="X2667" i="26" s="1"/>
  <c r="X2668" i="26" s="1"/>
  <c r="X2669" i="26" s="1"/>
  <c r="X2670" i="26" s="1"/>
  <c r="X2671" i="26" s="1"/>
  <c r="X2672" i="26" s="1"/>
  <c r="X2673" i="26" s="1"/>
  <c r="X2674" i="26" s="1"/>
  <c r="X2675" i="26" s="1"/>
  <c r="X2676" i="26" s="1"/>
  <c r="X2677" i="26" s="1"/>
  <c r="X2678" i="26" s="1"/>
  <c r="X2679" i="26" s="1"/>
  <c r="X2680" i="26" s="1"/>
  <c r="X2681" i="26" s="1"/>
  <c r="X2682" i="26" s="1"/>
  <c r="X2683" i="26" s="1"/>
  <c r="X2684" i="26" s="1"/>
  <c r="X2685" i="26" s="1"/>
  <c r="X2686" i="26" s="1"/>
  <c r="X2687" i="26" s="1"/>
  <c r="X2688" i="26" s="1"/>
  <c r="X2689" i="26" s="1"/>
  <c r="X2690" i="26" s="1"/>
  <c r="X2691" i="26" s="1"/>
  <c r="X2692" i="26" s="1"/>
  <c r="X2693" i="26" s="1"/>
  <c r="X2694" i="26" s="1"/>
  <c r="X2695" i="26" s="1"/>
  <c r="X2696" i="26" s="1"/>
  <c r="X2697" i="26" s="1"/>
  <c r="X2698" i="26" s="1"/>
  <c r="X2699" i="26" s="1"/>
  <c r="X2700" i="26" s="1"/>
  <c r="X2701" i="26" s="1"/>
  <c r="X2702" i="26" s="1"/>
  <c r="X2703" i="26" s="1"/>
  <c r="X2704" i="26" s="1"/>
  <c r="X2705" i="26" s="1"/>
  <c r="X2706" i="26" s="1"/>
  <c r="X2707" i="26" s="1"/>
  <c r="X2708" i="26" s="1"/>
  <c r="X2709" i="26" s="1"/>
  <c r="X2710" i="26" s="1"/>
  <c r="X2711" i="26" s="1"/>
  <c r="X2712" i="26" s="1"/>
  <c r="X2713" i="26" s="1"/>
  <c r="X2714" i="26" s="1"/>
  <c r="X2715" i="26" s="1"/>
  <c r="X2716" i="26" s="1"/>
  <c r="X2717" i="26" s="1"/>
  <c r="X2718" i="26" s="1"/>
  <c r="X2719" i="26" s="1"/>
  <c r="X2720" i="26" s="1"/>
  <c r="X2721" i="26" s="1"/>
  <c r="X2722" i="26" s="1"/>
  <c r="X2723" i="26" s="1"/>
  <c r="X2724" i="26" s="1"/>
  <c r="X2725" i="26" s="1"/>
  <c r="X2726" i="26" s="1"/>
  <c r="X2727" i="26" s="1"/>
  <c r="X2728" i="26" s="1"/>
  <c r="X2729" i="26" s="1"/>
  <c r="X2730" i="26" s="1"/>
  <c r="X2731" i="26" s="1"/>
  <c r="X2732" i="26" s="1"/>
  <c r="X2733" i="26" s="1"/>
  <c r="X2734" i="26" s="1"/>
  <c r="X2735" i="26" s="1"/>
  <c r="X2736" i="26" s="1"/>
  <c r="X2737" i="26" s="1"/>
  <c r="X2738" i="26" s="1"/>
  <c r="X2739" i="26" s="1"/>
  <c r="X2740" i="26" s="1"/>
  <c r="X2741" i="26" s="1"/>
  <c r="X2742" i="26" s="1"/>
  <c r="X2743" i="26" s="1"/>
  <c r="X2744" i="26" s="1"/>
  <c r="X2745" i="26" s="1"/>
  <c r="X2746" i="26" s="1"/>
  <c r="X2747" i="26" s="1"/>
  <c r="X2748" i="26" s="1"/>
  <c r="X2749" i="26" s="1"/>
  <c r="X2750" i="26" s="1"/>
  <c r="X2751" i="26" s="1"/>
  <c r="X2752" i="26" s="1"/>
  <c r="X2753" i="26" s="1"/>
  <c r="X2754" i="26" s="1"/>
  <c r="X2755" i="26" s="1"/>
  <c r="X2756" i="26" s="1"/>
  <c r="X2757" i="26" s="1"/>
  <c r="X2758" i="26" s="1"/>
  <c r="X2759" i="26" s="1"/>
  <c r="X2760" i="26" s="1"/>
  <c r="X2761" i="26" s="1"/>
  <c r="X2762" i="26" s="1"/>
  <c r="X2763" i="26" s="1"/>
  <c r="X2764" i="26" s="1"/>
  <c r="X2765" i="26" s="1"/>
  <c r="X2766" i="26" s="1"/>
  <c r="X2767" i="26" s="1"/>
  <c r="X2768" i="26" s="1"/>
  <c r="X2769" i="26" s="1"/>
  <c r="X2770" i="26" s="1"/>
  <c r="X2771" i="26" s="1"/>
  <c r="X2772" i="26" s="1"/>
  <c r="X2773" i="26" s="1"/>
  <c r="X2774" i="26" s="1"/>
  <c r="X2775" i="26" s="1"/>
  <c r="X2776" i="26" s="1"/>
  <c r="X2777" i="26" s="1"/>
  <c r="X2778" i="26" s="1"/>
  <c r="X2779" i="26" s="1"/>
  <c r="X2780" i="26" s="1"/>
  <c r="X2781" i="26" s="1"/>
  <c r="X2782" i="26" s="1"/>
  <c r="X2783" i="26" s="1"/>
  <c r="X2784" i="26" s="1"/>
  <c r="X2785" i="26" s="1"/>
  <c r="X2786" i="26" s="1"/>
  <c r="X2787" i="26" s="1"/>
  <c r="X2788" i="26" s="1"/>
  <c r="X2789" i="26" s="1"/>
  <c r="X2790" i="26" s="1"/>
  <c r="X2791" i="26" s="1"/>
  <c r="X2792" i="26" s="1"/>
  <c r="X2793" i="26" s="1"/>
  <c r="X2794" i="26" s="1"/>
  <c r="X2795" i="26" s="1"/>
  <c r="X2796" i="26" s="1"/>
  <c r="X2797" i="26" s="1"/>
  <c r="X2798" i="26" s="1"/>
  <c r="X2799" i="26" s="1"/>
  <c r="X2800" i="26" s="1"/>
  <c r="X2801" i="26" s="1"/>
  <c r="X2802" i="26" s="1"/>
  <c r="X2803" i="26" s="1"/>
  <c r="X2804" i="26" s="1"/>
  <c r="X2805" i="26" s="1"/>
  <c r="X2806" i="26" s="1"/>
  <c r="X2807" i="26" s="1"/>
  <c r="X2808" i="26" s="1"/>
  <c r="X2809" i="26" s="1"/>
  <c r="X2810" i="26" s="1"/>
  <c r="X2811" i="26" s="1"/>
  <c r="X2812" i="26" s="1"/>
  <c r="X2813" i="26" s="1"/>
  <c r="X2814" i="26" s="1"/>
  <c r="X2815" i="26" s="1"/>
  <c r="X2816" i="26" s="1"/>
  <c r="X2817" i="26" s="1"/>
  <c r="X2818" i="26" s="1"/>
  <c r="X2819" i="26" s="1"/>
  <c r="X2820" i="26" s="1"/>
  <c r="X2821" i="26" s="1"/>
  <c r="X2822" i="26" s="1"/>
  <c r="X2823" i="26" s="1"/>
  <c r="X2824" i="26" s="1"/>
  <c r="X2825" i="26" s="1"/>
  <c r="X2826" i="26" s="1"/>
  <c r="X2827" i="26" s="1"/>
  <c r="X2828" i="26" s="1"/>
  <c r="X2829" i="26" s="1"/>
  <c r="X2830" i="26" s="1"/>
  <c r="X2831" i="26" s="1"/>
  <c r="X2832" i="26" s="1"/>
  <c r="X2833" i="26" s="1"/>
  <c r="X2834" i="26" s="1"/>
  <c r="X2835" i="26" s="1"/>
  <c r="X2836" i="26" s="1"/>
  <c r="X2837" i="26" s="1"/>
  <c r="X2838" i="26" s="1"/>
  <c r="X2839" i="26" s="1"/>
  <c r="X2840" i="26" s="1"/>
  <c r="X2841" i="26" s="1"/>
  <c r="X2842" i="26" s="1"/>
  <c r="X2843" i="26" s="1"/>
  <c r="X2844" i="26" s="1"/>
  <c r="X2845" i="26" s="1"/>
  <c r="X2846" i="26" s="1"/>
  <c r="X2847" i="26" s="1"/>
  <c r="X2848" i="26" s="1"/>
  <c r="X2849" i="26" s="1"/>
  <c r="X2850" i="26" s="1"/>
  <c r="X2851" i="26" s="1"/>
  <c r="X2852" i="26" s="1"/>
  <c r="X2853" i="26" s="1"/>
  <c r="X2854" i="26" s="1"/>
  <c r="X2855" i="26" s="1"/>
  <c r="X2856" i="26" s="1"/>
  <c r="X2857" i="26" s="1"/>
  <c r="X2858" i="26" s="1"/>
  <c r="X2859" i="26" s="1"/>
  <c r="X2860" i="26" s="1"/>
  <c r="X2861" i="26" s="1"/>
  <c r="X2862" i="26" s="1"/>
  <c r="X2863" i="26" s="1"/>
  <c r="X2864" i="26" s="1"/>
  <c r="X2865" i="26" s="1"/>
  <c r="X2866" i="26" s="1"/>
  <c r="X2867" i="26" s="1"/>
  <c r="X2868" i="26" s="1"/>
  <c r="X2869" i="26" s="1"/>
  <c r="X2870" i="26" s="1"/>
  <c r="X2871" i="26" s="1"/>
  <c r="X2872" i="26" s="1"/>
  <c r="X2873" i="26" s="1"/>
  <c r="X2874" i="26" s="1"/>
  <c r="X2875" i="26" s="1"/>
  <c r="X2876" i="26" s="1"/>
  <c r="X2877" i="26" s="1"/>
  <c r="X2878" i="26" s="1"/>
  <c r="X2879" i="26" s="1"/>
  <c r="X2880" i="26" s="1"/>
  <c r="X2881" i="26" s="1"/>
  <c r="X2882" i="26" s="1"/>
  <c r="X2883" i="26" s="1"/>
  <c r="X2884" i="26" s="1"/>
  <c r="X2885" i="26" s="1"/>
  <c r="X2886" i="26" s="1"/>
  <c r="X2887" i="26" s="1"/>
  <c r="X2888" i="26" s="1"/>
  <c r="X2889" i="26" s="1"/>
  <c r="X2890" i="26" s="1"/>
  <c r="X2891" i="26" s="1"/>
  <c r="X2892" i="26" s="1"/>
  <c r="X2893" i="26" s="1"/>
  <c r="X2894" i="26" s="1"/>
  <c r="X2895" i="26" s="1"/>
  <c r="X2896" i="26" s="1"/>
  <c r="X2897" i="26" s="1"/>
  <c r="X2898" i="26" s="1"/>
  <c r="X2899" i="26" s="1"/>
  <c r="X2900" i="26" s="1"/>
  <c r="X2901" i="26" s="1"/>
  <c r="X2902" i="26" s="1"/>
  <c r="X2903" i="26" s="1"/>
  <c r="X2904" i="26" s="1"/>
  <c r="X2905" i="26" s="1"/>
  <c r="X2906" i="26" s="1"/>
  <c r="X2907" i="26" s="1"/>
  <c r="X2908" i="26" s="1"/>
  <c r="X2909" i="26" s="1"/>
  <c r="X2910" i="26" s="1"/>
  <c r="X2911" i="26" s="1"/>
  <c r="X2912" i="26" s="1"/>
  <c r="X2913" i="26" s="1"/>
  <c r="X2914" i="26" s="1"/>
  <c r="X2915" i="26" s="1"/>
  <c r="X2916" i="26" s="1"/>
  <c r="X2917" i="26" s="1"/>
  <c r="X2918" i="26" s="1"/>
  <c r="X2919" i="26" s="1"/>
  <c r="X2920" i="26" s="1"/>
  <c r="X2921" i="26" s="1"/>
  <c r="X2922" i="26" s="1"/>
  <c r="X2923" i="26" s="1"/>
  <c r="X2924" i="26" s="1"/>
  <c r="X2925" i="26" s="1"/>
  <c r="X2926" i="26" s="1"/>
  <c r="X2927" i="26" s="1"/>
  <c r="X2928" i="26" s="1"/>
  <c r="X2929" i="26" s="1"/>
  <c r="X2930" i="26" s="1"/>
  <c r="X2931" i="26" s="1"/>
  <c r="X2932" i="26" s="1"/>
  <c r="X2933" i="26" s="1"/>
  <c r="X2934" i="26" s="1"/>
  <c r="X2935" i="26" s="1"/>
  <c r="X2936" i="26" s="1"/>
  <c r="X2937" i="26" s="1"/>
  <c r="X2938" i="26" s="1"/>
  <c r="X2939" i="26" s="1"/>
  <c r="X2940" i="26" s="1"/>
  <c r="X2941" i="26" s="1"/>
  <c r="X2942" i="26" s="1"/>
  <c r="X2943" i="26" s="1"/>
  <c r="X2944" i="26" s="1"/>
  <c r="X2945" i="26" s="1"/>
  <c r="X2946" i="26" s="1"/>
  <c r="X2947" i="26" s="1"/>
  <c r="X2948" i="26" s="1"/>
  <c r="X2949" i="26" s="1"/>
  <c r="X2950" i="26" s="1"/>
  <c r="X2951" i="26" s="1"/>
  <c r="X2952" i="26" s="1"/>
  <c r="X2953" i="26" s="1"/>
  <c r="X2954" i="26" s="1"/>
  <c r="X2955" i="26" s="1"/>
  <c r="X2956" i="26" s="1"/>
  <c r="X2957" i="26" s="1"/>
  <c r="X2958" i="26" s="1"/>
  <c r="X2959" i="26" s="1"/>
  <c r="X2960" i="26" s="1"/>
  <c r="X2961" i="26" s="1"/>
  <c r="X2962" i="26" s="1"/>
  <c r="X2963" i="26" s="1"/>
  <c r="X2964" i="26" s="1"/>
  <c r="X2965" i="26" s="1"/>
  <c r="X2966" i="26" s="1"/>
  <c r="X2967" i="26" s="1"/>
  <c r="X2968" i="26" s="1"/>
  <c r="X2969" i="26" s="1"/>
  <c r="X2970" i="26" s="1"/>
  <c r="X2971" i="26" s="1"/>
  <c r="X2972" i="26" s="1"/>
  <c r="X2973" i="26" s="1"/>
  <c r="X2974" i="26" s="1"/>
  <c r="X2975" i="26" s="1"/>
  <c r="X2976" i="26" s="1"/>
  <c r="X2977" i="26" s="1"/>
  <c r="X2978" i="26" s="1"/>
  <c r="X2979" i="26" s="1"/>
  <c r="X2980" i="26" s="1"/>
  <c r="X2981" i="26" s="1"/>
  <c r="X2982" i="26" s="1"/>
  <c r="X2983" i="26" s="1"/>
  <c r="X2984" i="26" s="1"/>
  <c r="X2985" i="26" s="1"/>
  <c r="X2986" i="26" s="1"/>
  <c r="X2987" i="26" s="1"/>
  <c r="X2988" i="26" s="1"/>
  <c r="X2989" i="26" s="1"/>
  <c r="X2990" i="26" s="1"/>
  <c r="X2991" i="26" s="1"/>
  <c r="X2992" i="26" s="1"/>
  <c r="X2993" i="26" s="1"/>
  <c r="X2994" i="26" s="1"/>
  <c r="X2995" i="26" s="1"/>
  <c r="X2996" i="26" s="1"/>
  <c r="X2997" i="26" s="1"/>
  <c r="X2998" i="26" s="1"/>
  <c r="X2999" i="26" s="1"/>
  <c r="X3000" i="26" s="1"/>
  <c r="X3001" i="26" s="1"/>
  <c r="X3002" i="26" s="1"/>
  <c r="X3003" i="26" s="1"/>
  <c r="X3004" i="26" s="1"/>
  <c r="X3005" i="26" s="1"/>
  <c r="X3006" i="26" s="1"/>
  <c r="X3007" i="26" s="1"/>
  <c r="X3008" i="26" s="1"/>
  <c r="X3009" i="26" s="1"/>
  <c r="X3010" i="26" s="1"/>
  <c r="X3011" i="26" s="1"/>
  <c r="X3012" i="26" s="1"/>
  <c r="X3013" i="26" s="1"/>
  <c r="X3014" i="26" s="1"/>
  <c r="X3015" i="26" s="1"/>
  <c r="X3016" i="26" s="1"/>
  <c r="X3017" i="26" s="1"/>
  <c r="X3018" i="26" s="1"/>
  <c r="X3019" i="26" s="1"/>
  <c r="X3020" i="26" s="1"/>
  <c r="X3021" i="26" s="1"/>
  <c r="X3022" i="26" s="1"/>
  <c r="X3023" i="26" s="1"/>
  <c r="X3024" i="26" s="1"/>
  <c r="X3025" i="26" s="1"/>
  <c r="X3026" i="26" s="1"/>
  <c r="X3027" i="26" s="1"/>
  <c r="X3028" i="26" s="1"/>
  <c r="X3029" i="26" s="1"/>
  <c r="X3030" i="26" s="1"/>
  <c r="X3031" i="26" s="1"/>
  <c r="X3032" i="26" s="1"/>
  <c r="X3033" i="26" s="1"/>
  <c r="X3034" i="26" s="1"/>
  <c r="X3035" i="26" s="1"/>
  <c r="X3036" i="26" s="1"/>
  <c r="X3037" i="26" s="1"/>
  <c r="X3038" i="26" s="1"/>
  <c r="X3039" i="26" s="1"/>
  <c r="X3040" i="26" s="1"/>
  <c r="X3041" i="26" s="1"/>
  <c r="X3042" i="26" s="1"/>
  <c r="X3043" i="26" s="1"/>
  <c r="X3044" i="26" s="1"/>
  <c r="X3045" i="26" s="1"/>
  <c r="X3046" i="26" s="1"/>
  <c r="X3047" i="26" s="1"/>
  <c r="X3048" i="26" s="1"/>
  <c r="X3049" i="26" s="1"/>
  <c r="X3050" i="26" s="1"/>
  <c r="X3051" i="26" s="1"/>
  <c r="X3052" i="26" s="1"/>
  <c r="X3053" i="26" s="1"/>
  <c r="X3054" i="26" s="1"/>
  <c r="X3055" i="26" s="1"/>
  <c r="X3056" i="26" s="1"/>
  <c r="X3057" i="26" s="1"/>
  <c r="X3058" i="26" s="1"/>
  <c r="X3059" i="26" s="1"/>
  <c r="X3060" i="26" s="1"/>
  <c r="X3061" i="26" s="1"/>
  <c r="X3062" i="26" s="1"/>
  <c r="X3063" i="26" s="1"/>
  <c r="X3064" i="26" s="1"/>
  <c r="X3065" i="26" s="1"/>
  <c r="X3066" i="26" s="1"/>
  <c r="X3067" i="26" s="1"/>
  <c r="X3068" i="26" s="1"/>
  <c r="X3069" i="26" s="1"/>
  <c r="X3070" i="26" s="1"/>
  <c r="X3071" i="26" s="1"/>
  <c r="X3072" i="26" s="1"/>
  <c r="X3073" i="26" s="1"/>
  <c r="X3074" i="26" s="1"/>
  <c r="X3075" i="26" s="1"/>
  <c r="X3076" i="26" s="1"/>
  <c r="X3077" i="26" s="1"/>
  <c r="X3078" i="26" s="1"/>
  <c r="X3079" i="26" s="1"/>
  <c r="X3080" i="26" s="1"/>
  <c r="X3081" i="26" s="1"/>
  <c r="X3082" i="26" s="1"/>
  <c r="X3083" i="26" s="1"/>
  <c r="X3084" i="26" s="1"/>
  <c r="X3085" i="26" s="1"/>
  <c r="X3086" i="26" s="1"/>
  <c r="X3087" i="26" s="1"/>
  <c r="X3088" i="26" s="1"/>
  <c r="X3089" i="26" s="1"/>
  <c r="X3090" i="26" s="1"/>
  <c r="X3091" i="26" s="1"/>
  <c r="X3092" i="26" s="1"/>
  <c r="X3093" i="26" s="1"/>
  <c r="X3094" i="26" s="1"/>
  <c r="X3095" i="26" s="1"/>
  <c r="X3096" i="26" s="1"/>
  <c r="X3097" i="26" s="1"/>
  <c r="X3098" i="26" s="1"/>
  <c r="X3099" i="26" s="1"/>
  <c r="X3100" i="26" s="1"/>
  <c r="X3101" i="26" s="1"/>
  <c r="X3102" i="26" s="1"/>
  <c r="X3103" i="26" s="1"/>
  <c r="X3104" i="26" s="1"/>
  <c r="X3105" i="26" s="1"/>
  <c r="X3106" i="26" s="1"/>
  <c r="X3107" i="26" s="1"/>
  <c r="X3108" i="26" s="1"/>
  <c r="X3109" i="26" s="1"/>
  <c r="X3110" i="26" s="1"/>
  <c r="X3111" i="26" s="1"/>
  <c r="X3112" i="26" s="1"/>
  <c r="X3113" i="26" s="1"/>
  <c r="X3114" i="26" s="1"/>
  <c r="X3115" i="26" s="1"/>
  <c r="X3116" i="26" s="1"/>
  <c r="X3117" i="26" s="1"/>
  <c r="X3118" i="26" s="1"/>
  <c r="X3119" i="26" s="1"/>
  <c r="X3120" i="26" s="1"/>
  <c r="X3121" i="26" s="1"/>
  <c r="X3122" i="26" s="1"/>
  <c r="X3123" i="26" s="1"/>
  <c r="X3124" i="26" s="1"/>
  <c r="X3125" i="26" s="1"/>
  <c r="X3126" i="26" s="1"/>
  <c r="X3127" i="26" s="1"/>
  <c r="X3128" i="26" s="1"/>
  <c r="X3129" i="26" s="1"/>
  <c r="X3130" i="26" s="1"/>
  <c r="X3131" i="26" s="1"/>
  <c r="X3132" i="26" s="1"/>
  <c r="X3133" i="26" s="1"/>
  <c r="X3134" i="26" s="1"/>
  <c r="X3135" i="26" s="1"/>
  <c r="X3136" i="26" s="1"/>
  <c r="X3137" i="26" s="1"/>
  <c r="X3138" i="26" s="1"/>
  <c r="X3139" i="26" s="1"/>
  <c r="X3140" i="26" s="1"/>
  <c r="X3141" i="26" s="1"/>
  <c r="X3142" i="26" s="1"/>
  <c r="X3143" i="26" s="1"/>
  <c r="X3144" i="26" s="1"/>
  <c r="X3145" i="26" s="1"/>
  <c r="X3146" i="26" s="1"/>
  <c r="X3147" i="26" s="1"/>
  <c r="X3148" i="26" s="1"/>
  <c r="X3149" i="26" s="1"/>
  <c r="X3150" i="26" s="1"/>
  <c r="X3151" i="26" s="1"/>
  <c r="X3152" i="26" s="1"/>
  <c r="X3153" i="26" s="1"/>
  <c r="X3154" i="26" s="1"/>
  <c r="X3155" i="26" s="1"/>
  <c r="X3156" i="26" s="1"/>
  <c r="X3157" i="26" s="1"/>
  <c r="X3158" i="26" s="1"/>
  <c r="X3159" i="26" s="1"/>
  <c r="X3160" i="26" s="1"/>
  <c r="X3161" i="26" s="1"/>
  <c r="X3162" i="26" s="1"/>
  <c r="X3163" i="26" s="1"/>
  <c r="X3164" i="26" s="1"/>
  <c r="X3165" i="26" s="1"/>
  <c r="X3166" i="26" s="1"/>
  <c r="X3167" i="26" s="1"/>
  <c r="X3168" i="26" s="1"/>
  <c r="X3169" i="26" s="1"/>
  <c r="X3170" i="26" s="1"/>
  <c r="X3171" i="26" s="1"/>
  <c r="X3172" i="26" s="1"/>
  <c r="X3173" i="26" s="1"/>
  <c r="X3174" i="26" s="1"/>
  <c r="X3175" i="26" s="1"/>
  <c r="X3176" i="26" s="1"/>
  <c r="X3177" i="26" s="1"/>
  <c r="X3178" i="26" s="1"/>
  <c r="X3179" i="26" s="1"/>
  <c r="X3180" i="26" s="1"/>
  <c r="X3181" i="26" s="1"/>
  <c r="X3182" i="26" s="1"/>
  <c r="X3183" i="26" s="1"/>
  <c r="X3184" i="26" s="1"/>
  <c r="X3185" i="26" s="1"/>
  <c r="X3186" i="26" s="1"/>
  <c r="X3187" i="26" s="1"/>
  <c r="X3188" i="26" s="1"/>
  <c r="X3189" i="26" s="1"/>
  <c r="X3190" i="26" s="1"/>
  <c r="X3191" i="26" s="1"/>
  <c r="X3192" i="26" s="1"/>
  <c r="X3193" i="26" s="1"/>
  <c r="X3194" i="26" s="1"/>
  <c r="X3195" i="26" s="1"/>
  <c r="X3196" i="26" s="1"/>
  <c r="X3197" i="26" s="1"/>
  <c r="X3198" i="26" s="1"/>
  <c r="X3199" i="26" s="1"/>
  <c r="X3200" i="26" s="1"/>
  <c r="X3201" i="26" s="1"/>
  <c r="X3202" i="26" s="1"/>
  <c r="X3203" i="26" s="1"/>
  <c r="X3204" i="26" s="1"/>
  <c r="X3205" i="26" s="1"/>
  <c r="X3206" i="26" s="1"/>
  <c r="X3207" i="26" s="1"/>
  <c r="X3208" i="26" s="1"/>
  <c r="X3209" i="26" s="1"/>
  <c r="X3210" i="26" s="1"/>
  <c r="X3211" i="26" s="1"/>
  <c r="X3212" i="26" s="1"/>
  <c r="X3213" i="26" s="1"/>
  <c r="X3214" i="26" s="1"/>
  <c r="X3215" i="26" s="1"/>
  <c r="X3216" i="26" s="1"/>
  <c r="X3217" i="26" s="1"/>
  <c r="X3218" i="26" s="1"/>
  <c r="X3219" i="26" s="1"/>
  <c r="X3220" i="26" s="1"/>
  <c r="X3221" i="26" s="1"/>
  <c r="X3222" i="26" s="1"/>
  <c r="X3223" i="26" s="1"/>
  <c r="X3224" i="26" s="1"/>
  <c r="X3225" i="26" s="1"/>
  <c r="X3226" i="26" s="1"/>
  <c r="X3227" i="26" s="1"/>
  <c r="X3228" i="26" s="1"/>
  <c r="X3229" i="26" s="1"/>
  <c r="X3230" i="26" s="1"/>
  <c r="X3231" i="26" s="1"/>
  <c r="X3232" i="26" s="1"/>
  <c r="X3233" i="26" s="1"/>
  <c r="X3234" i="26" s="1"/>
  <c r="X3235" i="26" s="1"/>
  <c r="X3236" i="26" s="1"/>
  <c r="X3237" i="26" s="1"/>
  <c r="X3238" i="26" s="1"/>
  <c r="X3239" i="26" s="1"/>
  <c r="X3240" i="26" s="1"/>
  <c r="X3241" i="26" s="1"/>
  <c r="X3242" i="26" s="1"/>
  <c r="X3243" i="26" s="1"/>
  <c r="X3244" i="26" s="1"/>
  <c r="X3245" i="26" s="1"/>
  <c r="X3246" i="26" s="1"/>
  <c r="X3247" i="26" s="1"/>
  <c r="X3248" i="26" s="1"/>
  <c r="X3249" i="26" s="1"/>
  <c r="X3250" i="26" s="1"/>
  <c r="X3251" i="26" s="1"/>
  <c r="X3252" i="26" s="1"/>
  <c r="X3253" i="26" s="1"/>
  <c r="X3254" i="26" s="1"/>
  <c r="X3255" i="26" s="1"/>
  <c r="X3256" i="26" s="1"/>
  <c r="X3257" i="26" s="1"/>
  <c r="X3258" i="26" s="1"/>
  <c r="X3259" i="26" s="1"/>
  <c r="X3260" i="26" s="1"/>
  <c r="X3261" i="26" s="1"/>
  <c r="X3262" i="26" s="1"/>
  <c r="X3263" i="26" s="1"/>
  <c r="X3264" i="26" s="1"/>
  <c r="X3265" i="26" s="1"/>
  <c r="X3266" i="26" s="1"/>
  <c r="X3267" i="26" s="1"/>
  <c r="X3268" i="26" s="1"/>
  <c r="X3269" i="26" s="1"/>
  <c r="X3270" i="26" s="1"/>
  <c r="X3271" i="26" s="1"/>
  <c r="X3272" i="26" s="1"/>
  <c r="X3273" i="26" s="1"/>
  <c r="X3274" i="26" s="1"/>
  <c r="X3275" i="26" s="1"/>
  <c r="X3276" i="26" s="1"/>
  <c r="X3277" i="26" s="1"/>
  <c r="X3278" i="26" s="1"/>
  <c r="X3279" i="26" s="1"/>
  <c r="X3280" i="26" s="1"/>
  <c r="X3281" i="26" s="1"/>
  <c r="X3282" i="26" s="1"/>
  <c r="X3283" i="26" s="1"/>
  <c r="X3284" i="26" s="1"/>
  <c r="X3285" i="26" s="1"/>
  <c r="X3286" i="26" s="1"/>
  <c r="X3287" i="26" s="1"/>
  <c r="X3288" i="26" s="1"/>
  <c r="X3289" i="26" s="1"/>
  <c r="X3290" i="26" s="1"/>
  <c r="X3291" i="26" s="1"/>
  <c r="X3292" i="26" s="1"/>
  <c r="X3293" i="26" s="1"/>
  <c r="X3294" i="26" s="1"/>
  <c r="X3295" i="26" s="1"/>
  <c r="X3296" i="26" s="1"/>
  <c r="X3297" i="26" s="1"/>
  <c r="X3298" i="26" s="1"/>
  <c r="X3299" i="26" s="1"/>
  <c r="X3300" i="26" s="1"/>
  <c r="X3301" i="26" s="1"/>
  <c r="X3302" i="26" s="1"/>
  <c r="X3303" i="26" s="1"/>
  <c r="X3304" i="26" s="1"/>
  <c r="X3305" i="26" s="1"/>
  <c r="X3306" i="26" s="1"/>
  <c r="X3307" i="26" s="1"/>
  <c r="X3308" i="26" s="1"/>
  <c r="X3309" i="26" s="1"/>
  <c r="X3310" i="26" s="1"/>
  <c r="X3311" i="26" s="1"/>
  <c r="X3312" i="26" s="1"/>
  <c r="X3313" i="26" s="1"/>
  <c r="X3314" i="26" s="1"/>
  <c r="X3315" i="26" s="1"/>
  <c r="X3316" i="26" s="1"/>
  <c r="X3317" i="26" s="1"/>
  <c r="X3318" i="26" s="1"/>
  <c r="X3319" i="26" s="1"/>
  <c r="X3320" i="26" s="1"/>
  <c r="X3321" i="26" s="1"/>
  <c r="X3322" i="26" s="1"/>
  <c r="X3323" i="26" s="1"/>
  <c r="X3324" i="26" s="1"/>
  <c r="X3325" i="26" s="1"/>
  <c r="X3326" i="26" s="1"/>
  <c r="X3327" i="26" s="1"/>
  <c r="X3328" i="26" s="1"/>
  <c r="X3329" i="26" s="1"/>
  <c r="X3330" i="26" s="1"/>
  <c r="X3331" i="26" s="1"/>
  <c r="X3332" i="26" s="1"/>
  <c r="X3333" i="26" s="1"/>
  <c r="X3334" i="26" s="1"/>
  <c r="X3335" i="26" s="1"/>
  <c r="X3336" i="26" s="1"/>
  <c r="X3337" i="26" s="1"/>
  <c r="X3338" i="26" s="1"/>
  <c r="X3339" i="26" s="1"/>
  <c r="X3340" i="26" s="1"/>
  <c r="X3341" i="26" s="1"/>
  <c r="X3342" i="26" s="1"/>
  <c r="X3343" i="26" s="1"/>
  <c r="X3344" i="26" s="1"/>
  <c r="X3345" i="26" s="1"/>
  <c r="X3346" i="26" s="1"/>
  <c r="X3347" i="26" s="1"/>
  <c r="X3348" i="26" s="1"/>
  <c r="X3349" i="26" s="1"/>
  <c r="X3350" i="26" s="1"/>
  <c r="X3351" i="26" s="1"/>
  <c r="X3352" i="26" s="1"/>
  <c r="X3353" i="26" s="1"/>
  <c r="X3354" i="26" s="1"/>
  <c r="X3355" i="26" s="1"/>
  <c r="X3356" i="26" s="1"/>
  <c r="X3357" i="26" s="1"/>
  <c r="X3358" i="26" s="1"/>
  <c r="X3359" i="26" s="1"/>
  <c r="X3360" i="26" s="1"/>
  <c r="X3361" i="26" s="1"/>
  <c r="X3362" i="26" s="1"/>
  <c r="X3363" i="26" s="1"/>
  <c r="X3364" i="26" s="1"/>
  <c r="X3365" i="26" s="1"/>
  <c r="X3366" i="26" s="1"/>
  <c r="X3367" i="26" s="1"/>
  <c r="X3368" i="26" s="1"/>
  <c r="X3369" i="26" s="1"/>
  <c r="X3370" i="26" s="1"/>
  <c r="X3371" i="26" s="1"/>
  <c r="X3372" i="26" s="1"/>
  <c r="X3373" i="26" s="1"/>
  <c r="X3374" i="26" s="1"/>
  <c r="X3375" i="26" s="1"/>
  <c r="X3376" i="26" s="1"/>
  <c r="X3377" i="26" s="1"/>
  <c r="X3378" i="26" s="1"/>
  <c r="X3379" i="26" s="1"/>
  <c r="X3380" i="26" s="1"/>
  <c r="X3381" i="26" s="1"/>
  <c r="X3382" i="26" s="1"/>
  <c r="X3383" i="26" s="1"/>
  <c r="X3384" i="26" s="1"/>
  <c r="X3385" i="26" s="1"/>
  <c r="X3386" i="26" s="1"/>
  <c r="X3387" i="26" s="1"/>
  <c r="X3388" i="26" s="1"/>
  <c r="X3389" i="26" s="1"/>
  <c r="X3390" i="26" s="1"/>
  <c r="X3391" i="26" s="1"/>
  <c r="X3392" i="26" s="1"/>
  <c r="X3393" i="26" s="1"/>
  <c r="X3394" i="26" s="1"/>
  <c r="X3395" i="26" s="1"/>
  <c r="X3396" i="26" s="1"/>
  <c r="X3397" i="26" s="1"/>
  <c r="X3398" i="26" s="1"/>
  <c r="X3399" i="26" s="1"/>
  <c r="X3400" i="26" s="1"/>
  <c r="X3401" i="26" s="1"/>
  <c r="X3402" i="26" s="1"/>
  <c r="X3403" i="26" s="1"/>
  <c r="X3404" i="26" s="1"/>
  <c r="X3405" i="26" s="1"/>
  <c r="X3406" i="26" s="1"/>
  <c r="X3407" i="26" s="1"/>
  <c r="X3408" i="26" s="1"/>
  <c r="X3409" i="26" s="1"/>
  <c r="X3410" i="26" s="1"/>
  <c r="X3411" i="26" s="1"/>
  <c r="X3412" i="26" s="1"/>
  <c r="X3413" i="26" s="1"/>
  <c r="X3414" i="26" s="1"/>
  <c r="X3415" i="26" s="1"/>
  <c r="X3416" i="26" s="1"/>
  <c r="X3417" i="26" s="1"/>
  <c r="X3418" i="26" s="1"/>
  <c r="X3419" i="26" s="1"/>
  <c r="X3420" i="26" s="1"/>
  <c r="X3421" i="26" s="1"/>
  <c r="X3422" i="26" s="1"/>
  <c r="X3423" i="26" s="1"/>
  <c r="X3424" i="26" s="1"/>
  <c r="X3425" i="26" s="1"/>
  <c r="X3426" i="26" s="1"/>
  <c r="X3427" i="26" s="1"/>
  <c r="X3428" i="26" s="1"/>
  <c r="X3429" i="26" s="1"/>
  <c r="X3430" i="26" s="1"/>
  <c r="X3431" i="26" s="1"/>
  <c r="X3432" i="26" s="1"/>
  <c r="X3433" i="26" s="1"/>
  <c r="X3434" i="26" s="1"/>
  <c r="X3435" i="26" s="1"/>
  <c r="X3436" i="26" s="1"/>
  <c r="X3437" i="26" s="1"/>
  <c r="X3438" i="26" s="1"/>
  <c r="X3439" i="26" s="1"/>
  <c r="X3440" i="26" s="1"/>
  <c r="X3441" i="26" s="1"/>
  <c r="X3442" i="26" s="1"/>
  <c r="X3443" i="26" s="1"/>
  <c r="X3444" i="26" s="1"/>
  <c r="X3445" i="26" s="1"/>
  <c r="X3446" i="26" s="1"/>
  <c r="X3447" i="26" s="1"/>
  <c r="X3448" i="26" s="1"/>
  <c r="X3449" i="26" s="1"/>
  <c r="X3450" i="26" s="1"/>
  <c r="X3451" i="26" s="1"/>
  <c r="X3452" i="26" s="1"/>
  <c r="X3453" i="26" s="1"/>
  <c r="X3454" i="26" s="1"/>
  <c r="X3455" i="26" s="1"/>
  <c r="X3456" i="26" s="1"/>
  <c r="X3457" i="26" s="1"/>
  <c r="X3458" i="26" s="1"/>
  <c r="X3459" i="26" s="1"/>
  <c r="X3460" i="26" s="1"/>
  <c r="X3461" i="26" s="1"/>
  <c r="X3462" i="26" s="1"/>
  <c r="X3463" i="26" s="1"/>
  <c r="X3464" i="26" s="1"/>
  <c r="X3465" i="26" s="1"/>
  <c r="X3466" i="26" s="1"/>
  <c r="X3467" i="26" s="1"/>
  <c r="X3468" i="26" s="1"/>
  <c r="X3469" i="26" s="1"/>
  <c r="X3470" i="26" s="1"/>
  <c r="X3471" i="26" s="1"/>
  <c r="X3472" i="26" s="1"/>
  <c r="X3473" i="26" s="1"/>
  <c r="X3474" i="26" s="1"/>
  <c r="X3475" i="26" s="1"/>
  <c r="X3476" i="26" s="1"/>
  <c r="X3477" i="26" s="1"/>
  <c r="X3478" i="26" s="1"/>
  <c r="X3479" i="26" s="1"/>
  <c r="X3480" i="26" s="1"/>
  <c r="X3481" i="26" s="1"/>
  <c r="X3482" i="26" s="1"/>
  <c r="X3483" i="26" s="1"/>
  <c r="X3484" i="26" s="1"/>
  <c r="X3485" i="26" s="1"/>
  <c r="X3486" i="26" s="1"/>
  <c r="X3487" i="26" s="1"/>
  <c r="X3488" i="26" s="1"/>
  <c r="X3489" i="26" s="1"/>
  <c r="X3490" i="26" s="1"/>
  <c r="X3491" i="26" s="1"/>
  <c r="X3492" i="26" s="1"/>
  <c r="X3493" i="26" s="1"/>
  <c r="X3494" i="26" s="1"/>
  <c r="X3495" i="26" s="1"/>
  <c r="X3496" i="26" s="1"/>
  <c r="X3497" i="26" s="1"/>
  <c r="X3498" i="26" s="1"/>
  <c r="X3499" i="26" s="1"/>
  <c r="X3500" i="26" s="1"/>
  <c r="X3501" i="26" s="1"/>
  <c r="X3502" i="26" s="1"/>
  <c r="X3503" i="26" s="1"/>
  <c r="X3504" i="26" s="1"/>
  <c r="X3505" i="26" s="1"/>
  <c r="X3506" i="26" s="1"/>
  <c r="X3507" i="26" s="1"/>
  <c r="X3508" i="26" s="1"/>
  <c r="X3509" i="26" s="1"/>
  <c r="X3510" i="26" s="1"/>
  <c r="X3511" i="26" s="1"/>
  <c r="X3512" i="26" s="1"/>
  <c r="X3513" i="26" s="1"/>
  <c r="X3514" i="26" s="1"/>
  <c r="X3515" i="26" s="1"/>
  <c r="X3516" i="26" s="1"/>
  <c r="X3517" i="26" s="1"/>
  <c r="X3518" i="26" s="1"/>
  <c r="X3519" i="26" s="1"/>
  <c r="X3520" i="26" s="1"/>
  <c r="X3521" i="26" s="1"/>
  <c r="X3522" i="26" s="1"/>
  <c r="X3523" i="26" s="1"/>
  <c r="X3524" i="26" s="1"/>
  <c r="X3525" i="26" s="1"/>
  <c r="X3526" i="26" s="1"/>
  <c r="X3527" i="26" s="1"/>
  <c r="X3528" i="26" s="1"/>
  <c r="X3529" i="26" s="1"/>
  <c r="X3530" i="26" s="1"/>
  <c r="X3531" i="26" s="1"/>
  <c r="X3532" i="26" s="1"/>
  <c r="X3533" i="26" s="1"/>
  <c r="X3534" i="26" s="1"/>
  <c r="X3535" i="26" s="1"/>
  <c r="X3536" i="26" s="1"/>
  <c r="X3537" i="26" s="1"/>
  <c r="X3538" i="26" s="1"/>
  <c r="X3539" i="26" s="1"/>
  <c r="X3540" i="26" s="1"/>
  <c r="X3541" i="26" s="1"/>
  <c r="X3542" i="26" s="1"/>
  <c r="X3543" i="26" s="1"/>
  <c r="X3544" i="26" s="1"/>
  <c r="X12" i="26"/>
  <c r="X13" i="26" s="1"/>
  <c r="X14" i="26" s="1"/>
  <c r="X15" i="26" s="1"/>
  <c r="X16" i="26" s="1"/>
  <c r="X17" i="26" s="1"/>
  <c r="X18" i="26" s="1"/>
  <c r="X19" i="26" s="1"/>
  <c r="X20" i="26" s="1"/>
  <c r="X21" i="26" s="1"/>
  <c r="X22" i="26" s="1"/>
  <c r="X23" i="26" s="1"/>
  <c r="X24" i="26" s="1"/>
  <c r="X25" i="26" s="1"/>
  <c r="X26" i="26" s="1"/>
  <c r="X27" i="26" s="1"/>
  <c r="X28" i="26" s="1"/>
  <c r="X29" i="26" s="1"/>
  <c r="X30" i="26" s="1"/>
  <c r="X31" i="26" s="1"/>
  <c r="X32" i="26" s="1"/>
  <c r="X33" i="26" s="1"/>
  <c r="X34" i="26" s="1"/>
  <c r="X35" i="26" s="1"/>
  <c r="X36" i="26" s="1"/>
  <c r="X37" i="26" s="1"/>
  <c r="X38" i="26" s="1"/>
  <c r="X39" i="26" s="1"/>
  <c r="X40" i="26" s="1"/>
  <c r="X41" i="26" s="1"/>
  <c r="X42" i="26" s="1"/>
  <c r="X43" i="26" s="1"/>
  <c r="X44" i="26" s="1"/>
  <c r="X45" i="26" s="1"/>
  <c r="X46" i="26" s="1"/>
  <c r="X47" i="26" s="1"/>
  <c r="X48" i="26" s="1"/>
  <c r="X49" i="26" s="1"/>
  <c r="X50" i="26" s="1"/>
  <c r="X51" i="26" s="1"/>
  <c r="X52" i="26" s="1"/>
  <c r="X53" i="26" s="1"/>
  <c r="X54" i="26" s="1"/>
  <c r="X55" i="26" s="1"/>
  <c r="X56" i="26" s="1"/>
  <c r="X57" i="26" s="1"/>
  <c r="X58" i="26" s="1"/>
  <c r="X59" i="26" s="1"/>
  <c r="X60" i="26" s="1"/>
  <c r="X61" i="26" s="1"/>
  <c r="X62" i="26" s="1"/>
  <c r="X63" i="26" s="1"/>
  <c r="X64" i="26" s="1"/>
  <c r="X65" i="26" s="1"/>
  <c r="X66" i="26" s="1"/>
  <c r="X67" i="26" s="1"/>
  <c r="X68" i="26" s="1"/>
  <c r="X69" i="26" s="1"/>
  <c r="X70" i="26" s="1"/>
  <c r="X71" i="26" s="1"/>
  <c r="X72" i="26" s="1"/>
  <c r="X73" i="26" s="1"/>
  <c r="X74" i="26" s="1"/>
  <c r="X75" i="26" s="1"/>
  <c r="X76" i="26" s="1"/>
  <c r="X77" i="26" s="1"/>
  <c r="X78" i="26" s="1"/>
  <c r="X79" i="26" s="1"/>
  <c r="X80" i="26" s="1"/>
  <c r="X81" i="26" s="1"/>
  <c r="X82" i="26" s="1"/>
  <c r="X83" i="26" s="1"/>
  <c r="X84" i="26" s="1"/>
  <c r="X85" i="26" s="1"/>
  <c r="X86" i="26" s="1"/>
  <c r="X87" i="26" s="1"/>
  <c r="X88" i="26" s="1"/>
  <c r="X89" i="26" s="1"/>
  <c r="X90" i="26" s="1"/>
  <c r="X91" i="26" s="1"/>
  <c r="X92" i="26" s="1"/>
  <c r="X93" i="26" s="1"/>
  <c r="X94" i="26" s="1"/>
  <c r="X95" i="26" s="1"/>
  <c r="X96" i="26" s="1"/>
  <c r="X97" i="26" s="1"/>
  <c r="X98" i="26" s="1"/>
  <c r="X99" i="26" s="1"/>
  <c r="X100" i="26" s="1"/>
  <c r="X101" i="26" s="1"/>
  <c r="X102" i="26" s="1"/>
  <c r="X103" i="26" s="1"/>
  <c r="X104" i="26" s="1"/>
  <c r="X105" i="26" s="1"/>
  <c r="X106" i="26" s="1"/>
  <c r="X107" i="26" s="1"/>
  <c r="X108" i="26" s="1"/>
  <c r="X109" i="26" s="1"/>
  <c r="X110" i="26" s="1"/>
  <c r="X111" i="26" s="1"/>
  <c r="X112" i="26" s="1"/>
  <c r="X113" i="26" s="1"/>
  <c r="X114" i="26" s="1"/>
  <c r="X115" i="26" s="1"/>
  <c r="X116" i="26" s="1"/>
  <c r="X117" i="26" s="1"/>
  <c r="X118" i="26" s="1"/>
  <c r="X119" i="26" s="1"/>
  <c r="X120" i="26" s="1"/>
  <c r="X121" i="26" s="1"/>
  <c r="X122" i="26" s="1"/>
  <c r="X123" i="26" s="1"/>
  <c r="X124" i="26" s="1"/>
  <c r="X125" i="26" s="1"/>
  <c r="X126" i="26" s="1"/>
  <c r="X127" i="26" s="1"/>
  <c r="X128" i="26" s="1"/>
  <c r="X129" i="26" s="1"/>
  <c r="X130" i="26" s="1"/>
  <c r="X131" i="26" s="1"/>
  <c r="X132" i="26" s="1"/>
  <c r="X133" i="26" s="1"/>
  <c r="X134" i="26" s="1"/>
  <c r="X135" i="26" s="1"/>
  <c r="X136" i="26" s="1"/>
  <c r="X137" i="26" s="1"/>
  <c r="X138" i="26" s="1"/>
  <c r="X139" i="26" s="1"/>
  <c r="X140" i="26" s="1"/>
  <c r="X141" i="26" s="1"/>
  <c r="X142" i="26" s="1"/>
  <c r="X143" i="26" s="1"/>
  <c r="X144" i="26" s="1"/>
  <c r="X145" i="26" s="1"/>
  <c r="X146" i="26" s="1"/>
  <c r="X147" i="26" s="1"/>
  <c r="X148" i="26" s="1"/>
  <c r="X149" i="26" s="1"/>
  <c r="X150" i="26" s="1"/>
  <c r="X151" i="26" s="1"/>
  <c r="X152" i="26" s="1"/>
  <c r="X153" i="26" s="1"/>
  <c r="X154" i="26" s="1"/>
  <c r="X155" i="26" s="1"/>
  <c r="X156" i="26" s="1"/>
  <c r="X157" i="26" s="1"/>
  <c r="X158" i="26" s="1"/>
  <c r="X159" i="26" s="1"/>
  <c r="X160" i="26" s="1"/>
  <c r="X161" i="26" s="1"/>
  <c r="X162" i="26" s="1"/>
  <c r="X163" i="26" s="1"/>
  <c r="X164" i="26" s="1"/>
  <c r="X165" i="26" s="1"/>
  <c r="X166" i="26" s="1"/>
  <c r="X167" i="26" s="1"/>
  <c r="X168" i="26" s="1"/>
  <c r="X169" i="26" s="1"/>
  <c r="X170" i="26" s="1"/>
  <c r="X171" i="26" s="1"/>
  <c r="X172" i="26" s="1"/>
  <c r="X173" i="26" s="1"/>
  <c r="X174" i="26" s="1"/>
  <c r="X175" i="26" s="1"/>
  <c r="X176" i="26" s="1"/>
  <c r="X177" i="26" s="1"/>
  <c r="X178" i="26" s="1"/>
  <c r="X179" i="26" s="1"/>
  <c r="X180" i="26" s="1"/>
  <c r="X181" i="26" s="1"/>
  <c r="X182" i="26" s="1"/>
  <c r="X183" i="26" s="1"/>
  <c r="X184" i="26" s="1"/>
  <c r="X185" i="26" s="1"/>
  <c r="X186" i="26" s="1"/>
  <c r="X187" i="26" s="1"/>
  <c r="X188" i="26" s="1"/>
  <c r="X189" i="26" s="1"/>
  <c r="X190" i="26" s="1"/>
  <c r="X191" i="26" s="1"/>
  <c r="X192" i="26" s="1"/>
  <c r="X193" i="26" s="1"/>
  <c r="X194" i="26" s="1"/>
  <c r="X195" i="26" s="1"/>
  <c r="X196" i="26" s="1"/>
  <c r="X197" i="26" s="1"/>
  <c r="X198" i="26" s="1"/>
  <c r="X199" i="26" s="1"/>
  <c r="X200" i="26" s="1"/>
  <c r="X201" i="26" s="1"/>
  <c r="X202" i="26" s="1"/>
  <c r="X203" i="26" s="1"/>
  <c r="X204" i="26" s="1"/>
  <c r="X205" i="26" s="1"/>
  <c r="X206" i="26" s="1"/>
  <c r="X207" i="26" s="1"/>
  <c r="X208" i="26" s="1"/>
  <c r="X209" i="26" s="1"/>
  <c r="X210" i="26" s="1"/>
  <c r="X211" i="26" s="1"/>
  <c r="X212" i="26" s="1"/>
  <c r="X213" i="26" s="1"/>
  <c r="X214" i="26" s="1"/>
  <c r="X215" i="26" s="1"/>
  <c r="X216" i="26" s="1"/>
  <c r="X217" i="26" s="1"/>
  <c r="X218" i="26" s="1"/>
  <c r="X219" i="26" s="1"/>
  <c r="X220" i="26" s="1"/>
  <c r="X221" i="26" s="1"/>
  <c r="X222" i="26" s="1"/>
  <c r="X223" i="26" s="1"/>
  <c r="X224" i="26" s="1"/>
  <c r="X225" i="26" s="1"/>
  <c r="X226" i="26" s="1"/>
  <c r="X227" i="26" s="1"/>
  <c r="X228" i="26" s="1"/>
  <c r="X229" i="26" s="1"/>
  <c r="X230" i="26" s="1"/>
  <c r="X231" i="26" s="1"/>
  <c r="X232" i="26" s="1"/>
  <c r="X233" i="26" s="1"/>
  <c r="X234" i="26" s="1"/>
  <c r="X235" i="26" s="1"/>
  <c r="X236" i="26" s="1"/>
  <c r="X237" i="26" s="1"/>
  <c r="X238" i="26" s="1"/>
  <c r="X239" i="26" s="1"/>
  <c r="X240" i="26" s="1"/>
  <c r="X241" i="26" s="1"/>
  <c r="X242" i="26" s="1"/>
  <c r="X243" i="26" s="1"/>
  <c r="X244" i="26" s="1"/>
  <c r="X245" i="26" s="1"/>
  <c r="X246" i="26" s="1"/>
  <c r="X247" i="26" s="1"/>
  <c r="X248" i="26" s="1"/>
  <c r="X249" i="26" s="1"/>
  <c r="X250" i="26" s="1"/>
  <c r="X251" i="26" s="1"/>
  <c r="X252" i="26" s="1"/>
  <c r="X253" i="26" s="1"/>
  <c r="X254" i="26" s="1"/>
  <c r="X255" i="26" s="1"/>
  <c r="X256" i="26" s="1"/>
  <c r="X257" i="26" s="1"/>
  <c r="X258" i="26" s="1"/>
  <c r="X259" i="26" s="1"/>
  <c r="X260" i="26" s="1"/>
  <c r="X261" i="26" s="1"/>
  <c r="X262" i="26" s="1"/>
  <c r="X263" i="26" s="1"/>
  <c r="X264" i="26" s="1"/>
  <c r="X265" i="26" s="1"/>
  <c r="X266" i="26" s="1"/>
  <c r="X267" i="26" s="1"/>
  <c r="X268" i="26" s="1"/>
  <c r="X269" i="26" s="1"/>
  <c r="X270" i="26" s="1"/>
  <c r="X271" i="26" s="1"/>
  <c r="X272" i="26" s="1"/>
  <c r="X273" i="26" s="1"/>
  <c r="X274" i="26" s="1"/>
  <c r="X275" i="26" s="1"/>
  <c r="X276" i="26" s="1"/>
  <c r="X277" i="26" s="1"/>
  <c r="X278" i="26" s="1"/>
  <c r="X279" i="26" s="1"/>
  <c r="X280" i="26" s="1"/>
  <c r="X281" i="26" s="1"/>
  <c r="X282" i="26" s="1"/>
  <c r="X283" i="26" s="1"/>
  <c r="X284" i="26" s="1"/>
  <c r="X285" i="26" s="1"/>
  <c r="X286" i="26" s="1"/>
  <c r="X287" i="26" s="1"/>
  <c r="X288" i="26" s="1"/>
  <c r="X289" i="26" s="1"/>
  <c r="X290" i="26" s="1"/>
  <c r="X291" i="26" s="1"/>
  <c r="X292" i="26" s="1"/>
  <c r="X293" i="26" s="1"/>
  <c r="X294" i="26" s="1"/>
  <c r="X295" i="26" s="1"/>
  <c r="X296" i="26" s="1"/>
  <c r="X297" i="26" s="1"/>
  <c r="X298" i="26" s="1"/>
  <c r="X299" i="26" s="1"/>
  <c r="X300" i="26" s="1"/>
  <c r="X301" i="26" s="1"/>
  <c r="X302" i="26" s="1"/>
  <c r="X303" i="26" s="1"/>
  <c r="X304" i="26" s="1"/>
  <c r="X305" i="26" s="1"/>
  <c r="X306" i="26" s="1"/>
  <c r="X307" i="26" s="1"/>
  <c r="X308" i="26" s="1"/>
  <c r="X309" i="26" s="1"/>
  <c r="X310" i="26" s="1"/>
  <c r="X311" i="26" s="1"/>
  <c r="X312" i="26" s="1"/>
  <c r="X313" i="26" s="1"/>
  <c r="X314" i="26" s="1"/>
  <c r="X315" i="26" s="1"/>
  <c r="X316" i="26" s="1"/>
  <c r="X317" i="26" s="1"/>
  <c r="X318" i="26" s="1"/>
  <c r="X319" i="26" s="1"/>
  <c r="X320" i="26" s="1"/>
  <c r="X321" i="26" s="1"/>
  <c r="X322" i="26" s="1"/>
  <c r="X323" i="26" s="1"/>
  <c r="X324" i="26" s="1"/>
  <c r="X325" i="26" s="1"/>
  <c r="X326" i="26" s="1"/>
  <c r="X327" i="26" s="1"/>
  <c r="X328" i="26" s="1"/>
  <c r="X329" i="26" s="1"/>
  <c r="X330" i="26" s="1"/>
  <c r="X331" i="26" s="1"/>
  <c r="X332" i="26" s="1"/>
  <c r="X333" i="26" s="1"/>
  <c r="X334" i="26" s="1"/>
  <c r="X335" i="26" s="1"/>
  <c r="X336" i="26" s="1"/>
  <c r="X337" i="26" s="1"/>
  <c r="X338" i="26" s="1"/>
  <c r="X339" i="26" s="1"/>
  <c r="X340" i="26" s="1"/>
  <c r="X341" i="26" s="1"/>
  <c r="X342" i="26" s="1"/>
  <c r="X343" i="26" s="1"/>
  <c r="X344" i="26" s="1"/>
  <c r="X345" i="26" s="1"/>
  <c r="X346" i="26" s="1"/>
  <c r="X347" i="26" s="1"/>
  <c r="X348" i="26" s="1"/>
  <c r="X349" i="26" s="1"/>
  <c r="X350" i="26" s="1"/>
  <c r="X351" i="26" s="1"/>
  <c r="X352" i="26" s="1"/>
  <c r="X353" i="26" s="1"/>
  <c r="X354" i="26" s="1"/>
  <c r="X355" i="26" s="1"/>
  <c r="X356" i="26" s="1"/>
  <c r="X357" i="26" s="1"/>
  <c r="X358" i="26" s="1"/>
  <c r="X359" i="26" s="1"/>
  <c r="X360" i="26" s="1"/>
  <c r="X361" i="26" s="1"/>
  <c r="X362" i="26" s="1"/>
  <c r="X363" i="26" s="1"/>
  <c r="X364" i="26" s="1"/>
  <c r="X365" i="26" s="1"/>
  <c r="X366" i="26" s="1"/>
  <c r="X367" i="26" s="1"/>
  <c r="X368" i="26" s="1"/>
  <c r="X369" i="26" s="1"/>
  <c r="X370" i="26" s="1"/>
  <c r="X371" i="26" s="1"/>
  <c r="X372" i="26" s="1"/>
  <c r="X373" i="26" s="1"/>
  <c r="X374" i="26" s="1"/>
  <c r="X375" i="26" s="1"/>
  <c r="X376" i="26" s="1"/>
  <c r="X377" i="26" s="1"/>
  <c r="X378" i="26" s="1"/>
  <c r="X379" i="26" s="1"/>
  <c r="X380" i="26" s="1"/>
  <c r="X381" i="26" s="1"/>
  <c r="X382" i="26" s="1"/>
  <c r="X383" i="26" s="1"/>
  <c r="X384" i="26" s="1"/>
  <c r="X385" i="26" s="1"/>
  <c r="X386" i="26" s="1"/>
  <c r="X387" i="26" s="1"/>
  <c r="X388" i="26" s="1"/>
  <c r="X389" i="26" s="1"/>
  <c r="X390" i="26" s="1"/>
  <c r="X391" i="26" s="1"/>
  <c r="X392" i="26" s="1"/>
  <c r="X393" i="26" s="1"/>
  <c r="X394" i="26" s="1"/>
  <c r="X395" i="26" s="1"/>
  <c r="X396" i="26" s="1"/>
  <c r="X397" i="26" s="1"/>
  <c r="X398" i="26" s="1"/>
  <c r="X399" i="26" s="1"/>
  <c r="X400" i="26" s="1"/>
  <c r="X401" i="26" s="1"/>
  <c r="X402" i="26" s="1"/>
  <c r="X403" i="26" s="1"/>
  <c r="X404" i="26" s="1"/>
  <c r="X405" i="26" s="1"/>
  <c r="X406" i="26" s="1"/>
  <c r="X407" i="26" s="1"/>
  <c r="X408" i="26" s="1"/>
  <c r="X409" i="26" s="1"/>
  <c r="X410" i="26" s="1"/>
  <c r="X411" i="26" s="1"/>
  <c r="X412" i="26" s="1"/>
  <c r="X413" i="26" s="1"/>
  <c r="X414" i="26" s="1"/>
  <c r="X415" i="26" s="1"/>
  <c r="X416" i="26" s="1"/>
  <c r="X417" i="26" s="1"/>
  <c r="X418" i="26" s="1"/>
  <c r="X419" i="26" s="1"/>
  <c r="X420" i="26" s="1"/>
  <c r="X421" i="26" s="1"/>
  <c r="X422" i="26" s="1"/>
  <c r="X423" i="26" s="1"/>
  <c r="X424" i="26" s="1"/>
  <c r="X425" i="26" s="1"/>
  <c r="X426" i="26" s="1"/>
  <c r="X427" i="26" s="1"/>
  <c r="X428" i="26" s="1"/>
  <c r="X429" i="26" s="1"/>
  <c r="X430" i="26" s="1"/>
  <c r="X431" i="26" s="1"/>
  <c r="X432" i="26" s="1"/>
  <c r="X433" i="26" s="1"/>
  <c r="X434" i="26" s="1"/>
  <c r="X435" i="26" s="1"/>
  <c r="X436" i="26" s="1"/>
  <c r="X437" i="26" s="1"/>
  <c r="X438" i="26" s="1"/>
  <c r="X439" i="26" s="1"/>
  <c r="X440" i="26" s="1"/>
  <c r="X441" i="26" s="1"/>
  <c r="X442" i="26" s="1"/>
  <c r="X443" i="26" s="1"/>
  <c r="X444" i="26" s="1"/>
  <c r="X445" i="26" s="1"/>
  <c r="X446" i="26" s="1"/>
  <c r="X447" i="26" s="1"/>
  <c r="X448" i="26" s="1"/>
  <c r="X449" i="26" s="1"/>
  <c r="X450" i="26" s="1"/>
  <c r="X451" i="26" s="1"/>
  <c r="X452" i="26" s="1"/>
  <c r="X453" i="26" s="1"/>
  <c r="X454" i="26" s="1"/>
  <c r="X455" i="26" s="1"/>
  <c r="X456" i="26" s="1"/>
  <c r="X457" i="26" s="1"/>
  <c r="X458" i="26" s="1"/>
  <c r="X459" i="26" s="1"/>
  <c r="X460" i="26" s="1"/>
  <c r="X461" i="26" s="1"/>
  <c r="X462" i="26" s="1"/>
  <c r="X463" i="26" s="1"/>
  <c r="X464" i="26" s="1"/>
  <c r="X465" i="26" s="1"/>
  <c r="X466" i="26" s="1"/>
  <c r="X467" i="26" s="1"/>
  <c r="X468" i="26" s="1"/>
  <c r="X469" i="26" s="1"/>
  <c r="X470" i="26" s="1"/>
  <c r="X471" i="26" s="1"/>
  <c r="X472" i="26" s="1"/>
  <c r="X473" i="26" s="1"/>
  <c r="X474" i="26" s="1"/>
  <c r="X475" i="26" s="1"/>
  <c r="X476" i="26" s="1"/>
  <c r="X477" i="26" s="1"/>
  <c r="X478" i="26" s="1"/>
  <c r="X479" i="26" s="1"/>
  <c r="X480" i="26" s="1"/>
  <c r="X481" i="26" s="1"/>
  <c r="X482" i="26" s="1"/>
  <c r="X483" i="26" s="1"/>
  <c r="X484" i="26" s="1"/>
  <c r="X485" i="26" s="1"/>
  <c r="X486" i="26" s="1"/>
  <c r="X487" i="26" s="1"/>
  <c r="X488" i="26" s="1"/>
  <c r="X489" i="26" s="1"/>
  <c r="X490" i="26" s="1"/>
  <c r="X491" i="26" s="1"/>
  <c r="X492" i="26" s="1"/>
  <c r="X493" i="26" s="1"/>
  <c r="X494" i="26" s="1"/>
  <c r="X495" i="26" s="1"/>
  <c r="X496" i="26" s="1"/>
  <c r="X497" i="26" s="1"/>
  <c r="X498" i="26" s="1"/>
  <c r="X499" i="26" s="1"/>
  <c r="X500" i="26" s="1"/>
  <c r="X501" i="26" s="1"/>
  <c r="X502" i="26" s="1"/>
  <c r="X503" i="26" s="1"/>
  <c r="X504" i="26" s="1"/>
  <c r="X505" i="26" s="1"/>
  <c r="X506" i="26" s="1"/>
  <c r="X507" i="26" s="1"/>
  <c r="X508" i="26" s="1"/>
  <c r="X509" i="26" s="1"/>
  <c r="X510" i="26" s="1"/>
  <c r="X511" i="26" s="1"/>
  <c r="X512" i="26" s="1"/>
  <c r="X513" i="26" s="1"/>
  <c r="X514" i="26" s="1"/>
  <c r="X515" i="26" s="1"/>
  <c r="X516" i="26" s="1"/>
  <c r="X517" i="26" s="1"/>
  <c r="X518" i="26" s="1"/>
  <c r="X519" i="26" s="1"/>
  <c r="X520" i="26" s="1"/>
  <c r="X521" i="26" s="1"/>
  <c r="X522" i="26" s="1"/>
  <c r="X523" i="26" s="1"/>
  <c r="X524" i="26" s="1"/>
  <c r="X525" i="26" s="1"/>
  <c r="X526" i="26" s="1"/>
  <c r="X527" i="26" s="1"/>
  <c r="X528" i="26" s="1"/>
  <c r="B7" i="26"/>
  <c r="B8" i="26"/>
  <c r="B9" i="26"/>
  <c r="B3" i="26"/>
  <c r="B4" i="26"/>
  <c r="B5" i="26"/>
  <c r="B6" i="26"/>
  <c r="J52" i="5"/>
  <c r="I52" i="5"/>
  <c r="D52" i="5"/>
  <c r="C52" i="5"/>
  <c r="I53" i="5"/>
  <c r="C53" i="5"/>
  <c r="J53" i="5"/>
  <c r="D53" i="5"/>
  <c r="I54" i="5"/>
  <c r="D54" i="5"/>
  <c r="J54" i="5"/>
  <c r="C54" i="5"/>
  <c r="C10" i="27"/>
  <c r="C11" i="27"/>
  <c r="C12" i="27"/>
  <c r="K14" i="6" l="1"/>
  <c r="K15" i="6"/>
  <c r="C13" i="27"/>
  <c r="F4" i="25" l="1"/>
  <c r="F5" i="25"/>
  <c r="G4" i="25"/>
  <c r="G5" i="25"/>
  <c r="H4" i="25"/>
  <c r="H5" i="25"/>
  <c r="C14" i="27"/>
  <c r="I4" i="25"/>
  <c r="I5" i="25"/>
  <c r="J4" i="25"/>
  <c r="J5" i="25"/>
  <c r="B20" i="5" l="1"/>
  <c r="B19" i="5"/>
  <c r="A20" i="5"/>
  <c r="A19" i="5"/>
  <c r="F6" i="25"/>
  <c r="F9" i="25"/>
  <c r="F11" i="25"/>
  <c r="F15" i="25"/>
  <c r="F17" i="25"/>
  <c r="F20" i="25"/>
  <c r="G6" i="25"/>
  <c r="G9" i="25"/>
  <c r="G11" i="25"/>
  <c r="G15" i="25"/>
  <c r="G17" i="25"/>
  <c r="G20" i="25"/>
  <c r="H20" i="25"/>
  <c r="H6" i="25"/>
  <c r="H15" i="25"/>
  <c r="H9" i="25"/>
  <c r="H17" i="25"/>
  <c r="C15" i="27"/>
  <c r="H11" i="25"/>
  <c r="I6" i="25"/>
  <c r="I9" i="25"/>
  <c r="I11" i="25"/>
  <c r="I15" i="25"/>
  <c r="I17" i="25"/>
  <c r="I20" i="25"/>
  <c r="J20" i="25"/>
  <c r="J6" i="25"/>
  <c r="J15" i="25"/>
  <c r="J9" i="25"/>
  <c r="J17" i="25"/>
  <c r="J11" i="25"/>
  <c r="B26" i="5" l="1"/>
  <c r="B32" i="5"/>
  <c r="B24" i="5"/>
  <c r="B30" i="5"/>
  <c r="B21" i="5"/>
  <c r="B35" i="5"/>
  <c r="A35" i="5"/>
  <c r="A32" i="5"/>
  <c r="A30" i="5"/>
  <c r="A26" i="5"/>
  <c r="A24" i="5"/>
  <c r="A21" i="5"/>
  <c r="F13" i="25"/>
  <c r="F16" i="25"/>
  <c r="F19" i="25"/>
  <c r="F12" i="25"/>
  <c r="F18" i="25"/>
  <c r="F7" i="25"/>
  <c r="F14" i="25"/>
  <c r="F8" i="25"/>
  <c r="F10" i="25"/>
  <c r="F21" i="25"/>
  <c r="F23" i="25"/>
  <c r="F25" i="25"/>
  <c r="G16" i="25"/>
  <c r="G21" i="25"/>
  <c r="G19" i="25"/>
  <c r="G23" i="25"/>
  <c r="G12" i="25"/>
  <c r="G25" i="25"/>
  <c r="G18" i="25"/>
  <c r="G7" i="25"/>
  <c r="G14" i="25"/>
  <c r="G8" i="25"/>
  <c r="G13" i="25"/>
  <c r="G10" i="25"/>
  <c r="H18" i="25"/>
  <c r="H13" i="25"/>
  <c r="C16" i="27"/>
  <c r="C19" i="5"/>
  <c r="H7" i="25"/>
  <c r="H10" i="25"/>
  <c r="C30" i="5"/>
  <c r="H25" i="25"/>
  <c r="H16" i="25"/>
  <c r="C20" i="5"/>
  <c r="H21" i="25"/>
  <c r="C24" i="5"/>
  <c r="H19" i="25"/>
  <c r="H14" i="25"/>
  <c r="H12" i="25"/>
  <c r="H8" i="25"/>
  <c r="C26" i="5"/>
  <c r="H23" i="25"/>
  <c r="C32" i="5"/>
  <c r="C21" i="5"/>
  <c r="J35" i="5"/>
  <c r="I35" i="5"/>
  <c r="D35" i="5"/>
  <c r="C35" i="5"/>
  <c r="I16" i="25"/>
  <c r="I21" i="25"/>
  <c r="I19" i="25"/>
  <c r="I23" i="25"/>
  <c r="I12" i="25"/>
  <c r="I25" i="25"/>
  <c r="I18" i="25"/>
  <c r="I7" i="25"/>
  <c r="I14" i="25"/>
  <c r="I8" i="25"/>
  <c r="I13" i="25"/>
  <c r="I10" i="25"/>
  <c r="J18" i="25"/>
  <c r="J13" i="25"/>
  <c r="J7" i="25"/>
  <c r="J10" i="25"/>
  <c r="J25" i="25"/>
  <c r="J16" i="25"/>
  <c r="J21" i="25"/>
  <c r="J19" i="25"/>
  <c r="J14" i="25"/>
  <c r="J12" i="25"/>
  <c r="J8" i="25"/>
  <c r="J23" i="25"/>
  <c r="B38" i="5" l="1"/>
  <c r="B23" i="5"/>
  <c r="B27" i="5"/>
  <c r="B29" i="5"/>
  <c r="B34" i="5"/>
  <c r="B36" i="5"/>
  <c r="B31" i="5"/>
  <c r="B40" i="5"/>
  <c r="B25" i="5"/>
  <c r="B22" i="5"/>
  <c r="B28" i="5"/>
  <c r="B33" i="5"/>
  <c r="A25" i="5"/>
  <c r="A28" i="5"/>
  <c r="A23" i="5"/>
  <c r="A29" i="5"/>
  <c r="A22" i="5"/>
  <c r="A33" i="5"/>
  <c r="A40" i="5"/>
  <c r="A27" i="5"/>
  <c r="A38" i="5"/>
  <c r="A34" i="5"/>
  <c r="A36" i="5"/>
  <c r="A31" i="5"/>
  <c r="E8" i="26"/>
  <c r="E9" i="26"/>
  <c r="E3" i="26"/>
  <c r="E4" i="26"/>
  <c r="E5" i="26"/>
  <c r="E6" i="26"/>
  <c r="E7" i="26"/>
  <c r="F22" i="25"/>
  <c r="F24" i="25"/>
  <c r="I3" i="25"/>
  <c r="G22" i="25"/>
  <c r="G24" i="25"/>
  <c r="C29" i="5"/>
  <c r="C17" i="27"/>
  <c r="C23" i="5"/>
  <c r="C22" i="5"/>
  <c r="H22" i="25"/>
  <c r="C27" i="5"/>
  <c r="H24" i="25"/>
  <c r="C28" i="5"/>
  <c r="C25" i="5"/>
  <c r="C31" i="5"/>
  <c r="J33" i="5"/>
  <c r="I33" i="5"/>
  <c r="D33" i="5"/>
  <c r="C33" i="5"/>
  <c r="J34" i="5"/>
  <c r="I34" i="5"/>
  <c r="D34" i="5"/>
  <c r="C34" i="5"/>
  <c r="J40" i="5"/>
  <c r="I40" i="5"/>
  <c r="D40" i="5"/>
  <c r="C40" i="5"/>
  <c r="J36" i="5"/>
  <c r="I36" i="5"/>
  <c r="D36" i="5"/>
  <c r="C36" i="5"/>
  <c r="J38" i="5"/>
  <c r="I38" i="5"/>
  <c r="D38" i="5"/>
  <c r="C38" i="5"/>
  <c r="J3" i="25"/>
  <c r="C3" i="5"/>
  <c r="I22" i="25"/>
  <c r="I24" i="25"/>
  <c r="J22" i="25"/>
  <c r="J24" i="25"/>
  <c r="B39" i="5" l="1"/>
  <c r="B37" i="5"/>
  <c r="A39" i="5"/>
  <c r="A37" i="5"/>
  <c r="F1" i="9"/>
  <c r="H1" i="9" s="1"/>
  <c r="E3" i="9"/>
  <c r="C39" i="5"/>
  <c r="D39" i="5"/>
  <c r="I39" i="5"/>
  <c r="J39" i="5"/>
  <c r="C37" i="5"/>
  <c r="D37" i="5"/>
  <c r="I37" i="5"/>
  <c r="J37" i="5"/>
  <c r="F3" i="9"/>
  <c r="G3" i="9"/>
  <c r="C4" i="5"/>
  <c r="B1" i="6"/>
  <c r="H3" i="9"/>
  <c r="I3" i="9"/>
  <c r="B2" i="5" l="1"/>
  <c r="A2" i="5"/>
  <c r="D9" i="6"/>
  <c r="D20" i="6"/>
  <c r="C2" i="5"/>
  <c r="D2" i="5"/>
  <c r="I20" i="5"/>
  <c r="J23" i="5"/>
  <c r="J28" i="5"/>
  <c r="J4" i="5"/>
  <c r="J27" i="5"/>
  <c r="I4" i="5"/>
  <c r="D31" i="5"/>
  <c r="J20" i="5"/>
  <c r="D22" i="5"/>
  <c r="I32" i="5"/>
  <c r="D25" i="5"/>
  <c r="I30" i="5"/>
  <c r="I25" i="5"/>
  <c r="J25" i="5"/>
  <c r="I19" i="5"/>
  <c r="J3" i="5"/>
  <c r="D27" i="5"/>
  <c r="J26" i="5"/>
  <c r="D29" i="5"/>
  <c r="J30" i="5"/>
  <c r="I21" i="5"/>
  <c r="D26" i="5"/>
  <c r="I29" i="5"/>
  <c r="Y12" i="26"/>
  <c r="D32" i="5"/>
  <c r="J2" i="5"/>
  <c r="I2" i="5"/>
  <c r="I22" i="5"/>
  <c r="J29" i="5"/>
  <c r="I26" i="5"/>
  <c r="J24" i="5"/>
  <c r="D4" i="5"/>
  <c r="J32" i="5"/>
  <c r="I24" i="5"/>
  <c r="D21" i="5"/>
  <c r="J21" i="5"/>
  <c r="J31" i="5"/>
  <c r="I23" i="5"/>
  <c r="D3" i="5"/>
  <c r="I3" i="5"/>
  <c r="D20" i="5"/>
  <c r="D19" i="5"/>
  <c r="I31" i="5"/>
  <c r="I28" i="5"/>
  <c r="D30" i="5"/>
  <c r="I27" i="5"/>
  <c r="D23" i="5"/>
  <c r="J19" i="5"/>
  <c r="D24" i="5"/>
  <c r="D28" i="5"/>
  <c r="J22" i="5"/>
  <c r="Z12" i="26"/>
  <c r="C27" i="6" l="1"/>
  <c r="Y13" i="26"/>
  <c r="Z13" i="26" s="1"/>
  <c r="M11" i="26" a="1"/>
  <c r="Y14" i="26"/>
  <c r="M42" i="26"/>
  <c r="M46" i="26"/>
  <c r="M24" i="26"/>
  <c r="M23" i="26"/>
  <c r="M27" i="26"/>
  <c r="M16" i="26"/>
  <c r="M18" i="26"/>
  <c r="M36" i="26"/>
  <c r="M20" i="26"/>
  <c r="M28" i="26"/>
  <c r="M40" i="26"/>
  <c r="M22" i="26"/>
  <c r="M25" i="26"/>
  <c r="M32" i="26"/>
  <c r="M33" i="26"/>
  <c r="M37" i="26"/>
  <c r="M30" i="26"/>
  <c r="M13" i="26"/>
  <c r="M14" i="26"/>
  <c r="M35" i="26"/>
  <c r="M29" i="26"/>
  <c r="M39" i="26"/>
  <c r="M31" i="26"/>
  <c r="M44" i="26"/>
  <c r="M38" i="26"/>
  <c r="M34" i="26"/>
  <c r="M45" i="26"/>
  <c r="M41" i="26"/>
  <c r="M15" i="26"/>
  <c r="M43" i="26"/>
  <c r="M21" i="26"/>
  <c r="M11" i="26"/>
  <c r="M17" i="26"/>
  <c r="M19" i="26"/>
  <c r="M26" i="26"/>
  <c r="M12" i="26"/>
  <c r="Y15" i="26"/>
  <c r="N33" i="26"/>
  <c r="O17" i="26"/>
  <c r="N28" i="26"/>
  <c r="N16" i="26"/>
  <c r="N45" i="26"/>
  <c r="Z15" i="26"/>
  <c r="N41" i="26"/>
  <c r="N35" i="26"/>
  <c r="O32" i="26"/>
  <c r="N32" i="26"/>
  <c r="O24" i="26"/>
  <c r="N21" i="26"/>
  <c r="O37" i="26"/>
  <c r="O31" i="26"/>
  <c r="N23" i="26"/>
  <c r="N22" i="26"/>
  <c r="O26" i="26"/>
  <c r="O29" i="26"/>
  <c r="N37" i="26"/>
  <c r="O41" i="26"/>
  <c r="N15" i="26"/>
  <c r="N18" i="26"/>
  <c r="O19" i="26"/>
  <c r="N27" i="26"/>
  <c r="O45" i="26"/>
  <c r="O21" i="26"/>
  <c r="N38" i="26"/>
  <c r="N46" i="26"/>
  <c r="O28" i="26"/>
  <c r="O43" i="26"/>
  <c r="O44" i="26"/>
  <c r="O13" i="26"/>
  <c r="N36" i="26"/>
  <c r="N17" i="26"/>
  <c r="N20" i="26"/>
  <c r="O34" i="26"/>
  <c r="O11" i="26"/>
  <c r="O27" i="26"/>
  <c r="O39" i="26"/>
  <c r="O36" i="26"/>
  <c r="O33" i="26"/>
  <c r="N43" i="26"/>
  <c r="O40" i="26"/>
  <c r="O22" i="26"/>
  <c r="N39" i="26"/>
  <c r="N19" i="26"/>
  <c r="O25" i="26"/>
  <c r="N44" i="26"/>
  <c r="O38" i="26"/>
  <c r="O42" i="26"/>
  <c r="N13" i="26"/>
  <c r="O15" i="26"/>
  <c r="N40" i="26"/>
  <c r="N34" i="26"/>
  <c r="N11" i="26"/>
  <c r="Z14" i="26"/>
  <c r="N24" i="26"/>
  <c r="N31" i="26"/>
  <c r="N26" i="26"/>
  <c r="N42" i="26"/>
  <c r="N25" i="26"/>
  <c r="O23" i="26"/>
  <c r="N12" i="26"/>
  <c r="N14" i="26"/>
  <c r="O14" i="26"/>
  <c r="O46" i="26"/>
  <c r="O16" i="26"/>
  <c r="O18" i="26"/>
  <c r="O20" i="26"/>
  <c r="O30" i="26"/>
  <c r="O35" i="26"/>
  <c r="N30" i="26"/>
  <c r="N29" i="26"/>
  <c r="O12" i="26"/>
  <c r="Q30" i="26" l="1"/>
  <c r="Q35" i="26"/>
  <c r="Q11" i="26"/>
  <c r="Q22" i="26"/>
  <c r="Q23" i="26"/>
  <c r="Q32" i="26"/>
  <c r="Q41" i="26"/>
  <c r="Q20" i="26"/>
  <c r="Q17" i="26"/>
  <c r="Q21" i="26"/>
  <c r="Q27" i="26"/>
  <c r="Q44" i="26"/>
  <c r="Q34" i="26"/>
  <c r="Q45" i="26"/>
  <c r="Q25" i="26"/>
  <c r="Q36" i="26"/>
  <c r="Q46" i="26"/>
  <c r="Q18" i="26"/>
  <c r="Q16" i="26"/>
  <c r="Q42" i="26"/>
  <c r="Q38" i="26"/>
  <c r="Q15" i="26"/>
  <c r="Q28" i="26"/>
  <c r="Q29" i="26"/>
  <c r="Q26" i="26"/>
  <c r="Q40" i="26"/>
  <c r="Q19" i="26"/>
  <c r="Q31" i="26"/>
  <c r="Q39" i="26"/>
  <c r="Q37" i="26"/>
  <c r="Q33" i="26"/>
  <c r="Q14" i="26"/>
  <c r="Q24" i="26"/>
  <c r="Q13" i="26"/>
  <c r="Q12" i="26"/>
  <c r="Q43" i="26"/>
  <c r="Y16" i="26"/>
  <c r="Y17" i="26"/>
  <c r="Z17" i="26"/>
  <c r="Y18" i="26"/>
  <c r="Z16" i="26"/>
  <c r="E41" i="25"/>
  <c r="C41" i="25"/>
  <c r="E42" i="25"/>
  <c r="C42" i="25"/>
  <c r="Y19" i="26"/>
  <c r="Z18" i="26"/>
  <c r="Z19" i="26"/>
  <c r="Y20" i="26"/>
  <c r="Y21" i="26"/>
  <c r="Z20" i="26"/>
  <c r="Z21" i="26"/>
  <c r="Y22" i="26"/>
  <c r="Z22" i="26"/>
  <c r="Y23" i="26"/>
  <c r="Z23" i="26"/>
  <c r="Y24" i="26"/>
  <c r="Z24" i="26"/>
  <c r="Y25" i="26"/>
  <c r="Z25" i="26"/>
  <c r="Y26" i="26"/>
  <c r="Z26" i="26"/>
  <c r="Y27" i="26"/>
  <c r="Y28" i="26"/>
  <c r="Z27" i="26"/>
  <c r="Y29" i="26"/>
  <c r="Z28" i="26"/>
  <c r="Y30" i="26"/>
  <c r="Z29" i="26"/>
  <c r="Y31" i="26"/>
  <c r="Z30" i="26"/>
  <c r="Y32" i="26"/>
  <c r="Z31" i="26"/>
  <c r="Y33" i="26"/>
  <c r="Z32" i="26"/>
  <c r="Z33" i="26"/>
  <c r="Y34" i="26"/>
  <c r="Z34" i="26"/>
  <c r="Y35" i="26"/>
  <c r="Z35" i="26"/>
  <c r="Y36" i="26"/>
  <c r="Z36" i="26"/>
  <c r="Y37" i="26"/>
  <c r="Z37" i="26"/>
  <c r="Y38" i="26"/>
  <c r="Z38" i="26"/>
  <c r="Y39" i="26"/>
  <c r="Z39" i="26"/>
  <c r="Y40" i="26"/>
  <c r="Y41" i="26"/>
  <c r="Z40" i="26"/>
  <c r="Z41" i="26"/>
  <c r="Y42" i="26"/>
  <c r="Z42" i="26"/>
  <c r="Y43" i="26"/>
  <c r="Y44" i="26"/>
  <c r="Z43" i="26"/>
  <c r="Y45" i="26"/>
  <c r="Z44" i="26"/>
  <c r="Z45" i="26"/>
  <c r="Y46" i="26"/>
  <c r="Z46" i="26"/>
  <c r="Y47" i="26"/>
  <c r="Y48" i="26"/>
  <c r="Z47" i="26"/>
  <c r="Y49" i="26"/>
  <c r="Z48" i="26"/>
  <c r="Y50" i="26"/>
  <c r="Z49" i="26"/>
  <c r="Y51" i="26"/>
  <c r="Z50" i="26"/>
  <c r="Y52" i="26"/>
  <c r="Z51" i="26"/>
  <c r="Y53" i="26"/>
  <c r="Z52" i="26"/>
  <c r="Z53" i="26"/>
  <c r="Y54" i="26"/>
  <c r="Z54" i="26"/>
  <c r="Y55" i="26"/>
  <c r="Z55" i="26"/>
  <c r="Y56" i="26"/>
  <c r="Z56" i="26"/>
  <c r="Y57" i="26"/>
  <c r="Z57" i="26"/>
  <c r="Y58" i="26"/>
  <c r="Z58" i="26"/>
  <c r="Y59" i="26"/>
  <c r="Y60" i="26"/>
  <c r="Z59" i="26"/>
  <c r="Y61" i="26"/>
  <c r="Z60" i="26"/>
  <c r="Y62" i="26"/>
  <c r="Z61" i="26"/>
  <c r="Z62" i="26"/>
  <c r="Y63" i="26"/>
  <c r="Y64" i="26"/>
  <c r="Z63" i="26"/>
  <c r="Y65" i="26"/>
  <c r="Z64" i="26"/>
  <c r="Y66" i="26"/>
  <c r="Z65" i="26"/>
  <c r="Z66" i="26"/>
  <c r="Y67" i="26"/>
  <c r="Z67" i="26"/>
  <c r="Y68" i="26"/>
  <c r="Z68" i="26"/>
  <c r="Y69" i="26"/>
  <c r="Z69" i="26"/>
  <c r="Y70" i="26"/>
  <c r="Z70" i="26"/>
  <c r="Y71" i="26"/>
  <c r="Y72" i="26"/>
  <c r="Z71" i="26"/>
  <c r="Y73" i="26"/>
  <c r="Z72" i="26"/>
  <c r="Y74" i="26"/>
  <c r="Z73" i="26"/>
  <c r="Z74" i="26"/>
  <c r="Y75" i="26"/>
  <c r="Z75" i="26"/>
  <c r="Y76" i="26"/>
  <c r="Y77" i="26"/>
  <c r="Z76" i="26"/>
  <c r="Z77" i="26"/>
  <c r="Y78" i="26"/>
  <c r="Y79" i="26"/>
  <c r="Z78" i="26"/>
  <c r="Y80" i="26"/>
  <c r="Z79" i="26"/>
  <c r="Y81" i="26"/>
  <c r="Z80" i="26"/>
  <c r="Y82" i="26"/>
  <c r="Z81" i="26"/>
  <c r="Z82" i="26"/>
  <c r="Y83" i="26"/>
  <c r="Y84" i="26"/>
  <c r="Z83" i="26"/>
  <c r="Y85" i="26"/>
  <c r="Z84" i="26"/>
  <c r="Z85" i="26"/>
  <c r="Y86" i="26"/>
  <c r="Z86" i="26"/>
  <c r="Y87" i="26"/>
  <c r="Z87" i="26"/>
  <c r="Y88" i="26"/>
  <c r="Z88" i="26"/>
  <c r="Y89" i="26"/>
  <c r="Z89" i="26"/>
  <c r="Y90" i="26"/>
  <c r="Z90" i="26"/>
  <c r="Y91" i="26"/>
  <c r="Z91" i="26"/>
  <c r="Y92" i="26"/>
  <c r="Z92" i="26"/>
  <c r="Y93" i="26"/>
  <c r="Z93" i="26"/>
  <c r="Y94" i="26"/>
  <c r="Z94" i="26"/>
  <c r="Y95" i="26"/>
  <c r="Z95" i="26"/>
  <c r="Y96" i="26"/>
  <c r="Y97" i="26"/>
  <c r="Z96" i="26"/>
  <c r="Y98" i="26"/>
  <c r="Z97" i="26"/>
  <c r="Z98" i="26"/>
  <c r="Y99" i="26"/>
  <c r="Y100" i="26"/>
  <c r="Z99" i="26"/>
  <c r="Y101" i="26"/>
  <c r="Z100" i="26"/>
  <c r="Y102" i="26"/>
  <c r="Z101" i="26"/>
  <c r="Z102" i="26"/>
  <c r="Y103" i="26"/>
  <c r="Y104" i="26"/>
  <c r="Z103" i="26"/>
  <c r="Y105" i="26"/>
  <c r="Z104" i="26"/>
  <c r="Y106" i="26"/>
  <c r="Z105" i="26"/>
  <c r="Y107" i="26"/>
  <c r="Z106" i="26"/>
  <c r="Z107" i="26"/>
  <c r="Y108" i="26"/>
  <c r="Y109" i="26"/>
  <c r="Z108" i="26"/>
  <c r="Z109" i="26"/>
  <c r="Y110" i="26"/>
  <c r="Z110" i="26"/>
  <c r="Y111" i="26"/>
  <c r="Y112" i="26"/>
  <c r="Z111" i="26"/>
  <c r="Y113" i="26"/>
  <c r="Z112" i="26"/>
  <c r="Y114" i="26"/>
  <c r="Z113" i="26"/>
  <c r="Z114" i="26"/>
  <c r="Y115" i="26"/>
  <c r="Y116" i="26"/>
  <c r="Z115" i="26"/>
  <c r="Y117" i="26"/>
  <c r="Z116" i="26"/>
  <c r="Z117" i="26"/>
  <c r="Y118" i="26"/>
  <c r="Y119" i="26"/>
  <c r="Z118" i="26"/>
  <c r="Y120" i="26"/>
  <c r="Z119" i="26"/>
  <c r="Z120" i="26"/>
  <c r="Y121" i="26"/>
  <c r="Y122" i="26"/>
  <c r="Z121" i="26"/>
  <c r="Y123" i="26"/>
  <c r="Z122" i="26"/>
  <c r="Y124" i="26"/>
  <c r="Z123" i="26"/>
  <c r="Y125" i="26"/>
  <c r="Z124" i="26"/>
  <c r="Z125" i="26"/>
  <c r="Y126" i="26"/>
  <c r="Z126" i="26"/>
  <c r="Y127" i="26"/>
  <c r="Y128" i="26"/>
  <c r="Z127" i="26"/>
  <c r="Y129" i="26"/>
  <c r="Z128" i="26"/>
  <c r="Y130" i="26"/>
  <c r="Z129" i="26"/>
  <c r="Z130" i="26"/>
  <c r="Y131" i="26"/>
  <c r="Z131" i="26"/>
  <c r="Y132" i="26"/>
  <c r="Y133" i="26"/>
  <c r="Z132" i="26"/>
  <c r="Z133" i="26"/>
  <c r="Y134" i="26"/>
  <c r="Z134" i="26"/>
  <c r="Y135" i="26"/>
  <c r="Z135" i="26"/>
  <c r="Y136" i="26"/>
  <c r="Y137" i="26"/>
  <c r="Z136" i="26"/>
  <c r="Y138" i="26"/>
  <c r="Z137" i="26"/>
  <c r="Y139" i="26"/>
  <c r="Z138" i="26"/>
  <c r="Z139" i="26"/>
  <c r="Y140" i="26"/>
  <c r="Z140" i="26"/>
  <c r="Y141" i="26"/>
  <c r="Z141" i="26"/>
  <c r="Y142" i="26"/>
  <c r="Z142" i="26"/>
  <c r="Y143" i="26"/>
  <c r="Z143" i="26"/>
  <c r="Y144" i="26"/>
  <c r="Y145" i="26"/>
  <c r="Z144" i="26"/>
  <c r="Y146" i="26"/>
  <c r="Z145" i="26"/>
  <c r="Y147" i="26"/>
  <c r="Z146" i="26"/>
  <c r="Y148" i="26"/>
  <c r="Z147" i="26"/>
  <c r="Z148" i="26"/>
  <c r="Y149" i="26"/>
  <c r="Z149" i="26"/>
  <c r="Y150" i="26"/>
  <c r="Z150" i="26"/>
  <c r="Y151" i="26"/>
  <c r="Y152" i="26"/>
  <c r="Z151" i="26"/>
  <c r="Z152" i="26"/>
  <c r="Y153" i="26"/>
  <c r="Z153" i="26"/>
  <c r="Y154" i="26"/>
  <c r="Z154" i="26"/>
  <c r="Y155" i="26"/>
  <c r="Z155" i="26"/>
  <c r="Y156" i="26"/>
  <c r="Y157" i="26"/>
  <c r="Z156" i="26"/>
  <c r="Y158" i="26"/>
  <c r="Z157" i="26"/>
  <c r="Y159" i="26"/>
  <c r="Z158" i="26"/>
  <c r="Z159" i="26"/>
  <c r="Y160" i="26"/>
  <c r="Y161" i="26"/>
  <c r="Z160" i="26"/>
  <c r="Z161" i="26"/>
  <c r="Y162" i="26"/>
  <c r="Z162" i="26"/>
  <c r="Y163" i="26"/>
  <c r="Y164" i="26"/>
  <c r="Z163" i="26"/>
  <c r="Y165" i="26"/>
  <c r="Z164" i="26"/>
  <c r="Y166" i="26"/>
  <c r="Z165" i="26"/>
  <c r="Z166" i="26"/>
  <c r="Y167" i="26"/>
  <c r="Z167" i="26"/>
  <c r="Y168" i="26"/>
  <c r="Y169" i="26"/>
  <c r="Z168" i="26"/>
  <c r="Y170" i="26"/>
  <c r="Z169" i="26"/>
  <c r="Y171" i="26"/>
  <c r="Z170" i="26"/>
  <c r="Y172" i="26"/>
  <c r="Z171" i="26"/>
  <c r="Z172" i="26"/>
  <c r="Y173" i="26"/>
  <c r="Z173" i="26"/>
  <c r="Y174" i="26"/>
  <c r="Z174" i="26"/>
  <c r="Y175" i="26"/>
  <c r="Y176" i="26"/>
  <c r="Z175" i="26"/>
  <c r="Z176" i="26"/>
  <c r="Y177" i="26"/>
  <c r="Y178" i="26"/>
  <c r="Z177" i="26"/>
  <c r="Y179" i="26"/>
  <c r="Z178" i="26"/>
  <c r="Z179" i="26"/>
  <c r="Y180" i="26"/>
  <c r="Z180" i="26"/>
  <c r="Y181" i="26"/>
  <c r="Y182" i="26"/>
  <c r="Z181" i="26"/>
  <c r="Z182" i="26"/>
  <c r="Y183" i="26"/>
  <c r="Y184" i="26"/>
  <c r="Z183" i="26"/>
  <c r="Z184" i="26"/>
  <c r="Y185" i="26"/>
  <c r="Z185" i="26"/>
  <c r="Y186" i="26"/>
  <c r="Y187" i="26"/>
  <c r="Z186" i="26"/>
  <c r="Y188" i="26"/>
  <c r="Z187" i="26"/>
  <c r="Z188" i="26"/>
  <c r="Y189" i="26"/>
  <c r="Z189" i="26"/>
  <c r="Y190" i="26"/>
  <c r="Y191" i="26"/>
  <c r="Z190" i="26"/>
  <c r="Y192" i="26"/>
  <c r="Z191" i="26"/>
  <c r="Y193" i="26"/>
  <c r="Z192" i="26"/>
  <c r="Y194" i="26"/>
  <c r="Z193" i="26"/>
  <c r="Z194" i="26"/>
  <c r="Y195" i="26"/>
  <c r="Y196" i="26"/>
  <c r="Z195" i="26"/>
  <c r="Y197" i="26"/>
  <c r="Z196" i="26"/>
  <c r="Z197" i="26"/>
  <c r="Y198" i="26"/>
  <c r="Z198" i="26"/>
  <c r="Y199" i="26"/>
  <c r="Z199" i="26"/>
  <c r="Y200" i="26"/>
  <c r="Z200" i="26"/>
  <c r="Y201" i="26"/>
  <c r="Z201" i="26"/>
  <c r="Y202" i="26"/>
  <c r="Z202" i="26"/>
  <c r="Y203" i="26"/>
  <c r="Z203" i="26"/>
  <c r="Y204" i="26"/>
  <c r="Z204" i="26"/>
  <c r="Y205" i="26"/>
  <c r="Z205" i="26"/>
  <c r="Y206" i="26"/>
  <c r="Z206" i="26"/>
  <c r="Y207" i="26"/>
  <c r="Z207" i="26"/>
  <c r="Y208" i="26"/>
  <c r="Z208" i="26"/>
  <c r="Y209" i="26"/>
  <c r="Z209" i="26"/>
  <c r="Y210" i="26"/>
  <c r="Z210" i="26"/>
  <c r="Y211" i="26"/>
  <c r="Z211" i="26"/>
  <c r="Y212" i="26"/>
  <c r="Z212" i="26"/>
  <c r="Y213" i="26"/>
  <c r="Y214" i="26"/>
  <c r="Z213" i="26"/>
  <c r="Z214" i="26"/>
  <c r="Y215" i="26"/>
  <c r="Z215" i="26"/>
  <c r="Y216" i="26"/>
  <c r="Y217" i="26"/>
  <c r="Z216" i="26"/>
  <c r="Z217" i="26"/>
  <c r="Y218" i="26"/>
  <c r="Y219" i="26"/>
  <c r="Z218" i="26"/>
  <c r="Y220" i="26"/>
  <c r="Z219" i="26"/>
  <c r="Y221" i="26"/>
  <c r="Z220" i="26"/>
  <c r="Z221" i="26"/>
  <c r="Y222" i="26"/>
  <c r="Z222" i="26"/>
  <c r="Y223" i="26"/>
  <c r="Y224" i="26"/>
  <c r="Z223" i="26"/>
  <c r="Z224" i="26"/>
  <c r="Y225" i="26"/>
  <c r="Z225" i="26"/>
  <c r="Y226" i="26"/>
  <c r="Z226" i="26"/>
  <c r="Y227" i="26"/>
  <c r="Z227" i="26"/>
  <c r="Y228" i="26"/>
  <c r="Z228" i="26"/>
  <c r="Y229" i="26"/>
  <c r="Z229" i="26"/>
  <c r="Y230" i="26"/>
  <c r="Z230" i="26"/>
  <c r="Y231" i="26"/>
  <c r="Z231" i="26"/>
  <c r="Y232" i="26"/>
  <c r="Z232" i="26"/>
  <c r="Y233" i="26"/>
  <c r="Y234" i="26"/>
  <c r="Z233" i="26"/>
  <c r="Z234" i="26"/>
  <c r="Y235" i="26"/>
  <c r="Z235" i="26"/>
  <c r="Y236" i="26"/>
  <c r="Y237" i="26"/>
  <c r="Z236" i="26"/>
  <c r="Z237" i="26"/>
  <c r="Y238" i="26"/>
  <c r="Y239" i="26"/>
  <c r="Z238" i="26"/>
  <c r="Z239" i="26"/>
  <c r="Y240" i="26"/>
  <c r="Y241" i="26"/>
  <c r="Z240" i="26"/>
  <c r="Z241" i="26"/>
  <c r="Y242" i="26"/>
  <c r="Z242" i="26"/>
  <c r="Y243" i="26"/>
  <c r="Y244" i="26"/>
  <c r="Z243" i="26"/>
  <c r="Y245" i="26"/>
  <c r="Z244" i="26"/>
  <c r="Z245" i="26"/>
  <c r="Y246" i="26"/>
  <c r="Y247" i="26"/>
  <c r="Z246" i="26"/>
  <c r="Z247" i="26"/>
  <c r="Y248" i="26"/>
  <c r="Z248" i="26"/>
  <c r="Y249" i="26"/>
  <c r="Y250" i="26"/>
  <c r="Z249" i="26"/>
  <c r="Z250" i="26"/>
  <c r="Y251" i="26"/>
  <c r="Z251" i="26"/>
  <c r="Y252" i="26"/>
  <c r="Z252" i="26"/>
  <c r="Y253" i="26"/>
  <c r="Y254" i="26"/>
  <c r="Z253" i="26"/>
  <c r="Z254" i="26"/>
  <c r="Y255" i="26"/>
  <c r="Y256" i="26"/>
  <c r="Z255" i="26"/>
  <c r="Z256" i="26"/>
  <c r="Y257" i="26"/>
  <c r="Z257" i="26"/>
  <c r="Y258" i="26"/>
  <c r="Y259" i="26"/>
  <c r="Z258" i="26"/>
  <c r="Z259" i="26"/>
  <c r="Y260" i="26"/>
  <c r="Y261" i="26"/>
  <c r="Z260" i="26"/>
  <c r="Y262" i="26"/>
  <c r="Z261" i="26"/>
  <c r="Z262" i="26"/>
  <c r="Y263" i="26"/>
  <c r="Z263" i="26"/>
  <c r="Y264" i="26"/>
  <c r="Y265" i="26"/>
  <c r="Z264" i="26"/>
  <c r="Y266" i="26"/>
  <c r="Z265" i="26"/>
  <c r="Y267" i="26"/>
  <c r="Z266" i="26"/>
  <c r="Y268" i="26"/>
  <c r="Z267" i="26"/>
  <c r="Y269" i="26"/>
  <c r="Z268" i="26"/>
  <c r="Z269" i="26"/>
  <c r="Y270" i="26"/>
  <c r="Y271" i="26"/>
  <c r="Z270" i="26"/>
  <c r="Y272" i="26"/>
  <c r="Z271" i="26"/>
  <c r="Y273" i="26"/>
  <c r="Z272" i="26"/>
  <c r="Z273" i="26"/>
  <c r="Y274" i="26"/>
  <c r="Z274" i="26"/>
  <c r="Y275" i="26"/>
  <c r="Z275" i="26"/>
  <c r="Y276" i="26"/>
  <c r="Z276" i="26"/>
  <c r="Y277" i="26"/>
  <c r="Z277" i="26"/>
  <c r="Y278" i="26"/>
  <c r="Z278" i="26"/>
  <c r="Y279" i="26"/>
  <c r="Z279" i="26"/>
  <c r="Y280" i="26"/>
  <c r="Z280" i="26"/>
  <c r="Y281" i="26"/>
  <c r="Y282" i="26"/>
  <c r="Z281" i="26"/>
  <c r="Z282" i="26"/>
  <c r="Y283" i="26"/>
  <c r="Z283" i="26"/>
  <c r="Y284" i="26"/>
  <c r="Z284" i="26"/>
  <c r="Y285" i="26"/>
  <c r="Z285" i="26"/>
  <c r="Y286" i="26"/>
  <c r="Y287" i="26"/>
  <c r="Z286" i="26"/>
  <c r="Z287" i="26"/>
  <c r="Y288" i="26"/>
  <c r="Z288" i="26"/>
  <c r="Y289" i="26"/>
  <c r="Z289" i="26"/>
  <c r="Y290" i="26"/>
  <c r="Y291" i="26"/>
  <c r="Z290" i="26"/>
  <c r="Z291" i="26"/>
  <c r="Y292" i="26"/>
  <c r="Y293" i="26"/>
  <c r="Z292" i="26"/>
  <c r="Y294" i="26"/>
  <c r="Z293" i="26"/>
  <c r="Y295" i="26"/>
  <c r="Z294" i="26"/>
  <c r="Z295" i="26"/>
  <c r="Y296" i="26"/>
  <c r="Y297" i="26"/>
  <c r="Z296" i="26"/>
  <c r="Z297" i="26"/>
  <c r="Y298" i="26"/>
  <c r="Z298" i="26"/>
  <c r="Y299" i="26"/>
  <c r="Y300" i="26"/>
  <c r="Z299" i="26"/>
  <c r="Z300" i="26"/>
  <c r="Y301" i="26"/>
  <c r="Y302" i="26"/>
  <c r="Z301" i="26"/>
  <c r="Z302" i="26"/>
  <c r="Y303" i="26"/>
  <c r="Y304" i="26"/>
  <c r="Z303" i="26"/>
  <c r="Z304" i="26"/>
  <c r="Y305" i="26"/>
  <c r="Y306" i="26"/>
  <c r="Z305" i="26"/>
  <c r="Y307" i="26"/>
  <c r="Z306" i="26"/>
  <c r="Y308" i="26"/>
  <c r="Z307" i="26"/>
  <c r="Y309" i="26"/>
  <c r="Z308" i="26"/>
  <c r="Z309" i="26"/>
  <c r="Y310" i="26"/>
  <c r="Y311" i="26"/>
  <c r="Z310" i="26"/>
  <c r="Y312" i="26"/>
  <c r="Z311" i="26"/>
  <c r="Z312" i="26"/>
  <c r="Y313" i="26"/>
  <c r="Z313" i="26"/>
  <c r="Y314" i="26"/>
  <c r="Z314" i="26"/>
  <c r="Y315" i="26"/>
  <c r="Z315" i="26"/>
  <c r="Y316" i="26"/>
  <c r="Y317" i="26"/>
  <c r="Z316" i="26"/>
  <c r="Z317" i="26"/>
  <c r="Y318" i="26"/>
  <c r="Z318" i="26"/>
  <c r="Y319" i="26"/>
  <c r="Z319" i="26"/>
  <c r="Y320" i="26"/>
  <c r="Z320" i="26"/>
  <c r="Y321" i="26"/>
  <c r="Y322" i="26"/>
  <c r="Z321" i="26"/>
  <c r="Z322" i="26"/>
  <c r="Y323" i="26"/>
  <c r="Y324" i="26"/>
  <c r="Z323" i="26"/>
  <c r="Z324" i="26"/>
  <c r="Y325" i="26"/>
  <c r="Y326" i="26"/>
  <c r="Z325" i="26"/>
  <c r="Z326" i="26"/>
  <c r="Y327" i="26"/>
  <c r="Y328" i="26"/>
  <c r="Z327" i="26"/>
  <c r="Y329" i="26"/>
  <c r="Z328" i="26"/>
  <c r="Z329" i="26"/>
  <c r="Y330" i="26"/>
  <c r="Y331" i="26"/>
  <c r="Z330" i="26"/>
  <c r="Z331" i="26"/>
  <c r="Y332" i="26"/>
  <c r="Z332" i="26"/>
  <c r="Y333" i="26"/>
  <c r="Z333" i="26"/>
  <c r="Y334" i="26"/>
  <c r="Z334" i="26"/>
  <c r="Y335" i="26"/>
  <c r="Y336" i="26"/>
  <c r="Z335" i="26"/>
  <c r="Z336" i="26"/>
  <c r="Y337" i="26"/>
  <c r="Y338" i="26"/>
  <c r="Z337" i="26"/>
  <c r="Z338" i="26"/>
  <c r="Y339" i="26"/>
  <c r="Y340" i="26"/>
  <c r="Z339" i="26"/>
  <c r="Z340" i="26"/>
  <c r="Y341" i="26"/>
  <c r="Z341" i="26"/>
  <c r="Y342" i="26"/>
  <c r="Z342" i="26"/>
  <c r="Y343" i="26"/>
  <c r="Y344" i="26"/>
  <c r="Z343" i="26"/>
  <c r="Y345" i="26"/>
  <c r="Z344" i="26"/>
  <c r="Z345" i="26"/>
  <c r="Y346" i="26"/>
  <c r="Z346" i="26"/>
  <c r="Y347" i="26"/>
  <c r="Z347" i="26"/>
  <c r="Y348" i="26"/>
  <c r="Y349" i="26"/>
  <c r="Z348" i="26"/>
  <c r="Z349" i="26"/>
  <c r="Y350" i="26"/>
  <c r="Z350" i="26"/>
  <c r="Y351" i="26"/>
  <c r="Y352" i="26"/>
  <c r="Z351" i="26"/>
  <c r="Y353" i="26"/>
  <c r="Z352" i="26"/>
  <c r="Z353" i="26"/>
  <c r="Y354" i="26"/>
  <c r="Z354" i="26"/>
  <c r="Y355" i="26"/>
  <c r="Y356" i="26"/>
  <c r="Z355" i="26"/>
  <c r="Z356" i="26"/>
  <c r="Y357" i="26"/>
  <c r="Y358" i="26"/>
  <c r="Z357" i="26"/>
  <c r="Z358" i="26"/>
  <c r="Y359" i="26"/>
  <c r="Y360" i="26"/>
  <c r="Z359" i="26"/>
  <c r="Z360" i="26"/>
  <c r="Y361" i="26"/>
  <c r="Y362" i="26"/>
  <c r="Z361" i="26"/>
  <c r="Z362" i="26"/>
  <c r="Y363" i="26"/>
  <c r="Z363" i="26"/>
  <c r="Y364" i="26"/>
  <c r="Y365" i="26"/>
  <c r="Z364" i="26"/>
  <c r="Y366" i="26"/>
  <c r="Z365" i="26"/>
  <c r="Z366" i="26"/>
  <c r="Y367" i="26"/>
  <c r="Y368" i="26"/>
  <c r="Z367" i="26"/>
  <c r="Y369" i="26"/>
  <c r="Z368" i="26"/>
  <c r="Z369" i="26"/>
  <c r="Y370" i="26"/>
  <c r="Z370" i="26"/>
  <c r="Y371" i="26"/>
  <c r="Y372" i="26"/>
  <c r="Z371" i="26"/>
  <c r="Z372" i="26"/>
  <c r="Y373" i="26"/>
  <c r="Y374" i="26"/>
  <c r="Z373" i="26"/>
  <c r="Z374" i="26"/>
  <c r="Y375" i="26"/>
  <c r="Z375" i="26"/>
  <c r="Y376" i="26"/>
  <c r="Y377" i="26"/>
  <c r="Z376" i="26"/>
  <c r="Y378" i="26"/>
  <c r="Z377" i="26"/>
  <c r="Z378" i="26"/>
  <c r="Y379" i="26"/>
  <c r="Y380" i="26"/>
  <c r="Z379" i="26"/>
  <c r="Y381" i="26"/>
  <c r="Z380" i="26"/>
  <c r="Y382" i="26"/>
  <c r="Z381" i="26"/>
  <c r="Z382" i="26"/>
  <c r="Y383" i="26"/>
  <c r="Z383" i="26"/>
  <c r="Y384" i="26"/>
  <c r="Z384" i="26"/>
  <c r="Y385" i="26"/>
  <c r="Z385" i="26"/>
  <c r="Y386" i="26"/>
  <c r="Z386" i="26"/>
  <c r="Y387" i="26"/>
  <c r="Y388" i="26"/>
  <c r="Z387" i="26"/>
  <c r="Z388" i="26"/>
  <c r="Y389" i="26"/>
  <c r="Y390" i="26"/>
  <c r="Z389" i="26"/>
  <c r="Z390" i="26"/>
  <c r="Y391" i="26"/>
  <c r="Y392" i="26"/>
  <c r="Z391" i="26"/>
  <c r="Y393" i="26"/>
  <c r="Z392" i="26"/>
  <c r="Y394" i="26"/>
  <c r="Z393" i="26"/>
  <c r="Z394" i="26"/>
  <c r="Y395" i="26"/>
  <c r="Z395" i="26"/>
  <c r="Y396" i="26"/>
  <c r="Z396" i="26"/>
  <c r="Y397" i="26"/>
  <c r="Z397" i="26"/>
  <c r="Y398" i="26"/>
  <c r="Z398" i="26"/>
  <c r="Y399" i="26"/>
  <c r="Z399" i="26"/>
  <c r="Y400" i="26"/>
  <c r="Z400" i="26"/>
  <c r="Y401" i="26"/>
  <c r="Z401" i="26"/>
  <c r="Y402" i="26"/>
  <c r="Z402" i="26"/>
  <c r="Y403" i="26"/>
  <c r="Z403" i="26"/>
  <c r="Y404" i="26"/>
  <c r="Z404" i="26"/>
  <c r="Y405" i="26"/>
  <c r="Z405" i="26"/>
  <c r="Y406" i="26"/>
  <c r="Y407" i="26"/>
  <c r="Z406" i="26"/>
  <c r="Y408" i="26"/>
  <c r="Z407" i="26"/>
  <c r="Y409" i="26"/>
  <c r="Z408" i="26"/>
  <c r="Y410" i="26"/>
  <c r="Z409" i="26"/>
  <c r="Z410" i="26"/>
  <c r="Y411" i="26"/>
  <c r="Z411" i="26"/>
  <c r="Y412" i="26"/>
  <c r="Y413" i="26"/>
  <c r="Z412" i="26"/>
  <c r="Z413" i="26"/>
  <c r="Y414" i="26"/>
  <c r="Y415" i="26"/>
  <c r="Z414" i="26"/>
  <c r="Y416" i="26"/>
  <c r="Z415" i="26"/>
  <c r="Y417" i="26"/>
  <c r="Z416" i="26"/>
  <c r="Z417" i="26"/>
  <c r="Y418" i="26"/>
  <c r="Z418" i="26"/>
  <c r="Y419" i="26"/>
  <c r="Y420" i="26"/>
  <c r="Z419" i="26"/>
  <c r="Z420" i="26"/>
  <c r="Y421" i="26"/>
  <c r="Y422" i="26"/>
  <c r="Z421" i="26"/>
  <c r="Y423" i="26"/>
  <c r="Z422" i="26"/>
  <c r="Z423" i="26"/>
  <c r="Y424" i="26"/>
  <c r="Y425" i="26"/>
  <c r="Z424" i="26"/>
  <c r="Y426" i="26"/>
  <c r="Z425" i="26"/>
  <c r="Z426" i="26"/>
  <c r="Y427" i="26"/>
  <c r="Z427" i="26"/>
  <c r="Y428" i="26"/>
  <c r="Y429" i="26"/>
  <c r="Z428" i="26"/>
  <c r="Y430" i="26"/>
  <c r="Z429" i="26"/>
  <c r="Y431" i="26"/>
  <c r="Z430" i="26"/>
  <c r="Z431" i="26"/>
  <c r="Y432" i="26"/>
  <c r="Z432" i="26"/>
  <c r="Y433" i="26"/>
  <c r="Y434" i="26"/>
  <c r="Z433" i="26"/>
  <c r="Z434" i="26"/>
  <c r="Y435" i="26"/>
  <c r="Z435" i="26"/>
  <c r="Y436" i="26"/>
  <c r="Z436" i="26"/>
  <c r="Y437" i="26"/>
  <c r="Z437" i="26"/>
  <c r="Y438" i="26"/>
  <c r="Y439" i="26"/>
  <c r="Z438" i="26"/>
  <c r="Z439" i="26"/>
  <c r="Y440" i="26"/>
  <c r="Z440" i="26"/>
  <c r="Y441" i="26"/>
  <c r="Y442" i="26"/>
  <c r="Z441" i="26"/>
  <c r="Y443" i="26"/>
  <c r="Z442" i="26"/>
  <c r="Y444" i="26"/>
  <c r="Z443" i="26"/>
  <c r="Z444" i="26"/>
  <c r="Y445" i="26"/>
  <c r="Y446" i="26"/>
  <c r="Z445" i="26"/>
  <c r="Y447" i="26"/>
  <c r="Z446" i="26"/>
  <c r="Z447" i="26"/>
  <c r="Y448" i="26"/>
  <c r="Z448" i="26"/>
  <c r="Y449" i="26"/>
  <c r="Y450" i="26"/>
  <c r="Z449" i="26"/>
  <c r="Z450" i="26"/>
  <c r="Y451" i="26"/>
  <c r="Z451" i="26"/>
  <c r="Y452" i="26"/>
  <c r="Z452" i="26"/>
  <c r="Y453" i="26"/>
  <c r="Y454" i="26"/>
  <c r="Z453" i="26"/>
  <c r="Z454" i="26"/>
  <c r="Y455" i="26"/>
  <c r="Z455" i="26"/>
  <c r="Y456" i="26"/>
  <c r="Y457" i="26"/>
  <c r="Z456" i="26"/>
  <c r="Y458" i="26"/>
  <c r="Z457" i="26"/>
  <c r="Z458" i="26"/>
  <c r="Y459" i="26"/>
  <c r="Y460" i="26"/>
  <c r="Z459" i="26"/>
  <c r="Z460" i="26"/>
  <c r="Y461" i="26"/>
  <c r="Z461" i="26"/>
  <c r="Y462" i="26"/>
  <c r="Y463" i="26"/>
  <c r="Z462" i="26"/>
  <c r="Y464" i="26"/>
  <c r="Z463" i="26"/>
  <c r="Y465" i="26"/>
  <c r="Z464" i="26"/>
  <c r="Y466" i="26"/>
  <c r="Z465" i="26"/>
  <c r="Z466" i="26"/>
  <c r="Y467" i="26"/>
  <c r="Y468" i="26"/>
  <c r="Z467" i="26"/>
  <c r="Z468" i="26"/>
  <c r="Y469" i="26"/>
  <c r="Z469" i="26"/>
  <c r="Y470" i="26"/>
  <c r="Y471" i="26"/>
  <c r="Z470" i="26"/>
  <c r="Y472" i="26"/>
  <c r="Z471" i="26"/>
  <c r="Z472" i="26"/>
  <c r="Y473" i="26"/>
  <c r="Y474" i="26"/>
  <c r="Z473" i="26"/>
  <c r="Z474" i="26"/>
  <c r="Y475" i="26"/>
  <c r="Z475" i="26"/>
  <c r="Y476" i="26"/>
  <c r="Z476" i="26"/>
  <c r="Y477" i="26"/>
  <c r="Y478" i="26"/>
  <c r="Z477" i="26"/>
  <c r="Y479" i="26"/>
  <c r="Z478" i="26"/>
  <c r="Y480" i="26"/>
  <c r="Z479" i="26"/>
  <c r="Y481" i="26"/>
  <c r="Z480" i="26"/>
  <c r="Z481" i="26"/>
  <c r="Y482" i="26"/>
  <c r="Y483" i="26"/>
  <c r="Z482" i="26"/>
  <c r="Z483" i="26"/>
  <c r="Y484" i="26"/>
  <c r="Z484" i="26"/>
  <c r="Y485" i="26"/>
  <c r="Y486" i="26"/>
  <c r="Z485" i="26"/>
  <c r="Z486" i="26"/>
  <c r="Y487" i="26"/>
  <c r="Z487" i="26"/>
  <c r="Y488" i="26"/>
  <c r="Y489" i="26"/>
  <c r="Z488" i="26"/>
  <c r="Z489" i="26"/>
  <c r="Y490" i="26"/>
  <c r="Z490" i="26"/>
  <c r="Y491" i="26"/>
  <c r="Z491" i="26"/>
  <c r="Y492" i="26"/>
  <c r="Z492" i="26"/>
  <c r="Y493" i="26"/>
  <c r="Z493" i="26"/>
  <c r="Y494" i="26"/>
  <c r="Z494" i="26"/>
  <c r="Y495" i="26"/>
  <c r="Z495" i="26"/>
  <c r="Y496" i="26"/>
  <c r="Z496" i="26"/>
  <c r="Y497" i="26"/>
  <c r="Y498" i="26"/>
  <c r="Z497" i="26"/>
  <c r="Z498" i="26"/>
  <c r="Y499" i="26"/>
  <c r="Y500" i="26"/>
  <c r="Z499" i="26"/>
  <c r="Y501" i="26"/>
  <c r="Z500" i="26"/>
  <c r="Y502" i="26"/>
  <c r="Z501" i="26"/>
  <c r="Z502" i="26"/>
  <c r="Y503" i="26"/>
  <c r="Y504" i="26"/>
  <c r="Z503" i="26"/>
  <c r="Y505" i="26"/>
  <c r="Z504" i="26"/>
  <c r="Y506" i="26"/>
  <c r="Z505" i="26"/>
  <c r="Z506" i="26"/>
  <c r="Y507" i="26"/>
  <c r="Y508" i="26"/>
  <c r="Z507" i="26"/>
  <c r="Y509" i="26"/>
  <c r="Z508" i="26"/>
  <c r="Y510" i="26"/>
  <c r="Z509" i="26"/>
  <c r="Z510" i="26"/>
  <c r="Y511" i="26"/>
  <c r="Y512" i="26"/>
  <c r="Z511" i="26"/>
  <c r="Z512" i="26"/>
  <c r="Y513" i="26"/>
  <c r="Z513" i="26"/>
  <c r="Y514" i="26"/>
  <c r="Y515" i="26"/>
  <c r="Z514" i="26"/>
  <c r="Z515" i="26"/>
  <c r="Y516" i="26"/>
  <c r="Z516" i="26"/>
  <c r="Y517" i="26"/>
  <c r="Z517" i="26"/>
  <c r="Y518" i="26"/>
  <c r="Y519" i="26"/>
  <c r="Z518" i="26"/>
  <c r="Y520" i="26"/>
  <c r="Z519" i="26"/>
  <c r="Z520" i="26"/>
  <c r="Y521" i="26"/>
  <c r="Y522" i="26"/>
  <c r="Z521" i="26"/>
  <c r="Z522" i="26"/>
  <c r="Y523" i="26"/>
  <c r="Z523" i="26"/>
  <c r="Y524" i="26"/>
  <c r="Y525" i="26"/>
  <c r="Z524" i="26"/>
  <c r="Z525" i="26"/>
  <c r="Y526" i="26"/>
  <c r="Y527" i="26"/>
  <c r="Z526" i="26"/>
  <c r="Z527" i="26"/>
  <c r="Y528" i="26"/>
  <c r="Z528" i="26"/>
  <c r="Y529" i="26"/>
  <c r="Y530" i="26"/>
  <c r="Z529" i="26"/>
  <c r="Y531" i="26"/>
  <c r="Z530" i="26"/>
  <c r="Y532" i="26"/>
  <c r="Z531" i="26"/>
  <c r="Z532" i="26"/>
  <c r="Y533" i="26"/>
  <c r="Y534" i="26"/>
  <c r="Z533" i="26"/>
  <c r="Z534" i="26"/>
  <c r="Y535" i="26"/>
  <c r="Y536" i="26"/>
  <c r="Z535" i="26"/>
  <c r="Y537" i="26"/>
  <c r="Z536" i="26"/>
  <c r="Y538" i="26"/>
  <c r="Z537" i="26"/>
  <c r="Z538" i="26"/>
  <c r="Y539" i="26"/>
  <c r="Y540" i="26"/>
  <c r="Z539" i="26"/>
  <c r="Z540" i="26"/>
  <c r="Y541" i="26"/>
  <c r="Y542" i="26"/>
  <c r="Z541" i="26"/>
  <c r="Y543" i="26"/>
  <c r="Z542" i="26"/>
  <c r="Z543" i="26"/>
  <c r="Y544" i="26"/>
  <c r="Z544" i="26"/>
  <c r="Y545" i="26"/>
  <c r="Y546" i="26"/>
  <c r="Z545" i="26"/>
  <c r="Y547" i="26"/>
  <c r="Z546" i="26"/>
  <c r="Y548" i="26"/>
  <c r="Z547" i="26"/>
  <c r="Z548" i="26"/>
  <c r="Y549" i="26"/>
  <c r="Z549" i="26"/>
  <c r="Y550" i="26"/>
  <c r="Y551" i="26"/>
  <c r="Z550" i="26"/>
  <c r="Z551" i="26"/>
  <c r="Y552" i="26"/>
  <c r="Z552" i="26"/>
  <c r="Y553" i="26"/>
  <c r="Y554" i="26"/>
  <c r="Z553" i="26"/>
  <c r="Y555" i="26"/>
  <c r="Z554" i="26"/>
  <c r="Y556" i="26"/>
  <c r="Z555" i="26"/>
  <c r="Z556" i="26"/>
  <c r="Y557" i="26"/>
  <c r="Y558" i="26"/>
  <c r="Z557" i="26"/>
  <c r="Z558" i="26"/>
  <c r="Y559" i="26"/>
  <c r="Y560" i="26"/>
  <c r="Z559" i="26"/>
  <c r="Y561" i="26"/>
  <c r="Z560" i="26"/>
  <c r="Z561" i="26"/>
  <c r="Y562" i="26"/>
  <c r="Y563" i="26"/>
  <c r="Z562" i="26"/>
  <c r="Y564" i="26"/>
  <c r="Z563" i="26"/>
  <c r="Y565" i="26"/>
  <c r="Z564" i="26"/>
  <c r="Y566" i="26"/>
  <c r="Z565" i="26"/>
  <c r="Y567" i="26"/>
  <c r="Z566" i="26"/>
  <c r="Y568" i="26"/>
  <c r="Z567" i="26"/>
  <c r="Z568" i="26"/>
  <c r="Y569" i="26"/>
  <c r="Z569" i="26"/>
  <c r="Y570" i="26"/>
  <c r="Z570" i="26"/>
  <c r="Y571" i="26"/>
  <c r="Z571" i="26"/>
  <c r="Y572" i="26"/>
  <c r="Z572" i="26"/>
  <c r="Y573" i="26"/>
  <c r="Z573" i="26"/>
  <c r="Y574" i="26"/>
  <c r="Y575" i="26"/>
  <c r="Z574" i="26"/>
  <c r="Y576" i="26"/>
  <c r="Z575" i="26"/>
  <c r="Z576" i="26"/>
  <c r="Y577" i="26"/>
  <c r="Z577" i="26"/>
  <c r="Y578" i="26"/>
  <c r="Z578" i="26"/>
  <c r="Y579" i="26"/>
  <c r="Z579" i="26"/>
  <c r="Y580" i="26"/>
  <c r="Y581" i="26"/>
  <c r="Z580" i="26"/>
  <c r="Y582" i="26"/>
  <c r="Z581" i="26"/>
  <c r="Y583" i="26"/>
  <c r="Z582" i="26"/>
  <c r="Z583" i="26"/>
  <c r="Y584" i="26"/>
  <c r="Z584" i="26"/>
  <c r="Y585" i="26"/>
  <c r="Y586" i="26"/>
  <c r="Z585" i="26"/>
  <c r="Y587" i="26"/>
  <c r="Z586" i="26"/>
  <c r="Z587" i="26"/>
  <c r="Y588" i="26"/>
  <c r="Y589" i="26"/>
  <c r="Z588" i="26"/>
  <c r="Y590" i="26"/>
  <c r="Z589" i="26"/>
  <c r="Z590" i="26"/>
  <c r="Y591" i="26"/>
  <c r="Z591" i="26"/>
  <c r="Y592" i="26"/>
  <c r="Y593" i="26"/>
  <c r="Z592" i="26"/>
  <c r="Y594" i="26"/>
  <c r="Z593" i="26"/>
  <c r="Z594" i="26"/>
  <c r="Y595" i="26"/>
  <c r="Y596" i="26"/>
  <c r="Z595" i="26"/>
  <c r="Y597" i="26"/>
  <c r="Z596" i="26"/>
  <c r="Z597" i="26"/>
  <c r="Y598" i="26"/>
  <c r="Y599" i="26"/>
  <c r="Z598" i="26"/>
  <c r="Z599" i="26"/>
  <c r="Y600" i="26"/>
  <c r="Z600" i="26"/>
  <c r="Y601" i="26"/>
  <c r="Z601" i="26"/>
  <c r="Y602" i="26"/>
  <c r="Z602" i="26"/>
  <c r="Y603" i="26"/>
  <c r="Z603" i="26"/>
  <c r="Y604" i="26"/>
  <c r="Z604" i="26"/>
  <c r="Y605" i="26"/>
  <c r="Y606" i="26"/>
  <c r="Z605" i="26"/>
  <c r="Z606" i="26"/>
  <c r="Y607" i="26"/>
  <c r="Z607" i="26"/>
  <c r="Y608" i="26"/>
  <c r="Z608" i="26"/>
  <c r="Y609" i="26"/>
  <c r="Z609" i="26"/>
  <c r="Y610" i="26"/>
  <c r="Y611" i="26"/>
  <c r="Z610" i="26"/>
  <c r="Z611" i="26"/>
  <c r="Y612" i="26"/>
  <c r="Z612" i="26"/>
  <c r="Y613" i="26"/>
  <c r="Y614" i="26"/>
  <c r="Z613" i="26"/>
  <c r="Y615" i="26"/>
  <c r="Z614" i="26"/>
  <c r="Z615" i="26"/>
  <c r="Y616" i="26"/>
  <c r="Z616" i="26"/>
  <c r="Y617" i="26"/>
  <c r="Z617" i="26"/>
  <c r="Y618" i="26"/>
  <c r="Z618" i="26"/>
  <c r="Y619" i="26"/>
  <c r="Y620" i="26"/>
  <c r="Z619" i="26"/>
  <c r="Z620" i="26"/>
  <c r="Y621" i="26"/>
  <c r="Z621" i="26"/>
  <c r="Y622" i="26"/>
  <c r="Y623" i="26"/>
  <c r="Z622" i="26"/>
  <c r="Y624" i="26"/>
  <c r="Z623" i="26"/>
  <c r="Y625" i="26"/>
  <c r="Z624" i="26"/>
  <c r="Z625" i="26"/>
  <c r="Y626" i="26"/>
  <c r="Y627" i="26"/>
  <c r="Z626" i="26"/>
  <c r="Y628" i="26"/>
  <c r="Z627" i="26"/>
  <c r="Y629" i="26"/>
  <c r="Z628" i="26"/>
  <c r="Y630" i="26"/>
  <c r="Z629" i="26"/>
  <c r="Y631" i="26"/>
  <c r="Z630" i="26"/>
  <c r="Z631" i="26"/>
  <c r="Y632" i="26"/>
  <c r="Y633" i="26"/>
  <c r="Z632" i="26"/>
  <c r="Z633" i="26"/>
  <c r="Y634" i="26"/>
  <c r="Z634" i="26"/>
  <c r="Y635" i="26"/>
  <c r="Z635" i="26"/>
  <c r="Y636" i="26"/>
  <c r="Y637" i="26"/>
  <c r="Z636" i="26"/>
  <c r="Y638" i="26"/>
  <c r="Z637" i="26"/>
  <c r="Z638" i="26"/>
  <c r="Y639" i="26"/>
  <c r="Z639" i="26"/>
  <c r="Y640" i="26"/>
  <c r="Y641" i="26"/>
  <c r="Z640" i="26"/>
  <c r="Y642" i="26"/>
  <c r="Z641" i="26"/>
  <c r="Z642" i="26"/>
  <c r="Y643" i="26"/>
  <c r="Z643" i="26"/>
  <c r="Y644" i="26"/>
  <c r="Y645" i="26"/>
  <c r="Z644" i="26"/>
  <c r="Z645" i="26"/>
  <c r="Y646" i="26"/>
  <c r="Y647" i="26"/>
  <c r="Z646" i="26"/>
  <c r="Z647" i="26"/>
  <c r="Y648" i="26"/>
  <c r="Y649" i="26"/>
  <c r="Z648" i="26"/>
  <c r="Y650" i="26"/>
  <c r="Z649" i="26"/>
  <c r="Y651" i="26"/>
  <c r="Z650" i="26"/>
  <c r="Y652" i="26"/>
  <c r="Z651" i="26"/>
  <c r="Z652" i="26"/>
  <c r="Y653" i="26"/>
  <c r="Z653" i="26"/>
  <c r="Y654" i="26"/>
  <c r="Z654" i="26"/>
  <c r="Y655" i="26"/>
  <c r="Y656" i="26"/>
  <c r="Z655" i="26"/>
  <c r="Y657" i="26"/>
  <c r="Z656" i="26"/>
  <c r="Z657" i="26"/>
  <c r="Y658" i="26"/>
  <c r="Y659" i="26"/>
  <c r="Z658" i="26"/>
  <c r="Z659" i="26"/>
  <c r="Y660" i="26"/>
  <c r="Y661" i="26"/>
  <c r="Z660" i="26"/>
  <c r="Y662" i="26"/>
  <c r="Z661" i="26"/>
  <c r="Z662" i="26"/>
  <c r="Y663" i="26"/>
  <c r="Z663" i="26"/>
  <c r="Y664" i="26"/>
  <c r="Z664" i="26"/>
  <c r="Y665" i="26"/>
  <c r="Y666" i="26"/>
  <c r="Z665" i="26"/>
  <c r="Y667" i="26"/>
  <c r="Z666" i="26"/>
  <c r="Z667" i="26"/>
  <c r="Y668" i="26"/>
  <c r="Z668" i="26"/>
  <c r="Y669" i="26"/>
  <c r="Y670" i="26"/>
  <c r="Z669" i="26"/>
  <c r="Z670" i="26"/>
  <c r="Y671" i="26"/>
  <c r="Y672" i="26"/>
  <c r="Z671" i="26"/>
  <c r="Z672" i="26"/>
  <c r="Y673" i="26"/>
  <c r="Z673" i="26"/>
  <c r="Y674" i="26"/>
  <c r="Y675" i="26"/>
  <c r="Z674" i="26"/>
  <c r="Z675" i="26"/>
  <c r="Y676" i="26"/>
  <c r="Z676" i="26"/>
  <c r="Y677" i="26"/>
  <c r="Z677" i="26"/>
  <c r="Y678" i="26"/>
  <c r="Z678" i="26"/>
  <c r="Y679" i="26"/>
  <c r="Z679" i="26"/>
  <c r="Y680" i="26"/>
  <c r="Z680" i="26"/>
  <c r="Y681" i="26"/>
  <c r="Y682" i="26"/>
  <c r="Z681" i="26"/>
  <c r="Z682" i="26"/>
  <c r="Y683" i="26"/>
  <c r="Y684" i="26"/>
  <c r="Z683" i="26"/>
  <c r="Y685" i="26"/>
  <c r="Z684" i="26"/>
  <c r="Z685" i="26"/>
  <c r="Y686" i="26"/>
  <c r="Y687" i="26"/>
  <c r="Z686" i="26"/>
  <c r="Y688" i="26"/>
  <c r="Z687" i="26"/>
  <c r="Y689" i="26"/>
  <c r="Z688" i="26"/>
  <c r="Z689" i="26"/>
  <c r="Y690" i="26"/>
  <c r="Z690" i="26"/>
  <c r="Y691" i="26"/>
  <c r="Y692" i="26"/>
  <c r="Z691" i="26"/>
  <c r="Y693" i="26"/>
  <c r="Z692" i="26"/>
  <c r="Y694" i="26"/>
  <c r="Z693" i="26"/>
  <c r="Z694" i="26"/>
  <c r="Y695" i="26"/>
  <c r="Y696" i="26"/>
  <c r="Z695" i="26"/>
  <c r="Y697" i="26"/>
  <c r="Z696" i="26"/>
  <c r="Z697" i="26"/>
  <c r="Y698" i="26"/>
  <c r="Y699" i="26"/>
  <c r="Z698" i="26"/>
  <c r="Z699" i="26"/>
  <c r="Y700" i="26"/>
  <c r="Y701" i="26"/>
  <c r="Z700" i="26"/>
  <c r="Z701" i="26"/>
  <c r="Y702" i="26"/>
  <c r="Y703" i="26"/>
  <c r="Z702" i="26"/>
  <c r="Y704" i="26"/>
  <c r="Z703" i="26"/>
  <c r="Z704" i="26"/>
  <c r="Y705" i="26"/>
  <c r="Y706" i="26"/>
  <c r="Z705" i="26"/>
  <c r="Z706" i="26"/>
  <c r="Y707" i="26"/>
  <c r="Z707" i="26"/>
  <c r="Y708" i="26"/>
  <c r="Z708" i="26"/>
  <c r="Y709" i="26"/>
  <c r="Y710" i="26"/>
  <c r="Z709" i="26"/>
  <c r="Z710" i="26"/>
  <c r="Y711" i="26"/>
  <c r="Z711" i="26"/>
  <c r="Y712" i="26"/>
  <c r="Y713" i="26"/>
  <c r="Z712" i="26"/>
  <c r="Z713" i="26"/>
  <c r="Y714" i="26"/>
  <c r="Y715" i="26"/>
  <c r="Z714" i="26"/>
  <c r="Y716" i="26"/>
  <c r="Z715" i="26"/>
  <c r="Z716" i="26"/>
  <c r="Y717" i="26"/>
  <c r="Y718" i="26"/>
  <c r="Z717" i="26"/>
  <c r="Z718" i="26"/>
  <c r="Y719" i="26"/>
  <c r="Y720" i="26"/>
  <c r="Z719" i="26"/>
  <c r="Z720" i="26"/>
  <c r="Y721" i="26"/>
  <c r="Z721" i="26"/>
  <c r="Y722" i="26"/>
  <c r="Y723" i="26"/>
  <c r="Z722" i="26"/>
  <c r="Z723" i="26"/>
  <c r="Y724" i="26"/>
  <c r="Z724" i="26"/>
  <c r="Y725" i="26"/>
  <c r="Y726" i="26"/>
  <c r="Z725" i="26"/>
  <c r="Y727" i="26"/>
  <c r="Z726" i="26"/>
  <c r="Z727" i="26"/>
  <c r="Y728" i="26"/>
  <c r="Z728" i="26"/>
  <c r="Y729" i="26"/>
  <c r="Y730" i="26"/>
  <c r="Z729" i="26"/>
  <c r="Y731" i="26"/>
  <c r="Z730" i="26"/>
  <c r="Y732" i="26"/>
  <c r="Z731" i="26"/>
  <c r="Y733" i="26"/>
  <c r="Z732" i="26"/>
  <c r="Y734" i="26"/>
  <c r="Z733" i="26"/>
  <c r="Z734" i="26"/>
  <c r="Y735" i="26"/>
  <c r="Z735" i="26"/>
  <c r="Y736" i="26"/>
  <c r="Z736" i="26"/>
  <c r="Y737" i="26"/>
  <c r="Z737" i="26"/>
  <c r="Y738" i="26"/>
  <c r="Y739" i="26"/>
  <c r="Z738" i="26"/>
  <c r="Y740" i="26"/>
  <c r="Z739" i="26"/>
  <c r="Y741" i="26"/>
  <c r="Z740" i="26"/>
  <c r="Z741" i="26"/>
  <c r="Y742" i="26"/>
  <c r="Z742" i="26"/>
  <c r="Y743" i="26"/>
  <c r="Y744" i="26"/>
  <c r="Z743" i="26"/>
  <c r="Z744" i="26"/>
  <c r="Y745" i="26"/>
  <c r="Y746" i="26"/>
  <c r="Z745" i="26"/>
  <c r="Z746" i="26"/>
  <c r="Y747" i="26"/>
  <c r="Y748" i="26"/>
  <c r="Z747" i="26"/>
  <c r="Y749" i="26"/>
  <c r="Z748" i="26"/>
  <c r="Y750" i="26"/>
  <c r="Z749" i="26"/>
  <c r="Z750" i="26"/>
  <c r="Y751" i="26"/>
  <c r="Y752" i="26"/>
  <c r="Z751" i="26"/>
  <c r="Z752" i="26"/>
  <c r="Y753" i="26"/>
  <c r="Y754" i="26"/>
  <c r="Z753" i="26"/>
  <c r="Z754" i="26"/>
  <c r="Y755" i="26"/>
  <c r="Y756" i="26"/>
  <c r="Z755" i="26"/>
  <c r="Z756" i="26"/>
  <c r="Y757" i="26"/>
  <c r="Z757" i="26"/>
  <c r="Y758" i="26"/>
  <c r="Z758" i="26"/>
  <c r="Y759" i="26"/>
  <c r="Z759" i="26"/>
  <c r="Y760" i="26"/>
  <c r="Z760" i="26"/>
  <c r="Y761" i="26"/>
  <c r="Z761" i="26"/>
  <c r="Y762" i="26"/>
  <c r="Y763" i="26"/>
  <c r="Z762" i="26"/>
  <c r="Z763" i="26"/>
  <c r="Y764" i="26"/>
  <c r="Y765" i="26"/>
  <c r="Z764" i="26"/>
  <c r="Y766" i="26"/>
  <c r="Z765" i="26"/>
  <c r="Y767" i="26"/>
  <c r="Z766" i="26"/>
  <c r="Y768" i="26"/>
  <c r="Z767" i="26"/>
  <c r="Z768" i="26"/>
  <c r="Y769" i="26"/>
  <c r="Y770" i="26"/>
  <c r="Z769" i="26"/>
  <c r="Z770" i="26"/>
  <c r="Y771" i="26"/>
  <c r="Z771" i="26"/>
  <c r="Y772" i="26"/>
  <c r="Y773" i="26"/>
  <c r="Z772" i="26"/>
  <c r="Z773" i="26"/>
  <c r="Y774" i="26"/>
  <c r="Y775" i="26"/>
  <c r="Z774" i="26"/>
  <c r="Y776" i="26"/>
  <c r="Z775" i="26"/>
  <c r="Y777" i="26"/>
  <c r="Z776" i="26"/>
  <c r="Y778" i="26"/>
  <c r="Z777" i="26"/>
  <c r="Z778" i="26"/>
  <c r="Y779" i="26"/>
  <c r="Z779" i="26"/>
  <c r="Y780" i="26"/>
  <c r="Z780" i="26"/>
  <c r="Y781" i="26"/>
  <c r="Z781" i="26"/>
  <c r="Y782" i="26"/>
  <c r="Y783" i="26"/>
  <c r="Z782" i="26"/>
  <c r="Z783" i="26"/>
  <c r="Y784" i="26"/>
  <c r="Z784" i="26"/>
  <c r="Y785" i="26"/>
  <c r="Z785" i="26"/>
  <c r="Y786" i="26"/>
  <c r="Z786" i="26"/>
  <c r="Y787" i="26"/>
  <c r="Y788" i="26"/>
  <c r="Z787" i="26"/>
  <c r="Y789" i="26"/>
  <c r="Z788" i="26"/>
  <c r="Y790" i="26"/>
  <c r="Z789" i="26"/>
  <c r="Z790" i="26"/>
  <c r="Y791" i="26"/>
  <c r="Y792" i="26"/>
  <c r="Z791" i="26"/>
  <c r="Y793" i="26"/>
  <c r="Z792" i="26"/>
  <c r="Z793" i="26"/>
  <c r="Y794" i="26"/>
  <c r="Y795" i="26"/>
  <c r="Z794" i="26"/>
  <c r="Z795" i="26"/>
  <c r="Y796" i="26"/>
  <c r="Z796" i="26"/>
  <c r="Y797" i="26"/>
  <c r="Z797" i="26"/>
  <c r="Y798" i="26"/>
  <c r="Y799" i="26"/>
  <c r="Z798" i="26"/>
  <c r="Z799" i="26"/>
  <c r="Y800" i="26"/>
  <c r="Z800" i="26"/>
  <c r="Y801" i="26"/>
  <c r="Y802" i="26"/>
  <c r="Z801" i="26"/>
  <c r="Z802" i="26"/>
  <c r="Y803" i="26"/>
  <c r="Y804" i="26"/>
  <c r="Z803" i="26"/>
  <c r="Y805" i="26"/>
  <c r="Z804" i="26"/>
  <c r="Z805" i="26"/>
  <c r="Y806" i="26"/>
  <c r="Y807" i="26"/>
  <c r="Z806" i="26"/>
  <c r="Y808" i="26"/>
  <c r="Z807" i="26"/>
  <c r="Z808" i="26"/>
  <c r="Y809" i="26"/>
  <c r="Y810" i="26"/>
  <c r="Z809" i="26"/>
  <c r="Z810" i="26"/>
  <c r="Y811" i="26"/>
  <c r="Y812" i="26"/>
  <c r="Z811" i="26"/>
  <c r="Z812" i="26"/>
  <c r="Y813" i="26"/>
  <c r="Z813" i="26"/>
  <c r="Y814" i="26"/>
  <c r="Z814" i="26"/>
  <c r="Y815" i="26"/>
  <c r="Y816" i="26"/>
  <c r="Z815" i="26"/>
  <c r="Y817" i="26"/>
  <c r="Z816" i="26"/>
  <c r="Y818" i="26"/>
  <c r="Z817" i="26"/>
  <c r="Z818" i="26"/>
  <c r="Y819" i="26"/>
  <c r="Z819" i="26"/>
  <c r="Y820" i="26"/>
  <c r="Y821" i="26"/>
  <c r="Z820" i="26"/>
  <c r="Z821" i="26"/>
  <c r="Y822" i="26"/>
  <c r="Y823" i="26"/>
  <c r="Z822" i="26"/>
  <c r="Z823" i="26"/>
  <c r="Y824" i="26"/>
  <c r="Z824" i="26"/>
  <c r="Y825" i="26"/>
  <c r="Z825" i="26"/>
  <c r="Y826" i="26"/>
  <c r="Y827" i="26"/>
  <c r="Z826" i="26"/>
  <c r="Y828" i="26"/>
  <c r="Z827" i="26"/>
  <c r="Z828" i="26"/>
  <c r="Y829" i="26"/>
  <c r="Y830" i="26"/>
  <c r="Z829" i="26"/>
  <c r="Y831" i="26"/>
  <c r="Z830" i="26"/>
  <c r="Z831" i="26"/>
  <c r="Y832" i="26"/>
  <c r="Z832" i="26"/>
  <c r="Y833" i="26"/>
  <c r="Z833" i="26"/>
  <c r="Y834" i="26"/>
  <c r="Y835" i="26"/>
  <c r="Z834" i="26"/>
  <c r="Y836" i="26"/>
  <c r="Z835" i="26"/>
  <c r="Z836" i="26"/>
  <c r="Y837" i="26"/>
  <c r="Z837" i="26"/>
  <c r="Y838" i="26"/>
  <c r="Z838" i="26"/>
  <c r="Y839" i="26"/>
  <c r="Y840" i="26"/>
  <c r="Z839" i="26"/>
  <c r="Y841" i="26"/>
  <c r="Z840" i="26"/>
  <c r="Z841" i="26"/>
  <c r="Y842" i="26"/>
  <c r="Z842" i="26"/>
  <c r="Y843" i="26"/>
  <c r="Z843" i="26"/>
  <c r="Y844" i="26"/>
  <c r="Y845" i="26"/>
  <c r="Z844" i="26"/>
  <c r="Z845" i="26"/>
  <c r="Y846" i="26"/>
  <c r="Z846" i="26"/>
  <c r="Y847" i="26"/>
  <c r="Y848" i="26"/>
  <c r="Z847" i="26"/>
  <c r="Z848" i="26"/>
  <c r="Y849" i="26"/>
  <c r="Z849" i="26"/>
  <c r="Y850" i="26"/>
  <c r="Y851" i="26"/>
  <c r="Z850" i="26"/>
  <c r="Z851" i="26"/>
  <c r="Y852" i="26"/>
  <c r="Z852" i="26"/>
  <c r="Y853" i="26"/>
  <c r="Y854" i="26"/>
  <c r="Z853" i="26"/>
  <c r="Y855" i="26"/>
  <c r="Z854" i="26"/>
  <c r="Y856" i="26"/>
  <c r="Z855" i="26"/>
  <c r="Y857" i="26"/>
  <c r="Z856" i="26"/>
  <c r="Z857" i="26"/>
  <c r="Y858" i="26"/>
  <c r="Y859" i="26"/>
  <c r="Z858" i="26"/>
  <c r="Z859" i="26"/>
  <c r="Y860" i="26"/>
  <c r="Y861" i="26"/>
  <c r="Z860" i="26"/>
  <c r="Z861" i="26"/>
  <c r="Y862" i="26"/>
  <c r="Y863" i="26"/>
  <c r="Z862" i="26"/>
  <c r="Y864" i="26"/>
  <c r="Z863" i="26"/>
  <c r="Z864" i="26"/>
  <c r="Y865" i="26"/>
  <c r="Z865" i="26"/>
  <c r="Y866" i="26"/>
  <c r="Z866" i="26"/>
  <c r="Y867" i="26"/>
  <c r="Y868" i="26"/>
  <c r="Z867" i="26"/>
  <c r="Y869" i="26"/>
  <c r="Z868" i="26"/>
  <c r="Z869" i="26"/>
  <c r="Y870" i="26"/>
  <c r="Y871" i="26"/>
  <c r="Z870" i="26"/>
  <c r="Y872" i="26"/>
  <c r="Z871" i="26"/>
  <c r="Z872" i="26"/>
  <c r="Y873" i="26"/>
  <c r="Y874" i="26"/>
  <c r="Z873" i="26"/>
  <c r="Y875" i="26"/>
  <c r="Z874" i="26"/>
  <c r="Z875" i="26"/>
  <c r="Y876" i="26"/>
  <c r="Y877" i="26"/>
  <c r="Z876" i="26"/>
  <c r="Y878" i="26"/>
  <c r="Z877" i="26"/>
  <c r="Z878" i="26"/>
  <c r="Y879" i="26"/>
  <c r="Z879" i="26"/>
  <c r="Y880" i="26"/>
  <c r="Z880" i="26"/>
  <c r="Y881" i="26"/>
  <c r="Z881" i="26"/>
  <c r="Y882" i="26"/>
  <c r="Y883" i="26"/>
  <c r="Z882" i="26"/>
  <c r="Z883" i="26"/>
  <c r="Y884" i="26"/>
  <c r="Z884" i="26"/>
  <c r="Y885" i="26"/>
  <c r="Z885" i="26"/>
  <c r="Y886" i="26"/>
  <c r="Y887" i="26"/>
  <c r="Z886" i="26"/>
  <c r="Y888" i="26"/>
  <c r="Z887" i="26"/>
  <c r="Y889" i="26"/>
  <c r="Z888" i="26"/>
  <c r="Z889" i="26"/>
  <c r="Y890" i="26"/>
  <c r="Z890" i="26"/>
  <c r="Y891" i="26"/>
  <c r="Y892" i="26"/>
  <c r="Z891" i="26"/>
  <c r="Z892" i="26"/>
  <c r="Y893" i="26"/>
  <c r="Z893" i="26"/>
  <c r="Y894" i="26"/>
  <c r="Y895" i="26"/>
  <c r="Z894" i="26"/>
  <c r="Y896" i="26"/>
  <c r="Z895" i="26"/>
  <c r="Y897" i="26"/>
  <c r="Z896" i="26"/>
  <c r="Z897" i="26"/>
  <c r="Y898" i="26"/>
  <c r="Y899" i="26"/>
  <c r="Z898" i="26"/>
  <c r="Z899" i="26"/>
  <c r="Y900" i="26"/>
  <c r="Z900" i="26"/>
  <c r="Y901" i="26"/>
  <c r="Y902" i="26"/>
  <c r="Z901" i="26"/>
  <c r="Z902" i="26"/>
  <c r="Y903" i="26"/>
  <c r="Y904" i="26"/>
  <c r="Z903" i="26"/>
  <c r="Z904" i="26"/>
  <c r="Y905" i="26"/>
  <c r="Y906" i="26"/>
  <c r="Z905" i="26"/>
  <c r="Y907" i="26"/>
  <c r="Z906" i="26"/>
  <c r="Z907" i="26"/>
  <c r="Y908" i="26"/>
  <c r="Z908" i="26"/>
  <c r="Y909" i="26"/>
  <c r="Z909" i="26"/>
  <c r="Y910" i="26"/>
  <c r="Y911" i="26"/>
  <c r="Z910" i="26"/>
  <c r="Y912" i="26"/>
  <c r="Z911" i="26"/>
  <c r="Z912" i="26"/>
  <c r="Y913" i="26"/>
  <c r="Y914" i="26"/>
  <c r="Z913" i="26"/>
  <c r="Z914" i="26"/>
  <c r="Y915" i="26"/>
  <c r="Y916" i="26"/>
  <c r="Z915" i="26"/>
  <c r="Z916" i="26"/>
  <c r="Y917" i="26"/>
  <c r="Y918" i="26"/>
  <c r="Z917" i="26"/>
  <c r="Y919" i="26"/>
  <c r="Z918" i="26"/>
  <c r="Z919" i="26"/>
  <c r="Y920" i="26"/>
  <c r="Y921" i="26"/>
  <c r="Z920" i="26"/>
  <c r="Z921" i="26"/>
  <c r="Y922" i="26"/>
  <c r="Y923" i="26"/>
  <c r="Z922" i="26"/>
  <c r="Z923" i="26"/>
  <c r="Y924" i="26"/>
  <c r="Z924" i="26"/>
  <c r="Y925" i="26"/>
  <c r="Y926" i="26"/>
  <c r="Z925" i="26"/>
  <c r="Z926" i="26"/>
  <c r="Y927" i="26"/>
  <c r="Z927" i="26"/>
  <c r="Y928" i="26"/>
  <c r="Y929" i="26"/>
  <c r="Z928" i="26"/>
  <c r="Y930" i="26"/>
  <c r="Z929" i="26"/>
  <c r="Z930" i="26"/>
  <c r="Y931" i="26"/>
  <c r="Y932" i="26"/>
  <c r="Z931" i="26"/>
  <c r="Z932" i="26"/>
  <c r="Y933" i="26"/>
  <c r="Y934" i="26"/>
  <c r="Z933" i="26"/>
  <c r="Z934" i="26"/>
  <c r="Y935" i="26"/>
  <c r="Z935" i="26"/>
  <c r="Y936" i="26"/>
  <c r="Z936" i="26"/>
  <c r="Y937" i="26"/>
  <c r="Z937" i="26"/>
  <c r="Y938" i="26"/>
  <c r="Y939" i="26"/>
  <c r="Z938" i="26"/>
  <c r="Y940" i="26"/>
  <c r="Z939" i="26"/>
  <c r="Z940" i="26"/>
  <c r="Y941" i="26"/>
  <c r="Y942" i="26"/>
  <c r="Z941" i="26"/>
  <c r="Z942" i="26"/>
  <c r="Y943" i="26"/>
  <c r="Y944" i="26"/>
  <c r="Z943" i="26"/>
  <c r="Z944" i="26"/>
  <c r="Y945" i="26"/>
  <c r="Z945" i="26"/>
  <c r="Y946" i="26"/>
  <c r="Y947" i="26"/>
  <c r="Z946" i="26"/>
  <c r="Z947" i="26"/>
  <c r="Y948" i="26"/>
  <c r="Z948" i="26"/>
  <c r="Y949" i="26"/>
  <c r="Z949" i="26"/>
  <c r="Y950" i="26"/>
  <c r="Z950" i="26"/>
  <c r="Y951" i="26"/>
  <c r="Y952" i="26"/>
  <c r="Z951" i="26"/>
  <c r="Z952" i="26"/>
  <c r="Y953" i="26"/>
  <c r="Z953" i="26"/>
  <c r="Y954" i="26"/>
  <c r="Y955" i="26"/>
  <c r="Z954" i="26"/>
  <c r="Z955" i="26"/>
  <c r="Y956" i="26"/>
  <c r="Y957" i="26"/>
  <c r="Z956" i="26"/>
  <c r="Y958" i="26"/>
  <c r="Z957" i="26"/>
  <c r="Z958" i="26"/>
  <c r="Y959" i="26"/>
  <c r="Z959" i="26"/>
  <c r="Y960" i="26"/>
  <c r="Z960" i="26"/>
  <c r="Y961" i="26"/>
  <c r="Z961" i="26"/>
  <c r="Y962" i="26"/>
  <c r="Y963" i="26"/>
  <c r="Z962" i="26"/>
  <c r="Y964" i="26"/>
  <c r="Z963" i="26"/>
  <c r="Z964" i="26"/>
  <c r="Y965" i="26"/>
  <c r="Y966" i="26"/>
  <c r="Z965" i="26"/>
  <c r="Y967" i="26"/>
  <c r="Z966" i="26"/>
  <c r="Y968" i="26"/>
  <c r="Z967" i="26"/>
  <c r="Z968" i="26"/>
  <c r="Y969" i="26"/>
  <c r="Z969" i="26"/>
  <c r="Y970" i="26"/>
  <c r="Z970" i="26"/>
  <c r="Y971" i="26"/>
  <c r="Y972" i="26"/>
  <c r="Z971" i="26"/>
  <c r="Y973" i="26"/>
  <c r="Z972" i="26"/>
  <c r="Y974" i="26"/>
  <c r="Z973" i="26"/>
  <c r="Y975" i="26"/>
  <c r="Z974" i="26"/>
  <c r="Y976" i="26"/>
  <c r="Z975" i="26"/>
  <c r="Y977" i="26"/>
  <c r="Z976" i="26"/>
  <c r="Y978" i="26"/>
  <c r="Z977" i="26"/>
  <c r="Z978" i="26"/>
  <c r="Y979" i="26"/>
  <c r="Y980" i="26"/>
  <c r="Z979" i="26"/>
  <c r="Y981" i="26"/>
  <c r="Z980" i="26"/>
  <c r="Z981" i="26"/>
  <c r="Y982" i="26"/>
  <c r="Y983" i="26"/>
  <c r="Z982" i="26"/>
  <c r="Y984" i="26"/>
  <c r="Z983" i="26"/>
  <c r="Z984" i="26"/>
  <c r="Y985" i="26"/>
  <c r="Z985" i="26"/>
  <c r="Y986" i="26"/>
  <c r="Z986" i="26"/>
  <c r="Y987" i="26"/>
  <c r="Y988" i="26"/>
  <c r="Z987" i="26"/>
  <c r="Y989" i="26"/>
  <c r="Z988" i="26"/>
  <c r="Y990" i="26"/>
  <c r="Z989" i="26"/>
  <c r="Y991" i="26"/>
  <c r="Z990" i="26"/>
  <c r="Z991" i="26"/>
  <c r="Y992" i="26"/>
  <c r="Y993" i="26"/>
  <c r="Z992" i="26"/>
  <c r="Z993" i="26"/>
  <c r="Y994" i="26"/>
  <c r="Y995" i="26"/>
  <c r="Z994" i="26"/>
  <c r="Z995" i="26"/>
  <c r="Y996" i="26"/>
  <c r="Y997" i="26"/>
  <c r="Z996" i="26"/>
  <c r="Y998" i="26"/>
  <c r="Z997" i="26"/>
  <c r="Y999" i="26"/>
  <c r="Z998" i="26"/>
  <c r="Z999" i="26"/>
  <c r="Y1000" i="26"/>
  <c r="Y1001" i="26"/>
  <c r="Z1000" i="26"/>
  <c r="Z1001" i="26"/>
  <c r="Y1002" i="26"/>
  <c r="Y1003" i="26"/>
  <c r="Z1002" i="26"/>
  <c r="Z1003" i="26"/>
  <c r="Y1004" i="26"/>
  <c r="Z1004" i="26"/>
  <c r="Y1005" i="26"/>
  <c r="Z1005" i="26"/>
  <c r="Y1006" i="26"/>
  <c r="Y1007" i="26"/>
  <c r="Z1006" i="26"/>
  <c r="Y1008" i="26"/>
  <c r="Z1007" i="26"/>
  <c r="Y1009" i="26"/>
  <c r="Z1008" i="26"/>
  <c r="Y1010" i="26"/>
  <c r="Z1009" i="26"/>
  <c r="Z1010" i="26"/>
  <c r="Y1011" i="26"/>
  <c r="Z1011" i="26"/>
  <c r="Y1012" i="26"/>
  <c r="Y1013" i="26"/>
  <c r="Z1012" i="26"/>
  <c r="Z1013" i="26"/>
  <c r="Y1014" i="26"/>
  <c r="Y1015" i="26"/>
  <c r="Z1014" i="26"/>
  <c r="Y1016" i="26"/>
  <c r="Z1015" i="26"/>
  <c r="Y1017" i="26"/>
  <c r="Z1016" i="26"/>
  <c r="Y1018" i="26"/>
  <c r="Z1017" i="26"/>
  <c r="Z1018" i="26"/>
  <c r="Y1019" i="26"/>
  <c r="Z1019" i="26"/>
  <c r="Y1020" i="26"/>
  <c r="Z1020" i="26"/>
  <c r="Y1021" i="26"/>
  <c r="Z1021" i="26"/>
  <c r="Y1022" i="26"/>
  <c r="Y1023" i="26"/>
  <c r="Z1022" i="26"/>
  <c r="Y1024" i="26"/>
  <c r="Z1023" i="26"/>
  <c r="Y1025" i="26"/>
  <c r="Z1024" i="26"/>
  <c r="Z1025" i="26"/>
  <c r="Y1026" i="26"/>
  <c r="Y1027" i="26"/>
  <c r="Z1026" i="26"/>
  <c r="Y1028" i="26"/>
  <c r="Z1027" i="26"/>
  <c r="Z1028" i="26"/>
  <c r="Y1029" i="26"/>
  <c r="Z1029" i="26"/>
  <c r="Y1030" i="26"/>
  <c r="Z1030" i="26"/>
  <c r="Y1031" i="26"/>
  <c r="Z1031" i="26"/>
  <c r="Y1032" i="26"/>
  <c r="Z1032" i="26"/>
  <c r="Y1033" i="26"/>
  <c r="Z1033" i="26"/>
  <c r="Y1034" i="26"/>
  <c r="Z1034" i="26"/>
  <c r="Y1035" i="26"/>
  <c r="Z1035" i="26"/>
  <c r="Y1036" i="26"/>
  <c r="Z1036" i="26"/>
  <c r="Y1037" i="26"/>
  <c r="Y1038" i="26"/>
  <c r="Z1037" i="26"/>
  <c r="Z1038" i="26"/>
  <c r="Y1039" i="26"/>
  <c r="Z1039" i="26"/>
  <c r="Y1040" i="26"/>
  <c r="Y1041" i="26"/>
  <c r="Z1040" i="26"/>
  <c r="Y1042" i="26"/>
  <c r="Z1041" i="26"/>
  <c r="Z1042" i="26"/>
  <c r="Y1043" i="26"/>
  <c r="Y1044" i="26"/>
  <c r="Z1043" i="26"/>
  <c r="Y1045" i="26"/>
  <c r="Z1044" i="26"/>
  <c r="Z1045" i="26"/>
  <c r="Y1046" i="26"/>
  <c r="Z1046" i="26"/>
  <c r="Y1047" i="26"/>
  <c r="Z1047" i="26"/>
  <c r="Y1048" i="26"/>
  <c r="Y1049" i="26"/>
  <c r="Z1048" i="26"/>
  <c r="Y1050" i="26"/>
  <c r="Z1049" i="26"/>
  <c r="Y1051" i="26"/>
  <c r="Z1050" i="26"/>
  <c r="Z1051" i="26"/>
  <c r="Y1052" i="26"/>
  <c r="Y1053" i="26"/>
  <c r="Z1052" i="26"/>
  <c r="Z1053" i="26"/>
  <c r="Y1054" i="26"/>
  <c r="Y1055" i="26"/>
  <c r="Z1054" i="26"/>
  <c r="Y1056" i="26"/>
  <c r="Z1055" i="26"/>
  <c r="Z1056" i="26"/>
  <c r="Y1057" i="26"/>
  <c r="Z1057" i="26"/>
  <c r="Y1058" i="26"/>
  <c r="Z1058" i="26"/>
  <c r="Y1059" i="26"/>
  <c r="Z1059" i="26"/>
  <c r="Y1060" i="26"/>
  <c r="Y1061" i="26"/>
  <c r="Z1060" i="26"/>
  <c r="Y1062" i="26"/>
  <c r="Z1061" i="26"/>
  <c r="Y1063" i="26"/>
  <c r="Z1062" i="26"/>
  <c r="Y1064" i="26"/>
  <c r="Z1063" i="26"/>
  <c r="Z1064" i="26"/>
  <c r="Y1065" i="26"/>
  <c r="Z1065" i="26"/>
  <c r="Y1066" i="26"/>
  <c r="Z1066" i="26"/>
  <c r="Y1067" i="26"/>
  <c r="Y1068" i="26"/>
  <c r="Z1067" i="26"/>
  <c r="Y1069" i="26"/>
  <c r="Z1068" i="26"/>
  <c r="Z1069" i="26"/>
  <c r="Y1070" i="26"/>
  <c r="Z1070" i="26"/>
  <c r="Y1071" i="26"/>
  <c r="Z1071" i="26"/>
  <c r="Y1072" i="26"/>
  <c r="Y1073" i="26"/>
  <c r="Z1072" i="26"/>
  <c r="Y1074" i="26"/>
  <c r="Z1073" i="26"/>
  <c r="Z1074" i="26"/>
  <c r="Y1075" i="26"/>
  <c r="Y1076" i="26"/>
  <c r="Z1075" i="26"/>
  <c r="Z1076" i="26"/>
  <c r="Y1077" i="26"/>
  <c r="Y1078" i="26"/>
  <c r="Z1077" i="26"/>
  <c r="Y1079" i="26"/>
  <c r="Z1078" i="26"/>
  <c r="Z1079" i="26"/>
  <c r="Y1080" i="26"/>
  <c r="Y1081" i="26"/>
  <c r="Z1080" i="26"/>
  <c r="Z1081" i="26"/>
  <c r="Y1082" i="26"/>
  <c r="Z1082" i="26"/>
  <c r="Y1083" i="26"/>
  <c r="Z1083" i="26"/>
  <c r="Y1084" i="26"/>
  <c r="Y1085" i="26"/>
  <c r="Z1084" i="26"/>
  <c r="Z1085" i="26"/>
  <c r="Y1086" i="26"/>
  <c r="Z1086" i="26"/>
  <c r="Y1087" i="26"/>
  <c r="Y1088" i="26"/>
  <c r="Z1087" i="26"/>
  <c r="Y1089" i="26"/>
  <c r="Z1088" i="26"/>
  <c r="Z1089" i="26"/>
  <c r="Y1090" i="26"/>
  <c r="Y1091" i="26"/>
  <c r="Z1090" i="26"/>
  <c r="Z1091" i="26"/>
  <c r="Y1092" i="26"/>
  <c r="Z1092" i="26"/>
  <c r="Y1093" i="26"/>
  <c r="Y1094" i="26"/>
  <c r="Z1093" i="26"/>
  <c r="Z1094" i="26"/>
  <c r="Y1095" i="26"/>
  <c r="Z1095" i="26"/>
  <c r="Y1096" i="26"/>
  <c r="Z1096" i="26"/>
  <c r="Y1097" i="26"/>
  <c r="Z1097" i="26"/>
  <c r="Y1098" i="26"/>
  <c r="Y1099" i="26"/>
  <c r="Z1098" i="26"/>
  <c r="Z1099" i="26"/>
  <c r="Y1100" i="26"/>
  <c r="Z1100" i="26"/>
  <c r="Y1101" i="26"/>
  <c r="Y1102" i="26"/>
  <c r="Z1101" i="26"/>
  <c r="Y1103" i="26"/>
  <c r="Z1102" i="26"/>
  <c r="Y1104" i="26"/>
  <c r="Z1103" i="26"/>
  <c r="Y1105" i="26"/>
  <c r="Z1104" i="26"/>
  <c r="Y1106" i="26"/>
  <c r="Z1105" i="26"/>
  <c r="Y1107" i="26"/>
  <c r="Z1106" i="26"/>
  <c r="Y1108" i="26"/>
  <c r="Z1107" i="26"/>
  <c r="Z1108" i="26"/>
  <c r="Y1109" i="26"/>
  <c r="Y1110" i="26"/>
  <c r="Z1109" i="26"/>
  <c r="Z1110" i="26"/>
  <c r="Y1111" i="26"/>
  <c r="Z1111" i="26"/>
  <c r="Y1112" i="26"/>
  <c r="Y1113" i="26"/>
  <c r="Z1112" i="26"/>
  <c r="Y1114" i="26"/>
  <c r="Z1113" i="26"/>
  <c r="Z1114" i="26"/>
  <c r="Y1115" i="26"/>
  <c r="Z1115" i="26"/>
  <c r="Y1116" i="26"/>
  <c r="Z1116" i="26"/>
  <c r="Y1117" i="26"/>
  <c r="Z1117" i="26"/>
  <c r="Y1118" i="26"/>
  <c r="Y1119" i="26"/>
  <c r="Z1118" i="26"/>
  <c r="Y1120" i="26"/>
  <c r="Z1119" i="26"/>
  <c r="Y1121" i="26"/>
  <c r="Z1120" i="26"/>
  <c r="Y1122" i="26"/>
  <c r="Z1121" i="26"/>
  <c r="Y1123" i="26"/>
  <c r="Z1122" i="26"/>
  <c r="Z1123" i="26"/>
  <c r="Y1124" i="26"/>
  <c r="Y1125" i="26"/>
  <c r="Z1124" i="26"/>
  <c r="Z1125" i="26"/>
  <c r="Y1126" i="26"/>
  <c r="Z1126" i="26"/>
  <c r="Y1127" i="26"/>
  <c r="Y1128" i="26"/>
  <c r="Z1127" i="26"/>
  <c r="Z1128" i="26"/>
  <c r="Y1129" i="26"/>
  <c r="Z1129" i="26"/>
  <c r="Y1130" i="26"/>
  <c r="Y1131" i="26"/>
  <c r="Z1130" i="26"/>
  <c r="Y1132" i="26"/>
  <c r="Z1131" i="26"/>
  <c r="Y1133" i="26"/>
  <c r="Z1132" i="26"/>
  <c r="Y1134" i="26"/>
  <c r="Z1133" i="26"/>
  <c r="Z1134" i="26"/>
  <c r="Y1135" i="26"/>
  <c r="Y1136" i="26"/>
  <c r="Z1135" i="26"/>
  <c r="Y1137" i="26"/>
  <c r="Z1136" i="26"/>
  <c r="Z1137" i="26"/>
  <c r="Y1138" i="26"/>
  <c r="Z1138" i="26"/>
  <c r="Y1139" i="26"/>
  <c r="Y1140" i="26"/>
  <c r="Z1139" i="26"/>
  <c r="Z1140" i="26"/>
  <c r="Y1141" i="26"/>
  <c r="Y1142" i="26"/>
  <c r="Z1141" i="26"/>
  <c r="Y1143" i="26"/>
  <c r="Z1142" i="26"/>
  <c r="Z1143" i="26"/>
  <c r="Y1144" i="26"/>
  <c r="Y1145" i="26"/>
  <c r="Z1144" i="26"/>
  <c r="Z1145" i="26"/>
  <c r="Y1146" i="26"/>
  <c r="Y1147" i="26"/>
  <c r="Z1146" i="26"/>
  <c r="Y1148" i="26"/>
  <c r="Z1147" i="26"/>
  <c r="Y1149" i="26"/>
  <c r="Z1148" i="26"/>
  <c r="Z1149" i="26"/>
  <c r="Y1150" i="26"/>
  <c r="Z1150" i="26"/>
  <c r="Y1151" i="26"/>
  <c r="Z1151" i="26"/>
  <c r="Y1152" i="26"/>
  <c r="Z1152" i="26"/>
  <c r="Y1153" i="26"/>
  <c r="Z1153" i="26"/>
  <c r="Y1154" i="26"/>
  <c r="Y1155" i="26"/>
  <c r="Z1154" i="26"/>
  <c r="Z1155" i="26"/>
  <c r="Y1156" i="26"/>
  <c r="Y1157" i="26"/>
  <c r="Z1156" i="26"/>
  <c r="Y1158" i="26"/>
  <c r="Z1157" i="26"/>
  <c r="Y1159" i="26"/>
  <c r="Z1158" i="26"/>
  <c r="Z1159" i="26"/>
  <c r="Y1160" i="26"/>
  <c r="Y1161" i="26"/>
  <c r="Z1160" i="26"/>
  <c r="Y1162" i="26"/>
  <c r="Z1161" i="26"/>
  <c r="Y1163" i="26"/>
  <c r="Z1162" i="26"/>
  <c r="Z1163" i="26"/>
  <c r="Y1164" i="26"/>
  <c r="Z1164" i="26"/>
  <c r="Y1165" i="26"/>
  <c r="Y1166" i="26"/>
  <c r="Z1165" i="26"/>
  <c r="Y1167" i="26"/>
  <c r="Z1166" i="26"/>
  <c r="Z1167" i="26"/>
  <c r="Y1168" i="26"/>
  <c r="Y1169" i="26"/>
  <c r="Z1168" i="26"/>
  <c r="Y1170" i="26"/>
  <c r="Z1169" i="26"/>
  <c r="Z1170" i="26"/>
  <c r="Y1171" i="26"/>
  <c r="Z1171" i="26"/>
  <c r="Y1172" i="26"/>
  <c r="Y1173" i="26"/>
  <c r="Z1172" i="26"/>
  <c r="Z1173" i="26"/>
  <c r="Y1174" i="26"/>
  <c r="Z1174" i="26"/>
  <c r="Y1175" i="26"/>
  <c r="Y1176" i="26"/>
  <c r="Z1175" i="26"/>
  <c r="Y1177" i="26"/>
  <c r="Z1176" i="26"/>
  <c r="Y1178" i="26"/>
  <c r="Z1177" i="26"/>
  <c r="Y1179" i="26"/>
  <c r="Z1178" i="26"/>
  <c r="Z1179" i="26"/>
  <c r="Y1180" i="26"/>
  <c r="Y1181" i="26"/>
  <c r="Z1180" i="26"/>
  <c r="Y1182" i="26"/>
  <c r="Z1181" i="26"/>
  <c r="Y1183" i="26"/>
  <c r="Z1182" i="26"/>
  <c r="Y1184" i="26"/>
  <c r="Z1183" i="26"/>
  <c r="Z1184" i="26"/>
  <c r="Y1185" i="26"/>
  <c r="Y1186" i="26"/>
  <c r="Z1185" i="26"/>
  <c r="Z1186" i="26"/>
  <c r="Y1187" i="26"/>
  <c r="Z1187" i="26"/>
  <c r="Y1188" i="26"/>
  <c r="Z1188" i="26"/>
  <c r="Y1189" i="26"/>
  <c r="Y1190" i="26"/>
  <c r="Z1189" i="26"/>
  <c r="Z1190" i="26"/>
  <c r="Y1191" i="26"/>
  <c r="Y1192" i="26"/>
  <c r="Z1191" i="26"/>
  <c r="Z1192" i="26"/>
  <c r="Y1193" i="26"/>
  <c r="Y1194" i="26"/>
  <c r="Z1193" i="26"/>
  <c r="Z1194" i="26"/>
  <c r="Y1195" i="26"/>
  <c r="Z1195" i="26"/>
  <c r="Y1196" i="26"/>
  <c r="Y1197" i="26"/>
  <c r="Z1196" i="26"/>
  <c r="Y1198" i="26"/>
  <c r="Z1197" i="26"/>
  <c r="Y1199" i="26"/>
  <c r="Z1198" i="26"/>
  <c r="Z1199" i="26"/>
  <c r="Y1200" i="26"/>
  <c r="Y1201" i="26"/>
  <c r="Z1200" i="26"/>
  <c r="Y1202" i="26"/>
  <c r="Z1201" i="26"/>
  <c r="Z1202" i="26"/>
  <c r="Y1203" i="26"/>
  <c r="Y1204" i="26"/>
  <c r="Z1203" i="26"/>
  <c r="Y1205" i="26"/>
  <c r="Z1204" i="26"/>
  <c r="Y1206" i="26"/>
  <c r="Z1205" i="26"/>
  <c r="Z1206" i="26"/>
  <c r="Y1207" i="26"/>
  <c r="Z1207" i="26"/>
  <c r="Y1208" i="26"/>
  <c r="Z1208" i="26"/>
  <c r="Y1209" i="26"/>
  <c r="Y1210" i="26"/>
  <c r="Z1209" i="26"/>
  <c r="Z1210" i="26"/>
  <c r="Y1211" i="26"/>
  <c r="Y1212" i="26"/>
  <c r="Z1211" i="26"/>
  <c r="Z1212" i="26"/>
  <c r="Y1213" i="26"/>
  <c r="Z1213" i="26"/>
  <c r="Y1214" i="26"/>
  <c r="Z1214" i="26"/>
  <c r="Y1215" i="26"/>
  <c r="Z1215" i="26"/>
  <c r="Y1216" i="26"/>
  <c r="Y1217" i="26"/>
  <c r="Z1216" i="26"/>
  <c r="Y1218" i="26"/>
  <c r="Z1217" i="26"/>
  <c r="Z1218" i="26"/>
  <c r="Y1219" i="26"/>
  <c r="Y1220" i="26"/>
  <c r="Z1219" i="26"/>
  <c r="Y1221" i="26"/>
  <c r="Z1220" i="26"/>
  <c r="Z1221" i="26"/>
  <c r="Y1222" i="26"/>
  <c r="Z1222" i="26"/>
  <c r="Y1223" i="26"/>
  <c r="Z1223" i="26"/>
  <c r="Y1224" i="26"/>
  <c r="Z1224" i="26"/>
  <c r="Y1225" i="26"/>
  <c r="Z1225" i="26"/>
  <c r="Y1226" i="26"/>
  <c r="Y1227" i="26"/>
  <c r="Z1226" i="26"/>
  <c r="Y1228" i="26"/>
  <c r="Z1227" i="26"/>
  <c r="Y1229" i="26"/>
  <c r="Z1228" i="26"/>
  <c r="Y1230" i="26"/>
  <c r="Z1229" i="26"/>
  <c r="Y1231" i="26"/>
  <c r="Z1230" i="26"/>
  <c r="Y1232" i="26"/>
  <c r="Z1231" i="26"/>
  <c r="Z1232" i="26"/>
  <c r="Y1233" i="26"/>
  <c r="Y1234" i="26"/>
  <c r="Z1233" i="26"/>
  <c r="Z1234" i="26"/>
  <c r="Y1235" i="26"/>
  <c r="Y1236" i="26"/>
  <c r="Z1235" i="26"/>
  <c r="Y1237" i="26"/>
  <c r="Z1236" i="26"/>
  <c r="Z1237" i="26"/>
  <c r="Y1238" i="26"/>
  <c r="Z1238" i="26"/>
  <c r="Y1239" i="26"/>
  <c r="Y1240" i="26"/>
  <c r="Z1239" i="26"/>
  <c r="Y1241" i="26"/>
  <c r="Z1240" i="26"/>
  <c r="Y1242" i="26"/>
  <c r="Z1241" i="26"/>
  <c r="Z1242" i="26"/>
  <c r="Y1243" i="26"/>
  <c r="Y1244" i="26"/>
  <c r="Z1243" i="26"/>
  <c r="Y1245" i="26"/>
  <c r="Z1244" i="26"/>
  <c r="Y1246" i="26"/>
  <c r="Z1245" i="26"/>
  <c r="Z1246" i="26"/>
  <c r="Y1247" i="26"/>
  <c r="Z1247" i="26"/>
  <c r="Y1248" i="26"/>
  <c r="Y1249" i="26"/>
  <c r="Z1248" i="26"/>
  <c r="Z1249" i="26"/>
  <c r="Y1250" i="26"/>
  <c r="Z1250" i="26"/>
  <c r="Y1251" i="26"/>
  <c r="Z1251" i="26"/>
  <c r="Y1252" i="26"/>
  <c r="Z1252" i="26"/>
  <c r="Y1253" i="26"/>
  <c r="Y1254" i="26"/>
  <c r="Z1253" i="26"/>
  <c r="Z1254" i="26"/>
  <c r="Y1255" i="26"/>
  <c r="Y1256" i="26"/>
  <c r="Z1255" i="26"/>
  <c r="Y1257" i="26"/>
  <c r="Z1256" i="26"/>
  <c r="Z1257" i="26"/>
  <c r="Y1258" i="26"/>
  <c r="Z1258" i="26"/>
  <c r="Y1259" i="26"/>
  <c r="Z1259" i="26"/>
  <c r="Y1260" i="26"/>
  <c r="Y1261" i="26"/>
  <c r="Z1260" i="26"/>
  <c r="Z1261" i="26"/>
  <c r="Y1262" i="26"/>
  <c r="Z1262" i="26"/>
  <c r="Y1263" i="26"/>
  <c r="Y1264" i="26"/>
  <c r="Z1263" i="26"/>
  <c r="Z1264" i="26"/>
  <c r="Y1265" i="26"/>
  <c r="Y1266" i="26"/>
  <c r="Z1265" i="26"/>
  <c r="Z1266" i="26"/>
  <c r="Y1267" i="26"/>
  <c r="Z1267" i="26"/>
  <c r="Y1268" i="26"/>
  <c r="Z1268" i="26"/>
  <c r="Y1269" i="26"/>
  <c r="Y1270" i="26"/>
  <c r="Z1269" i="26"/>
  <c r="Z1270" i="26"/>
  <c r="Y1271" i="26"/>
  <c r="Z1271" i="26"/>
  <c r="Y1272" i="26"/>
  <c r="Z1272" i="26"/>
  <c r="Y1273" i="26"/>
  <c r="Y1274" i="26"/>
  <c r="Z1273" i="26"/>
  <c r="Y1275" i="26"/>
  <c r="Z1274" i="26"/>
  <c r="Y1276" i="26"/>
  <c r="Z1275" i="26"/>
  <c r="Z1276" i="26"/>
  <c r="Y1277" i="26"/>
  <c r="Z1277" i="26"/>
  <c r="Y1278" i="26"/>
  <c r="Z1278" i="26"/>
  <c r="Y1279" i="26"/>
  <c r="Z1279" i="26"/>
  <c r="Y1280" i="26"/>
  <c r="Z1280" i="26"/>
  <c r="Y1281" i="26"/>
  <c r="Y1282" i="26"/>
  <c r="Z1281" i="26"/>
  <c r="Y1283" i="26"/>
  <c r="Z1282" i="26"/>
  <c r="Y1284" i="26"/>
  <c r="Z1283" i="26"/>
  <c r="Z1284" i="26"/>
  <c r="Y1285" i="26"/>
  <c r="Y1286" i="26"/>
  <c r="Z1285" i="26"/>
  <c r="Z1286" i="26"/>
  <c r="Y1287" i="26"/>
  <c r="Y1288" i="26"/>
  <c r="Z1287" i="26"/>
  <c r="Y1289" i="26"/>
  <c r="Z1288" i="26"/>
  <c r="Y1290" i="26"/>
  <c r="Z1289" i="26"/>
  <c r="Y1291" i="26"/>
  <c r="Z1290" i="26"/>
  <c r="Z1291" i="26"/>
  <c r="Y1292" i="26"/>
  <c r="Y1293" i="26"/>
  <c r="Z1292" i="26"/>
  <c r="Z1293" i="26"/>
  <c r="Y1294" i="26"/>
  <c r="Z1294" i="26"/>
  <c r="Y1295" i="26"/>
  <c r="Z1295" i="26"/>
  <c r="Y1296" i="26"/>
  <c r="Y1297" i="26"/>
  <c r="Z1296" i="26"/>
  <c r="Z1297" i="26"/>
  <c r="Y1298" i="26"/>
  <c r="Y1299" i="26"/>
  <c r="Z1298" i="26"/>
  <c r="Z1299" i="26"/>
  <c r="Y1300" i="26"/>
  <c r="Z1300" i="26"/>
  <c r="Y1301" i="26"/>
  <c r="Z1301" i="26"/>
  <c r="Y1302" i="26"/>
  <c r="Z1302" i="26"/>
  <c r="Y1303" i="26"/>
  <c r="Y1304" i="26"/>
  <c r="Z1303" i="26"/>
  <c r="Y1305" i="26"/>
  <c r="Z1304" i="26"/>
  <c r="Y1306" i="26"/>
  <c r="Z1305" i="26"/>
  <c r="Z1306" i="26"/>
  <c r="Y1307" i="26"/>
  <c r="Z1307" i="26"/>
  <c r="Y1308" i="26"/>
  <c r="Y1309" i="26"/>
  <c r="Z1308" i="26"/>
  <c r="Y1310" i="26"/>
  <c r="Z1309" i="26"/>
  <c r="Z1310" i="26"/>
  <c r="Y1311" i="26"/>
  <c r="Y1312" i="26"/>
  <c r="Z1311" i="26"/>
  <c r="Y1313" i="26"/>
  <c r="Z1312" i="26"/>
  <c r="Z1313" i="26"/>
  <c r="Y1314" i="26"/>
  <c r="Y1315" i="26"/>
  <c r="Z1314" i="26"/>
  <c r="Z1315" i="26"/>
  <c r="Y1316" i="26"/>
  <c r="Y1317" i="26"/>
  <c r="Z1316" i="26"/>
  <c r="Y1318" i="26"/>
  <c r="Z1317" i="26"/>
  <c r="Z1318" i="26"/>
  <c r="Y1319" i="26"/>
  <c r="Y1320" i="26"/>
  <c r="Z1319" i="26"/>
  <c r="Z1320" i="26"/>
  <c r="Y1321" i="26"/>
  <c r="Z1321" i="26"/>
  <c r="Y1322" i="26"/>
  <c r="Y1323" i="26"/>
  <c r="Z1322" i="26"/>
  <c r="Z1323" i="26"/>
  <c r="Y1324" i="26"/>
  <c r="Z1324" i="26"/>
  <c r="Y1325" i="26"/>
  <c r="Z1325" i="26"/>
  <c r="Y1326" i="26"/>
  <c r="Y1327" i="26"/>
  <c r="Z1326" i="26"/>
  <c r="Z1327" i="26"/>
  <c r="Y1328" i="26"/>
  <c r="Y1329" i="26"/>
  <c r="Z1328" i="26"/>
  <c r="Z1329" i="26"/>
  <c r="Y1330" i="26"/>
  <c r="Y1331" i="26"/>
  <c r="Z1330" i="26"/>
  <c r="Y1332" i="26"/>
  <c r="Z1331" i="26"/>
  <c r="Z1332" i="26"/>
  <c r="Y1333" i="26"/>
  <c r="Y1334" i="26"/>
  <c r="Z1333" i="26"/>
  <c r="Y1335" i="26"/>
  <c r="Z1334" i="26"/>
  <c r="Z1335" i="26"/>
  <c r="Y1336" i="26"/>
  <c r="Y1337" i="26"/>
  <c r="Z1336" i="26"/>
  <c r="Z1337" i="26"/>
  <c r="Y1338" i="26"/>
  <c r="Y1339" i="26"/>
  <c r="Z1338" i="26"/>
  <c r="Z1339" i="26"/>
  <c r="Y1340" i="26"/>
  <c r="Z1340" i="26"/>
  <c r="Y1341" i="26"/>
  <c r="Y1342" i="26"/>
  <c r="Z1341" i="26"/>
  <c r="Z1342" i="26"/>
  <c r="Y1343" i="26"/>
  <c r="Y1344" i="26"/>
  <c r="Z1343" i="26"/>
  <c r="Y1345" i="26"/>
  <c r="Z1344" i="26"/>
  <c r="Z1345" i="26"/>
  <c r="Y1346" i="26"/>
  <c r="Y1347" i="26"/>
  <c r="Z1346" i="26"/>
  <c r="Z1347" i="26"/>
  <c r="Y1348" i="26"/>
  <c r="Y1349" i="26"/>
  <c r="Z1348" i="26"/>
  <c r="Z1349" i="26"/>
  <c r="Y1350" i="26"/>
  <c r="Z1350" i="26"/>
  <c r="Y1351" i="26"/>
  <c r="Y1352" i="26"/>
  <c r="Z1351" i="26"/>
  <c r="Z1352" i="26"/>
  <c r="Y1353" i="26"/>
  <c r="Z1353" i="26"/>
  <c r="Y1354" i="26"/>
  <c r="Y1355" i="26"/>
  <c r="Z1354" i="26"/>
  <c r="Z1355" i="26"/>
  <c r="Y1356" i="26"/>
  <c r="Z1356" i="26"/>
  <c r="Y1357" i="26"/>
  <c r="Z1357" i="26"/>
  <c r="Y1358" i="26"/>
  <c r="Z1358" i="26"/>
  <c r="Y1359" i="26"/>
  <c r="Z1359" i="26"/>
  <c r="Y1360" i="26"/>
  <c r="Z1360" i="26"/>
  <c r="Y1361" i="26"/>
  <c r="Y1362" i="26"/>
  <c r="Z1361" i="26"/>
  <c r="Z1362" i="26"/>
  <c r="Y1363" i="26"/>
  <c r="Y1364" i="26"/>
  <c r="Z1363" i="26"/>
  <c r="Y1365" i="26"/>
  <c r="Z1364" i="26"/>
  <c r="Z1365" i="26"/>
  <c r="Y1366" i="26"/>
  <c r="Y1367" i="26"/>
  <c r="Z1366" i="26"/>
  <c r="Z1367" i="26"/>
  <c r="Y1368" i="26"/>
  <c r="Y1369" i="26"/>
  <c r="Z1368" i="26"/>
  <c r="Y1370" i="26"/>
  <c r="Z1369" i="26"/>
  <c r="Y1371" i="26"/>
  <c r="Z1370" i="26"/>
  <c r="Y1372" i="26"/>
  <c r="Z1371" i="26"/>
  <c r="Z1372" i="26"/>
  <c r="Y1373" i="26"/>
  <c r="Y1374" i="26"/>
  <c r="Z1373" i="26"/>
  <c r="Y1375" i="26"/>
  <c r="Z1374" i="26"/>
  <c r="Y1376" i="26"/>
  <c r="Z1375" i="26"/>
  <c r="Y1377" i="26"/>
  <c r="Z1376" i="26"/>
  <c r="Y1378" i="26"/>
  <c r="Z1377" i="26"/>
  <c r="Y1379" i="26"/>
  <c r="Z1378" i="26"/>
  <c r="Z1379" i="26"/>
  <c r="Y1380" i="26"/>
  <c r="Y1381" i="26"/>
  <c r="Z1380" i="26"/>
  <c r="Z1381" i="26"/>
  <c r="Y1382" i="26"/>
  <c r="Z1382" i="26"/>
  <c r="Y1383" i="26"/>
  <c r="Y1384" i="26"/>
  <c r="Z1383" i="26"/>
  <c r="Z1384" i="26"/>
  <c r="Y1385" i="26"/>
  <c r="Z1385" i="26"/>
  <c r="Y1386" i="26"/>
  <c r="Z1386" i="26"/>
  <c r="Y1387" i="26"/>
  <c r="Y1388" i="26"/>
  <c r="Z1387" i="26"/>
  <c r="Z1388" i="26"/>
  <c r="Y1389" i="26"/>
  <c r="Z1389" i="26"/>
  <c r="Y1390" i="26"/>
  <c r="Y1391" i="26"/>
  <c r="Z1390" i="26"/>
  <c r="Y1392" i="26"/>
  <c r="Z1391" i="26"/>
  <c r="Y1393" i="26"/>
  <c r="Z1392" i="26"/>
  <c r="Y1394" i="26"/>
  <c r="Z1393" i="26"/>
  <c r="Y1395" i="26"/>
  <c r="Z1394" i="26"/>
  <c r="Y1396" i="26"/>
  <c r="Z1395" i="26"/>
  <c r="Y1397" i="26"/>
  <c r="Z1396" i="26"/>
  <c r="Y1398" i="26"/>
  <c r="Z1397" i="26"/>
  <c r="Z1398" i="26"/>
  <c r="Y1399" i="26"/>
  <c r="Y1400" i="26"/>
  <c r="Z1399" i="26"/>
  <c r="Z1400" i="26"/>
  <c r="Y1401" i="26"/>
  <c r="Z1401" i="26"/>
  <c r="Y1402" i="26"/>
  <c r="Z1402" i="26"/>
  <c r="Y1403" i="26"/>
  <c r="Y1404" i="26"/>
  <c r="Z1403" i="26"/>
  <c r="Z1404" i="26"/>
  <c r="Y1405" i="26"/>
  <c r="Y1406" i="26"/>
  <c r="Z1405" i="26"/>
  <c r="Z1406" i="26"/>
  <c r="Y1407" i="26"/>
  <c r="Y1408" i="26"/>
  <c r="Z1407" i="26"/>
  <c r="Z1408" i="26"/>
  <c r="Y1409" i="26"/>
  <c r="Z1409" i="26"/>
  <c r="Y1410" i="26"/>
  <c r="Y1411" i="26"/>
  <c r="Z1410" i="26"/>
  <c r="Y1412" i="26"/>
  <c r="Z1411" i="26"/>
  <c r="Y1413" i="26"/>
  <c r="Z1412" i="26"/>
  <c r="Z1413" i="26"/>
  <c r="Y1414" i="26"/>
  <c r="Y1415" i="26"/>
  <c r="Z1414" i="26"/>
  <c r="Y1416" i="26"/>
  <c r="Z1415" i="26"/>
  <c r="Y1417" i="26"/>
  <c r="Z1416" i="26"/>
  <c r="Z1417" i="26"/>
  <c r="Y1418" i="26"/>
  <c r="Y1419" i="26"/>
  <c r="Z1418" i="26"/>
  <c r="Y1420" i="26"/>
  <c r="Z1419" i="26"/>
  <c r="Z1420" i="26"/>
  <c r="Y1421" i="26"/>
  <c r="Z1421" i="26"/>
  <c r="Y1422" i="26"/>
  <c r="Y1423" i="26"/>
  <c r="Z1422" i="26"/>
  <c r="Z1423" i="26"/>
  <c r="Y1424" i="26"/>
  <c r="Z1424" i="26"/>
  <c r="Y1425" i="26"/>
  <c r="Z1425" i="26"/>
  <c r="Y1426" i="26"/>
  <c r="Z1426" i="26"/>
  <c r="Y1427" i="26"/>
  <c r="Z1427" i="26"/>
  <c r="Y1428" i="26"/>
  <c r="Z1428" i="26"/>
  <c r="Y1429" i="26"/>
  <c r="Y1430" i="26"/>
  <c r="Z1429" i="26"/>
  <c r="Y1431" i="26"/>
  <c r="Z1430" i="26"/>
  <c r="Y1432" i="26"/>
  <c r="Z1431" i="26"/>
  <c r="Y1433" i="26"/>
  <c r="Z1432" i="26"/>
  <c r="Y1434" i="26"/>
  <c r="Z1433" i="26"/>
  <c r="Z1434" i="26"/>
  <c r="Y1435" i="26"/>
  <c r="Z1435" i="26"/>
  <c r="Y1436" i="26"/>
  <c r="Y1437" i="26"/>
  <c r="Z1436" i="26"/>
  <c r="Y1438" i="26"/>
  <c r="Z1437" i="26"/>
  <c r="Z1438" i="26"/>
  <c r="Y1439" i="26"/>
  <c r="Y1440" i="26"/>
  <c r="Z1439" i="26"/>
  <c r="Z1440" i="26"/>
  <c r="Y1441" i="26"/>
  <c r="Z1441" i="26"/>
  <c r="Y1442" i="26"/>
  <c r="Z1442" i="26"/>
  <c r="Y1443" i="26"/>
  <c r="Z1443" i="26"/>
  <c r="Y1444" i="26"/>
  <c r="Y1445" i="26"/>
  <c r="Z1444" i="26"/>
  <c r="Z1445" i="26"/>
  <c r="Y1446" i="26"/>
  <c r="Y1447" i="26"/>
  <c r="Z1446" i="26"/>
  <c r="Y1448" i="26"/>
  <c r="Z1447" i="26"/>
  <c r="Y1449" i="26"/>
  <c r="Z1448" i="26"/>
  <c r="Y1450" i="26"/>
  <c r="Z1449" i="26"/>
  <c r="Y1451" i="26"/>
  <c r="Z1450" i="26"/>
  <c r="Y1452" i="26"/>
  <c r="Z1451" i="26"/>
  <c r="Z1452" i="26"/>
  <c r="Y1453" i="26"/>
  <c r="Z1453" i="26"/>
  <c r="Y1454" i="26"/>
  <c r="Z1454" i="26"/>
  <c r="Y1455" i="26"/>
  <c r="Z1455" i="26"/>
  <c r="Y1456" i="26"/>
  <c r="Z1456" i="26"/>
  <c r="Y1457" i="26"/>
  <c r="Y1458" i="26"/>
  <c r="Z1457" i="26"/>
  <c r="Y1459" i="26"/>
  <c r="Z1458" i="26"/>
  <c r="Z1459" i="26"/>
  <c r="Y1460" i="26"/>
  <c r="Z1460" i="26"/>
  <c r="Y1461" i="26"/>
  <c r="Y1462" i="26"/>
  <c r="Z1461" i="26"/>
  <c r="Y1463" i="26"/>
  <c r="Z1462" i="26"/>
  <c r="Z1463" i="26"/>
  <c r="Y1464" i="26"/>
  <c r="Y1465" i="26"/>
  <c r="Z1464" i="26"/>
  <c r="Y1466" i="26"/>
  <c r="Z1465" i="26"/>
  <c r="Z1466" i="26"/>
  <c r="Y1467" i="26"/>
  <c r="Z1467" i="26"/>
  <c r="Y1468" i="26"/>
  <c r="Z1468" i="26"/>
  <c r="Y1469" i="26"/>
  <c r="Y1470" i="26"/>
  <c r="Z1469" i="26"/>
  <c r="Z1470" i="26"/>
  <c r="Y1471" i="26"/>
  <c r="Z1471" i="26"/>
  <c r="Y1472" i="26"/>
  <c r="Z1472" i="26"/>
  <c r="Y1473" i="26"/>
  <c r="Z1473" i="26"/>
  <c r="Y1474" i="26"/>
  <c r="Y1475" i="26"/>
  <c r="Z1474" i="26"/>
  <c r="Z1475" i="26"/>
  <c r="Y1476" i="26"/>
  <c r="Z1476" i="26"/>
  <c r="Y1477" i="26"/>
  <c r="Y1478" i="26"/>
  <c r="Z1477" i="26"/>
  <c r="Y1479" i="26"/>
  <c r="Z1478" i="26"/>
  <c r="Y1480" i="26"/>
  <c r="Z1479" i="26"/>
  <c r="Y1481" i="26"/>
  <c r="Z1480" i="26"/>
  <c r="Z1481" i="26"/>
  <c r="Y1482" i="26"/>
  <c r="Y1483" i="26"/>
  <c r="Z1482" i="26"/>
  <c r="Z1483" i="26"/>
  <c r="Y1484" i="26"/>
  <c r="Y1485" i="26"/>
  <c r="Z1484" i="26"/>
  <c r="Z1485" i="26"/>
  <c r="Y1486" i="26"/>
  <c r="Y1487" i="26"/>
  <c r="Z1486" i="26"/>
  <c r="Y1488" i="26"/>
  <c r="Z1487" i="26"/>
  <c r="Y1489" i="26"/>
  <c r="Z1488" i="26"/>
  <c r="Y1490" i="26"/>
  <c r="Z1489" i="26"/>
  <c r="Z1490" i="26"/>
  <c r="Y1491" i="26"/>
  <c r="Y1492" i="26"/>
  <c r="Z1491" i="26"/>
  <c r="Y1493" i="26"/>
  <c r="Z1492" i="26"/>
  <c r="Y1494" i="26"/>
  <c r="Z1493" i="26"/>
  <c r="Z1494" i="26"/>
  <c r="Y1495" i="26"/>
  <c r="Y1496" i="26"/>
  <c r="Z1495" i="26"/>
  <c r="Z1496" i="26"/>
  <c r="Y1497" i="26"/>
  <c r="Z1497" i="26"/>
  <c r="Y1498" i="26"/>
  <c r="Z1498" i="26"/>
  <c r="Y1499" i="26"/>
  <c r="Y1500" i="26"/>
  <c r="Z1499" i="26"/>
  <c r="Z1500" i="26"/>
  <c r="Y1501" i="26"/>
  <c r="Z1501" i="26"/>
  <c r="Y1502" i="26"/>
  <c r="Z1502" i="26"/>
  <c r="Y1503" i="26"/>
  <c r="Z1503" i="26"/>
  <c r="Y1504" i="26"/>
  <c r="Y1505" i="26"/>
  <c r="Z1504" i="26"/>
  <c r="Z1505" i="26"/>
  <c r="Y1506" i="26"/>
  <c r="Y1507" i="26"/>
  <c r="Z1506" i="26"/>
  <c r="Y1508" i="26"/>
  <c r="Z1507" i="26"/>
  <c r="Y1509" i="26"/>
  <c r="Z1508" i="26"/>
  <c r="Z1509" i="26"/>
  <c r="Y1510" i="26"/>
  <c r="Z1510" i="26"/>
  <c r="Y1511" i="26"/>
  <c r="Z1511" i="26"/>
  <c r="Y1512" i="26"/>
  <c r="Y1513" i="26"/>
  <c r="Z1512" i="26"/>
  <c r="Z1513" i="26"/>
  <c r="Y1514" i="26"/>
  <c r="Z1514" i="26"/>
  <c r="Y1515" i="26"/>
  <c r="Y1516" i="26"/>
  <c r="Z1515" i="26"/>
  <c r="Z1516" i="26"/>
  <c r="Y1517" i="26"/>
  <c r="Z1517" i="26"/>
  <c r="Y1518" i="26"/>
  <c r="Y1519" i="26"/>
  <c r="Z1518" i="26"/>
  <c r="Z1519" i="26"/>
  <c r="Y1520" i="26"/>
  <c r="Z1520" i="26"/>
  <c r="Y1521" i="26"/>
  <c r="Z1521" i="26"/>
  <c r="Y1522" i="26"/>
  <c r="Z1522" i="26"/>
  <c r="Y1523" i="26"/>
  <c r="Y1524" i="26"/>
  <c r="Z1523" i="26"/>
  <c r="Y1525" i="26"/>
  <c r="Z1524" i="26"/>
  <c r="Z1525" i="26"/>
  <c r="Y1526" i="26"/>
  <c r="Y1527" i="26"/>
  <c r="Z1526" i="26"/>
  <c r="Z1527" i="26"/>
  <c r="Y1528" i="26"/>
  <c r="Y1529" i="26"/>
  <c r="Z1528" i="26"/>
  <c r="Z1529" i="26"/>
  <c r="Y1530" i="26"/>
  <c r="Y1531" i="26"/>
  <c r="Z1530" i="26"/>
  <c r="Y1532" i="26"/>
  <c r="Z1531" i="26"/>
  <c r="Y1533" i="26"/>
  <c r="Z1532" i="26"/>
  <c r="Z1533" i="26"/>
  <c r="Y1534" i="26"/>
  <c r="Y1535" i="26"/>
  <c r="Z1534" i="26"/>
  <c r="Y1536" i="26"/>
  <c r="Z1535" i="26"/>
  <c r="Y1537" i="26"/>
  <c r="Z1536" i="26"/>
  <c r="Z1537" i="26"/>
  <c r="Y1538" i="26"/>
  <c r="Z1538" i="26"/>
  <c r="Y1539" i="26"/>
  <c r="Z1539" i="26"/>
  <c r="Y1540" i="26"/>
  <c r="Y1541" i="26"/>
  <c r="Z1540" i="26"/>
  <c r="Y1542" i="26"/>
  <c r="Z1541" i="26"/>
  <c r="Y1543" i="26"/>
  <c r="Z1542" i="26"/>
  <c r="Y1544" i="26"/>
  <c r="Z1543" i="26"/>
  <c r="Z1544" i="26"/>
  <c r="Y1545" i="26"/>
  <c r="Y1546" i="26"/>
  <c r="Z1545" i="26"/>
  <c r="Y1547" i="26"/>
  <c r="Z1546" i="26"/>
  <c r="Z1547" i="26"/>
  <c r="Y1548" i="26"/>
  <c r="Y1549" i="26"/>
  <c r="Z1548" i="26"/>
  <c r="Z1549" i="26"/>
  <c r="Y1550" i="26"/>
  <c r="Y1551" i="26"/>
  <c r="Z1550" i="26"/>
  <c r="Z1551" i="26"/>
  <c r="Y1552" i="26"/>
  <c r="Y1553" i="26"/>
  <c r="Z1552" i="26"/>
  <c r="Z1553" i="26"/>
  <c r="Y1554" i="26"/>
  <c r="Z1554" i="26"/>
  <c r="Y1555" i="26"/>
  <c r="Z1555" i="26"/>
  <c r="Y1556" i="26"/>
  <c r="Y1557" i="26"/>
  <c r="Z1556" i="26"/>
  <c r="Y1558" i="26"/>
  <c r="Z1557" i="26"/>
  <c r="Z1558" i="26"/>
  <c r="Y1559" i="26"/>
  <c r="Y1560" i="26"/>
  <c r="Z1559" i="26"/>
  <c r="Y1561" i="26"/>
  <c r="Z1560" i="26"/>
  <c r="Y1562" i="26"/>
  <c r="Z1561" i="26"/>
  <c r="Y1563" i="26"/>
  <c r="Z1562" i="26"/>
  <c r="Y1564" i="26"/>
  <c r="Z1563" i="26"/>
  <c r="Y1565" i="26"/>
  <c r="Z1564" i="26"/>
  <c r="Y1566" i="26"/>
  <c r="Z1565" i="26"/>
  <c r="Y1567" i="26"/>
  <c r="Z1566" i="26"/>
  <c r="Z1567" i="26"/>
  <c r="Y1568" i="26"/>
  <c r="Y1569" i="26"/>
  <c r="Z1568" i="26"/>
  <c r="Y1570" i="26"/>
  <c r="Z1569" i="26"/>
  <c r="Z1570" i="26"/>
  <c r="Y1571" i="26"/>
  <c r="Y1572" i="26"/>
  <c r="Z1571" i="26"/>
  <c r="Z1572" i="26"/>
  <c r="Y1573" i="26"/>
  <c r="Z1573" i="26"/>
  <c r="Y1574" i="26"/>
  <c r="Y1575" i="26"/>
  <c r="Z1574" i="26"/>
  <c r="Y1576" i="26"/>
  <c r="Z1575" i="26"/>
  <c r="Y1577" i="26"/>
  <c r="Z1576" i="26"/>
  <c r="Z1577" i="26"/>
  <c r="Y1578" i="26"/>
  <c r="Y1579" i="26"/>
  <c r="Z1578" i="26"/>
  <c r="Z1579" i="26"/>
  <c r="Y1580" i="26"/>
  <c r="Y1581" i="26"/>
  <c r="Z1580" i="26"/>
  <c r="Y1582" i="26"/>
  <c r="Z1581" i="26"/>
  <c r="Z1582" i="26"/>
  <c r="Y1583" i="26"/>
  <c r="Y1584" i="26"/>
  <c r="Z1583" i="26"/>
  <c r="Z1584" i="26"/>
  <c r="Y1585" i="26"/>
  <c r="Y1586" i="26"/>
  <c r="Z1585" i="26"/>
  <c r="Z1586" i="26"/>
  <c r="Y1587" i="26"/>
  <c r="Z1587" i="26"/>
  <c r="Y1588" i="26"/>
  <c r="Y1589" i="26"/>
  <c r="Z1588" i="26"/>
  <c r="Z1589" i="26"/>
  <c r="Y1590" i="26"/>
  <c r="Z1590" i="26"/>
  <c r="Y1591" i="26"/>
  <c r="Z1591" i="26"/>
  <c r="Y1592" i="26"/>
  <c r="Z1592" i="26"/>
  <c r="Y1593" i="26"/>
  <c r="Z1593" i="26"/>
  <c r="Y1594" i="26"/>
  <c r="Z1594" i="26"/>
  <c r="Y1595" i="26"/>
  <c r="Y1596" i="26"/>
  <c r="Z1595" i="26"/>
  <c r="Z1596" i="26"/>
  <c r="Y1597" i="26"/>
  <c r="Y1598" i="26"/>
  <c r="Z1597" i="26"/>
  <c r="Y1599" i="26"/>
  <c r="Z1598" i="26"/>
  <c r="Z1599" i="26"/>
  <c r="Y1600" i="26"/>
  <c r="Y1601" i="26"/>
  <c r="Z1600" i="26"/>
  <c r="Z1601" i="26"/>
  <c r="Y1602" i="26"/>
  <c r="Z1602" i="26"/>
  <c r="Y1603" i="26"/>
  <c r="Y1604" i="26"/>
  <c r="Z1603" i="26"/>
  <c r="Y1605" i="26"/>
  <c r="Z1604" i="26"/>
  <c r="Y1606" i="26"/>
  <c r="Z1605" i="26"/>
  <c r="Z1606" i="26"/>
  <c r="Y1607" i="26"/>
  <c r="Y1608" i="26"/>
  <c r="Z1607" i="26"/>
  <c r="Z1608" i="26"/>
  <c r="Y1609" i="26"/>
  <c r="Y1610" i="26"/>
  <c r="Z1609" i="26"/>
  <c r="Y1611" i="26"/>
  <c r="Z1610" i="26"/>
  <c r="Z1611" i="26"/>
  <c r="Y1612" i="26"/>
  <c r="Z1612" i="26"/>
  <c r="Y1613" i="26"/>
  <c r="Z1613" i="26"/>
  <c r="Y1614" i="26"/>
  <c r="Z1614" i="26"/>
  <c r="Y1615" i="26"/>
  <c r="Z1615" i="26"/>
  <c r="Y1616" i="26"/>
  <c r="Z1616" i="26"/>
  <c r="Y1617" i="26"/>
  <c r="Z1617" i="26"/>
  <c r="Y1618" i="26"/>
  <c r="Y1619" i="26"/>
  <c r="Z1618" i="26"/>
  <c r="Y1620" i="26"/>
  <c r="Z1619" i="26"/>
  <c r="Y1621" i="26"/>
  <c r="Z1620" i="26"/>
  <c r="Z1621" i="26"/>
  <c r="Y1622" i="26"/>
  <c r="Z1622" i="26"/>
  <c r="Y1623" i="26"/>
  <c r="Z1623" i="26"/>
  <c r="Y1624" i="26"/>
  <c r="Y1625" i="26"/>
  <c r="Z1624" i="26"/>
  <c r="Y1626" i="26"/>
  <c r="Z1625" i="26"/>
  <c r="Z1626" i="26"/>
  <c r="Y1627" i="26"/>
  <c r="Z1627" i="26"/>
  <c r="Y1628" i="26"/>
  <c r="Z1628" i="26"/>
  <c r="Y1629" i="26"/>
  <c r="Y1630" i="26"/>
  <c r="Z1629" i="26"/>
  <c r="Y1631" i="26"/>
  <c r="Z1630" i="26"/>
  <c r="Z1631" i="26"/>
  <c r="Y1632" i="26"/>
  <c r="Y1633" i="26"/>
  <c r="Z1632" i="26"/>
  <c r="Y1634" i="26"/>
  <c r="Z1633" i="26"/>
  <c r="Y1635" i="26"/>
  <c r="Z1634" i="26"/>
  <c r="Z1635" i="26"/>
  <c r="Y1636" i="26"/>
  <c r="Z1636" i="26"/>
  <c r="Y1637" i="26"/>
  <c r="Z1637" i="26"/>
  <c r="Y1638" i="26"/>
  <c r="Y1639" i="26"/>
  <c r="Z1638" i="26"/>
  <c r="Y1640" i="26"/>
  <c r="Z1639" i="26"/>
  <c r="Y1641" i="26"/>
  <c r="Z1640" i="26"/>
  <c r="Z1641" i="26"/>
  <c r="Y1642" i="26"/>
  <c r="Y1643" i="26"/>
  <c r="Z1642" i="26"/>
  <c r="Z1643" i="26"/>
  <c r="Y1644" i="26"/>
  <c r="Y1645" i="26"/>
  <c r="Z1644" i="26"/>
  <c r="Z1645" i="26"/>
  <c r="Y1646" i="26"/>
  <c r="Y1647" i="26"/>
  <c r="Z1646" i="26"/>
  <c r="Z1647" i="26"/>
  <c r="Y1648" i="26"/>
  <c r="Y1649" i="26"/>
  <c r="Z1648" i="26"/>
  <c r="Z1649" i="26"/>
  <c r="Y1650" i="26"/>
  <c r="Z1650" i="26"/>
  <c r="Y1651" i="26"/>
  <c r="Y1652" i="26"/>
  <c r="Z1651" i="26"/>
  <c r="Y1653" i="26"/>
  <c r="Z1652" i="26"/>
  <c r="Z1653" i="26"/>
  <c r="Y1654" i="26"/>
  <c r="Y1655" i="26"/>
  <c r="Z1654" i="26"/>
  <c r="Z1655" i="26"/>
  <c r="Y1656" i="26"/>
  <c r="Z1656" i="26"/>
  <c r="Y1657" i="26"/>
  <c r="Z1657" i="26"/>
  <c r="Y1658" i="26"/>
  <c r="Y1659" i="26"/>
  <c r="Z1658" i="26"/>
  <c r="Z1659" i="26"/>
  <c r="Y1660" i="26"/>
  <c r="Z1660" i="26"/>
  <c r="Y1661" i="26"/>
  <c r="Y1662" i="26"/>
  <c r="Z1661" i="26"/>
  <c r="Y1663" i="26"/>
  <c r="Z1662" i="26"/>
  <c r="Z1663" i="26"/>
  <c r="Y1664" i="26"/>
  <c r="Y1665" i="26"/>
  <c r="Z1664" i="26"/>
  <c r="Y1666" i="26"/>
  <c r="Z1665" i="26"/>
  <c r="Y1667" i="26"/>
  <c r="Z1666" i="26"/>
  <c r="Z1667" i="26"/>
  <c r="Y1668" i="26"/>
  <c r="Z1668" i="26"/>
  <c r="Y1669" i="26"/>
  <c r="Z1669" i="26"/>
  <c r="Y1670" i="26"/>
  <c r="Y1671" i="26"/>
  <c r="Z1670" i="26"/>
  <c r="Z1671" i="26"/>
  <c r="Y1672" i="26"/>
  <c r="Z1672" i="26"/>
  <c r="Y1673" i="26"/>
  <c r="Y1674" i="26"/>
  <c r="Z1673" i="26"/>
  <c r="Y1675" i="26"/>
  <c r="Z1674" i="26"/>
  <c r="Z1675" i="26"/>
  <c r="Y1676" i="26"/>
  <c r="Y1677" i="26"/>
  <c r="Z1676" i="26"/>
  <c r="Y1678" i="26"/>
  <c r="Z1677" i="26"/>
  <c r="Z1678" i="26"/>
  <c r="Y1679" i="26"/>
  <c r="Y1680" i="26"/>
  <c r="Z1679" i="26"/>
  <c r="Y1681" i="26"/>
  <c r="Z1680" i="26"/>
  <c r="Z1681" i="26"/>
  <c r="Y1682" i="26"/>
  <c r="Z1682" i="26"/>
  <c r="Y1683" i="26"/>
  <c r="Y1684" i="26"/>
  <c r="Z1683" i="26"/>
  <c r="Y1685" i="26"/>
  <c r="Z1684" i="26"/>
  <c r="Y1686" i="26"/>
  <c r="Z1685" i="26"/>
  <c r="Z1686" i="26"/>
  <c r="Y1687" i="26"/>
  <c r="Z1687" i="26"/>
  <c r="Y1688" i="26"/>
  <c r="Z1688" i="26"/>
  <c r="Y1689" i="26"/>
  <c r="Z1689" i="26"/>
  <c r="Y1690" i="26"/>
  <c r="Z1690" i="26"/>
  <c r="Y1691" i="26"/>
  <c r="Z1691" i="26"/>
  <c r="Y1692" i="26"/>
  <c r="Y1693" i="26"/>
  <c r="Z1692" i="26"/>
  <c r="Z1693" i="26"/>
  <c r="Y1694" i="26"/>
  <c r="Z1694" i="26"/>
  <c r="Y1695" i="26"/>
  <c r="Z1695" i="26"/>
  <c r="Y1696" i="26"/>
  <c r="Y1697" i="26"/>
  <c r="Z1696" i="26"/>
  <c r="Y1698" i="26"/>
  <c r="Z1697" i="26"/>
  <c r="Y1699" i="26"/>
  <c r="Z1698" i="26"/>
  <c r="Y1700" i="26"/>
  <c r="Z1699" i="26"/>
  <c r="Y1701" i="26"/>
  <c r="Z1700" i="26"/>
  <c r="Z1701" i="26"/>
  <c r="Y1702" i="26"/>
  <c r="Y1703" i="26"/>
  <c r="Z1702" i="26"/>
  <c r="Z1703" i="26"/>
  <c r="Y1704" i="26"/>
  <c r="Y1705" i="26"/>
  <c r="Z1704" i="26"/>
  <c r="Y1706" i="26"/>
  <c r="Z1705" i="26"/>
  <c r="Z1706" i="26"/>
  <c r="Y1707" i="26"/>
  <c r="Y1708" i="26"/>
  <c r="Z1707" i="26"/>
  <c r="Y1709" i="26"/>
  <c r="Z1708" i="26"/>
  <c r="Z1709" i="26"/>
  <c r="Y1710" i="26"/>
  <c r="Z1710" i="26"/>
  <c r="Y1711" i="26"/>
  <c r="Z1711" i="26"/>
  <c r="Y1712" i="26"/>
  <c r="Y1713" i="26"/>
  <c r="Z1712" i="26"/>
  <c r="Z1713" i="26"/>
  <c r="Y1714" i="26"/>
  <c r="Z1714" i="26"/>
  <c r="Y1715" i="26"/>
  <c r="Z1715" i="26"/>
  <c r="Y1716" i="26"/>
  <c r="Y1717" i="26"/>
  <c r="Z1716" i="26"/>
  <c r="Z1717" i="26"/>
  <c r="Y1718" i="26"/>
  <c r="Y1719" i="26"/>
  <c r="Z1718" i="26"/>
  <c r="Y1720" i="26"/>
  <c r="Z1719" i="26"/>
  <c r="Z1720" i="26"/>
  <c r="Y1721" i="26"/>
  <c r="Y1722" i="26"/>
  <c r="Z1721" i="26"/>
  <c r="Z1722" i="26"/>
  <c r="Y1723" i="26"/>
  <c r="Z1723" i="26"/>
  <c r="Y1724" i="26"/>
  <c r="Z1724" i="26"/>
  <c r="Y1725" i="26"/>
  <c r="Z1725" i="26"/>
  <c r="Y1726" i="26"/>
  <c r="Y1727" i="26"/>
  <c r="Z1726" i="26"/>
  <c r="Y1728" i="26"/>
  <c r="Z1727" i="26"/>
  <c r="Z1728" i="26"/>
  <c r="Y1729" i="26"/>
  <c r="Y1730" i="26"/>
  <c r="Z1729" i="26"/>
  <c r="Z1730" i="26"/>
  <c r="Y1731" i="26"/>
  <c r="Y1732" i="26"/>
  <c r="Z1731" i="26"/>
  <c r="Y1733" i="26"/>
  <c r="Z1732" i="26"/>
  <c r="Y1734" i="26"/>
  <c r="Z1733" i="26"/>
  <c r="Y1735" i="26"/>
  <c r="Z1734" i="26"/>
  <c r="Z1735" i="26"/>
  <c r="Y1736" i="26"/>
  <c r="Y1737" i="26"/>
  <c r="Z1736" i="26"/>
  <c r="Z1737" i="26"/>
  <c r="Y1738" i="26"/>
  <c r="Y1739" i="26"/>
  <c r="Z1738" i="26"/>
  <c r="Z1739" i="26"/>
  <c r="Y1740" i="26"/>
  <c r="Z1740" i="26"/>
  <c r="Y1741" i="26"/>
  <c r="Z1741" i="26"/>
  <c r="Y1742" i="26"/>
  <c r="Y1743" i="26"/>
  <c r="Z1742" i="26"/>
  <c r="Y1744" i="26"/>
  <c r="Z1743" i="26"/>
  <c r="Y1745" i="26"/>
  <c r="Z1744" i="26"/>
  <c r="Z1745" i="26"/>
  <c r="Y1746" i="26"/>
  <c r="Z1746" i="26"/>
  <c r="Y1747" i="26"/>
  <c r="Y1748" i="26"/>
  <c r="Z1747" i="26"/>
  <c r="Z1748" i="26"/>
  <c r="Y1749" i="26"/>
  <c r="Z1749" i="26"/>
  <c r="Y1750" i="26"/>
  <c r="Y1751" i="26"/>
  <c r="Z1750" i="26"/>
  <c r="Y1752" i="26"/>
  <c r="Z1751" i="26"/>
  <c r="Z1752" i="26"/>
  <c r="Y1753" i="26"/>
  <c r="Z1753" i="26"/>
  <c r="Y1754" i="26"/>
  <c r="Y1755" i="26"/>
  <c r="Z1754" i="26"/>
  <c r="Y1756" i="26"/>
  <c r="Z1755" i="26"/>
  <c r="Z1756" i="26"/>
  <c r="Y1757" i="26"/>
  <c r="Z1757" i="26"/>
  <c r="Y1758" i="26"/>
  <c r="Y1759" i="26"/>
  <c r="Z1758" i="26"/>
  <c r="Y1760" i="26"/>
  <c r="Z1759" i="26"/>
  <c r="Y1761" i="26"/>
  <c r="Z1760" i="26"/>
  <c r="Y1762" i="26"/>
  <c r="Z1761" i="26"/>
  <c r="Y1763" i="26"/>
  <c r="Z1762" i="26"/>
  <c r="Y1764" i="26"/>
  <c r="Z1763" i="26"/>
  <c r="Z1764" i="26"/>
  <c r="Y1765" i="26"/>
  <c r="Y1766" i="26"/>
  <c r="Z1765" i="26"/>
  <c r="Y1767" i="26"/>
  <c r="Z1766" i="26"/>
  <c r="Y1768" i="26"/>
  <c r="Z1767" i="26"/>
  <c r="Y1769" i="26"/>
  <c r="Z1768" i="26"/>
  <c r="Y1770" i="26"/>
  <c r="Z1769" i="26"/>
  <c r="Z1770" i="26"/>
  <c r="Y1771" i="26"/>
  <c r="Z1771" i="26"/>
  <c r="Y1772" i="26"/>
  <c r="Z1772" i="26"/>
  <c r="Y1773" i="26"/>
  <c r="Z1773" i="26"/>
  <c r="Y1774" i="26"/>
  <c r="Y1775" i="26"/>
  <c r="Z1774" i="26"/>
  <c r="Y1776" i="26"/>
  <c r="Z1775" i="26"/>
  <c r="Z1776" i="26"/>
  <c r="Y1777" i="26"/>
  <c r="Y1778" i="26"/>
  <c r="Z1777" i="26"/>
  <c r="Z1778" i="26"/>
  <c r="Y1779" i="26"/>
  <c r="Y1780" i="26"/>
  <c r="Z1779" i="26"/>
  <c r="Y1781" i="26"/>
  <c r="Z1780" i="26"/>
  <c r="Z1781" i="26"/>
  <c r="Y1782" i="26"/>
  <c r="Z1782" i="26"/>
  <c r="Y1783" i="26"/>
  <c r="Z1783" i="26"/>
  <c r="Y1784" i="26"/>
  <c r="Y1785" i="26"/>
  <c r="Z1784" i="26"/>
  <c r="Z1785" i="26"/>
  <c r="Y1786" i="26"/>
  <c r="Z1786" i="26"/>
  <c r="Y1787" i="26"/>
  <c r="Z1787" i="26"/>
  <c r="Y1788" i="26"/>
  <c r="Y1789" i="26"/>
  <c r="Z1788" i="26"/>
  <c r="Z1789" i="26"/>
  <c r="Y1790" i="26"/>
  <c r="Y1791" i="26"/>
  <c r="Z1790" i="26"/>
  <c r="Y1792" i="26"/>
  <c r="Z1791" i="26"/>
  <c r="Y1793" i="26"/>
  <c r="Z1792" i="26"/>
  <c r="Z1793" i="26"/>
  <c r="Y1794" i="26"/>
  <c r="Y1795" i="26"/>
  <c r="Z1794" i="26"/>
  <c r="Y1796" i="26"/>
  <c r="Z1795" i="26"/>
  <c r="Y1797" i="26"/>
  <c r="Z1796" i="26"/>
  <c r="Z1797" i="26"/>
  <c r="Y1798" i="26"/>
  <c r="Z1798" i="26"/>
  <c r="Y1799" i="26"/>
  <c r="Z1799" i="26"/>
  <c r="Y1800" i="26"/>
  <c r="Z1800" i="26"/>
  <c r="Y1801" i="26"/>
  <c r="Z1801" i="26"/>
  <c r="Y1802" i="26"/>
  <c r="Y1803" i="26"/>
  <c r="Z1802" i="26"/>
  <c r="Y1804" i="26"/>
  <c r="Z1803" i="26"/>
  <c r="Z1804" i="26"/>
  <c r="Y1805" i="26"/>
  <c r="Y1806" i="26"/>
  <c r="Z1805" i="26"/>
  <c r="Y1807" i="26"/>
  <c r="Z1806" i="26"/>
  <c r="Y1808" i="26"/>
  <c r="Z1807" i="26"/>
  <c r="Y1809" i="26"/>
  <c r="Z1808" i="26"/>
  <c r="Z1809" i="26"/>
  <c r="Y1810" i="26"/>
  <c r="Y1811" i="26"/>
  <c r="Z1810" i="26"/>
  <c r="Y1812" i="26"/>
  <c r="Z1811" i="26"/>
  <c r="Y1813" i="26"/>
  <c r="Z1812" i="26"/>
  <c r="Z1813" i="26"/>
  <c r="Y1814" i="26"/>
  <c r="Z1814" i="26"/>
  <c r="Y1815" i="26"/>
  <c r="Y1816" i="26"/>
  <c r="Z1815" i="26"/>
  <c r="Y1817" i="26"/>
  <c r="Z1816" i="26"/>
  <c r="Z1817" i="26"/>
  <c r="Y1818" i="26"/>
  <c r="Y1819" i="26"/>
  <c r="Z1818" i="26"/>
  <c r="Y1820" i="26"/>
  <c r="Z1819" i="26"/>
  <c r="Z1820" i="26"/>
  <c r="Y1821" i="26"/>
  <c r="Z1821" i="26"/>
  <c r="Y1822" i="26"/>
  <c r="Y1823" i="26"/>
  <c r="Z1822" i="26"/>
  <c r="Z1823" i="26"/>
  <c r="Y1824" i="26"/>
  <c r="Z1824" i="26"/>
  <c r="Y1825" i="26"/>
  <c r="Y1826" i="26"/>
  <c r="Z1825" i="26"/>
  <c r="Z1826" i="26"/>
  <c r="Y1827" i="26"/>
  <c r="Z1827" i="26"/>
  <c r="Y1828" i="26"/>
  <c r="Z1828" i="26"/>
  <c r="Y1829" i="26"/>
  <c r="Z1829" i="26"/>
  <c r="Y1830" i="26"/>
  <c r="Z1830" i="26"/>
  <c r="Y1831" i="26"/>
  <c r="Z1831" i="26"/>
  <c r="Y1832" i="26"/>
  <c r="Y1833" i="26"/>
  <c r="Z1832" i="26"/>
  <c r="Y1834" i="26"/>
  <c r="Z1833" i="26"/>
  <c r="Z1834" i="26"/>
  <c r="Y1835" i="26"/>
  <c r="Z1835" i="26"/>
  <c r="Y1836" i="26"/>
  <c r="Z1836" i="26"/>
  <c r="Y1837" i="26"/>
  <c r="Z1837" i="26"/>
  <c r="Y1838" i="26"/>
  <c r="Y1839" i="26"/>
  <c r="Z1838" i="26"/>
  <c r="Z1839" i="26"/>
  <c r="Y1840" i="26"/>
  <c r="Z1840" i="26"/>
  <c r="Y1841" i="26"/>
  <c r="Y1842" i="26"/>
  <c r="Z1841" i="26"/>
  <c r="Y1843" i="26"/>
  <c r="Z1842" i="26"/>
  <c r="Y1844" i="26"/>
  <c r="Z1843" i="26"/>
  <c r="Y1845" i="26"/>
  <c r="Z1844" i="26"/>
  <c r="Z1845" i="26"/>
  <c r="Y1846" i="26"/>
  <c r="Z1846" i="26"/>
  <c r="Y1847" i="26"/>
  <c r="Z1847" i="26"/>
  <c r="Y1848" i="26"/>
  <c r="Z1848" i="26"/>
  <c r="Y1849" i="26"/>
  <c r="Y1850" i="26"/>
  <c r="Z1849" i="26"/>
  <c r="Z1850" i="26"/>
  <c r="Y1851" i="26"/>
  <c r="Y1852" i="26"/>
  <c r="Z1851" i="26"/>
  <c r="Y1853" i="26"/>
  <c r="Z1852" i="26"/>
  <c r="Z1853" i="26"/>
  <c r="Y1854" i="26"/>
  <c r="Y1855" i="26"/>
  <c r="Z1854" i="26"/>
  <c r="Z1855" i="26"/>
  <c r="Y1856" i="26"/>
  <c r="Y1857" i="26"/>
  <c r="Z1856" i="26"/>
  <c r="Z1857" i="26"/>
  <c r="Y1858" i="26"/>
  <c r="Z1858" i="26"/>
  <c r="Y1859" i="26"/>
  <c r="Z1859" i="26"/>
  <c r="Y1860" i="26"/>
  <c r="Z1860" i="26"/>
  <c r="Y1861" i="26"/>
  <c r="Z1861" i="26"/>
  <c r="Y1862" i="26"/>
  <c r="Y1863" i="26"/>
  <c r="Z1862" i="26"/>
  <c r="Z1863" i="26"/>
  <c r="Y1864" i="26"/>
  <c r="Z1864" i="26"/>
  <c r="Y1865" i="26"/>
  <c r="Z1865" i="26"/>
  <c r="Y1866" i="26"/>
  <c r="Y1867" i="26"/>
  <c r="Z1866" i="26"/>
  <c r="Y1868" i="26"/>
  <c r="Z1867" i="26"/>
  <c r="Z1868" i="26"/>
  <c r="Y1869" i="26"/>
  <c r="Z1869" i="26"/>
  <c r="Y1870" i="26"/>
  <c r="Z1870" i="26"/>
  <c r="Y1871" i="26"/>
  <c r="Y1872" i="26"/>
  <c r="Z1871" i="26"/>
  <c r="Y1873" i="26"/>
  <c r="Z1872" i="26"/>
  <c r="Y1874" i="26"/>
  <c r="Z1873" i="26"/>
  <c r="Z1874" i="26"/>
  <c r="Y1875" i="26"/>
  <c r="Z1875" i="26"/>
  <c r="Y1876" i="26"/>
  <c r="Z1876" i="26"/>
  <c r="Y1877" i="26"/>
  <c r="Z1877" i="26"/>
  <c r="Y1878" i="26"/>
  <c r="Z1878" i="26"/>
  <c r="Y1879" i="26"/>
  <c r="Z1879" i="26"/>
  <c r="Y1880" i="26"/>
  <c r="Z1880" i="26"/>
  <c r="Y1881" i="26"/>
  <c r="Z1881" i="26"/>
  <c r="Y1882" i="26"/>
  <c r="Y1883" i="26"/>
  <c r="Z1882" i="26"/>
  <c r="Y1884" i="26"/>
  <c r="Z1883" i="26"/>
  <c r="Z1884" i="26"/>
  <c r="Y1885" i="26"/>
  <c r="Z1885" i="26"/>
  <c r="Y1886" i="26"/>
  <c r="Y1887" i="26"/>
  <c r="Z1886" i="26"/>
  <c r="Y1888" i="26"/>
  <c r="Z1887" i="26"/>
  <c r="Z1888" i="26"/>
  <c r="Y1889" i="26"/>
  <c r="Z1889" i="26"/>
  <c r="Y1890" i="26"/>
  <c r="Y1891" i="26"/>
  <c r="Z1890" i="26"/>
  <c r="Z1891" i="26"/>
  <c r="Y1892" i="26"/>
  <c r="Y1893" i="26"/>
  <c r="Z1892" i="26"/>
  <c r="Y1894" i="26"/>
  <c r="Z1893" i="26"/>
  <c r="Y1895" i="26"/>
  <c r="Z1894" i="26"/>
  <c r="Z1895" i="26"/>
  <c r="Y1896" i="26"/>
  <c r="Y1897" i="26"/>
  <c r="Z1896" i="26"/>
  <c r="Z1897" i="26"/>
  <c r="Y1898" i="26"/>
  <c r="Y1899" i="26"/>
  <c r="Z1898" i="26"/>
  <c r="Z1899" i="26"/>
  <c r="Y1900" i="26"/>
  <c r="Z1900" i="26"/>
  <c r="Y1901" i="26"/>
  <c r="Z1901" i="26"/>
  <c r="Y1902" i="26"/>
  <c r="Y1903" i="26"/>
  <c r="Z1902" i="26"/>
  <c r="Y1904" i="26"/>
  <c r="Z1903" i="26"/>
  <c r="Z1904" i="26"/>
  <c r="Y1905" i="26"/>
  <c r="Y1906" i="26"/>
  <c r="Z1905" i="26"/>
  <c r="Z1906" i="26"/>
  <c r="Y1907" i="26"/>
  <c r="Z1907" i="26"/>
  <c r="Y1908" i="26"/>
  <c r="Y1909" i="26"/>
  <c r="Z1908" i="26"/>
  <c r="Z1909" i="26"/>
  <c r="Y1910" i="26"/>
  <c r="Z1910" i="26"/>
  <c r="Y1911" i="26"/>
  <c r="Z1911" i="26"/>
  <c r="Y1912" i="26"/>
  <c r="Y1913" i="26"/>
  <c r="Z1912" i="26"/>
  <c r="Z1913" i="26"/>
  <c r="Y1914" i="26"/>
  <c r="Y1915" i="26"/>
  <c r="Z1914" i="26"/>
  <c r="Y1916" i="26"/>
  <c r="Z1915" i="26"/>
  <c r="Y1917" i="26"/>
  <c r="Z1916" i="26"/>
  <c r="Y1918" i="26"/>
  <c r="Z1917" i="26"/>
  <c r="Y1919" i="26"/>
  <c r="Z1918" i="26"/>
  <c r="Y1920" i="26"/>
  <c r="Z1919" i="26"/>
  <c r="Z1920" i="26"/>
  <c r="Y1921" i="26"/>
  <c r="Y1922" i="26"/>
  <c r="Z1921" i="26"/>
  <c r="Z1922" i="26"/>
  <c r="Y1923" i="26"/>
  <c r="Y1924" i="26"/>
  <c r="Z1923" i="26"/>
  <c r="Z1924" i="26"/>
  <c r="Y1925" i="26"/>
  <c r="Y1926" i="26"/>
  <c r="Z1925" i="26"/>
  <c r="Z1926" i="26"/>
  <c r="Y1927" i="26"/>
  <c r="Z1927" i="26"/>
  <c r="Y1928" i="26"/>
  <c r="Y1929" i="26"/>
  <c r="Z1928" i="26"/>
  <c r="Z1929" i="26"/>
  <c r="Y1930" i="26"/>
  <c r="Y1931" i="26"/>
  <c r="Z1930" i="26"/>
  <c r="Y1932" i="26"/>
  <c r="Z1931" i="26"/>
  <c r="Y1933" i="26"/>
  <c r="Z1932" i="26"/>
  <c r="Y1934" i="26"/>
  <c r="Z1933" i="26"/>
  <c r="Y1935" i="26"/>
  <c r="Z1934" i="26"/>
  <c r="Y1936" i="26"/>
  <c r="Z1935" i="26"/>
  <c r="Y1937" i="26"/>
  <c r="Z1936" i="26"/>
  <c r="Y1938" i="26"/>
  <c r="Z1937" i="26"/>
  <c r="Z1938" i="26"/>
  <c r="Y1939" i="26"/>
  <c r="Z1939" i="26"/>
  <c r="Y1940" i="26"/>
  <c r="Y1941" i="26"/>
  <c r="Z1940" i="26"/>
  <c r="Z1941" i="26"/>
  <c r="Y1942" i="26"/>
  <c r="Y1943" i="26"/>
  <c r="Z1942" i="26"/>
  <c r="Z1943" i="26"/>
  <c r="Y1944" i="26"/>
  <c r="Y1945" i="26"/>
  <c r="Z1944" i="26"/>
  <c r="Z1945" i="26"/>
  <c r="Y1946" i="26"/>
  <c r="Y1947" i="26"/>
  <c r="Z1946" i="26"/>
  <c r="Y1948" i="26"/>
  <c r="Z1947" i="26"/>
  <c r="Z1948" i="26"/>
  <c r="Y1949" i="26"/>
  <c r="Y1950" i="26"/>
  <c r="Z1949" i="26"/>
  <c r="Z1950" i="26"/>
  <c r="Y1951" i="26"/>
  <c r="Z1951" i="26"/>
  <c r="Y1952" i="26"/>
  <c r="Z1952" i="26"/>
  <c r="Y1953" i="26"/>
  <c r="Z1953" i="26"/>
  <c r="Y1954" i="26"/>
  <c r="Y1955" i="26"/>
  <c r="Z1954" i="26"/>
  <c r="Y1956" i="26"/>
  <c r="Z1955" i="26"/>
  <c r="Y1957" i="26"/>
  <c r="Z1956" i="26"/>
  <c r="Y1958" i="26"/>
  <c r="Z1957" i="26"/>
  <c r="Y1959" i="26"/>
  <c r="Z1958" i="26"/>
  <c r="Z1959" i="26"/>
  <c r="Y1960" i="26"/>
  <c r="Y1961" i="26"/>
  <c r="Z1960" i="26"/>
  <c r="Z1961" i="26"/>
  <c r="Y1962" i="26"/>
  <c r="Z1962" i="26"/>
  <c r="Y1963" i="26"/>
  <c r="Z1963" i="26"/>
  <c r="Y1964" i="26"/>
  <c r="Z1964" i="26"/>
  <c r="Y1965" i="26"/>
  <c r="Z1965" i="26"/>
  <c r="Y1966" i="26"/>
  <c r="Y1967" i="26"/>
  <c r="Z1966" i="26"/>
  <c r="Z1967" i="26"/>
  <c r="Y1968" i="26"/>
  <c r="Y1969" i="26"/>
  <c r="Z1968" i="26"/>
  <c r="Y1970" i="26"/>
  <c r="Z1969" i="26"/>
  <c r="Z1970" i="26"/>
  <c r="Y1971" i="26"/>
  <c r="Z1971" i="26"/>
  <c r="Y1972" i="26"/>
  <c r="Y1973" i="26"/>
  <c r="Z1972" i="26"/>
  <c r="Y1974" i="26"/>
  <c r="Z1973" i="26"/>
  <c r="Z1974" i="26"/>
  <c r="Y1975" i="26"/>
  <c r="Z1975" i="26"/>
  <c r="Y1976" i="26"/>
  <c r="Y1977" i="26"/>
  <c r="Z1976" i="26"/>
  <c r="Z1977" i="26"/>
  <c r="Y1978" i="26"/>
  <c r="Y1979" i="26"/>
  <c r="Z1978" i="26"/>
  <c r="Z1979" i="26"/>
  <c r="Y1980" i="26"/>
  <c r="Y1981" i="26"/>
  <c r="Z1980" i="26"/>
  <c r="Z1981" i="26"/>
  <c r="Y1982" i="26"/>
  <c r="Z1982" i="26"/>
  <c r="Y1983" i="26"/>
  <c r="Z1983" i="26"/>
  <c r="Y1984" i="26"/>
  <c r="Z1984" i="26"/>
  <c r="Y1985" i="26"/>
  <c r="Z1985" i="26"/>
  <c r="Y1986" i="26"/>
  <c r="Y1987" i="26"/>
  <c r="Z1986" i="26"/>
  <c r="Z1987" i="26"/>
  <c r="Y1988" i="26"/>
  <c r="Y1989" i="26"/>
  <c r="Z1988" i="26"/>
  <c r="Z1989" i="26"/>
  <c r="Y1990" i="26"/>
  <c r="Y1991" i="26"/>
  <c r="Z1990" i="26"/>
  <c r="Z1991" i="26"/>
  <c r="Y1992" i="26"/>
  <c r="Z1992" i="26"/>
  <c r="Y1993" i="26"/>
  <c r="Z1993" i="26"/>
  <c r="Y1994" i="26"/>
  <c r="Y1995" i="26"/>
  <c r="Z1994" i="26"/>
  <c r="Z1995" i="26"/>
  <c r="Y1996" i="26"/>
  <c r="Z1996" i="26"/>
  <c r="Y1997" i="26"/>
  <c r="Y1998" i="26"/>
  <c r="Z1997" i="26"/>
  <c r="Z1998" i="26"/>
  <c r="Y1999" i="26"/>
  <c r="Y2000" i="26"/>
  <c r="Z1999" i="26"/>
  <c r="Z2000" i="26"/>
  <c r="Y2001" i="26"/>
  <c r="Y2002" i="26"/>
  <c r="Z2001" i="26"/>
  <c r="Z2002" i="26"/>
  <c r="Y2003" i="26"/>
  <c r="Y2004" i="26"/>
  <c r="Z2003" i="26"/>
  <c r="Y2005" i="26"/>
  <c r="Z2004" i="26"/>
  <c r="Z2005" i="26"/>
  <c r="Y2006" i="26"/>
  <c r="Z2006" i="26"/>
  <c r="Y2007" i="26"/>
  <c r="Y2008" i="26"/>
  <c r="Z2007" i="26"/>
  <c r="Z2008" i="26"/>
  <c r="Y2009" i="26"/>
  <c r="Y2010" i="26"/>
  <c r="Z2009" i="26"/>
  <c r="Z2010" i="26"/>
  <c r="Y2011" i="26"/>
  <c r="Y2012" i="26"/>
  <c r="Z2011" i="26"/>
  <c r="Z2012" i="26"/>
  <c r="Y2013" i="26"/>
  <c r="Z2013" i="26"/>
  <c r="Y2014" i="26"/>
  <c r="Y2015" i="26"/>
  <c r="Z2014" i="26"/>
  <c r="Y2016" i="26"/>
  <c r="Z2015" i="26"/>
  <c r="Y2017" i="26"/>
  <c r="Z2016" i="26"/>
  <c r="Z2017" i="26"/>
  <c r="Y2018" i="26"/>
  <c r="Z2018" i="26"/>
  <c r="Y2019" i="26"/>
  <c r="Y2020" i="26"/>
  <c r="Z2019" i="26"/>
  <c r="Y2021" i="26"/>
  <c r="Z2020" i="26"/>
  <c r="Y2022" i="26"/>
  <c r="Z2021" i="26"/>
  <c r="Z2022" i="26"/>
  <c r="Y2023" i="26"/>
  <c r="Y2024" i="26"/>
  <c r="Z2023" i="26"/>
  <c r="Y2025" i="26"/>
  <c r="Z2024" i="26"/>
  <c r="Y2026" i="26"/>
  <c r="Z2025" i="26"/>
  <c r="Y2027" i="26"/>
  <c r="Z2026" i="26"/>
  <c r="Y2028" i="26"/>
  <c r="Z2027" i="26"/>
  <c r="Y2029" i="26"/>
  <c r="Z2028" i="26"/>
  <c r="Z2029" i="26"/>
  <c r="Y2030" i="26"/>
  <c r="Z2030" i="26"/>
  <c r="Y2031" i="26"/>
  <c r="Z2031" i="26"/>
  <c r="Y2032" i="26"/>
  <c r="Z2032" i="26"/>
  <c r="Y2033" i="26"/>
  <c r="Y2034" i="26"/>
  <c r="Z2033" i="26"/>
  <c r="Y2035" i="26"/>
  <c r="Z2034" i="26"/>
  <c r="Z2035" i="26"/>
  <c r="Y2036" i="26"/>
  <c r="Y2037" i="26"/>
  <c r="Z2036" i="26"/>
  <c r="Y2038" i="26"/>
  <c r="Z2037" i="26"/>
  <c r="Y2039" i="26"/>
  <c r="Z2038" i="26"/>
  <c r="Z2039" i="26"/>
  <c r="Y2040" i="26"/>
  <c r="Y2041" i="26"/>
  <c r="Z2040" i="26"/>
  <c r="Z2041" i="26"/>
  <c r="Y2042" i="26"/>
  <c r="Z2042" i="26"/>
  <c r="Y2043" i="26"/>
  <c r="Z2043" i="26"/>
  <c r="Y2044" i="26"/>
  <c r="Y2045" i="26"/>
  <c r="Z2044" i="26"/>
  <c r="Z2045" i="26"/>
  <c r="Y2046" i="26"/>
  <c r="Y2047" i="26"/>
  <c r="Z2046" i="26"/>
  <c r="Y2048" i="26"/>
  <c r="Z2047" i="26"/>
  <c r="Z2048" i="26"/>
  <c r="Y2049" i="26"/>
  <c r="Y2050" i="26"/>
  <c r="Z2049" i="26"/>
  <c r="Z2050" i="26"/>
  <c r="Y2051" i="26"/>
  <c r="Z2051" i="26"/>
  <c r="Y2052" i="26"/>
  <c r="Y2053" i="26"/>
  <c r="Z2052" i="26"/>
  <c r="Z2053" i="26"/>
  <c r="Y2054" i="26"/>
  <c r="Z2054" i="26"/>
  <c r="Y2055" i="26"/>
  <c r="Y2056" i="26"/>
  <c r="Z2055" i="26"/>
  <c r="Z2056" i="26"/>
  <c r="Y2057" i="26"/>
  <c r="Z2057" i="26"/>
  <c r="Y2058" i="26"/>
  <c r="Z2058" i="26"/>
  <c r="Y2059" i="26"/>
  <c r="Y2060" i="26"/>
  <c r="Z2059" i="26"/>
  <c r="Y2061" i="26"/>
  <c r="Z2060" i="26"/>
  <c r="Z2061" i="26"/>
  <c r="Y2062" i="26"/>
  <c r="Z2062" i="26"/>
  <c r="Y2063" i="26"/>
  <c r="Y2064" i="26"/>
  <c r="Z2063" i="26"/>
  <c r="Y2065" i="26"/>
  <c r="Z2064" i="26"/>
  <c r="Z2065" i="26"/>
  <c r="Y2066" i="26"/>
  <c r="Y2067" i="26"/>
  <c r="Z2066" i="26"/>
  <c r="Z2067" i="26"/>
  <c r="Y2068" i="26"/>
  <c r="Y2069" i="26"/>
  <c r="Z2068" i="26"/>
  <c r="Z2069" i="26"/>
  <c r="Y2070" i="26"/>
  <c r="Z2070" i="26"/>
  <c r="Y2071" i="26"/>
  <c r="Z2071" i="26"/>
  <c r="Y2072" i="26"/>
  <c r="Y2073" i="26"/>
  <c r="Z2072" i="26"/>
  <c r="Y2074" i="26"/>
  <c r="Z2073" i="26"/>
  <c r="Z2074" i="26"/>
  <c r="Y2075" i="26"/>
  <c r="Z2075" i="26"/>
  <c r="Y2076" i="26"/>
  <c r="Z2076" i="26"/>
  <c r="Y2077" i="26"/>
  <c r="Y2078" i="26"/>
  <c r="Z2077" i="26"/>
  <c r="Z2078" i="26"/>
  <c r="Y2079" i="26"/>
  <c r="Y2080" i="26"/>
  <c r="Z2079" i="26"/>
  <c r="Z2080" i="26"/>
  <c r="Y2081" i="26"/>
  <c r="Y2082" i="26"/>
  <c r="Z2081" i="26"/>
  <c r="Z2082" i="26"/>
  <c r="Y2083" i="26"/>
  <c r="Z2083" i="26"/>
  <c r="Y2084" i="26"/>
  <c r="Z2084" i="26"/>
  <c r="Y2085" i="26"/>
  <c r="Y2086" i="26"/>
  <c r="Z2085" i="26"/>
  <c r="Z2086" i="26"/>
  <c r="Y2087" i="26"/>
  <c r="Y2088" i="26"/>
  <c r="Z2087" i="26"/>
  <c r="Y2089" i="26"/>
  <c r="Z2088" i="26"/>
  <c r="Z2089" i="26"/>
  <c r="Y2090" i="26"/>
  <c r="Y2091" i="26"/>
  <c r="Z2090" i="26"/>
  <c r="Z2091" i="26"/>
  <c r="Y2092" i="26"/>
  <c r="Y2093" i="26"/>
  <c r="Z2092" i="26"/>
  <c r="Z2093" i="26"/>
  <c r="Y2094" i="26"/>
  <c r="Z2094" i="26"/>
  <c r="Y2095" i="26"/>
  <c r="Z2095" i="26"/>
  <c r="Y2096" i="26"/>
  <c r="Z2096" i="26"/>
  <c r="Y2097" i="26"/>
  <c r="Y2098" i="26"/>
  <c r="Z2097" i="26"/>
  <c r="Y2099" i="26"/>
  <c r="Z2098" i="26"/>
  <c r="Z2099" i="26"/>
  <c r="Y2100" i="26"/>
  <c r="Y2101" i="26"/>
  <c r="Z2100" i="26"/>
  <c r="Y2102" i="26"/>
  <c r="Z2101" i="26"/>
  <c r="Z2102" i="26"/>
  <c r="Y2103" i="26"/>
  <c r="Y2104" i="26"/>
  <c r="Z2103" i="26"/>
  <c r="Y2105" i="26"/>
  <c r="Z2104" i="26"/>
  <c r="Z2105" i="26"/>
  <c r="Y2106" i="26"/>
  <c r="Y2107" i="26"/>
  <c r="Z2106" i="26"/>
  <c r="Z2107" i="26"/>
  <c r="Y2108" i="26"/>
  <c r="Y2109" i="26"/>
  <c r="Z2108" i="26"/>
  <c r="Y2110" i="26"/>
  <c r="Z2109" i="26"/>
  <c r="Y2111" i="26"/>
  <c r="Z2110" i="26"/>
  <c r="Y2112" i="26"/>
  <c r="Z2111" i="26"/>
  <c r="Y2113" i="26"/>
  <c r="Z2112" i="26"/>
  <c r="Z2113" i="26"/>
  <c r="Y2114" i="26"/>
  <c r="Y2115" i="26"/>
  <c r="Z2114" i="26"/>
  <c r="Z2115" i="26"/>
  <c r="Y2116" i="26"/>
  <c r="Y2117" i="26"/>
  <c r="Z2116" i="26"/>
  <c r="Z2117" i="26"/>
  <c r="Y2118" i="26"/>
  <c r="Y2119" i="26"/>
  <c r="Z2118" i="26"/>
  <c r="Y2120" i="26"/>
  <c r="Z2119" i="26"/>
  <c r="Y2121" i="26"/>
  <c r="Z2120" i="26"/>
  <c r="Z2121" i="26"/>
  <c r="Y2122" i="26"/>
  <c r="Z2122" i="26"/>
  <c r="Y2123" i="26"/>
  <c r="Z2123" i="26"/>
  <c r="Y2124" i="26"/>
  <c r="Y2125" i="26"/>
  <c r="Z2124" i="26"/>
  <c r="Z2125" i="26"/>
  <c r="Y2126" i="26"/>
  <c r="Y2127" i="26"/>
  <c r="Z2126" i="26"/>
  <c r="Y2128" i="26"/>
  <c r="Z2127" i="26"/>
  <c r="Z2128" i="26"/>
  <c r="Y2129" i="26"/>
  <c r="Z2129" i="26"/>
  <c r="Y2130" i="26"/>
  <c r="Y2131" i="26"/>
  <c r="Z2130" i="26"/>
  <c r="Z2131" i="26"/>
  <c r="Y2132" i="26"/>
  <c r="Z2132" i="26"/>
  <c r="Y2133" i="26"/>
  <c r="Y2134" i="26"/>
  <c r="Z2133" i="26"/>
  <c r="Y2135" i="26"/>
  <c r="Z2134" i="26"/>
  <c r="Y2136" i="26"/>
  <c r="Z2135" i="26"/>
  <c r="Z2136" i="26"/>
  <c r="Y2137" i="26"/>
  <c r="Z2137" i="26"/>
  <c r="Y2138" i="26"/>
  <c r="Y2139" i="26"/>
  <c r="Z2138" i="26"/>
  <c r="Y2140" i="26"/>
  <c r="Z2139" i="26"/>
  <c r="Y2141" i="26"/>
  <c r="Z2140" i="26"/>
  <c r="Z2141" i="26"/>
  <c r="Y2142" i="26"/>
  <c r="Z2142" i="26"/>
  <c r="Y2143" i="26"/>
  <c r="Y2144" i="26"/>
  <c r="Z2143" i="26"/>
  <c r="Z2144" i="26"/>
  <c r="Y2145" i="26"/>
  <c r="Y2146" i="26"/>
  <c r="Z2145" i="26"/>
  <c r="Z2146" i="26"/>
  <c r="Y2147" i="26"/>
  <c r="Y2148" i="26"/>
  <c r="Z2147" i="26"/>
  <c r="Z2148" i="26"/>
  <c r="Y2149" i="26"/>
  <c r="Y2150" i="26"/>
  <c r="Z2149" i="26"/>
  <c r="Y2151" i="26"/>
  <c r="Z2150" i="26"/>
  <c r="Z2151" i="26"/>
  <c r="Y2152" i="26"/>
  <c r="Y2153" i="26"/>
  <c r="Z2152" i="26"/>
  <c r="Z2153" i="26"/>
  <c r="Y2154" i="26"/>
  <c r="Z2154" i="26"/>
  <c r="Y2155" i="26"/>
  <c r="Z2155" i="26"/>
  <c r="Y2156" i="26"/>
  <c r="Z2156" i="26"/>
  <c r="Y2157" i="26"/>
  <c r="Z2157" i="26"/>
  <c r="Y2158" i="26"/>
  <c r="Z2158" i="26"/>
  <c r="Y2159" i="26"/>
  <c r="Y2160" i="26"/>
  <c r="Z2159" i="26"/>
  <c r="Z2160" i="26"/>
  <c r="Y2161" i="26"/>
  <c r="Z2161" i="26"/>
  <c r="Y2162" i="26"/>
  <c r="Z2162" i="26"/>
  <c r="Y2163" i="26"/>
  <c r="Z2163" i="26"/>
  <c r="Y2164" i="26"/>
  <c r="Y2165" i="26"/>
  <c r="Z2164" i="26"/>
  <c r="Z2165" i="26"/>
  <c r="Y2166" i="26"/>
  <c r="Y2167" i="26"/>
  <c r="Z2166" i="26"/>
  <c r="Y2168" i="26"/>
  <c r="Z2167" i="26"/>
  <c r="Y2169" i="26"/>
  <c r="Z2168" i="26"/>
  <c r="Y2170" i="26"/>
  <c r="Z2169" i="26"/>
  <c r="Y2171" i="26"/>
  <c r="Z2170" i="26"/>
  <c r="Z2171" i="26"/>
  <c r="Y2172" i="26"/>
  <c r="Y2173" i="26"/>
  <c r="Z2172" i="26"/>
  <c r="Z2173" i="26"/>
  <c r="Y2174" i="26"/>
  <c r="Z2174" i="26"/>
  <c r="Y2175" i="26"/>
  <c r="Y2176" i="26"/>
  <c r="Z2175" i="26"/>
  <c r="Y2177" i="26"/>
  <c r="Z2176" i="26"/>
  <c r="Y2178" i="26"/>
  <c r="Z2177" i="26"/>
  <c r="Y2179" i="26"/>
  <c r="Z2178" i="26"/>
  <c r="Z2179" i="26"/>
  <c r="Y2180" i="26"/>
  <c r="Z2180" i="26"/>
  <c r="Y2181" i="26"/>
  <c r="Y2182" i="26"/>
  <c r="Z2181" i="26"/>
  <c r="Y2183" i="26"/>
  <c r="Z2182" i="26"/>
  <c r="Y2184" i="26"/>
  <c r="Z2183" i="26"/>
  <c r="Y2185" i="26"/>
  <c r="Z2184" i="26"/>
  <c r="Z2185" i="26"/>
  <c r="Y2186" i="26"/>
  <c r="Z2186" i="26"/>
  <c r="Y2187" i="26"/>
  <c r="Z2187" i="26"/>
  <c r="Y2188" i="26"/>
  <c r="Z2188" i="26"/>
  <c r="Y2189" i="26"/>
  <c r="Y2190" i="26"/>
  <c r="Z2189" i="26"/>
  <c r="Z2190" i="26"/>
  <c r="Y2191" i="26"/>
  <c r="Z2191" i="26"/>
  <c r="Y2192" i="26"/>
  <c r="Z2192" i="26"/>
  <c r="Y2193" i="26"/>
  <c r="Y2194" i="26"/>
  <c r="Z2193" i="26"/>
  <c r="Y2195" i="26"/>
  <c r="Z2194" i="26"/>
  <c r="Z2195" i="26"/>
  <c r="Y2196" i="26"/>
  <c r="Y2197" i="26"/>
  <c r="Z2196" i="26"/>
  <c r="Z2197" i="26"/>
  <c r="Y2198" i="26"/>
  <c r="Y2199" i="26"/>
  <c r="Z2198" i="26"/>
  <c r="Y2200" i="26"/>
  <c r="Z2199" i="26"/>
  <c r="Z2200" i="26"/>
  <c r="Y2201" i="26"/>
  <c r="Y2202" i="26"/>
  <c r="Z2201" i="26"/>
  <c r="Y2203" i="26"/>
  <c r="Z2202" i="26"/>
  <c r="Y2204" i="26"/>
  <c r="Z2203" i="26"/>
  <c r="Y2205" i="26"/>
  <c r="Z2204" i="26"/>
  <c r="Z2205" i="26"/>
  <c r="Y2206" i="26"/>
  <c r="Y2207" i="26"/>
  <c r="Z2206" i="26"/>
  <c r="Z2207" i="26"/>
  <c r="Y2208" i="26"/>
  <c r="Y2209" i="26"/>
  <c r="Z2208" i="26"/>
  <c r="Y2210" i="26"/>
  <c r="Z2209" i="26"/>
  <c r="Z2210" i="26"/>
  <c r="Y2211" i="26"/>
  <c r="Z2211" i="26"/>
  <c r="Y2212" i="26"/>
  <c r="Y2213" i="26"/>
  <c r="Z2212" i="26"/>
  <c r="Y2214" i="26"/>
  <c r="Z2213" i="26"/>
  <c r="Y2215" i="26"/>
  <c r="Z2214" i="26"/>
  <c r="Z2215" i="26"/>
  <c r="Y2216" i="26"/>
  <c r="Y2217" i="26"/>
  <c r="Z2216" i="26"/>
  <c r="Y2218" i="26"/>
  <c r="Z2217" i="26"/>
  <c r="Y2219" i="26"/>
  <c r="Z2218" i="26"/>
  <c r="Z2219" i="26"/>
  <c r="Y2220" i="26"/>
  <c r="Z2220" i="26"/>
  <c r="Y2221" i="26"/>
  <c r="Y2222" i="26"/>
  <c r="Z2221" i="26"/>
  <c r="Z2222" i="26"/>
  <c r="Y2223" i="26"/>
  <c r="Y2224" i="26"/>
  <c r="Z2223" i="26"/>
  <c r="Z2224" i="26"/>
  <c r="Y2225" i="26"/>
  <c r="Z2225" i="26"/>
  <c r="Y2226" i="26"/>
  <c r="Y2227" i="26"/>
  <c r="Z2226" i="26"/>
  <c r="Y2228" i="26"/>
  <c r="Z2227" i="26"/>
  <c r="Z2228" i="26"/>
  <c r="Y2229" i="26"/>
  <c r="Z2229" i="26"/>
  <c r="Y2230" i="26"/>
  <c r="Y2231" i="26"/>
  <c r="Z2230" i="26"/>
  <c r="Y2232" i="26"/>
  <c r="Z2231" i="26"/>
  <c r="Z2232" i="26"/>
  <c r="Y2233" i="26"/>
  <c r="Z2233" i="26"/>
  <c r="Y2234" i="26"/>
  <c r="Y2235" i="26"/>
  <c r="Z2234" i="26"/>
  <c r="Y2236" i="26"/>
  <c r="Z2235" i="26"/>
  <c r="Y2237" i="26"/>
  <c r="Z2236" i="26"/>
  <c r="Y2238" i="26"/>
  <c r="Z2237" i="26"/>
  <c r="Z2238" i="26"/>
  <c r="Y2239" i="26"/>
  <c r="Y2240" i="26"/>
  <c r="Z2239" i="26"/>
  <c r="Y2241" i="26"/>
  <c r="Z2240" i="26"/>
  <c r="Y2242" i="26"/>
  <c r="Z2241" i="26"/>
  <c r="Z2242" i="26"/>
  <c r="Y2243" i="26"/>
  <c r="Y2244" i="26"/>
  <c r="Z2243" i="26"/>
  <c r="Y2245" i="26"/>
  <c r="Z2244" i="26"/>
  <c r="Y2246" i="26"/>
  <c r="Z2245" i="26"/>
  <c r="Z2246" i="26"/>
  <c r="Y2247" i="26"/>
  <c r="Y2248" i="26"/>
  <c r="Z2247" i="26"/>
  <c r="Y2249" i="26"/>
  <c r="Z2248" i="26"/>
  <c r="Y2250" i="26"/>
  <c r="Z2249" i="26"/>
  <c r="Z2250" i="26"/>
  <c r="Y2251" i="26"/>
  <c r="Y2252" i="26"/>
  <c r="Z2251" i="26"/>
  <c r="Y2253" i="26"/>
  <c r="Z2252" i="26"/>
  <c r="Z2253" i="26"/>
  <c r="Y2254" i="26"/>
  <c r="Y2255" i="26"/>
  <c r="Z2254" i="26"/>
  <c r="Z2255" i="26"/>
  <c r="Y2256" i="26"/>
  <c r="Z2256" i="26"/>
  <c r="Y2257" i="26"/>
  <c r="Z2257" i="26"/>
  <c r="Y2258" i="26"/>
  <c r="Z2258" i="26"/>
  <c r="Y2259" i="26"/>
  <c r="Y2260" i="26"/>
  <c r="Z2259" i="26"/>
  <c r="Y2261" i="26"/>
  <c r="Z2260" i="26"/>
  <c r="Y2262" i="26"/>
  <c r="Z2261" i="26"/>
  <c r="Y2263" i="26"/>
  <c r="Z2262" i="26"/>
  <c r="Y2264" i="26"/>
  <c r="Z2263" i="26"/>
  <c r="Z2264" i="26"/>
  <c r="Y2265" i="26"/>
  <c r="Y2266" i="26"/>
  <c r="Z2265" i="26"/>
  <c r="Y2267" i="26"/>
  <c r="Z2266" i="26"/>
  <c r="Y2268" i="26"/>
  <c r="Z2267" i="26"/>
  <c r="Z2268" i="26"/>
  <c r="Y2269" i="26"/>
  <c r="Y2270" i="26"/>
  <c r="Z2269" i="26"/>
  <c r="Y2271" i="26"/>
  <c r="Z2270" i="26"/>
  <c r="Y2272" i="26"/>
  <c r="Z2271" i="26"/>
  <c r="Y2273" i="26"/>
  <c r="Z2272" i="26"/>
  <c r="Y2274" i="26"/>
  <c r="Z2273" i="26"/>
  <c r="Z2274" i="26"/>
  <c r="Y2275" i="26"/>
  <c r="Z2275" i="26"/>
  <c r="Y2276" i="26"/>
  <c r="Y2277" i="26"/>
  <c r="Z2276" i="26"/>
  <c r="Y2278" i="26"/>
  <c r="Z2277" i="26"/>
  <c r="Y2279" i="26"/>
  <c r="Z2278" i="26"/>
  <c r="Y2280" i="26"/>
  <c r="Z2279" i="26"/>
  <c r="Z2280" i="26"/>
  <c r="Y2281" i="26"/>
  <c r="Z2281" i="26"/>
  <c r="Y2282" i="26"/>
  <c r="Z2282" i="26"/>
  <c r="Y2283" i="26"/>
  <c r="Y2284" i="26"/>
  <c r="Z2283" i="26"/>
  <c r="Z2284" i="26"/>
  <c r="Y2285" i="26"/>
  <c r="Z2285" i="26"/>
  <c r="Y2286" i="26"/>
  <c r="Y2287" i="26"/>
  <c r="Z2286" i="26"/>
  <c r="Z2287" i="26"/>
  <c r="Y2288" i="26"/>
  <c r="Y2289" i="26"/>
  <c r="Z2288" i="26"/>
  <c r="Z2289" i="26"/>
  <c r="Y2290" i="26"/>
  <c r="Z2290" i="26"/>
  <c r="Y2291" i="26"/>
  <c r="Y2292" i="26"/>
  <c r="Z2291" i="26"/>
  <c r="Y2293" i="26"/>
  <c r="Z2292" i="26"/>
  <c r="Y2294" i="26"/>
  <c r="Z2293" i="26"/>
  <c r="Z2294" i="26"/>
  <c r="Y2295" i="26"/>
  <c r="Y2296" i="26"/>
  <c r="Z2295" i="26"/>
  <c r="Y2297" i="26"/>
  <c r="Z2296" i="26"/>
  <c r="Z2297" i="26"/>
  <c r="Y2298" i="26"/>
  <c r="Z2298" i="26"/>
  <c r="Y2299" i="26"/>
  <c r="Z2299" i="26"/>
  <c r="Y2300" i="26"/>
  <c r="Z2300" i="26"/>
  <c r="Y2301" i="26"/>
  <c r="Y2302" i="26"/>
  <c r="Z2301" i="26"/>
  <c r="Y2303" i="26"/>
  <c r="Z2302" i="26"/>
  <c r="Z2303" i="26"/>
  <c r="Y2304" i="26"/>
  <c r="Z2304" i="26"/>
  <c r="Y2305" i="26"/>
  <c r="Z2305" i="26"/>
  <c r="Y2306" i="26"/>
  <c r="Y2307" i="26"/>
  <c r="Z2306" i="26"/>
  <c r="Y2308" i="26"/>
  <c r="Z2307" i="26"/>
  <c r="Y2309" i="26"/>
  <c r="Z2308" i="26"/>
  <c r="Z2309" i="26"/>
  <c r="Y2310" i="26"/>
  <c r="Y2311" i="26"/>
  <c r="Z2310" i="26"/>
  <c r="Y2312" i="26"/>
  <c r="Z2311" i="26"/>
  <c r="Z2312" i="26"/>
  <c r="Y2313" i="26"/>
  <c r="Z2313" i="26"/>
  <c r="Y2314" i="26"/>
  <c r="Z2314" i="26"/>
  <c r="Y2315" i="26"/>
  <c r="Z2315" i="26"/>
  <c r="Y2316" i="26"/>
  <c r="Y2317" i="26"/>
  <c r="Z2316" i="26"/>
  <c r="Y2318" i="26"/>
  <c r="Z2317" i="26"/>
  <c r="Z2318" i="26"/>
  <c r="Y2319" i="26"/>
  <c r="Z2319" i="26"/>
  <c r="Y2320" i="26"/>
  <c r="Z2320" i="26"/>
  <c r="Y2321" i="26"/>
  <c r="Y2322" i="26"/>
  <c r="Z2321" i="26"/>
  <c r="Y2323" i="26"/>
  <c r="Z2322" i="26"/>
  <c r="Z2323" i="26"/>
  <c r="Y2324" i="26"/>
  <c r="Z2324" i="26"/>
  <c r="Y2325" i="26"/>
  <c r="Y2326" i="26"/>
  <c r="Z2325" i="26"/>
  <c r="Z2326" i="26"/>
  <c r="Y2327" i="26"/>
  <c r="Z2327" i="26"/>
  <c r="Y2328" i="26"/>
  <c r="Y2329" i="26"/>
  <c r="Z2328" i="26"/>
  <c r="Z2329" i="26"/>
  <c r="Y2330" i="26"/>
  <c r="Y2331" i="26"/>
  <c r="Z2330" i="26"/>
  <c r="Z2331" i="26"/>
  <c r="Y2332" i="26"/>
  <c r="Y2333" i="26"/>
  <c r="Z2332" i="26"/>
  <c r="Z2333" i="26"/>
  <c r="Y2334" i="26"/>
  <c r="Z2334" i="26"/>
  <c r="Y2335" i="26"/>
  <c r="Z2335" i="26"/>
  <c r="Y2336" i="26"/>
  <c r="Z2336" i="26"/>
  <c r="Y2337" i="26"/>
  <c r="Y2338" i="26"/>
  <c r="Z2337" i="26"/>
  <c r="Z2338" i="26"/>
  <c r="Y2339" i="26"/>
  <c r="Z2339" i="26"/>
  <c r="Y2340" i="26"/>
  <c r="Y2341" i="26"/>
  <c r="Z2340" i="26"/>
  <c r="Y2342" i="26"/>
  <c r="Z2341" i="26"/>
  <c r="Y2343" i="26"/>
  <c r="Z2342" i="26"/>
  <c r="Y2344" i="26"/>
  <c r="Z2343" i="26"/>
  <c r="Y2345" i="26"/>
  <c r="Z2344" i="26"/>
  <c r="Z2345" i="26"/>
  <c r="Y2346" i="26"/>
  <c r="Y2347" i="26"/>
  <c r="Z2346" i="26"/>
  <c r="Y2348" i="26"/>
  <c r="Z2347" i="26"/>
  <c r="Z2348" i="26"/>
  <c r="Y2349" i="26"/>
  <c r="Z2349" i="26"/>
  <c r="Y2350" i="26"/>
  <c r="Z2350" i="26"/>
  <c r="Y2351" i="26"/>
  <c r="Y2352" i="26"/>
  <c r="Z2351" i="26"/>
  <c r="Z2352" i="26"/>
  <c r="Y2353" i="26"/>
  <c r="Y2354" i="26"/>
  <c r="Z2353" i="26"/>
  <c r="Y2355" i="26"/>
  <c r="Z2354" i="26"/>
  <c r="Y2356" i="26"/>
  <c r="Z2355" i="26"/>
  <c r="Z2356" i="26"/>
  <c r="Y2357" i="26"/>
  <c r="Y2358" i="26"/>
  <c r="Z2357" i="26"/>
  <c r="Z2358" i="26"/>
  <c r="Y2359" i="26"/>
  <c r="Y2360" i="26"/>
  <c r="Z2359" i="26"/>
  <c r="Z2360" i="26"/>
  <c r="Y2361" i="26"/>
  <c r="Z2361" i="26"/>
  <c r="Y2362" i="26"/>
  <c r="Z2362" i="26"/>
  <c r="Y2363" i="26"/>
  <c r="Z2363" i="26"/>
  <c r="Y2364" i="26"/>
  <c r="Y2365" i="26"/>
  <c r="Z2364" i="26"/>
  <c r="Y2366" i="26"/>
  <c r="Z2365" i="26"/>
  <c r="Y2367" i="26"/>
  <c r="Z2366" i="26"/>
  <c r="Z2367" i="26"/>
  <c r="Y2368" i="26"/>
  <c r="Z2368" i="26"/>
  <c r="Y2369" i="26"/>
  <c r="Z2369" i="26"/>
  <c r="Y2370" i="26"/>
  <c r="Z2370" i="26"/>
  <c r="Y2371" i="26"/>
  <c r="Z2371" i="26"/>
  <c r="Y2372" i="26"/>
  <c r="Z2372" i="26"/>
  <c r="Y2373" i="26"/>
  <c r="Y2374" i="26"/>
  <c r="Z2373" i="26"/>
  <c r="Z2374" i="26"/>
  <c r="Y2375" i="26"/>
  <c r="Z2375" i="26"/>
  <c r="Y2376" i="26"/>
  <c r="Y2377" i="26"/>
  <c r="Z2376" i="26"/>
  <c r="Z2377" i="26"/>
  <c r="Y2378" i="26"/>
  <c r="Y2379" i="26"/>
  <c r="Z2378" i="26"/>
  <c r="Z2379" i="26"/>
  <c r="Y2380" i="26"/>
  <c r="Z2380" i="26"/>
  <c r="Y2381" i="26"/>
  <c r="Z2381" i="26"/>
  <c r="Y2382" i="26"/>
  <c r="Z2382" i="26"/>
  <c r="Y2383" i="26"/>
  <c r="Y2384" i="26"/>
  <c r="Z2383" i="26"/>
  <c r="Y2385" i="26"/>
  <c r="Z2384" i="26"/>
  <c r="Y2386" i="26"/>
  <c r="Z2385" i="26"/>
  <c r="Y2387" i="26"/>
  <c r="Z2386" i="26"/>
  <c r="Z2387" i="26"/>
  <c r="Y2388" i="26"/>
  <c r="Y2389" i="26"/>
  <c r="Z2388" i="26"/>
  <c r="Z2389" i="26"/>
  <c r="Y2390" i="26"/>
  <c r="Z2390" i="26"/>
  <c r="Y2391" i="26"/>
  <c r="Z2391" i="26"/>
  <c r="Y2392" i="26"/>
  <c r="Y2393" i="26"/>
  <c r="Z2392" i="26"/>
  <c r="Y2394" i="26"/>
  <c r="Z2393" i="26"/>
  <c r="Y2395" i="26"/>
  <c r="Z2394" i="26"/>
  <c r="Z2395" i="26"/>
  <c r="Y2396" i="26"/>
  <c r="Y2397" i="26"/>
  <c r="Z2396" i="26"/>
  <c r="Z2397" i="26"/>
  <c r="Y2398" i="26"/>
  <c r="Z2398" i="26"/>
  <c r="Y2399" i="26"/>
  <c r="Y2400" i="26"/>
  <c r="Z2399" i="26"/>
  <c r="Z2400" i="26"/>
  <c r="Y2401" i="26"/>
  <c r="Z2401" i="26"/>
  <c r="Y2402" i="26"/>
  <c r="Y2403" i="26"/>
  <c r="Z2402" i="26"/>
  <c r="Y2404" i="26"/>
  <c r="Z2403" i="26"/>
  <c r="Y2405" i="26"/>
  <c r="Z2404" i="26"/>
  <c r="Y2406" i="26"/>
  <c r="Z2405" i="26"/>
  <c r="Y2407" i="26"/>
  <c r="Z2406" i="26"/>
  <c r="Z2407" i="26"/>
  <c r="Y2408" i="26"/>
  <c r="Y2409" i="26"/>
  <c r="Z2408" i="26"/>
  <c r="Z2409" i="26"/>
  <c r="Y2410" i="26"/>
  <c r="Z2410" i="26"/>
  <c r="Y2411" i="26"/>
  <c r="Y2412" i="26"/>
  <c r="Z2411" i="26"/>
  <c r="Z2412" i="26"/>
  <c r="Y2413" i="26"/>
  <c r="Y2414" i="26"/>
  <c r="Z2413" i="26"/>
  <c r="Y2415" i="26"/>
  <c r="Z2414" i="26"/>
  <c r="Z2415" i="26"/>
  <c r="Y2416" i="26"/>
  <c r="Z2416" i="26"/>
  <c r="Y2417" i="26"/>
  <c r="Y2418" i="26"/>
  <c r="Z2417" i="26"/>
  <c r="Y2419" i="26"/>
  <c r="Z2418" i="26"/>
  <c r="Y2420" i="26"/>
  <c r="Z2419" i="26"/>
  <c r="Z2420" i="26"/>
  <c r="Y2421" i="26"/>
  <c r="Z2421" i="26"/>
  <c r="Y2422" i="26"/>
  <c r="Y2423" i="26"/>
  <c r="Z2422" i="26"/>
  <c r="Z2423" i="26"/>
  <c r="Y2424" i="26"/>
  <c r="Z2424" i="26"/>
  <c r="Y2425" i="26"/>
  <c r="Y2426" i="26"/>
  <c r="Z2425" i="26"/>
  <c r="Y2427" i="26"/>
  <c r="Z2426" i="26"/>
  <c r="Y2428" i="26"/>
  <c r="Z2427" i="26"/>
  <c r="Z2428" i="26"/>
  <c r="Y2429" i="26"/>
  <c r="Y2430" i="26"/>
  <c r="Z2429" i="26"/>
  <c r="Y2431" i="26"/>
  <c r="Z2430" i="26"/>
  <c r="Z2431" i="26"/>
  <c r="Y2432" i="26"/>
  <c r="Y2433" i="26"/>
  <c r="Z2432" i="26"/>
  <c r="Y2434" i="26"/>
  <c r="Z2433" i="26"/>
  <c r="Y2435" i="26"/>
  <c r="Z2434" i="26"/>
  <c r="Z2435" i="26"/>
  <c r="Y2436" i="26"/>
  <c r="Y2437" i="26"/>
  <c r="Z2436" i="26"/>
  <c r="Y2438" i="26"/>
  <c r="Z2437" i="26"/>
  <c r="Y2439" i="26"/>
  <c r="Z2438" i="26"/>
  <c r="Y2440" i="26"/>
  <c r="Z2439" i="26"/>
  <c r="Z2440" i="26"/>
  <c r="Y2441" i="26"/>
  <c r="Z2441" i="26"/>
  <c r="Y2442" i="26"/>
  <c r="Z2442" i="26"/>
  <c r="Y2443" i="26"/>
  <c r="Z2443" i="26"/>
  <c r="Y2444" i="26"/>
  <c r="Z2444" i="26"/>
  <c r="Y2445" i="26"/>
  <c r="Y2446" i="26"/>
  <c r="Z2445" i="26"/>
  <c r="Y2447" i="26"/>
  <c r="Z2446" i="26"/>
  <c r="Z2447" i="26"/>
  <c r="Y2448" i="26"/>
  <c r="Y2449" i="26"/>
  <c r="Z2448" i="26"/>
  <c r="Z2449" i="26"/>
  <c r="Y2450" i="26"/>
  <c r="Y2451" i="26"/>
  <c r="Z2450" i="26"/>
  <c r="Z2451" i="26"/>
  <c r="Y2452" i="26"/>
  <c r="Z2452" i="26"/>
  <c r="Y2453" i="26"/>
  <c r="Y2454" i="26"/>
  <c r="Z2453" i="26"/>
  <c r="Y2455" i="26"/>
  <c r="Z2454" i="26"/>
  <c r="Y2456" i="26"/>
  <c r="Z2455" i="26"/>
  <c r="Z2456" i="26"/>
  <c r="Y2457" i="26"/>
  <c r="Y2458" i="26"/>
  <c r="Z2457" i="26"/>
  <c r="Z2458" i="26"/>
  <c r="Y2459" i="26"/>
  <c r="Z2459" i="26"/>
  <c r="Y2460" i="26"/>
  <c r="Z2460" i="26"/>
  <c r="Y2461" i="26"/>
  <c r="Y2462" i="26"/>
  <c r="Z2461" i="26"/>
  <c r="Y2463" i="26"/>
  <c r="Z2462" i="26"/>
  <c r="Z2463" i="26"/>
  <c r="Y2464" i="26"/>
  <c r="Y2465" i="26"/>
  <c r="Z2464" i="26"/>
  <c r="Y2466" i="26"/>
  <c r="Z2465" i="26"/>
  <c r="Z2466" i="26"/>
  <c r="Y2467" i="26"/>
  <c r="Z2467" i="26"/>
  <c r="Y2468" i="26"/>
  <c r="Y2469" i="26"/>
  <c r="Z2468" i="26"/>
  <c r="Y2470" i="26"/>
  <c r="Z2469" i="26"/>
  <c r="Z2470" i="26"/>
  <c r="Y2471" i="26"/>
  <c r="Z2471" i="26"/>
  <c r="Y2472" i="26"/>
  <c r="Z2472" i="26"/>
  <c r="Y2473" i="26"/>
  <c r="Z2473" i="26"/>
  <c r="Y2474" i="26"/>
  <c r="Z2474" i="26"/>
  <c r="Y2475" i="26"/>
  <c r="Z2475" i="26"/>
  <c r="Y2476" i="26"/>
  <c r="Y2477" i="26"/>
  <c r="Z2476" i="26"/>
  <c r="Y2478" i="26"/>
  <c r="Z2477" i="26"/>
  <c r="Z2478" i="26"/>
  <c r="Y2479" i="26"/>
  <c r="Z2479" i="26"/>
  <c r="Y2480" i="26"/>
  <c r="Y2481" i="26"/>
  <c r="Z2480" i="26"/>
  <c r="Y2482" i="26"/>
  <c r="Z2481" i="26"/>
  <c r="Y2483" i="26"/>
  <c r="Z2482" i="26"/>
  <c r="Z2483" i="26"/>
  <c r="Y2484" i="26"/>
  <c r="Y2485" i="26"/>
  <c r="Z2484" i="26"/>
  <c r="Z2485" i="26"/>
  <c r="Y2486" i="26"/>
  <c r="Y2487" i="26"/>
  <c r="Z2486" i="26"/>
  <c r="Z2487" i="26"/>
  <c r="Y2488" i="26"/>
  <c r="Z2488" i="26"/>
  <c r="Y2489" i="26"/>
  <c r="Y2490" i="26"/>
  <c r="Z2489" i="26"/>
  <c r="Y2491" i="26"/>
  <c r="Z2490" i="26"/>
  <c r="Y2492" i="26"/>
  <c r="Z2491" i="26"/>
  <c r="Y2493" i="26"/>
  <c r="Z2492" i="26"/>
  <c r="Y2494" i="26"/>
  <c r="Z2493" i="26"/>
  <c r="Y2495" i="26"/>
  <c r="Z2494" i="26"/>
  <c r="Y2496" i="26"/>
  <c r="Z2495" i="26"/>
  <c r="Z2496" i="26"/>
  <c r="Y2497" i="26"/>
  <c r="Z2497" i="26"/>
  <c r="Y2498" i="26"/>
  <c r="Z2498" i="26"/>
  <c r="Y2499" i="26"/>
  <c r="Z2499" i="26"/>
  <c r="Y2500" i="26"/>
  <c r="Y2501" i="26"/>
  <c r="Z2500" i="26"/>
  <c r="Z2501" i="26"/>
  <c r="Y2502" i="26"/>
  <c r="Y2503" i="26"/>
  <c r="Z2502" i="26"/>
  <c r="Z2503" i="26"/>
  <c r="Y2504" i="26"/>
  <c r="Z2504" i="26"/>
  <c r="Y2505" i="26"/>
  <c r="Z2505" i="26"/>
  <c r="Y2506" i="26"/>
  <c r="Y2507" i="26"/>
  <c r="Z2506" i="26"/>
  <c r="Z2507" i="26"/>
  <c r="Y2508" i="26"/>
  <c r="Z2508" i="26"/>
  <c r="Y2509" i="26"/>
  <c r="Y2510" i="26"/>
  <c r="Z2509" i="26"/>
  <c r="Y2511" i="26"/>
  <c r="Z2510" i="26"/>
  <c r="Y2512" i="26"/>
  <c r="Z2511" i="26"/>
  <c r="Y2513" i="26"/>
  <c r="Z2512" i="26"/>
  <c r="Y2514" i="26"/>
  <c r="Z2513" i="26"/>
  <c r="Y2515" i="26"/>
  <c r="Z2514" i="26"/>
  <c r="Z2515" i="26"/>
  <c r="Y2516" i="26"/>
  <c r="Z2516" i="26"/>
  <c r="Y2517" i="26"/>
  <c r="Y2518" i="26"/>
  <c r="Z2517" i="26"/>
  <c r="Y2519" i="26"/>
  <c r="Z2518" i="26"/>
  <c r="Z2519" i="26"/>
  <c r="Y2520" i="26"/>
  <c r="Z2520" i="26"/>
  <c r="Y2521" i="26"/>
  <c r="Y2522" i="26"/>
  <c r="Z2521" i="26"/>
  <c r="Y2523" i="26"/>
  <c r="Z2522" i="26"/>
  <c r="Y2524" i="26"/>
  <c r="Z2523" i="26"/>
  <c r="Z2524" i="26"/>
  <c r="Y2525" i="26"/>
  <c r="Z2525" i="26"/>
  <c r="Y2526" i="26"/>
  <c r="Y2527" i="26"/>
  <c r="Z2526" i="26"/>
  <c r="Z2527" i="26"/>
  <c r="Y2528" i="26"/>
  <c r="Y2529" i="26"/>
  <c r="Z2528" i="26"/>
  <c r="Y2530" i="26"/>
  <c r="Z2529" i="26"/>
  <c r="Z2530" i="26"/>
  <c r="Y2531" i="26"/>
  <c r="Y2532" i="26"/>
  <c r="Z2531" i="26"/>
  <c r="Z2532" i="26"/>
  <c r="Y2533" i="26"/>
  <c r="Y2534" i="26"/>
  <c r="Z2533" i="26"/>
  <c r="Z2534" i="26"/>
  <c r="Y2535" i="26"/>
  <c r="Y2536" i="26"/>
  <c r="Z2535" i="26"/>
  <c r="Z2536" i="26"/>
  <c r="Y2537" i="26"/>
  <c r="Y2538" i="26"/>
  <c r="Z2537" i="26"/>
  <c r="Z2538" i="26"/>
  <c r="Y2539" i="26"/>
  <c r="Z2539" i="26"/>
  <c r="Y2540" i="26"/>
  <c r="Y2541" i="26"/>
  <c r="Z2540" i="26"/>
  <c r="Z2541" i="26"/>
  <c r="Y2542" i="26"/>
  <c r="Z2542" i="26"/>
  <c r="Y2543" i="26"/>
  <c r="Y2544" i="26"/>
  <c r="Z2543" i="26"/>
  <c r="Y2545" i="26"/>
  <c r="Z2544" i="26"/>
  <c r="Y2546" i="26"/>
  <c r="Z2545" i="26"/>
  <c r="Z2546" i="26"/>
  <c r="Y2547" i="26"/>
  <c r="Y2548" i="26"/>
  <c r="Z2547" i="26"/>
  <c r="Y2549" i="26"/>
  <c r="Z2548" i="26"/>
  <c r="Z2549" i="26"/>
  <c r="Y2550" i="26"/>
  <c r="Z2550" i="26"/>
  <c r="Y2551" i="26"/>
  <c r="Z2551" i="26"/>
  <c r="Y2552" i="26"/>
  <c r="Z2552" i="26"/>
  <c r="Y2553" i="26"/>
  <c r="Y2554" i="26"/>
  <c r="Z2553" i="26"/>
  <c r="Y2555" i="26"/>
  <c r="Z2554" i="26"/>
  <c r="Z2555" i="26"/>
  <c r="Y2556" i="26"/>
  <c r="Y2557" i="26"/>
  <c r="Z2556" i="26"/>
  <c r="Y2558" i="26"/>
  <c r="Z2557" i="26"/>
  <c r="Z2558" i="26"/>
  <c r="Y2559" i="26"/>
  <c r="Y2560" i="26"/>
  <c r="Z2559" i="26"/>
  <c r="Y2561" i="26"/>
  <c r="Z2560" i="26"/>
  <c r="Y2562" i="26"/>
  <c r="Z2561" i="26"/>
  <c r="Z2562" i="26"/>
  <c r="Y2563" i="26"/>
  <c r="Z2563" i="26"/>
  <c r="Y2564" i="26"/>
  <c r="Y2565" i="26"/>
  <c r="Z2564" i="26"/>
  <c r="Z2565" i="26"/>
  <c r="Y2566" i="26"/>
  <c r="Z2566" i="26"/>
  <c r="Y2567" i="26"/>
  <c r="Y2568" i="26"/>
  <c r="Z2567" i="26"/>
  <c r="Z2568" i="26"/>
  <c r="Y2569" i="26"/>
  <c r="Z2569" i="26"/>
  <c r="Y2570" i="26"/>
  <c r="Y2571" i="26"/>
  <c r="Z2570" i="26"/>
  <c r="Z2571" i="26"/>
  <c r="Y2572" i="26"/>
  <c r="Z2572" i="26"/>
  <c r="Y2573" i="26"/>
  <c r="Y2574" i="26"/>
  <c r="Z2573" i="26"/>
  <c r="Y2575" i="26"/>
  <c r="Z2574" i="26"/>
  <c r="Y2576" i="26"/>
  <c r="Z2575" i="26"/>
  <c r="Y2577" i="26"/>
  <c r="Z2576" i="26"/>
  <c r="Z2577" i="26"/>
  <c r="Y2578" i="26"/>
  <c r="Y2579" i="26"/>
  <c r="Z2578" i="26"/>
  <c r="Z2579" i="26"/>
  <c r="Y2580" i="26"/>
  <c r="Y2581" i="26"/>
  <c r="Z2580" i="26"/>
  <c r="Y2582" i="26"/>
  <c r="Z2581" i="26"/>
  <c r="Y2583" i="26"/>
  <c r="Z2582" i="26"/>
  <c r="Y2584" i="26"/>
  <c r="Z2583" i="26"/>
  <c r="Y2585" i="26"/>
  <c r="Z2584" i="26"/>
  <c r="Z2585" i="26"/>
  <c r="Y2586" i="26"/>
  <c r="Y2587" i="26"/>
  <c r="Z2586" i="26"/>
  <c r="Z2587" i="26"/>
  <c r="Y2588" i="26"/>
  <c r="Y2589" i="26"/>
  <c r="Z2588" i="26"/>
  <c r="Z2589" i="26"/>
  <c r="Y2590" i="26"/>
  <c r="Z2590" i="26"/>
  <c r="Y2591" i="26"/>
  <c r="Z2591" i="26"/>
  <c r="Y2592" i="26"/>
  <c r="Z2592" i="26"/>
  <c r="Y2593" i="26"/>
  <c r="Z2593" i="26"/>
  <c r="Y2594" i="26"/>
  <c r="Z2594" i="26"/>
  <c r="Y2595" i="26"/>
  <c r="Y2596" i="26"/>
  <c r="Z2595" i="26"/>
  <c r="Z2596" i="26"/>
  <c r="Y2597" i="26"/>
  <c r="Z2597" i="26"/>
  <c r="Y2598" i="26"/>
  <c r="Y2599" i="26"/>
  <c r="Z2598" i="26"/>
  <c r="Y2600" i="26"/>
  <c r="Z2599" i="26"/>
  <c r="Y2601" i="26"/>
  <c r="Z2600" i="26"/>
  <c r="Z2601" i="26"/>
  <c r="Y2602" i="26"/>
  <c r="Y2603" i="26"/>
  <c r="Z2602" i="26"/>
  <c r="Z2603" i="26"/>
  <c r="Y2604" i="26"/>
  <c r="Y2605" i="26"/>
  <c r="Z2604" i="26"/>
  <c r="Y2606" i="26"/>
  <c r="Z2605" i="26"/>
  <c r="Z2606" i="26"/>
  <c r="Y2607" i="26"/>
  <c r="Z2607" i="26"/>
  <c r="Y2608" i="26"/>
  <c r="Z2608" i="26"/>
  <c r="Y2609" i="26"/>
  <c r="Z2609" i="26"/>
  <c r="Y2610" i="26"/>
  <c r="Z2610" i="26"/>
  <c r="Y2611" i="26"/>
  <c r="Y2612" i="26"/>
  <c r="Z2611" i="26"/>
  <c r="Y2613" i="26"/>
  <c r="Z2612" i="26"/>
  <c r="Y2614" i="26"/>
  <c r="Z2613" i="26"/>
  <c r="Z2614" i="26"/>
  <c r="Y2615" i="26"/>
  <c r="Z2615" i="26"/>
  <c r="Y2616" i="26"/>
  <c r="Z2616" i="26"/>
  <c r="Y2617" i="26"/>
  <c r="Z2617" i="26"/>
  <c r="Y2618" i="26"/>
  <c r="Y2619" i="26"/>
  <c r="Z2618" i="26"/>
  <c r="Y2620" i="26"/>
  <c r="Z2619" i="26"/>
  <c r="Y2621" i="26"/>
  <c r="Z2620" i="26"/>
  <c r="Z2621" i="26"/>
  <c r="Y2622" i="26"/>
  <c r="Z2622" i="26"/>
  <c r="Y2623" i="26"/>
  <c r="Y2624" i="26"/>
  <c r="Z2623" i="26"/>
  <c r="Y2625" i="26"/>
  <c r="Z2624" i="26"/>
  <c r="Z2625" i="26"/>
  <c r="Y2626" i="26"/>
  <c r="Z2626" i="26"/>
  <c r="Y2627" i="26"/>
  <c r="Y2628" i="26"/>
  <c r="Z2627" i="26"/>
  <c r="Z2628" i="26"/>
  <c r="Y2629" i="26"/>
  <c r="Y2630" i="26"/>
  <c r="Z2629" i="26"/>
  <c r="Z2630" i="26"/>
  <c r="Y2631" i="26"/>
  <c r="Z2631" i="26"/>
  <c r="Y2632" i="26"/>
  <c r="Z2632" i="26"/>
  <c r="Y2633" i="26"/>
  <c r="Y2634" i="26"/>
  <c r="Z2633" i="26"/>
  <c r="Y2635" i="26"/>
  <c r="Z2634" i="26"/>
  <c r="Z2635" i="26"/>
  <c r="Y2636" i="26"/>
  <c r="Z2636" i="26"/>
  <c r="Y2637" i="26"/>
  <c r="Y2638" i="26"/>
  <c r="Z2637" i="26"/>
  <c r="Z2638" i="26"/>
  <c r="Y2639" i="26"/>
  <c r="Z2639" i="26"/>
  <c r="Y2640" i="26"/>
  <c r="Z2640" i="26"/>
  <c r="Y2641" i="26"/>
  <c r="Y2642" i="26"/>
  <c r="Z2641" i="26"/>
  <c r="Z2642" i="26"/>
  <c r="Y2643" i="26"/>
  <c r="Z2643" i="26"/>
  <c r="Y2644" i="26"/>
  <c r="Z2644" i="26"/>
  <c r="Y2645" i="26"/>
  <c r="Y2646" i="26"/>
  <c r="Z2645" i="26"/>
  <c r="Y2647" i="26"/>
  <c r="Z2646" i="26"/>
  <c r="Y2648" i="26"/>
  <c r="Z2647" i="26"/>
  <c r="Z2648" i="26"/>
  <c r="Y2649" i="26"/>
  <c r="Z2649" i="26"/>
  <c r="Y2650" i="26"/>
  <c r="Z2650" i="26"/>
  <c r="Y2651" i="26"/>
  <c r="Z2651" i="26"/>
  <c r="Y2652" i="26"/>
  <c r="Y2653" i="26"/>
  <c r="Z2652" i="26"/>
  <c r="Y2654" i="26"/>
  <c r="Z2653" i="26"/>
  <c r="Y2655" i="26"/>
  <c r="Z2654" i="26"/>
  <c r="Z2655" i="26"/>
  <c r="Y2656" i="26"/>
  <c r="Y2657" i="26"/>
  <c r="Z2656" i="26"/>
  <c r="Z2657" i="26"/>
  <c r="Y2658" i="26"/>
  <c r="Z2658" i="26"/>
  <c r="Y2659" i="26"/>
  <c r="Z2659" i="26"/>
  <c r="Y2660" i="26"/>
  <c r="Y2661" i="26"/>
  <c r="Z2660" i="26"/>
  <c r="Z2661" i="26"/>
  <c r="Y2662" i="26"/>
  <c r="Z2662" i="26"/>
  <c r="Y2663" i="26"/>
  <c r="Z2663" i="26"/>
  <c r="Y2664" i="26"/>
  <c r="Z2664" i="26"/>
  <c r="Y2665" i="26"/>
  <c r="Y2666" i="26"/>
  <c r="Z2665" i="26"/>
  <c r="Y2667" i="26"/>
  <c r="Z2666" i="26"/>
  <c r="Y2668" i="26"/>
  <c r="Z2667" i="26"/>
  <c r="Y2669" i="26"/>
  <c r="Z2668" i="26"/>
  <c r="Z2669" i="26"/>
  <c r="Y2670" i="26"/>
  <c r="Y2671" i="26"/>
  <c r="Z2670" i="26"/>
  <c r="Z2671" i="26"/>
  <c r="Y2672" i="26"/>
  <c r="Z2672" i="26"/>
  <c r="Y2673" i="26"/>
  <c r="Z2673" i="26"/>
  <c r="Y2674" i="26"/>
  <c r="Y2675" i="26"/>
  <c r="Z2674" i="26"/>
  <c r="Y2676" i="26"/>
  <c r="Z2675" i="26"/>
  <c r="Z2676" i="26"/>
  <c r="Y2677" i="26"/>
  <c r="Y2678" i="26"/>
  <c r="Z2677" i="26"/>
  <c r="Z2678" i="26"/>
  <c r="Y2679" i="26"/>
  <c r="Z2679" i="26"/>
  <c r="Y2680" i="26"/>
  <c r="Z2680" i="26"/>
  <c r="Y2681" i="26"/>
  <c r="Z2681" i="26"/>
  <c r="Y2682" i="26"/>
  <c r="Z2682" i="26"/>
  <c r="Y2683" i="26"/>
  <c r="Y2684" i="26"/>
  <c r="Z2683" i="26"/>
  <c r="Y2685" i="26"/>
  <c r="Z2684" i="26"/>
  <c r="Z2685" i="26"/>
  <c r="Y2686" i="26"/>
  <c r="Z2686" i="26"/>
  <c r="Y2687" i="26"/>
  <c r="Z2687" i="26"/>
  <c r="Y2688" i="26"/>
  <c r="Y2689" i="26"/>
  <c r="Z2688" i="26"/>
  <c r="Y2690" i="26"/>
  <c r="Z2689" i="26"/>
  <c r="Y2691" i="26"/>
  <c r="Z2690" i="26"/>
  <c r="Z2691" i="26"/>
  <c r="Y2692" i="26"/>
  <c r="Y2693" i="26"/>
  <c r="Z2692" i="26"/>
  <c r="Z2693" i="26"/>
  <c r="Y2694" i="26"/>
  <c r="Y2695" i="26"/>
  <c r="Z2694" i="26"/>
  <c r="Y2696" i="26"/>
  <c r="Z2695" i="26"/>
  <c r="Y2697" i="26"/>
  <c r="Z2696" i="26"/>
  <c r="Y2698" i="26"/>
  <c r="Z2697" i="26"/>
  <c r="Y2699" i="26"/>
  <c r="Z2698" i="26"/>
  <c r="Y2700" i="26"/>
  <c r="Z2699" i="26"/>
  <c r="Y2701" i="26"/>
  <c r="Z2700" i="26"/>
  <c r="Z2701" i="26"/>
  <c r="Y2702" i="26"/>
  <c r="Z2702" i="26"/>
  <c r="Y2703" i="26"/>
  <c r="Y2704" i="26"/>
  <c r="Z2703" i="26"/>
  <c r="Y2705" i="26"/>
  <c r="Z2704" i="26"/>
  <c r="Z2705" i="26"/>
  <c r="Y2706" i="26"/>
  <c r="Y2707" i="26"/>
  <c r="Z2706" i="26"/>
  <c r="Y2708" i="26"/>
  <c r="Z2707" i="26"/>
  <c r="Z2708" i="26"/>
  <c r="Y2709" i="26"/>
  <c r="Y2710" i="26"/>
  <c r="Z2709" i="26"/>
  <c r="Z2710" i="26"/>
  <c r="Y2711" i="26"/>
  <c r="Y2712" i="26"/>
  <c r="Z2711" i="26"/>
  <c r="Y2713" i="26"/>
  <c r="Z2712" i="26"/>
  <c r="Y2714" i="26"/>
  <c r="Z2713" i="26"/>
  <c r="Z2714" i="26"/>
  <c r="Y2715" i="26"/>
  <c r="Z2715" i="26"/>
  <c r="Y2716" i="26"/>
  <c r="Y2717" i="26"/>
  <c r="Z2716" i="26"/>
  <c r="Z2717" i="26"/>
  <c r="Y2718" i="26"/>
  <c r="Z2718" i="26"/>
  <c r="Y2719" i="26"/>
  <c r="Z2719" i="26"/>
  <c r="Y2720" i="26"/>
  <c r="Y2721" i="26"/>
  <c r="Z2720" i="26"/>
  <c r="Z2721" i="26"/>
  <c r="Y2722" i="26"/>
  <c r="Y2723" i="26"/>
  <c r="Z2722" i="26"/>
  <c r="Y2724" i="26"/>
  <c r="Z2723" i="26"/>
  <c r="Y2725" i="26"/>
  <c r="Z2724" i="26"/>
  <c r="Y2726" i="26"/>
  <c r="Z2725" i="26"/>
  <c r="Z2726" i="26"/>
  <c r="Y2727" i="26"/>
  <c r="Z2727" i="26"/>
  <c r="Y2728" i="26"/>
  <c r="Y2729" i="26"/>
  <c r="Z2728" i="26"/>
  <c r="Y2730" i="26"/>
  <c r="Z2729" i="26"/>
  <c r="Y2731" i="26"/>
  <c r="Z2730" i="26"/>
  <c r="Z2731" i="26"/>
  <c r="Y2732" i="26"/>
  <c r="Y2733" i="26"/>
  <c r="Z2732" i="26"/>
  <c r="Y2734" i="26"/>
  <c r="Z2733" i="26"/>
  <c r="Z2734" i="26"/>
  <c r="Y2735" i="26"/>
  <c r="Y2736" i="26"/>
  <c r="Z2735" i="26"/>
  <c r="Z2736" i="26"/>
  <c r="Y2737" i="26"/>
  <c r="Y2738" i="26"/>
  <c r="Z2737" i="26"/>
  <c r="Z2738" i="26"/>
  <c r="Y2739" i="26"/>
  <c r="Y2740" i="26"/>
  <c r="Z2739" i="26"/>
  <c r="Y2741" i="26"/>
  <c r="Z2740" i="26"/>
  <c r="Z2741" i="26"/>
  <c r="Y2742" i="26"/>
  <c r="Y2743" i="26"/>
  <c r="Z2742" i="26"/>
  <c r="Y2744" i="26"/>
  <c r="Z2743" i="26"/>
  <c r="Z2744" i="26"/>
  <c r="Y2745" i="26"/>
  <c r="Y2746" i="26"/>
  <c r="Z2745" i="26"/>
  <c r="Z2746" i="26"/>
  <c r="Y2747" i="26"/>
  <c r="Y2748" i="26"/>
  <c r="Z2747" i="26"/>
  <c r="Z2748" i="26"/>
  <c r="Y2749" i="26"/>
  <c r="Z2749" i="26"/>
  <c r="Y2750" i="26"/>
  <c r="Y2751" i="26"/>
  <c r="Z2750" i="26"/>
  <c r="Y2752" i="26"/>
  <c r="Z2751" i="26"/>
  <c r="Y2753" i="26"/>
  <c r="Z2752" i="26"/>
  <c r="Y2754" i="26"/>
  <c r="Z2753" i="26"/>
  <c r="Y2755" i="26"/>
  <c r="Z2754" i="26"/>
  <c r="Z2755" i="26"/>
  <c r="Y2756" i="26"/>
  <c r="Y2757" i="26"/>
  <c r="Z2756" i="26"/>
  <c r="Y2758" i="26"/>
  <c r="Z2757" i="26"/>
  <c r="Z2758" i="26"/>
  <c r="Y2759" i="26"/>
  <c r="Y2760" i="26"/>
  <c r="Z2759" i="26"/>
  <c r="Z2760" i="26"/>
  <c r="Y2761" i="26"/>
  <c r="Z2761" i="26"/>
  <c r="Y2762" i="26"/>
  <c r="Z2762" i="26"/>
  <c r="Y2763" i="26"/>
  <c r="Z2763" i="26"/>
  <c r="Y2764" i="26"/>
  <c r="Y2765" i="26"/>
  <c r="Z2764" i="26"/>
  <c r="Z2765" i="26"/>
  <c r="Y2766" i="26"/>
  <c r="Y2767" i="26"/>
  <c r="Z2766" i="26"/>
  <c r="Y2768" i="26"/>
  <c r="Z2767" i="26"/>
  <c r="Y2769" i="26"/>
  <c r="Z2768" i="26"/>
  <c r="Z2769" i="26"/>
  <c r="Y2770" i="26"/>
  <c r="Y2771" i="26"/>
  <c r="Z2770" i="26"/>
  <c r="Z2771" i="26"/>
  <c r="Y2772" i="26"/>
  <c r="Z2772" i="26"/>
  <c r="Y2773" i="26"/>
  <c r="Z2773" i="26"/>
  <c r="Y2774" i="26"/>
  <c r="Z2774" i="26"/>
  <c r="Y2775" i="26"/>
  <c r="Z2775" i="26"/>
  <c r="Y2776" i="26"/>
  <c r="Y2777" i="26"/>
  <c r="Z2776" i="26"/>
  <c r="Y2778" i="26"/>
  <c r="Z2777" i="26"/>
  <c r="Y2779" i="26"/>
  <c r="Z2778" i="26"/>
  <c r="Z2779" i="26"/>
  <c r="Y2780" i="26"/>
  <c r="Y2781" i="26"/>
  <c r="Z2780" i="26"/>
  <c r="Z2781" i="26"/>
  <c r="Y2782" i="26"/>
  <c r="Z2782" i="26"/>
  <c r="Y2783" i="26"/>
  <c r="Z2783" i="26"/>
  <c r="Y2784" i="26"/>
  <c r="Z2784" i="26"/>
  <c r="Y2785" i="26"/>
  <c r="Y2786" i="26"/>
  <c r="Z2785" i="26"/>
  <c r="Z2786" i="26"/>
  <c r="Y2787" i="26"/>
  <c r="Y2788" i="26"/>
  <c r="Z2787" i="26"/>
  <c r="Y2789" i="26"/>
  <c r="Z2788" i="26"/>
  <c r="Z2789" i="26"/>
  <c r="Y2790" i="26"/>
  <c r="Z2790" i="26"/>
  <c r="Y2791" i="26"/>
  <c r="Z2791" i="26"/>
  <c r="Y2792" i="26"/>
  <c r="Z2792" i="26"/>
  <c r="Y2793" i="26"/>
  <c r="Y2794" i="26"/>
  <c r="Z2793" i="26"/>
  <c r="Z2794" i="26"/>
  <c r="Y2795" i="26"/>
  <c r="Z2795" i="26"/>
  <c r="Y2796" i="26"/>
  <c r="Z2796" i="26"/>
  <c r="Y2797" i="26"/>
  <c r="Z2797" i="26"/>
  <c r="Y2798" i="26"/>
  <c r="Y2799" i="26"/>
  <c r="Z2798" i="26"/>
  <c r="Z2799" i="26"/>
  <c r="Y2800" i="26"/>
  <c r="Y2801" i="26"/>
  <c r="Z2800" i="26"/>
  <c r="Y2802" i="26"/>
  <c r="Z2801" i="26"/>
  <c r="Z2802" i="26"/>
  <c r="Y2803" i="26"/>
  <c r="Y2804" i="26"/>
  <c r="Z2803" i="26"/>
  <c r="Z2804" i="26"/>
  <c r="Y2805" i="26"/>
  <c r="Z2805" i="26"/>
  <c r="Y2806" i="26"/>
  <c r="Z2806" i="26"/>
  <c r="Y2807" i="26"/>
  <c r="Y2808" i="26"/>
  <c r="Z2807" i="26"/>
  <c r="Y2809" i="26"/>
  <c r="Z2808" i="26"/>
  <c r="Z2809" i="26"/>
  <c r="Y2810" i="26"/>
  <c r="Y2811" i="26"/>
  <c r="Z2810" i="26"/>
  <c r="Z2811" i="26"/>
  <c r="Y2812" i="26"/>
  <c r="Y2813" i="26"/>
  <c r="Z2812" i="26"/>
  <c r="Z2813" i="26"/>
  <c r="Y2814" i="26"/>
  <c r="Y2815" i="26"/>
  <c r="Z2814" i="26"/>
  <c r="Z2815" i="26"/>
  <c r="Y2816" i="26"/>
  <c r="Z2816" i="26"/>
  <c r="Y2817" i="26"/>
  <c r="Y2818" i="26"/>
  <c r="Z2817" i="26"/>
  <c r="Z2818" i="26"/>
  <c r="Y2819" i="26"/>
  <c r="Y2820" i="26"/>
  <c r="Z2819" i="26"/>
  <c r="Z2820" i="26"/>
  <c r="Y2821" i="26"/>
  <c r="Z2821" i="26"/>
  <c r="Y2822" i="26"/>
  <c r="Y2823" i="26"/>
  <c r="Z2822" i="26"/>
  <c r="Z2823" i="26"/>
  <c r="Y2824" i="26"/>
  <c r="Y2825" i="26"/>
  <c r="Z2824" i="26"/>
  <c r="Y2826" i="26"/>
  <c r="Z2825" i="26"/>
  <c r="Z2826" i="26"/>
  <c r="Y2827" i="26"/>
  <c r="Y2828" i="26"/>
  <c r="Z2827" i="26"/>
  <c r="Y2829" i="26"/>
  <c r="Z2828" i="26"/>
  <c r="Y2830" i="26"/>
  <c r="Z2829" i="26"/>
  <c r="Z2830" i="26"/>
  <c r="Y2831" i="26"/>
  <c r="Z2831" i="26"/>
  <c r="Y2832" i="26"/>
  <c r="Z2832" i="26"/>
  <c r="Y2833" i="26"/>
  <c r="Y2834" i="26"/>
  <c r="Z2833" i="26"/>
  <c r="Z2834" i="26"/>
  <c r="Y2835" i="26"/>
  <c r="Y2836" i="26"/>
  <c r="Z2835" i="26"/>
  <c r="Y2837" i="26"/>
  <c r="Z2836" i="26"/>
  <c r="Y2838" i="26"/>
  <c r="Z2837" i="26"/>
  <c r="Y2839" i="26"/>
  <c r="Z2838" i="26"/>
  <c r="Y2840" i="26"/>
  <c r="Z2839" i="26"/>
  <c r="Z2840" i="26"/>
  <c r="Y2841" i="26"/>
  <c r="Z2841" i="26"/>
  <c r="Y2842" i="26"/>
  <c r="Y2843" i="26"/>
  <c r="Z2842" i="26"/>
  <c r="Z2843" i="26"/>
  <c r="Y2844" i="26"/>
  <c r="Z2844" i="26"/>
  <c r="Y2845" i="26"/>
  <c r="Z2845" i="26"/>
  <c r="Y2846" i="26"/>
  <c r="Z2846" i="26"/>
  <c r="Y2847" i="26"/>
  <c r="Y2848" i="26"/>
  <c r="Z2847" i="26"/>
  <c r="Z2848" i="26"/>
  <c r="Y2849" i="26"/>
  <c r="Z2849" i="26"/>
  <c r="Y2850" i="26"/>
  <c r="Y2851" i="26"/>
  <c r="Z2850" i="26"/>
  <c r="Z2851" i="26"/>
  <c r="Y2852" i="26"/>
  <c r="Z2852" i="26"/>
  <c r="Y2853" i="26"/>
  <c r="Y2854" i="26"/>
  <c r="Z2853" i="26"/>
  <c r="Y2855" i="26"/>
  <c r="Z2854" i="26"/>
  <c r="Z2855" i="26"/>
  <c r="Y2856" i="26"/>
  <c r="Z2856" i="26"/>
  <c r="Y2857" i="26"/>
  <c r="Z2857" i="26"/>
  <c r="Y2858" i="26"/>
  <c r="Z2858" i="26"/>
  <c r="Y2859" i="26"/>
  <c r="Y2860" i="26"/>
  <c r="Z2859" i="26"/>
  <c r="Z2860" i="26"/>
  <c r="Y2861" i="26"/>
  <c r="Z2861" i="26"/>
  <c r="Y2862" i="26"/>
  <c r="Z2862" i="26"/>
  <c r="Y2863" i="26"/>
  <c r="Z2863" i="26"/>
  <c r="Y2864" i="26"/>
  <c r="Y2865" i="26"/>
  <c r="Z2864" i="26"/>
  <c r="Y2866" i="26"/>
  <c r="Z2865" i="26"/>
  <c r="Z2866" i="26"/>
  <c r="Y2867" i="26"/>
  <c r="Y2868" i="26"/>
  <c r="Z2867" i="26"/>
  <c r="Z2868" i="26"/>
  <c r="Y2869" i="26"/>
  <c r="Z2869" i="26"/>
  <c r="Y2870" i="26"/>
  <c r="Y2871" i="26"/>
  <c r="Z2870" i="26"/>
  <c r="Y2872" i="26"/>
  <c r="Z2871" i="26"/>
  <c r="Z2872" i="26"/>
  <c r="Y2873" i="26"/>
  <c r="Y2874" i="26"/>
  <c r="Z2873" i="26"/>
  <c r="Z2874" i="26"/>
  <c r="Y2875" i="26"/>
  <c r="Y2876" i="26"/>
  <c r="Z2875" i="26"/>
  <c r="Z2876" i="26"/>
  <c r="Y2877" i="26"/>
  <c r="Y2878" i="26"/>
  <c r="Z2877" i="26"/>
  <c r="Z2878" i="26"/>
  <c r="Y2879" i="26"/>
  <c r="Y2880" i="26"/>
  <c r="Z2879" i="26"/>
  <c r="Y2881" i="26"/>
  <c r="Z2880" i="26"/>
  <c r="Z2881" i="26"/>
  <c r="Y2882" i="26"/>
  <c r="Y2883" i="26"/>
  <c r="Z2882" i="26"/>
  <c r="Z2883" i="26"/>
  <c r="Y2884" i="26"/>
  <c r="Y2885" i="26"/>
  <c r="Z2884" i="26"/>
  <c r="Z2885" i="26"/>
  <c r="Y2886" i="26"/>
  <c r="Y2887" i="26"/>
  <c r="Z2886" i="26"/>
  <c r="Y2888" i="26"/>
  <c r="Z2887" i="26"/>
  <c r="Y2889" i="26"/>
  <c r="Z2888" i="26"/>
  <c r="Z2889" i="26"/>
  <c r="Y2890" i="26"/>
  <c r="Z2890" i="26"/>
  <c r="Y2891" i="26"/>
  <c r="Y2892" i="26"/>
  <c r="Z2891" i="26"/>
  <c r="Z2892" i="26"/>
  <c r="Y2893" i="26"/>
  <c r="Y2894" i="26"/>
  <c r="Z2893" i="26"/>
  <c r="Z2894" i="26"/>
  <c r="Y2895" i="26"/>
  <c r="Z2895" i="26"/>
  <c r="Y2896" i="26"/>
  <c r="Y2897" i="26"/>
  <c r="Z2896" i="26"/>
  <c r="Z2897" i="26"/>
  <c r="Y2898" i="26"/>
  <c r="Z2898" i="26"/>
  <c r="Y2899" i="26"/>
  <c r="Z2899" i="26"/>
  <c r="Y2900" i="26"/>
  <c r="Z2900" i="26"/>
  <c r="Y2901" i="26"/>
  <c r="Z2901" i="26"/>
  <c r="Y2902" i="26"/>
  <c r="Z2902" i="26"/>
  <c r="Y2903" i="26"/>
  <c r="Z2903" i="26"/>
  <c r="Y2904" i="26"/>
  <c r="Y2905" i="26"/>
  <c r="Z2904" i="26"/>
  <c r="Z2905" i="26"/>
  <c r="Y2906" i="26"/>
  <c r="Y2907" i="26"/>
  <c r="Z2906" i="26"/>
  <c r="Z2907" i="26"/>
  <c r="Y2908" i="26"/>
  <c r="Y2909" i="26"/>
  <c r="Z2908" i="26"/>
  <c r="Y2910" i="26"/>
  <c r="Z2909" i="26"/>
  <c r="Z2910" i="26"/>
  <c r="Y2911" i="26"/>
  <c r="Y2912" i="26"/>
  <c r="Z2911" i="26"/>
  <c r="Z2912" i="26"/>
  <c r="Y2913" i="26"/>
  <c r="Z2913" i="26"/>
  <c r="Y2914" i="26"/>
  <c r="Z2914" i="26"/>
  <c r="Y2915" i="26"/>
  <c r="Z2915" i="26"/>
  <c r="Y2916" i="26"/>
  <c r="Z2916" i="26"/>
  <c r="Y2917" i="26"/>
  <c r="Z2917" i="26"/>
  <c r="Y2918" i="26"/>
  <c r="Z2918" i="26"/>
  <c r="Y2919" i="26"/>
  <c r="Z2919" i="26"/>
  <c r="Y2920" i="26"/>
  <c r="Z2920" i="26"/>
  <c r="Y2921" i="26"/>
  <c r="Y2922" i="26"/>
  <c r="Z2921" i="26"/>
  <c r="Z2922" i="26"/>
  <c r="Y2923" i="26"/>
  <c r="Z2923" i="26"/>
  <c r="Y2924" i="26"/>
  <c r="Y2925" i="26"/>
  <c r="Z2924" i="26"/>
  <c r="Y2926" i="26"/>
  <c r="Z2925" i="26"/>
  <c r="Z2926" i="26"/>
  <c r="Y2927" i="26"/>
  <c r="Y2928" i="26"/>
  <c r="Z2927" i="26"/>
  <c r="Z2928" i="26"/>
  <c r="Y2929" i="26"/>
  <c r="Y2930" i="26"/>
  <c r="Z2929" i="26"/>
  <c r="Y2931" i="26"/>
  <c r="Z2930" i="26"/>
  <c r="Z2931" i="26"/>
  <c r="Y2932" i="26"/>
  <c r="Y2933" i="26"/>
  <c r="Z2932" i="26"/>
  <c r="Y2934" i="26"/>
  <c r="Z2933" i="26"/>
  <c r="Y2935" i="26"/>
  <c r="Z2934" i="26"/>
  <c r="Y2936" i="26"/>
  <c r="Z2935" i="26"/>
  <c r="Z2936" i="26"/>
  <c r="Y2937" i="26"/>
  <c r="Z2937" i="26"/>
  <c r="Y2938" i="26"/>
  <c r="Y2939" i="26"/>
  <c r="Z2938" i="26"/>
  <c r="Z2939" i="26"/>
  <c r="Y2940" i="26"/>
  <c r="Z2940" i="26"/>
  <c r="Y2941" i="26"/>
  <c r="Y2942" i="26"/>
  <c r="Z2941" i="26"/>
  <c r="Z2942" i="26"/>
  <c r="Y2943" i="26"/>
  <c r="Y2944" i="26"/>
  <c r="Z2943" i="26"/>
  <c r="Z2944" i="26"/>
  <c r="Y2945" i="26"/>
  <c r="Y2946" i="26"/>
  <c r="Z2945" i="26"/>
  <c r="Y2947" i="26"/>
  <c r="Z2946" i="26"/>
  <c r="Z2947" i="26"/>
  <c r="Y2948" i="26"/>
  <c r="Z2948" i="26"/>
  <c r="Y2949" i="26"/>
  <c r="Z2949" i="26"/>
  <c r="Y2950" i="26"/>
  <c r="Z2950" i="26"/>
  <c r="Y2951" i="26"/>
  <c r="Y2952" i="26"/>
  <c r="Z2951" i="26"/>
  <c r="Y2953" i="26"/>
  <c r="Z2952" i="26"/>
  <c r="Z2953" i="26"/>
  <c r="Y2954" i="26"/>
  <c r="Y2955" i="26"/>
  <c r="Z2954" i="26"/>
  <c r="Z2955" i="26"/>
  <c r="Y2956" i="26"/>
  <c r="Z2956" i="26"/>
  <c r="Y2957" i="26"/>
  <c r="Z2957" i="26"/>
  <c r="Y2958" i="26"/>
  <c r="Y2959" i="26"/>
  <c r="Z2958" i="26"/>
  <c r="Y2960" i="26"/>
  <c r="Z2959" i="26"/>
  <c r="Z2960" i="26"/>
  <c r="Y2961" i="26"/>
  <c r="Y2962" i="26"/>
  <c r="Z2961" i="26"/>
  <c r="Z2962" i="26"/>
  <c r="Y2963" i="26"/>
  <c r="Y2964" i="26"/>
  <c r="Z2963" i="26"/>
  <c r="Z2964" i="26"/>
  <c r="Y2965" i="26"/>
  <c r="Y2966" i="26"/>
  <c r="Z2965" i="26"/>
  <c r="Y2967" i="26"/>
  <c r="Z2966" i="26"/>
  <c r="Z2967" i="26"/>
  <c r="Y2968" i="26"/>
  <c r="Y2969" i="26"/>
  <c r="Z2968" i="26"/>
  <c r="Z2969" i="26"/>
  <c r="Y2970" i="26"/>
  <c r="Y2971" i="26"/>
  <c r="Z2970" i="26"/>
  <c r="Y2972" i="26"/>
  <c r="Z2971" i="26"/>
  <c r="Y2973" i="26"/>
  <c r="Z2972" i="26"/>
  <c r="Y2974" i="26"/>
  <c r="Z2973" i="26"/>
  <c r="Z2974" i="26"/>
  <c r="Y2975" i="26"/>
  <c r="Y2976" i="26"/>
  <c r="Z2975" i="26"/>
  <c r="Y2977" i="26"/>
  <c r="Z2976" i="26"/>
  <c r="Y2978" i="26"/>
  <c r="Z2977" i="26"/>
  <c r="Z2978" i="26"/>
  <c r="Y2979" i="26"/>
  <c r="Z2979" i="26"/>
  <c r="Y2980" i="26"/>
  <c r="Z2980" i="26"/>
  <c r="Y2981" i="26"/>
  <c r="Z2981" i="26"/>
  <c r="Y2982" i="26"/>
  <c r="Z2982" i="26"/>
  <c r="Y2983" i="26"/>
  <c r="Y2984" i="26"/>
  <c r="Z2983" i="26"/>
  <c r="Y2985" i="26"/>
  <c r="Z2984" i="26"/>
  <c r="Z2985" i="26"/>
  <c r="Y2986" i="26"/>
  <c r="Z2986" i="26"/>
  <c r="Y2987" i="26"/>
  <c r="Z2987" i="26"/>
  <c r="Y2988" i="26"/>
  <c r="Y2989" i="26"/>
  <c r="Z2988" i="26"/>
  <c r="Z2989" i="26"/>
  <c r="Y2990" i="26"/>
  <c r="Z2990" i="26"/>
  <c r="Y2991" i="26"/>
  <c r="Z2991" i="26"/>
  <c r="Y2992" i="26"/>
  <c r="Z2992" i="26"/>
  <c r="Y2993" i="26"/>
  <c r="Y2994" i="26"/>
  <c r="Z2993" i="26"/>
  <c r="Z2994" i="26"/>
  <c r="Y2995" i="26"/>
  <c r="Y2996" i="26"/>
  <c r="Z2995" i="26"/>
  <c r="Y2997" i="26"/>
  <c r="Z2996" i="26"/>
  <c r="Z2997" i="26"/>
  <c r="Y2998" i="26"/>
  <c r="Y2999" i="26"/>
  <c r="Z2998" i="26"/>
  <c r="Z2999" i="26"/>
  <c r="Y3000" i="26"/>
  <c r="Z3000" i="26"/>
  <c r="Y3001" i="26"/>
  <c r="Z3001" i="26"/>
  <c r="Y3002" i="26"/>
  <c r="Y3003" i="26"/>
  <c r="Z3002" i="26"/>
  <c r="Y3004" i="26"/>
  <c r="Z3003" i="26"/>
  <c r="Z3004" i="26"/>
  <c r="Y3005" i="26"/>
  <c r="Z3005" i="26"/>
  <c r="Y3006" i="26"/>
  <c r="Z3006" i="26"/>
  <c r="Y3007" i="26"/>
  <c r="Z3007" i="26"/>
  <c r="Y3008" i="26"/>
  <c r="Y3009" i="26"/>
  <c r="Z3008" i="26"/>
  <c r="Y3010" i="26"/>
  <c r="Z3009" i="26"/>
  <c r="Y3011" i="26"/>
  <c r="Z3010" i="26"/>
  <c r="Z3011" i="26"/>
  <c r="Y3012" i="26"/>
  <c r="Y3013" i="26"/>
  <c r="Z3012" i="26"/>
  <c r="Y3014" i="26"/>
  <c r="Z3013" i="26"/>
  <c r="Y3015" i="26"/>
  <c r="Z3014" i="26"/>
  <c r="Z3015" i="26"/>
  <c r="Y3016" i="26"/>
  <c r="Z3016" i="26"/>
  <c r="Y3017" i="26"/>
  <c r="Z3017" i="26"/>
  <c r="Y3018" i="26"/>
  <c r="Y3019" i="26"/>
  <c r="Z3018" i="26"/>
  <c r="Z3019" i="26"/>
  <c r="Y3020" i="26"/>
  <c r="Y3021" i="26"/>
  <c r="Z3020" i="26"/>
  <c r="Y3022" i="26"/>
  <c r="Z3021" i="26"/>
  <c r="Y3023" i="26"/>
  <c r="Z3022" i="26"/>
  <c r="Z3023" i="26"/>
  <c r="Y3024" i="26"/>
  <c r="Z3024" i="26"/>
  <c r="Y3025" i="26"/>
  <c r="Y3026" i="26"/>
  <c r="Z3025" i="26"/>
  <c r="Z3026" i="26"/>
  <c r="Y3027" i="26"/>
  <c r="Y3028" i="26"/>
  <c r="Z3027" i="26"/>
  <c r="Z3028" i="26"/>
  <c r="Y3029" i="26"/>
  <c r="Y3030" i="26"/>
  <c r="Z3029" i="26"/>
  <c r="Z3030" i="26"/>
  <c r="Y3031" i="26"/>
  <c r="Z3031" i="26"/>
  <c r="Y3032" i="26"/>
  <c r="Y3033" i="26"/>
  <c r="Z3032" i="26"/>
  <c r="Y3034" i="26"/>
  <c r="Z3033" i="26"/>
  <c r="Y3035" i="26"/>
  <c r="Z3034" i="26"/>
  <c r="Y3036" i="26"/>
  <c r="Z3035" i="26"/>
  <c r="Z3036" i="26"/>
  <c r="Y3037" i="26"/>
  <c r="Z3037" i="26"/>
  <c r="Y3038" i="26"/>
  <c r="Z3038" i="26"/>
  <c r="Y3039" i="26"/>
  <c r="Y3040" i="26"/>
  <c r="Z3039" i="26"/>
  <c r="Z3040" i="26"/>
  <c r="Y3041" i="26"/>
  <c r="Z3041" i="26"/>
  <c r="Y3042" i="26"/>
  <c r="Z3042" i="26"/>
  <c r="Y3043" i="26"/>
  <c r="Y3044" i="26"/>
  <c r="Z3043" i="26"/>
  <c r="Z3044" i="26"/>
  <c r="Y3045" i="26"/>
  <c r="Y3046" i="26"/>
  <c r="Z3045" i="26"/>
  <c r="Z3046" i="26"/>
  <c r="Y3047" i="26"/>
  <c r="Z3047" i="26"/>
  <c r="Y3048" i="26"/>
  <c r="Y3049" i="26"/>
  <c r="Z3048" i="26"/>
  <c r="Y3050" i="26"/>
  <c r="Z3049" i="26"/>
  <c r="Y3051" i="26"/>
  <c r="Z3050" i="26"/>
  <c r="Y3052" i="26"/>
  <c r="Z3051" i="26"/>
  <c r="Y3053" i="26"/>
  <c r="Z3052" i="26"/>
  <c r="Z3053" i="26"/>
  <c r="Y3054" i="26"/>
  <c r="Z3054" i="26"/>
  <c r="Y3055" i="26"/>
  <c r="Z3055" i="26"/>
  <c r="Y3056" i="26"/>
  <c r="Y3057" i="26"/>
  <c r="Z3056" i="26"/>
  <c r="Y3058" i="26"/>
  <c r="Z3057" i="26"/>
  <c r="Y3059" i="26"/>
  <c r="Z3058" i="26"/>
  <c r="Z3059" i="26"/>
  <c r="Y3060" i="26"/>
  <c r="Y3061" i="26"/>
  <c r="Z3060" i="26"/>
  <c r="Z3061" i="26"/>
  <c r="Y3062" i="26"/>
  <c r="Y3063" i="26"/>
  <c r="Z3062" i="26"/>
  <c r="Y3064" i="26"/>
  <c r="Z3063" i="26"/>
  <c r="Z3064" i="26"/>
  <c r="Y3065" i="26"/>
  <c r="Z3065" i="26"/>
  <c r="Y3066" i="26"/>
  <c r="Y3067" i="26"/>
  <c r="Z3066" i="26"/>
  <c r="Y3068" i="26"/>
  <c r="Z3067" i="26"/>
  <c r="Y3069" i="26"/>
  <c r="Z3068" i="26"/>
  <c r="Z3069" i="26"/>
  <c r="Y3070" i="26"/>
  <c r="Y3071" i="26"/>
  <c r="Z3070" i="26"/>
  <c r="Y3072" i="26"/>
  <c r="Z3071" i="26"/>
  <c r="Y3073" i="26"/>
  <c r="Z3072" i="26"/>
  <c r="Y3074" i="26"/>
  <c r="Z3073" i="26"/>
  <c r="Y3075" i="26"/>
  <c r="Z3074" i="26"/>
  <c r="Y3076" i="26"/>
  <c r="Z3075" i="26"/>
  <c r="Y3077" i="26"/>
  <c r="Z3076" i="26"/>
  <c r="Z3077" i="26"/>
  <c r="Y3078" i="26"/>
  <c r="Y3079" i="26"/>
  <c r="Z3078" i="26"/>
  <c r="Z3079" i="26"/>
  <c r="Y3080" i="26"/>
  <c r="Z3080" i="26"/>
  <c r="Y3081" i="26"/>
  <c r="Y3082" i="26"/>
  <c r="Z3081" i="26"/>
  <c r="Z3082" i="26"/>
  <c r="Y3083" i="26"/>
  <c r="Z3083" i="26"/>
  <c r="Y3084" i="26"/>
  <c r="Z3084" i="26"/>
  <c r="Y3085" i="26"/>
  <c r="Z3085" i="26"/>
  <c r="Y3086" i="26"/>
  <c r="Z3086" i="26"/>
  <c r="Y3087" i="26"/>
  <c r="Z3087" i="26"/>
  <c r="Y3088" i="26"/>
  <c r="Z3088" i="26"/>
  <c r="Y3089" i="26"/>
  <c r="Z3089" i="26"/>
  <c r="Y3090" i="26"/>
  <c r="Y3091" i="26"/>
  <c r="Z3090" i="26"/>
  <c r="Y3092" i="26"/>
  <c r="Z3091" i="26"/>
  <c r="Z3092" i="26"/>
  <c r="Y3093" i="26"/>
  <c r="Y3094" i="26"/>
  <c r="Z3093" i="26"/>
  <c r="Z3094" i="26"/>
  <c r="Y3095" i="26"/>
  <c r="Y3096" i="26"/>
  <c r="Z3095" i="26"/>
  <c r="Z3096" i="26"/>
  <c r="Y3097" i="26"/>
  <c r="Z3097" i="26"/>
  <c r="Y3098" i="26"/>
  <c r="Z3098" i="26"/>
  <c r="Y3099" i="26"/>
  <c r="Y3100" i="26"/>
  <c r="Z3099" i="26"/>
  <c r="Z3100" i="26"/>
  <c r="Y3101" i="26"/>
  <c r="Y3102" i="26"/>
  <c r="Z3101" i="26"/>
  <c r="Z3102" i="26"/>
  <c r="Y3103" i="26"/>
  <c r="Y3104" i="26"/>
  <c r="Z3103" i="26"/>
  <c r="Z3104" i="26"/>
  <c r="Y3105" i="26"/>
  <c r="Z3105" i="26"/>
  <c r="Y3106" i="26"/>
  <c r="Z3106" i="26"/>
  <c r="Y3107" i="26"/>
  <c r="Z3107" i="26"/>
  <c r="Y3108" i="26"/>
  <c r="Y3109" i="26"/>
  <c r="Z3108" i="26"/>
  <c r="Y3110" i="26"/>
  <c r="Z3109" i="26"/>
  <c r="Z3110" i="26"/>
  <c r="Y3111" i="26"/>
  <c r="Z3111" i="26"/>
  <c r="Y3112" i="26"/>
  <c r="Y3113" i="26"/>
  <c r="Z3112" i="26"/>
  <c r="Y3114" i="26"/>
  <c r="Z3113" i="26"/>
  <c r="Z3114" i="26"/>
  <c r="Y3115" i="26"/>
  <c r="Z3115" i="26"/>
  <c r="Y3116" i="26"/>
  <c r="Z3116" i="26"/>
  <c r="Y3117" i="26"/>
  <c r="Z3117" i="26"/>
  <c r="Y3118" i="26"/>
  <c r="Y3119" i="26"/>
  <c r="Z3118" i="26"/>
  <c r="Y3120" i="26"/>
  <c r="Z3119" i="26"/>
  <c r="Z3120" i="26"/>
  <c r="Y3121" i="26"/>
  <c r="Y3122" i="26"/>
  <c r="Z3121" i="26"/>
  <c r="Z3122" i="26"/>
  <c r="Y3123" i="26"/>
  <c r="Z3123" i="26"/>
  <c r="Y3124" i="26"/>
  <c r="Y3125" i="26"/>
  <c r="Z3124" i="26"/>
  <c r="Y3126" i="26"/>
  <c r="Z3125" i="26"/>
  <c r="Z3126" i="26"/>
  <c r="Y3127" i="26"/>
  <c r="Z3127" i="26"/>
  <c r="Y3128" i="26"/>
  <c r="Y3129" i="26"/>
  <c r="Z3128" i="26"/>
  <c r="Y3130" i="26"/>
  <c r="Z3129" i="26"/>
  <c r="Z3130" i="26"/>
  <c r="Y3131" i="26"/>
  <c r="Y3132" i="26"/>
  <c r="Z3131" i="26"/>
  <c r="Z3132" i="26"/>
  <c r="Y3133" i="26"/>
  <c r="Z3133" i="26"/>
  <c r="Y3134" i="26"/>
  <c r="Z3134" i="26"/>
  <c r="Y3135" i="26"/>
  <c r="Z3135" i="26"/>
  <c r="Y3136" i="26"/>
  <c r="Z3136" i="26"/>
  <c r="Y3137" i="26"/>
  <c r="Y3138" i="26"/>
  <c r="Z3137" i="26"/>
  <c r="Z3138" i="26"/>
  <c r="Y3139" i="26"/>
  <c r="Y3140" i="26"/>
  <c r="Z3139" i="26"/>
  <c r="Y3141" i="26"/>
  <c r="Z3140" i="26"/>
  <c r="Z3141" i="26"/>
  <c r="Y3142" i="26"/>
  <c r="Y3143" i="26"/>
  <c r="Z3142" i="26"/>
  <c r="Z3143" i="26"/>
  <c r="Y3144" i="26"/>
  <c r="Y3145" i="26"/>
  <c r="Z3144" i="26"/>
  <c r="Y3146" i="26"/>
  <c r="Z3145" i="26"/>
  <c r="Y3147" i="26"/>
  <c r="Z3146" i="26"/>
  <c r="Z3147" i="26"/>
  <c r="Y3148" i="26"/>
  <c r="Y3149" i="26"/>
  <c r="Z3148" i="26"/>
  <c r="Z3149" i="26"/>
  <c r="Y3150" i="26"/>
  <c r="Z3150" i="26"/>
  <c r="Y3151" i="26"/>
  <c r="Y3152" i="26"/>
  <c r="Z3151" i="26"/>
  <c r="Z3152" i="26"/>
  <c r="Y3153" i="26"/>
  <c r="Y3154" i="26"/>
  <c r="Z3153" i="26"/>
  <c r="Y3155" i="26"/>
  <c r="Z3154" i="26"/>
  <c r="Z3155" i="26"/>
  <c r="Y3156" i="26"/>
  <c r="Y3157" i="26"/>
  <c r="Z3156" i="26"/>
  <c r="Z3157" i="26"/>
  <c r="Y3158" i="26"/>
  <c r="Z3158" i="26"/>
  <c r="Y3159" i="26"/>
  <c r="Y3160" i="26"/>
  <c r="Z3159" i="26"/>
  <c r="Z3160" i="26"/>
  <c r="Y3161" i="26"/>
  <c r="Y3162" i="26"/>
  <c r="Z3161" i="26"/>
  <c r="Y3163" i="26"/>
  <c r="Z3162" i="26"/>
  <c r="Z3163" i="26"/>
  <c r="Y3164" i="26"/>
  <c r="Z3164" i="26"/>
  <c r="Y3165" i="26"/>
  <c r="Y3166" i="26"/>
  <c r="Z3165" i="26"/>
  <c r="Z3166" i="26"/>
  <c r="Y3167" i="26"/>
  <c r="Y3168" i="26"/>
  <c r="Z3167" i="26"/>
  <c r="Z3168" i="26"/>
  <c r="Y3169" i="26"/>
  <c r="Z3169" i="26"/>
  <c r="Y3170" i="26"/>
  <c r="Y3171" i="26"/>
  <c r="Z3170" i="26"/>
  <c r="Z3171" i="26"/>
  <c r="Y3172" i="26"/>
  <c r="Z3172" i="26"/>
  <c r="Y3173" i="26"/>
  <c r="Y3174" i="26"/>
  <c r="Z3173" i="26"/>
  <c r="Y3175" i="26"/>
  <c r="Z3174" i="26"/>
  <c r="Y3176" i="26"/>
  <c r="Z3175" i="26"/>
  <c r="Z3176" i="26"/>
  <c r="Y3177" i="26"/>
  <c r="Z3177" i="26"/>
  <c r="Y3178" i="26"/>
  <c r="Z3178" i="26"/>
  <c r="Y3179" i="26"/>
  <c r="Z3179" i="26"/>
  <c r="Y3180" i="26"/>
  <c r="Z3180" i="26"/>
  <c r="Y3181" i="26"/>
  <c r="Y3182" i="26"/>
  <c r="Z3181" i="26"/>
  <c r="Z3182" i="26"/>
  <c r="Y3183" i="26"/>
  <c r="Z3183" i="26"/>
  <c r="Y3184" i="26"/>
  <c r="Y3185" i="26"/>
  <c r="Z3184" i="26"/>
  <c r="Z3185" i="26"/>
  <c r="Y3186" i="26"/>
  <c r="Y3187" i="26"/>
  <c r="Z3186" i="26"/>
  <c r="Z3187" i="26"/>
  <c r="Y3188" i="26"/>
  <c r="Y3189" i="26"/>
  <c r="Z3188" i="26"/>
  <c r="Y3190" i="26"/>
  <c r="Z3189" i="26"/>
  <c r="Y3191" i="26"/>
  <c r="Z3190" i="26"/>
  <c r="Y3192" i="26"/>
  <c r="Z3191" i="26"/>
  <c r="Y3193" i="26"/>
  <c r="Z3192" i="26"/>
  <c r="Y3194" i="26"/>
  <c r="Z3193" i="26"/>
  <c r="Z3194" i="26"/>
  <c r="Y3195" i="26"/>
  <c r="Z3195" i="26"/>
  <c r="Y3196" i="26"/>
  <c r="Z3196" i="26"/>
  <c r="Y3197" i="26"/>
  <c r="Y3198" i="26"/>
  <c r="Z3197" i="26"/>
  <c r="Y3199" i="26"/>
  <c r="Z3198" i="26"/>
  <c r="Z3199" i="26"/>
  <c r="Y3200" i="26"/>
  <c r="Z3200" i="26"/>
  <c r="Y3201" i="26"/>
  <c r="Y3202" i="26"/>
  <c r="Z3201" i="26"/>
  <c r="Z3202" i="26"/>
  <c r="Y3203" i="26"/>
  <c r="Z3203" i="26"/>
  <c r="Y3204" i="26"/>
  <c r="Y3205" i="26"/>
  <c r="Z3204" i="26"/>
  <c r="Y3206" i="26"/>
  <c r="Z3205" i="26"/>
  <c r="Y3207" i="26"/>
  <c r="Z3206" i="26"/>
  <c r="Z3207" i="26"/>
  <c r="Y3208" i="26"/>
  <c r="Z3208" i="26"/>
  <c r="Y3209" i="26"/>
  <c r="Y3210" i="26"/>
  <c r="Z3209" i="26"/>
  <c r="Y3211" i="26"/>
  <c r="Z3210" i="26"/>
  <c r="Z3211" i="26"/>
  <c r="Y3212" i="26"/>
  <c r="Z3212" i="26"/>
  <c r="Y3213" i="26"/>
  <c r="Y3214" i="26"/>
  <c r="Z3213" i="26"/>
  <c r="Z3214" i="26"/>
  <c r="Y3215" i="26"/>
  <c r="Z3215" i="26"/>
  <c r="Y3216" i="26"/>
  <c r="Y3217" i="26"/>
  <c r="Z3216" i="26"/>
  <c r="Z3217" i="26"/>
  <c r="Y3218" i="26"/>
  <c r="Z3218" i="26"/>
  <c r="Y3219" i="26"/>
  <c r="Y3220" i="26"/>
  <c r="Z3219" i="26"/>
  <c r="Y3221" i="26"/>
  <c r="Z3220" i="26"/>
  <c r="Z3221" i="26"/>
  <c r="Y3222" i="26"/>
  <c r="Z3222" i="26"/>
  <c r="Y3223" i="26"/>
  <c r="Z3223" i="26"/>
  <c r="Y3224" i="26"/>
  <c r="Z3224" i="26"/>
  <c r="Y3225" i="26"/>
  <c r="Y3226" i="26"/>
  <c r="Z3225" i="26"/>
  <c r="Y3227" i="26"/>
  <c r="Z3226" i="26"/>
  <c r="Y3228" i="26"/>
  <c r="Z3227" i="26"/>
  <c r="Y3229" i="26"/>
  <c r="Z3228" i="26"/>
  <c r="Z3229" i="26"/>
  <c r="Y3230" i="26"/>
  <c r="Y3231" i="26"/>
  <c r="Z3230" i="26"/>
  <c r="Y3232" i="26"/>
  <c r="Z3231" i="26"/>
  <c r="Y3233" i="26"/>
  <c r="Z3232" i="26"/>
  <c r="Z3233" i="26"/>
  <c r="Y3234" i="26"/>
  <c r="Y3235" i="26"/>
  <c r="Z3234" i="26"/>
  <c r="Z3235" i="26"/>
  <c r="Y3236" i="26"/>
  <c r="Z3236" i="26"/>
  <c r="Y3237" i="26"/>
  <c r="Y3238" i="26"/>
  <c r="Z3237" i="26"/>
  <c r="Z3238" i="26"/>
  <c r="Y3239" i="26"/>
  <c r="Z3239" i="26"/>
  <c r="Y3240" i="26"/>
  <c r="Y3241" i="26"/>
  <c r="Z3240" i="26"/>
  <c r="Y3242" i="26"/>
  <c r="Z3241" i="26"/>
  <c r="Y3243" i="26"/>
  <c r="Z3242" i="26"/>
  <c r="Z3243" i="26"/>
  <c r="Y3244" i="26"/>
  <c r="Y3245" i="26"/>
  <c r="Z3244" i="26"/>
  <c r="Z3245" i="26"/>
  <c r="Y3246" i="26"/>
  <c r="Z3246" i="26"/>
  <c r="Y3247" i="26"/>
  <c r="Z3247" i="26"/>
  <c r="Y3248" i="26"/>
  <c r="Z3248" i="26"/>
  <c r="Y3249" i="26"/>
  <c r="Y3250" i="26"/>
  <c r="Z3249" i="26"/>
  <c r="Z3250" i="26"/>
  <c r="Y3251" i="26"/>
  <c r="Y3252" i="26"/>
  <c r="Z3251" i="26"/>
  <c r="Z3252" i="26"/>
  <c r="Y3253" i="26"/>
  <c r="Z3253" i="26"/>
  <c r="Y3254" i="26"/>
  <c r="Z3254" i="26"/>
  <c r="Y3255" i="26"/>
  <c r="Y3256" i="26"/>
  <c r="Z3255" i="26"/>
  <c r="Y3257" i="26"/>
  <c r="Z3256" i="26"/>
  <c r="Y3258" i="26"/>
  <c r="Z3257" i="26"/>
  <c r="Z3258" i="26"/>
  <c r="Y3259" i="26"/>
  <c r="Z3259" i="26"/>
  <c r="Y3260" i="26"/>
  <c r="Z3260" i="26"/>
  <c r="Y3261" i="26"/>
  <c r="Z3261" i="26"/>
  <c r="Y3262" i="26"/>
  <c r="Y3263" i="26"/>
  <c r="Z3262" i="26"/>
  <c r="Z3263" i="26"/>
  <c r="Y3264" i="26"/>
  <c r="Z3264" i="26"/>
  <c r="Y3265" i="26"/>
  <c r="Y3266" i="26"/>
  <c r="Z3265" i="26"/>
  <c r="Z3266" i="26"/>
  <c r="Y3267" i="26"/>
  <c r="Y3268" i="26"/>
  <c r="Z3267" i="26"/>
  <c r="Z3268" i="26"/>
  <c r="Y3269" i="26"/>
  <c r="Z3269" i="26"/>
  <c r="Y3270" i="26"/>
  <c r="Y3271" i="26"/>
  <c r="Z3270" i="26"/>
  <c r="Z3271" i="26"/>
  <c r="Y3272" i="26"/>
  <c r="Z3272" i="26"/>
  <c r="Y3273" i="26"/>
  <c r="Y3274" i="26"/>
  <c r="Z3273" i="26"/>
  <c r="Z3274" i="26"/>
  <c r="Y3275" i="26"/>
  <c r="Z3275" i="26"/>
  <c r="Y3276" i="26"/>
  <c r="Z3276" i="26"/>
  <c r="Y3277" i="26"/>
  <c r="Y3278" i="26"/>
  <c r="Z3277" i="26"/>
  <c r="Z3278" i="26"/>
  <c r="Y3279" i="26"/>
  <c r="Z3279" i="26"/>
  <c r="Y3280" i="26"/>
  <c r="Y3281" i="26"/>
  <c r="Z3280" i="26"/>
  <c r="Y3282" i="26"/>
  <c r="Z3281" i="26"/>
  <c r="Z3282" i="26"/>
  <c r="Y3283" i="26"/>
  <c r="Y3284" i="26"/>
  <c r="Z3283" i="26"/>
  <c r="Z3284" i="26"/>
  <c r="Y3285" i="26"/>
  <c r="Y3286" i="26"/>
  <c r="Z3285" i="26"/>
  <c r="Y3287" i="26"/>
  <c r="Z3286" i="26"/>
  <c r="Z3287" i="26"/>
  <c r="Y3288" i="26"/>
  <c r="Y3289" i="26"/>
  <c r="Z3288" i="26"/>
  <c r="Y3290" i="26"/>
  <c r="Z3289" i="26"/>
  <c r="Z3290" i="26"/>
  <c r="Y3291" i="26"/>
  <c r="Y3292" i="26"/>
  <c r="Z3291" i="26"/>
  <c r="Z3292" i="26"/>
  <c r="Y3293" i="26"/>
  <c r="Y3294" i="26"/>
  <c r="Z3293" i="26"/>
  <c r="Y3295" i="26"/>
  <c r="Z3294" i="26"/>
  <c r="Z3295" i="26"/>
  <c r="Y3296" i="26"/>
  <c r="Y3297" i="26"/>
  <c r="Z3296" i="26"/>
  <c r="Y3298" i="26"/>
  <c r="Z3297" i="26"/>
  <c r="Y3299" i="26"/>
  <c r="Z3298" i="26"/>
  <c r="Z3299" i="26"/>
  <c r="Y3300" i="26"/>
  <c r="Y3301" i="26"/>
  <c r="Z3300" i="26"/>
  <c r="Y3302" i="26"/>
  <c r="Z3301" i="26"/>
  <c r="Z3302" i="26"/>
  <c r="Y3303" i="26"/>
  <c r="Y3304" i="26"/>
  <c r="Z3303" i="26"/>
  <c r="Y3305" i="26"/>
  <c r="Z3304" i="26"/>
  <c r="Y3306" i="26"/>
  <c r="Z3305" i="26"/>
  <c r="Y3307" i="26"/>
  <c r="Z3306" i="26"/>
  <c r="Y3308" i="26"/>
  <c r="Z3307" i="26"/>
  <c r="Y3309" i="26"/>
  <c r="Z3308" i="26"/>
  <c r="Y3310" i="26"/>
  <c r="Z3309" i="26"/>
  <c r="Z3310" i="26"/>
  <c r="Y3311" i="26"/>
  <c r="Y3312" i="26"/>
  <c r="Z3311" i="26"/>
  <c r="Y3313" i="26"/>
  <c r="Z3312" i="26"/>
  <c r="Y3314" i="26"/>
  <c r="Z3313" i="26"/>
  <c r="Z3314" i="26"/>
  <c r="Y3315" i="26"/>
  <c r="Y3316" i="26"/>
  <c r="Z3315" i="26"/>
  <c r="Z3316" i="26"/>
  <c r="Y3317" i="26"/>
  <c r="Y3318" i="26"/>
  <c r="Z3317" i="26"/>
  <c r="Z3318" i="26"/>
  <c r="Y3319" i="26"/>
  <c r="Z3319" i="26"/>
  <c r="Y3320" i="26"/>
  <c r="Y3321" i="26"/>
  <c r="Z3320" i="26"/>
  <c r="Y3322" i="26"/>
  <c r="Z3321" i="26"/>
  <c r="Y3323" i="26"/>
  <c r="Z3322" i="26"/>
  <c r="Y3324" i="26"/>
  <c r="Z3323" i="26"/>
  <c r="Y3325" i="26"/>
  <c r="Z3324" i="26"/>
  <c r="Z3325" i="26"/>
  <c r="Y3326" i="26"/>
  <c r="Z3326" i="26"/>
  <c r="Y3327" i="26"/>
  <c r="Y3328" i="26"/>
  <c r="Z3327" i="26"/>
  <c r="Z3328" i="26"/>
  <c r="Y3329" i="26"/>
  <c r="Y3330" i="26"/>
  <c r="Z3329" i="26"/>
  <c r="Y3331" i="26"/>
  <c r="Z3330" i="26"/>
  <c r="Z3331" i="26"/>
  <c r="Y3332" i="26"/>
  <c r="Y3333" i="26"/>
  <c r="Z3332" i="26"/>
  <c r="Z3333" i="26"/>
  <c r="Y3334" i="26"/>
  <c r="Y3335" i="26"/>
  <c r="Z3334" i="26"/>
  <c r="Y3336" i="26"/>
  <c r="Z3335" i="26"/>
  <c r="Y3337" i="26"/>
  <c r="Z3336" i="26"/>
  <c r="Z3337" i="26"/>
  <c r="Y3338" i="26"/>
  <c r="Z3338" i="26"/>
  <c r="Y3339" i="26"/>
  <c r="Y3340" i="26"/>
  <c r="Z3339" i="26"/>
  <c r="Y3341" i="26"/>
  <c r="Z3340" i="26"/>
  <c r="Z3341" i="26"/>
  <c r="Y3342" i="26"/>
  <c r="Z3342" i="26"/>
  <c r="Y3343" i="26"/>
  <c r="Z3343" i="26"/>
  <c r="Y3344" i="26"/>
  <c r="Y3345" i="26"/>
  <c r="Z3344" i="26"/>
  <c r="Z3345" i="26"/>
  <c r="Y3346" i="26"/>
  <c r="Z3346" i="26"/>
  <c r="Y3347" i="26"/>
  <c r="Z3347" i="26"/>
  <c r="Y3348" i="26"/>
  <c r="Z3348" i="26"/>
  <c r="Y3349" i="26"/>
  <c r="Y3350" i="26"/>
  <c r="Z3349" i="26"/>
  <c r="Y3351" i="26"/>
  <c r="Z3350" i="26"/>
  <c r="Y3352" i="26"/>
  <c r="Z3351" i="26"/>
  <c r="Y3353" i="26"/>
  <c r="Z3352" i="26"/>
  <c r="Y3354" i="26"/>
  <c r="Z3353" i="26"/>
  <c r="Y3355" i="26"/>
  <c r="Z3354" i="26"/>
  <c r="Y3356" i="26"/>
  <c r="Z3355" i="26"/>
  <c r="Y3357" i="26"/>
  <c r="Z3356" i="26"/>
  <c r="Y3358" i="26"/>
  <c r="Z3357" i="26"/>
  <c r="Y3359" i="26"/>
  <c r="Z3358" i="26"/>
  <c r="Z3359" i="26"/>
  <c r="Y3360" i="26"/>
  <c r="Y3361" i="26"/>
  <c r="Z3360" i="26"/>
  <c r="Y3362" i="26"/>
  <c r="Z3361" i="26"/>
  <c r="Y3363" i="26"/>
  <c r="Z3362" i="26"/>
  <c r="Y3364" i="26"/>
  <c r="Z3363" i="26"/>
  <c r="Y3365" i="26"/>
  <c r="Z3364" i="26"/>
  <c r="Y3366" i="26"/>
  <c r="Z3365" i="26"/>
  <c r="Y3367" i="26"/>
  <c r="Z3366" i="26"/>
  <c r="Y3368" i="26"/>
  <c r="Z3367" i="26"/>
  <c r="Y3369" i="26"/>
  <c r="Z3368" i="26"/>
  <c r="Z3369" i="26"/>
  <c r="Y3370" i="26"/>
  <c r="Y3371" i="26"/>
  <c r="Z3370" i="26"/>
  <c r="Y3372" i="26"/>
  <c r="Z3371" i="26"/>
  <c r="Y3373" i="26"/>
  <c r="Z3372" i="26"/>
  <c r="Z3373" i="26"/>
  <c r="Y3374" i="26"/>
  <c r="Y3375" i="26"/>
  <c r="Z3374" i="26"/>
  <c r="Y3376" i="26"/>
  <c r="Z3375" i="26"/>
  <c r="Y3377" i="26"/>
  <c r="Z3376" i="26"/>
  <c r="Z3377" i="26"/>
  <c r="Y3378" i="26"/>
  <c r="Z3378" i="26"/>
  <c r="Y3379" i="26"/>
  <c r="Y3380" i="26"/>
  <c r="Z3379" i="26"/>
  <c r="Z3380" i="26"/>
  <c r="Y3381" i="26"/>
  <c r="Z3381" i="26"/>
  <c r="Y3382" i="26"/>
  <c r="Y3383" i="26"/>
  <c r="Z3382" i="26"/>
  <c r="Z3383" i="26"/>
  <c r="Y3384" i="26"/>
  <c r="Y3385" i="26"/>
  <c r="Z3384" i="26"/>
  <c r="Y3386" i="26"/>
  <c r="Z3385" i="26"/>
  <c r="Y3387" i="26"/>
  <c r="Z3386" i="26"/>
  <c r="Y3388" i="26"/>
  <c r="Z3387" i="26"/>
  <c r="Z3388" i="26"/>
  <c r="Y3389" i="26"/>
  <c r="Y3390" i="26"/>
  <c r="Z3389" i="26"/>
  <c r="Y3391" i="26"/>
  <c r="Z3390" i="26"/>
  <c r="Z3391" i="26"/>
  <c r="Y3392" i="26"/>
  <c r="Z3392" i="26"/>
  <c r="Y3393" i="26"/>
  <c r="Z3393" i="26"/>
  <c r="Y3394" i="26"/>
  <c r="Y3395" i="26"/>
  <c r="Z3394" i="26"/>
  <c r="Z3395" i="26"/>
  <c r="Y3396" i="26"/>
  <c r="Z3396" i="26"/>
  <c r="Y3397" i="26"/>
  <c r="Z3397" i="26"/>
  <c r="Y3398" i="26"/>
  <c r="Z3398" i="26"/>
  <c r="Y3399" i="26"/>
  <c r="Z3399" i="26"/>
  <c r="Y3400" i="26"/>
  <c r="Z3400" i="26"/>
  <c r="Y3401" i="26"/>
  <c r="Z3401" i="26"/>
  <c r="Y3402" i="26"/>
  <c r="Z3402" i="26"/>
  <c r="Y3403" i="26"/>
  <c r="Y3404" i="26"/>
  <c r="Z3403" i="26"/>
  <c r="Z3404" i="26"/>
  <c r="Y3405" i="26"/>
  <c r="Z3405" i="26"/>
  <c r="Y3406" i="26"/>
  <c r="Z3406" i="26"/>
  <c r="Y3407" i="26"/>
  <c r="Y3408" i="26"/>
  <c r="Z3407" i="26"/>
  <c r="Z3408" i="26"/>
  <c r="Y3409" i="26"/>
  <c r="Y3410" i="26"/>
  <c r="Z3409" i="26"/>
  <c r="Z3410" i="26"/>
  <c r="Y3411" i="26"/>
  <c r="Y3412" i="26"/>
  <c r="Z3411" i="26"/>
  <c r="Y3413" i="26"/>
  <c r="Z3412" i="26"/>
  <c r="Z3413" i="26"/>
  <c r="Y3414" i="26"/>
  <c r="Y3415" i="26"/>
  <c r="Z3414" i="26"/>
  <c r="Z3415" i="26"/>
  <c r="Y3416" i="26"/>
  <c r="Z3416" i="26"/>
  <c r="Y3417" i="26"/>
  <c r="Y3418" i="26"/>
  <c r="Z3417" i="26"/>
  <c r="Z3418" i="26"/>
  <c r="Y3419" i="26"/>
  <c r="Z3419" i="26"/>
  <c r="Y3420" i="26"/>
  <c r="Y3421" i="26"/>
  <c r="Z3420" i="26"/>
  <c r="Z3421" i="26"/>
  <c r="Y3422" i="26"/>
  <c r="Z3422" i="26"/>
  <c r="Y3423" i="26"/>
  <c r="Y3424" i="26"/>
  <c r="Z3423" i="26"/>
  <c r="Z3424" i="26"/>
  <c r="Y3425" i="26"/>
  <c r="Z3425" i="26"/>
  <c r="Y3426" i="26"/>
  <c r="Z3426" i="26"/>
  <c r="Y3427" i="26"/>
  <c r="Z3427" i="26"/>
  <c r="Y3428" i="26"/>
  <c r="Y3429" i="26"/>
  <c r="Z3428" i="26"/>
  <c r="Z3429" i="26"/>
  <c r="Y3430" i="26"/>
  <c r="Y3431" i="26"/>
  <c r="Z3430" i="26"/>
  <c r="Z3431" i="26"/>
  <c r="Y3432" i="26"/>
  <c r="Y3433" i="26"/>
  <c r="Z3432" i="26"/>
  <c r="Y3434" i="26"/>
  <c r="Z3433" i="26"/>
  <c r="Z3434" i="26"/>
  <c r="Y3435" i="26"/>
  <c r="Z3435" i="26"/>
  <c r="Y3436" i="26"/>
  <c r="Y3437" i="26"/>
  <c r="Z3436" i="26"/>
  <c r="Z3437" i="26"/>
  <c r="Y3438" i="26"/>
  <c r="Z3438" i="26"/>
  <c r="Y3439" i="26"/>
  <c r="Y3440" i="26"/>
  <c r="Z3439" i="26"/>
  <c r="Z3440" i="26"/>
  <c r="Y3441" i="26"/>
  <c r="Y3442" i="26"/>
  <c r="Z3441" i="26"/>
  <c r="Z3442" i="26"/>
  <c r="Y3443" i="26"/>
  <c r="Z3443" i="26"/>
  <c r="Y3444" i="26"/>
  <c r="Z3444" i="26"/>
  <c r="Y3445" i="26"/>
  <c r="Z3445" i="26"/>
  <c r="Y3446" i="26"/>
  <c r="Z3446" i="26"/>
  <c r="Y3447" i="26"/>
  <c r="Y3448" i="26"/>
  <c r="Z3447" i="26"/>
  <c r="Z3448" i="26"/>
  <c r="Y3449" i="26"/>
  <c r="Z3449" i="26"/>
  <c r="Y3450" i="26"/>
  <c r="Z3450" i="26"/>
  <c r="Y3451" i="26"/>
  <c r="Y3452" i="26"/>
  <c r="Z3451" i="26"/>
  <c r="Z3452" i="26"/>
  <c r="Y3453" i="26"/>
  <c r="Y3454" i="26"/>
  <c r="Z3453" i="26"/>
  <c r="Z3454" i="26"/>
  <c r="Y3455" i="26"/>
  <c r="Y3456" i="26"/>
  <c r="Z3455" i="26"/>
  <c r="Z3456" i="26"/>
  <c r="Y3457" i="26"/>
  <c r="Z3457" i="26"/>
  <c r="Y3458" i="26"/>
  <c r="Z3458" i="26"/>
  <c r="Y3459" i="26"/>
  <c r="Z3459" i="26"/>
  <c r="Y3460" i="26"/>
  <c r="Y3461" i="26"/>
  <c r="Z3460" i="26"/>
  <c r="Y3462" i="26"/>
  <c r="Z3461" i="26"/>
  <c r="Z3462" i="26"/>
  <c r="Y3463" i="26"/>
  <c r="Z3463" i="26"/>
  <c r="Y3464" i="26"/>
  <c r="Z3464" i="26"/>
  <c r="Y3465" i="26"/>
  <c r="Y3466" i="26"/>
  <c r="Z3465" i="26"/>
  <c r="Y3467" i="26"/>
  <c r="Z3466" i="26"/>
  <c r="Y3468" i="26"/>
  <c r="Z3467" i="26"/>
  <c r="Y3469" i="26"/>
  <c r="Z3468" i="26"/>
  <c r="Z3469" i="26"/>
  <c r="Y3470" i="26"/>
  <c r="Y3471" i="26"/>
  <c r="Z3470" i="26"/>
  <c r="Z3471" i="26"/>
  <c r="Y3472" i="26"/>
  <c r="Z3472" i="26"/>
  <c r="Y3473" i="26"/>
  <c r="Y3474" i="26"/>
  <c r="Z3473" i="26"/>
  <c r="Y3475" i="26"/>
  <c r="Z3474" i="26"/>
  <c r="Z3475" i="26"/>
  <c r="Y3476" i="26"/>
  <c r="Z3476" i="26"/>
  <c r="Y3477" i="26"/>
  <c r="Z3477" i="26"/>
  <c r="Y3478" i="26"/>
  <c r="Z3478" i="26"/>
  <c r="Y3479" i="26"/>
  <c r="Y3480" i="26"/>
  <c r="Z3479" i="26"/>
  <c r="Y3481" i="26"/>
  <c r="Z3480" i="26"/>
  <c r="Z3481" i="26"/>
  <c r="Y3482" i="26"/>
  <c r="Y3483" i="26"/>
  <c r="Z3482" i="26"/>
  <c r="Y3484" i="26"/>
  <c r="Z3483" i="26"/>
  <c r="Y3485" i="26"/>
  <c r="Z3484" i="26"/>
  <c r="Y3486" i="26"/>
  <c r="Z3485" i="26"/>
  <c r="Z3486" i="26"/>
  <c r="Y3487" i="26"/>
  <c r="Z3487" i="26"/>
  <c r="Y3488" i="26"/>
  <c r="Z3488" i="26"/>
  <c r="Y3489" i="26"/>
  <c r="Z3489" i="26"/>
  <c r="Y3490" i="26"/>
  <c r="Y3491" i="26"/>
  <c r="Z3490" i="26"/>
  <c r="Z3491" i="26"/>
  <c r="Y3492" i="26"/>
  <c r="Z3492" i="26"/>
  <c r="Y3493" i="26"/>
  <c r="Y3494" i="26"/>
  <c r="Z3493" i="26"/>
  <c r="Y3495" i="26"/>
  <c r="Z3494" i="26"/>
  <c r="Z3495" i="26"/>
  <c r="Y3496" i="26"/>
  <c r="Z3496" i="26"/>
  <c r="Y3497" i="26"/>
  <c r="Z3497" i="26"/>
  <c r="Y3498" i="26"/>
  <c r="Y3499" i="26"/>
  <c r="Z3498" i="26"/>
  <c r="Y3500" i="26"/>
  <c r="Z3499" i="26"/>
  <c r="Z3500" i="26"/>
  <c r="Y3501" i="26"/>
  <c r="Z3501" i="26"/>
  <c r="Y3502" i="26"/>
  <c r="Z3502" i="26"/>
  <c r="Y3503" i="26"/>
  <c r="Y3504" i="26"/>
  <c r="Z3503" i="26"/>
  <c r="Z3504" i="26"/>
  <c r="Y3505" i="26"/>
  <c r="Y3506" i="26"/>
  <c r="Z3505" i="26"/>
  <c r="Z3506" i="26"/>
  <c r="Y3507" i="26"/>
  <c r="Y3508" i="26"/>
  <c r="Z3507" i="26"/>
  <c r="Y3509" i="26"/>
  <c r="Z3508" i="26"/>
  <c r="Z3509" i="26"/>
  <c r="Y3510" i="26"/>
  <c r="Y3511" i="26"/>
  <c r="Z3510" i="26"/>
  <c r="Y3512" i="26"/>
  <c r="Z3511" i="26"/>
  <c r="Y3513" i="26"/>
  <c r="Z3512" i="26"/>
  <c r="Z3513" i="26"/>
  <c r="Y3514" i="26"/>
  <c r="Z3514" i="26"/>
  <c r="Y3515" i="26"/>
  <c r="Y3516" i="26"/>
  <c r="Z3515" i="26"/>
  <c r="Y3517" i="26"/>
  <c r="Z3516" i="26"/>
  <c r="Y3518" i="26"/>
  <c r="Z3517" i="26"/>
  <c r="Y3519" i="26"/>
  <c r="Z3518" i="26"/>
  <c r="Z3519" i="26"/>
  <c r="Y3520" i="26"/>
  <c r="Z3520" i="26"/>
  <c r="Y3521" i="26"/>
  <c r="Z3521" i="26"/>
  <c r="Y3522" i="26"/>
  <c r="Z3522" i="26"/>
  <c r="Y3523" i="26"/>
  <c r="Z3523" i="26"/>
  <c r="Y3524" i="26"/>
  <c r="Y3525" i="26"/>
  <c r="Z3524" i="26"/>
  <c r="Z3525" i="26"/>
  <c r="Y3526" i="26"/>
  <c r="Y3527" i="26"/>
  <c r="Z3526" i="26"/>
  <c r="Z3527" i="26"/>
  <c r="Y3528" i="26"/>
  <c r="Z3528" i="26"/>
  <c r="Y3529" i="26"/>
  <c r="Y3530" i="26"/>
  <c r="Z3529" i="26"/>
  <c r="Z3530" i="26"/>
  <c r="Y3531" i="26"/>
  <c r="Z3531" i="26"/>
  <c r="Y3532" i="26"/>
  <c r="Z3532" i="26"/>
  <c r="Y3533" i="26"/>
  <c r="Y3534" i="26"/>
  <c r="Z3533" i="26"/>
  <c r="Z3534" i="26"/>
  <c r="Y3535" i="26"/>
  <c r="Y3536" i="26"/>
  <c r="Z3535" i="26"/>
  <c r="Y3537" i="26"/>
  <c r="Z3536" i="26"/>
  <c r="Y3538" i="26"/>
  <c r="Z3537" i="26"/>
  <c r="Y3539" i="26"/>
  <c r="Z3538" i="26"/>
  <c r="Z3539" i="26"/>
  <c r="Y3540" i="26"/>
  <c r="Z3540" i="26"/>
  <c r="Y3541" i="26"/>
  <c r="Z3541" i="26"/>
  <c r="Y3542" i="26"/>
  <c r="Z3542" i="26"/>
  <c r="Y3543" i="26"/>
  <c r="Y3544" i="26"/>
  <c r="Z3544" i="26" s="1"/>
  <c r="Z3543" i="26"/>
  <c r="G40" i="25"/>
  <c r="E43" i="25"/>
  <c r="C43" i="25" s="1"/>
  <c r="E44" i="25"/>
  <c r="C44" i="25" s="1"/>
  <c r="E45" i="25"/>
  <c r="C45" i="25" s="1"/>
  <c r="E46" i="25"/>
  <c r="C46" i="25" s="1"/>
  <c r="E47" i="25"/>
  <c r="C47" i="25" s="1"/>
  <c r="E48" i="25"/>
  <c r="C48" i="25" s="1"/>
  <c r="E49" i="25"/>
  <c r="C49" i="25" s="1"/>
  <c r="E50" i="25"/>
  <c r="C50" i="25" s="1"/>
  <c r="E51" i="25"/>
  <c r="C51" i="25" s="1"/>
  <c r="I40" i="25"/>
  <c r="A5" i="5" l="1"/>
  <c r="F51" i="25"/>
  <c r="F50" i="25"/>
  <c r="F49" i="25"/>
  <c r="F48" i="25"/>
  <c r="F47" i="25"/>
  <c r="F46" i="25"/>
  <c r="F45" i="25"/>
  <c r="F44" i="25"/>
  <c r="F43" i="25"/>
  <c r="F42" i="25"/>
  <c r="F41" i="25"/>
  <c r="G51" i="25"/>
  <c r="I51" i="25" s="1"/>
  <c r="G43" i="25"/>
  <c r="G50" i="25"/>
  <c r="I50" i="25" s="1"/>
  <c r="G42" i="25"/>
  <c r="G49" i="25"/>
  <c r="I49" i="25" s="1"/>
  <c r="G41" i="25"/>
  <c r="G48" i="25"/>
  <c r="G47" i="25"/>
  <c r="G46" i="25"/>
  <c r="G45" i="25"/>
  <c r="G44" i="25"/>
  <c r="H51" i="25"/>
  <c r="J51" i="25" s="1"/>
  <c r="H43" i="25"/>
  <c r="H50" i="25"/>
  <c r="J50" i="25" s="1"/>
  <c r="H42" i="25"/>
  <c r="H41" i="25"/>
  <c r="H45" i="25"/>
  <c r="H49" i="25"/>
  <c r="J49" i="25" s="1"/>
  <c r="H48" i="25"/>
  <c r="H47" i="25"/>
  <c r="H46" i="25"/>
  <c r="H44" i="25"/>
  <c r="C45" i="5"/>
  <c r="D45" i="5"/>
  <c r="I45" i="5"/>
  <c r="J45" i="5"/>
  <c r="C47" i="5"/>
  <c r="D47" i="5"/>
  <c r="I47" i="5"/>
  <c r="J47" i="5"/>
  <c r="C48" i="5"/>
  <c r="D48" i="5"/>
  <c r="I48" i="5"/>
  <c r="J48" i="5"/>
  <c r="C49" i="5"/>
  <c r="D49" i="5"/>
  <c r="I49" i="5"/>
  <c r="J49" i="5"/>
  <c r="C46" i="5"/>
  <c r="D46" i="5"/>
  <c r="I46" i="5"/>
  <c r="J46" i="5"/>
  <c r="C42" i="5"/>
  <c r="D42" i="5"/>
  <c r="I42" i="5"/>
  <c r="J42" i="5"/>
  <c r="C43" i="5"/>
  <c r="D43" i="5"/>
  <c r="I43" i="5"/>
  <c r="J43" i="5"/>
  <c r="C44" i="5"/>
  <c r="D44" i="5"/>
  <c r="I44" i="5"/>
  <c r="J44" i="5"/>
  <c r="H40" i="25"/>
  <c r="J50" i="5"/>
  <c r="I50" i="5"/>
  <c r="D50" i="5"/>
  <c r="C50" i="5"/>
  <c r="J51" i="5"/>
  <c r="I51" i="5"/>
  <c r="D51" i="5"/>
  <c r="C51" i="5"/>
  <c r="I43" i="25"/>
  <c r="I42" i="25"/>
  <c r="I41" i="25"/>
  <c r="I48" i="25"/>
  <c r="I47" i="25"/>
  <c r="I46" i="25"/>
  <c r="I45" i="25"/>
  <c r="I44" i="25"/>
  <c r="J43" i="25"/>
  <c r="J42" i="25"/>
  <c r="J41" i="25"/>
  <c r="J45" i="25"/>
  <c r="J48" i="25"/>
  <c r="J47" i="25"/>
  <c r="J46" i="25"/>
  <c r="J44" i="25"/>
  <c r="J40" i="25"/>
  <c r="B5" i="5" l="1"/>
  <c r="B9" i="5"/>
  <c r="B11" i="5"/>
  <c r="B12" i="5"/>
  <c r="B13" i="5"/>
  <c r="B10" i="5"/>
  <c r="B6" i="5"/>
  <c r="B7" i="5"/>
  <c r="B8" i="5"/>
  <c r="A9" i="5"/>
  <c r="A10" i="5"/>
  <c r="A11" i="5"/>
  <c r="A12" i="5"/>
  <c r="A13" i="5"/>
  <c r="A6" i="5"/>
  <c r="A7" i="5"/>
  <c r="A8" i="5"/>
  <c r="D8" i="5"/>
  <c r="J8" i="5"/>
  <c r="C8" i="5"/>
  <c r="I8" i="5"/>
  <c r="D9" i="5"/>
  <c r="I9" i="5"/>
  <c r="C9" i="5"/>
  <c r="J9" i="5"/>
  <c r="I10" i="5"/>
  <c r="J10" i="5"/>
  <c r="D10" i="5"/>
  <c r="C10" i="5"/>
  <c r="J11" i="5"/>
  <c r="C11" i="5"/>
  <c r="D11" i="5"/>
  <c r="I11" i="5"/>
  <c r="J12" i="5"/>
  <c r="D12" i="5"/>
  <c r="C12" i="5"/>
  <c r="I12" i="5"/>
  <c r="J13" i="5"/>
  <c r="D13" i="5"/>
  <c r="I13" i="5"/>
  <c r="C13" i="5"/>
  <c r="D6" i="5"/>
  <c r="I6" i="5"/>
  <c r="C6" i="5"/>
  <c r="J6" i="5"/>
  <c r="C7" i="5"/>
  <c r="D7" i="5"/>
  <c r="I7" i="5"/>
  <c r="J7" i="5"/>
  <c r="C41" i="5"/>
  <c r="D41" i="5"/>
  <c r="I41" i="5"/>
  <c r="J41" i="5"/>
  <c r="I5" i="5"/>
  <c r="C5" i="5"/>
  <c r="J5" i="5"/>
  <c r="D5" i="5"/>
  <c r="F7" i="5" l="1"/>
  <c r="F6" i="5"/>
  <c r="F13" i="5"/>
  <c r="E13" i="5" s="1"/>
  <c r="F12" i="5"/>
  <c r="F11" i="5"/>
  <c r="F10" i="5"/>
  <c r="F9" i="5"/>
  <c r="F8" i="5"/>
  <c r="F5" i="5"/>
  <c r="J2" i="25" l="1"/>
  <c r="E54" i="5" l="1"/>
  <c r="E53" i="5"/>
  <c r="E52" i="5"/>
  <c r="E35" i="5"/>
  <c r="E38" i="5"/>
  <c r="E36" i="5"/>
  <c r="E40" i="5"/>
  <c r="E34" i="5"/>
  <c r="E37" i="5"/>
  <c r="E39" i="5"/>
  <c r="E2" i="5"/>
  <c r="E51" i="5"/>
  <c r="E47" i="5"/>
  <c r="E50" i="5"/>
  <c r="E45" i="5"/>
  <c r="E44" i="5"/>
  <c r="E43" i="5"/>
  <c r="E42" i="5"/>
  <c r="E46" i="5"/>
  <c r="E49" i="5"/>
  <c r="E48" i="5"/>
  <c r="E41" i="5"/>
  <c r="E22" i="5"/>
  <c r="E19" i="5"/>
  <c r="E21" i="5"/>
  <c r="E3" i="5"/>
  <c r="E20" i="5"/>
  <c r="E23" i="5"/>
  <c r="E8" i="5" l="1"/>
  <c r="E9" i="5"/>
  <c r="E10" i="5"/>
  <c r="E11" i="5"/>
  <c r="E12" i="5"/>
  <c r="E6" i="5"/>
  <c r="E5" i="5"/>
  <c r="E7" i="5"/>
  <c r="K3" i="4" a="1"/>
  <c r="K34" i="4"/>
  <c r="K43" i="4"/>
  <c r="K52" i="4"/>
  <c r="K6" i="4"/>
  <c r="K15" i="4"/>
  <c r="K24" i="4"/>
  <c r="K41" i="4"/>
  <c r="K42" i="4"/>
  <c r="K51" i="4"/>
  <c r="K5" i="4"/>
  <c r="K14" i="4"/>
  <c r="K23" i="4"/>
  <c r="K32" i="4"/>
  <c r="K49" i="4"/>
  <c r="K50" i="4"/>
  <c r="K4" i="4"/>
  <c r="K13" i="4"/>
  <c r="K22" i="4"/>
  <c r="K31" i="4"/>
  <c r="K40" i="4"/>
  <c r="K3" i="4"/>
  <c r="K12" i="4"/>
  <c r="K21" i="4"/>
  <c r="K30" i="4"/>
  <c r="K39" i="4"/>
  <c r="K48" i="4"/>
  <c r="K11" i="4"/>
  <c r="K20" i="4"/>
  <c r="K29" i="4"/>
  <c r="K38" i="4"/>
  <c r="K47" i="4"/>
  <c r="K9" i="4"/>
  <c r="K10" i="4"/>
  <c r="K19" i="4"/>
  <c r="K28" i="4"/>
  <c r="K37" i="4"/>
  <c r="K46" i="4"/>
  <c r="K55" i="4"/>
  <c r="K17" i="4"/>
  <c r="K26" i="4"/>
  <c r="K7" i="4"/>
  <c r="K27" i="4"/>
  <c r="K8" i="4"/>
  <c r="K35" i="4"/>
  <c r="K16" i="4"/>
  <c r="K36" i="4"/>
  <c r="K25" i="4"/>
  <c r="K44" i="4"/>
  <c r="K33" i="4"/>
  <c r="K45" i="4"/>
  <c r="K53" i="4"/>
  <c r="K18" i="4"/>
  <c r="K54" i="4"/>
  <c r="E14" i="6"/>
  <c r="AC9" i="26"/>
  <c r="AC11" i="26" s="1" a="1"/>
  <c r="L2" i="4" a="1"/>
  <c r="AC34" i="26" l="1"/>
  <c r="AC98" i="26"/>
  <c r="AC162" i="26"/>
  <c r="AC226" i="26"/>
  <c r="AC290" i="26"/>
  <c r="AC354" i="26"/>
  <c r="AC418" i="26"/>
  <c r="AC482" i="26"/>
  <c r="AC546" i="26"/>
  <c r="AC610" i="26"/>
  <c r="AC674" i="26"/>
  <c r="AC65" i="26"/>
  <c r="AC139" i="26"/>
  <c r="AC212" i="26"/>
  <c r="AC285" i="26"/>
  <c r="AC358" i="26"/>
  <c r="AC431" i="26"/>
  <c r="AC504" i="26"/>
  <c r="AC577" i="26"/>
  <c r="AC651" i="26"/>
  <c r="AC719" i="26"/>
  <c r="AC783" i="26"/>
  <c r="AC847" i="26"/>
  <c r="AC911" i="26"/>
  <c r="AC975" i="26"/>
  <c r="AC82" i="26"/>
  <c r="AC154" i="26"/>
  <c r="AC234" i="26"/>
  <c r="AC306" i="26"/>
  <c r="AC378" i="26"/>
  <c r="AC450" i="26"/>
  <c r="AC522" i="26"/>
  <c r="AC594" i="26"/>
  <c r="AC666" i="26"/>
  <c r="AC75" i="26"/>
  <c r="AC157" i="26"/>
  <c r="AC239" i="26"/>
  <c r="AC321" i="26"/>
  <c r="AC404" i="26"/>
  <c r="AC486" i="26"/>
  <c r="AC568" i="26"/>
  <c r="AC660" i="26"/>
  <c r="AC735" i="26"/>
  <c r="AC807" i="26"/>
  <c r="AC879" i="26"/>
  <c r="AC951" i="26"/>
  <c r="AC1023" i="26"/>
  <c r="AC1087" i="26"/>
  <c r="AC1151" i="26"/>
  <c r="AC1215" i="26"/>
  <c r="AC1279" i="26"/>
  <c r="AC1343" i="26"/>
  <c r="AC1407" i="26"/>
  <c r="AC32" i="26"/>
  <c r="AC116" i="26"/>
  <c r="AC199" i="26"/>
  <c r="AC283" i="26"/>
  <c r="AC366" i="26"/>
  <c r="AC451" i="26"/>
  <c r="AC534" i="26"/>
  <c r="AC617" i="26"/>
  <c r="AC699" i="26"/>
  <c r="AC772" i="26"/>
  <c r="AC845" i="26"/>
  <c r="AC918" i="26"/>
  <c r="AC992" i="26"/>
  <c r="AC1065" i="26"/>
  <c r="AC1138" i="26"/>
  <c r="AC1211" i="26"/>
  <c r="AC1284" i="26"/>
  <c r="AC1357" i="26"/>
  <c r="AC1430" i="26"/>
  <c r="AC1497" i="26"/>
  <c r="AC1561" i="26"/>
  <c r="AC1625" i="26"/>
  <c r="AC1689" i="26"/>
  <c r="AC1753" i="26"/>
  <c r="AC1817" i="26"/>
  <c r="AC1881" i="26"/>
  <c r="AC1945" i="26"/>
  <c r="AC2009" i="26"/>
  <c r="AC2073" i="26"/>
  <c r="AC2137" i="26"/>
  <c r="AC2201" i="26"/>
  <c r="AC2265" i="26"/>
  <c r="AC2329" i="26"/>
  <c r="AC2393" i="26"/>
  <c r="AC2457" i="26"/>
  <c r="AC2521" i="26"/>
  <c r="AC2585" i="26"/>
  <c r="AC2649" i="26"/>
  <c r="AC2713" i="26"/>
  <c r="AC2777" i="26"/>
  <c r="AC2841" i="26"/>
  <c r="AC2905" i="26"/>
  <c r="AC2969" i="26"/>
  <c r="AC71" i="26"/>
  <c r="AC167" i="26"/>
  <c r="AC263" i="26"/>
  <c r="AC359" i="26"/>
  <c r="AC454" i="26"/>
  <c r="AC549" i="26"/>
  <c r="AC645" i="26"/>
  <c r="AC733" i="26"/>
  <c r="AC817" i="26"/>
  <c r="AC901" i="26"/>
  <c r="AC985" i="26"/>
  <c r="AC1068" i="26"/>
  <c r="AC1152" i="26"/>
  <c r="AC1235" i="26"/>
  <c r="AC1318" i="26"/>
  <c r="AC1402" i="26"/>
  <c r="AC1482" i="26"/>
  <c r="AC1555" i="26"/>
  <c r="AC1628" i="26"/>
  <c r="AC1701" i="26"/>
  <c r="AC1774" i="26"/>
  <c r="AC1847" i="26"/>
  <c r="AC1920" i="26"/>
  <c r="AC1994" i="26"/>
  <c r="AC2067" i="26"/>
  <c r="AC2140" i="26"/>
  <c r="AC2213" i="26"/>
  <c r="AC2286" i="26"/>
  <c r="AC2359" i="26"/>
  <c r="AC2432" i="26"/>
  <c r="AC2506" i="26"/>
  <c r="AC2579" i="26"/>
  <c r="AC2652" i="26"/>
  <c r="AC2725" i="26"/>
  <c r="AC2798" i="26"/>
  <c r="AC2871" i="26"/>
  <c r="AC2944" i="26"/>
  <c r="AC3014" i="26"/>
  <c r="AC3078" i="26"/>
  <c r="AC3142" i="26"/>
  <c r="AC3206" i="26"/>
  <c r="AC3270" i="26"/>
  <c r="AC3334" i="26"/>
  <c r="AC3398" i="26"/>
  <c r="AC3462" i="26"/>
  <c r="AC3526" i="26"/>
  <c r="AC86" i="26"/>
  <c r="AC181" i="26"/>
  <c r="AC277" i="26"/>
  <c r="AC372" i="26"/>
  <c r="AC467" i="26"/>
  <c r="AC563" i="26"/>
  <c r="AC657" i="26"/>
  <c r="AC746" i="26"/>
  <c r="AC829" i="26"/>
  <c r="AC913" i="26"/>
  <c r="AC14" i="26"/>
  <c r="AC140" i="26"/>
  <c r="AC268" i="26"/>
  <c r="AC392" i="26"/>
  <c r="AC520" i="26"/>
  <c r="AC649" i="26"/>
  <c r="AC764" i="26"/>
  <c r="AC876" i="26"/>
  <c r="AC988" i="26"/>
  <c r="AC1084" i="26"/>
  <c r="AC1179" i="26"/>
  <c r="AC1274" i="26"/>
  <c r="AC1370" i="26"/>
  <c r="AC1464" i="26"/>
  <c r="AC1548" i="26"/>
  <c r="AC1631" i="26"/>
  <c r="AC1715" i="26"/>
  <c r="AC62" i="26"/>
  <c r="AC188" i="26"/>
  <c r="AC317" i="26"/>
  <c r="AC445" i="26"/>
  <c r="AC571" i="26"/>
  <c r="AC697" i="26"/>
  <c r="AC810" i="26"/>
  <c r="AC920" i="26"/>
  <c r="AC1025" i="26"/>
  <c r="AC1122" i="26"/>
  <c r="AC1217" i="26"/>
  <c r="AC1313" i="26"/>
  <c r="AC1408" i="26"/>
  <c r="AC1496" i="26"/>
  <c r="AC1580" i="26"/>
  <c r="AC1663" i="26"/>
  <c r="AC1748" i="26"/>
  <c r="AC1831" i="26"/>
  <c r="AC1915" i="26"/>
  <c r="AC1998" i="26"/>
  <c r="AC2082" i="26"/>
  <c r="AC35" i="26"/>
  <c r="AC207" i="26"/>
  <c r="AC374" i="26"/>
  <c r="AC545" i="26"/>
  <c r="AC712" i="26"/>
  <c r="AC858" i="26"/>
  <c r="AC1006" i="26"/>
  <c r="AC1134" i="26"/>
  <c r="AC1260" i="26"/>
  <c r="AC1388" i="26"/>
  <c r="AC1508" i="26"/>
  <c r="AC57" i="26"/>
  <c r="AC229" i="26"/>
  <c r="AC400" i="26"/>
  <c r="AC567" i="26"/>
  <c r="AC731" i="26"/>
  <c r="AC883" i="26"/>
  <c r="AC1022" i="26"/>
  <c r="AC1150" i="26"/>
  <c r="AC1280" i="26"/>
  <c r="AC1405" i="26"/>
  <c r="AC18" i="26"/>
  <c r="AC90" i="26"/>
  <c r="AC170" i="26"/>
  <c r="AC242" i="26"/>
  <c r="AC314" i="26"/>
  <c r="AC386" i="26"/>
  <c r="AC458" i="26"/>
  <c r="AC530" i="26"/>
  <c r="AC602" i="26"/>
  <c r="AC682" i="26"/>
  <c r="AC84" i="26"/>
  <c r="AC166" i="26"/>
  <c r="AC248" i="26"/>
  <c r="AC66" i="26"/>
  <c r="AC178" i="26"/>
  <c r="AC266" i="26"/>
  <c r="AC362" i="26"/>
  <c r="AC466" i="26"/>
  <c r="AC562" i="26"/>
  <c r="AC650" i="26"/>
  <c r="AC93" i="26"/>
  <c r="AC193" i="26"/>
  <c r="AC303" i="26"/>
  <c r="AC395" i="26"/>
  <c r="AC495" i="26"/>
  <c r="AC596" i="26"/>
  <c r="AC687" i="26"/>
  <c r="AC767" i="26"/>
  <c r="AC855" i="26"/>
  <c r="AC935" i="26"/>
  <c r="AC1015" i="26"/>
  <c r="AC1095" i="26"/>
  <c r="AC1167" i="26"/>
  <c r="AC1239" i="26"/>
  <c r="AC1311" i="26"/>
  <c r="AC1383" i="26"/>
  <c r="AC12" i="26"/>
  <c r="AC105" i="26"/>
  <c r="AC209" i="26"/>
  <c r="AC304" i="26"/>
  <c r="AC398" i="26"/>
  <c r="AC492" i="26"/>
  <c r="AC585" i="26"/>
  <c r="AC680" i="26"/>
  <c r="AC763" i="26"/>
  <c r="AC854" i="26"/>
  <c r="AC937" i="26"/>
  <c r="AC1019" i="26"/>
  <c r="AC1101" i="26"/>
  <c r="AC1184" i="26"/>
  <c r="AC1266" i="26"/>
  <c r="AC1348" i="26"/>
  <c r="AC1440" i="26"/>
  <c r="AC1513" i="26"/>
  <c r="AC1585" i="26"/>
  <c r="AC1657" i="26"/>
  <c r="AC1729" i="26"/>
  <c r="AC1801" i="26"/>
  <c r="AC1873" i="26"/>
  <c r="AC1953" i="26"/>
  <c r="AC2025" i="26"/>
  <c r="AC2097" i="26"/>
  <c r="AC2169" i="26"/>
  <c r="AC2241" i="26"/>
  <c r="AC2313" i="26"/>
  <c r="AC2385" i="26"/>
  <c r="AC2465" i="26"/>
  <c r="AC2537" i="26"/>
  <c r="AC2609" i="26"/>
  <c r="AC2681" i="26"/>
  <c r="AC2753" i="26"/>
  <c r="AC2825" i="26"/>
  <c r="AC2897" i="26"/>
  <c r="AC2977" i="26"/>
  <c r="AC96" i="26"/>
  <c r="AC204" i="26"/>
  <c r="AC310" i="26"/>
  <c r="AC417" i="26"/>
  <c r="AC526" i="26"/>
  <c r="AC633" i="26"/>
  <c r="AC744" i="26"/>
  <c r="AC838" i="26"/>
  <c r="AC932" i="26"/>
  <c r="AC1026" i="26"/>
  <c r="AC1121" i="26"/>
  <c r="AC1214" i="26"/>
  <c r="AC1308" i="26"/>
  <c r="AC1413" i="26"/>
  <c r="AC1500" i="26"/>
  <c r="AC1582" i="26"/>
  <c r="AC1664" i="26"/>
  <c r="AC1747" i="26"/>
  <c r="AC1829" i="26"/>
  <c r="AC1911" i="26"/>
  <c r="AC2003" i="26"/>
  <c r="AC2085" i="26"/>
  <c r="AC2167" i="26"/>
  <c r="AC2250" i="26"/>
  <c r="AC2332" i="26"/>
  <c r="AC2414" i="26"/>
  <c r="AC2496" i="26"/>
  <c r="AC2588" i="26"/>
  <c r="AC2670" i="26"/>
  <c r="AC2752" i="26"/>
  <c r="AC2835" i="26"/>
  <c r="AC2917" i="26"/>
  <c r="AC2998" i="26"/>
  <c r="AC3070" i="26"/>
  <c r="AC3150" i="26"/>
  <c r="AC3222" i="26"/>
  <c r="AC3294" i="26"/>
  <c r="AC3366" i="26"/>
  <c r="AC3438" i="26"/>
  <c r="AC3510" i="26"/>
  <c r="AC72" i="26"/>
  <c r="AC192" i="26"/>
  <c r="AC300" i="26"/>
  <c r="AC407" i="26"/>
  <c r="AC516" i="26"/>
  <c r="AC622" i="26"/>
  <c r="AC724" i="26"/>
  <c r="AC819" i="26"/>
  <c r="AC923" i="26"/>
  <c r="AC44" i="26"/>
  <c r="AC187" i="26"/>
  <c r="AC329" i="26"/>
  <c r="AC473" i="26"/>
  <c r="AC616" i="26"/>
  <c r="AC750" i="26"/>
  <c r="AC889" i="26"/>
  <c r="AC1012" i="26"/>
  <c r="AC1118" i="26"/>
  <c r="AC1227" i="26"/>
  <c r="AC1334" i="26"/>
  <c r="AC1442" i="26"/>
  <c r="AC1538" i="26"/>
  <c r="AC1642" i="26"/>
  <c r="AC1735" i="26"/>
  <c r="AC110" i="26"/>
  <c r="AC254" i="26"/>
  <c r="AC397" i="26"/>
  <c r="AC540" i="26"/>
  <c r="AC684" i="26"/>
  <c r="AC822" i="26"/>
  <c r="AC948" i="26"/>
  <c r="AC1061" i="26"/>
  <c r="AC1169" i="26"/>
  <c r="AC1276" i="26"/>
  <c r="AC1384" i="26"/>
  <c r="AC1486" i="26"/>
  <c r="AC1590" i="26"/>
  <c r="AC1685" i="26"/>
  <c r="AC1779" i="26"/>
  <c r="AC1872" i="26"/>
  <c r="AC1967" i="26"/>
  <c r="AC2061" i="26"/>
  <c r="AC16" i="26"/>
  <c r="AC225" i="26"/>
  <c r="AC416" i="26"/>
  <c r="AC608" i="26"/>
  <c r="AC785" i="26"/>
  <c r="AC952" i="26"/>
  <c r="AC1102" i="26"/>
  <c r="AC1244" i="26"/>
  <c r="AC1404" i="26"/>
  <c r="AC1534" i="26"/>
  <c r="AC123" i="26"/>
  <c r="AC313" i="26"/>
  <c r="AC505" i="26"/>
  <c r="AC694" i="26"/>
  <c r="AC861" i="26"/>
  <c r="AC1041" i="26"/>
  <c r="AC1185" i="26"/>
  <c r="AC1326" i="26"/>
  <c r="AC1468" i="26"/>
  <c r="AC19" i="26"/>
  <c r="AC190" i="26"/>
  <c r="AC357" i="26"/>
  <c r="AC529" i="26"/>
  <c r="AC698" i="26"/>
  <c r="AC844" i="26"/>
  <c r="AC994" i="26"/>
  <c r="AC1123" i="26"/>
  <c r="AC1249" i="26"/>
  <c r="AC1377" i="26"/>
  <c r="AC1498" i="26"/>
  <c r="AC117" i="26"/>
  <c r="AC390" i="26"/>
  <c r="AC663" i="26"/>
  <c r="AC907" i="26"/>
  <c r="AC1124" i="26"/>
  <c r="AC1322" i="26"/>
  <c r="AC1519" i="26"/>
  <c r="AC1650" i="26"/>
  <c r="AC1762" i="26"/>
  <c r="AC1858" i="26"/>
  <c r="AC1952" i="26"/>
  <c r="AC2047" i="26"/>
  <c r="AC2143" i="26"/>
  <c r="AC2228" i="26"/>
  <c r="AC2311" i="26"/>
  <c r="AC2395" i="26"/>
  <c r="AC2479" i="26"/>
  <c r="AC2563" i="26"/>
  <c r="AC2646" i="26"/>
  <c r="AC2730" i="26"/>
  <c r="AC2813" i="26"/>
  <c r="AC2896" i="26"/>
  <c r="AC2980" i="26"/>
  <c r="AC3055" i="26"/>
  <c r="AC3128" i="26"/>
  <c r="AC3201" i="26"/>
  <c r="AC3274" i="26"/>
  <c r="AC3347" i="26"/>
  <c r="AC3420" i="26"/>
  <c r="AC3493" i="26"/>
  <c r="AC3083" i="26"/>
  <c r="AC196" i="26"/>
  <c r="AC469" i="26"/>
  <c r="AC729" i="26"/>
  <c r="AC997" i="26"/>
  <c r="AC1201" i="26"/>
  <c r="AC1401" i="26"/>
  <c r="AC1583" i="26"/>
  <c r="AC1693" i="26"/>
  <c r="AC1798" i="26"/>
  <c r="AC1895" i="26"/>
  <c r="AC1990" i="26"/>
  <c r="AC2086" i="26"/>
  <c r="AC2178" i="26"/>
  <c r="AC2261" i="26"/>
  <c r="AC2344" i="26"/>
  <c r="AC2428" i="26"/>
  <c r="AC2522" i="26"/>
  <c r="AC2605" i="26"/>
  <c r="AC2690" i="26"/>
  <c r="AC2773" i="26"/>
  <c r="AC2856" i="26"/>
  <c r="AC2940" i="26"/>
  <c r="AC3019" i="26"/>
  <c r="AC3101" i="26"/>
  <c r="AC3175" i="26"/>
  <c r="AC3248" i="26"/>
  <c r="AC3321" i="26"/>
  <c r="AC3394" i="26"/>
  <c r="AC3467" i="26"/>
  <c r="AC761" i="26"/>
  <c r="AC261" i="26"/>
  <c r="AC535" i="26"/>
  <c r="AC820" i="26"/>
  <c r="AC1051" i="26"/>
  <c r="AC1282" i="26"/>
  <c r="AC1478" i="26"/>
  <c r="AC1626" i="26"/>
  <c r="AC1739" i="26"/>
  <c r="AC1836" i="26"/>
  <c r="AC1932" i="26"/>
  <c r="AC2027" i="26"/>
  <c r="AC2123" i="26"/>
  <c r="AC2210" i="26"/>
  <c r="AC2293" i="26"/>
  <c r="AC2376" i="26"/>
  <c r="AC2461" i="26"/>
  <c r="AC2565" i="26"/>
  <c r="AC2648" i="26"/>
  <c r="AC2732" i="26"/>
  <c r="AC2815" i="26"/>
  <c r="AC2900" i="26"/>
  <c r="AC305" i="26"/>
  <c r="AC721" i="26"/>
  <c r="AC1091" i="26"/>
  <c r="AC1416" i="26"/>
  <c r="AC1658" i="26"/>
  <c r="AC1826" i="26"/>
  <c r="AC1974" i="26"/>
  <c r="AC2128" i="26"/>
  <c r="AC2266" i="26"/>
  <c r="AC2400" i="26"/>
  <c r="AC2528" i="26"/>
  <c r="AC2663" i="26"/>
  <c r="AC2797" i="26"/>
  <c r="AC2931" i="26"/>
  <c r="AC3034" i="26"/>
  <c r="AC3132" i="26"/>
  <c r="AC3231" i="26"/>
  <c r="AC3327" i="26"/>
  <c r="AC3425" i="26"/>
  <c r="AC3523" i="26"/>
  <c r="AC352" i="26"/>
  <c r="AC778" i="26"/>
  <c r="AC1139" i="26"/>
  <c r="AC1461" i="26"/>
  <c r="AC1682" i="26"/>
  <c r="AC1844" i="26"/>
  <c r="AC1997" i="26"/>
  <c r="AC2151" i="26"/>
  <c r="AC2285" i="26"/>
  <c r="AC2420" i="26"/>
  <c r="AC2548" i="26"/>
  <c r="AC2696" i="26"/>
  <c r="AC2831" i="26"/>
  <c r="AC2958" i="26"/>
  <c r="AC3060" i="26"/>
  <c r="AC3159" i="26"/>
  <c r="AC3255" i="26"/>
  <c r="AC3353" i="26"/>
  <c r="AC3451" i="26"/>
  <c r="AC41" i="26"/>
  <c r="AC519" i="26"/>
  <c r="AC926" i="26"/>
  <c r="AC1268" i="26"/>
  <c r="AC1572" i="26"/>
  <c r="AC1752" i="26"/>
  <c r="AC1903" i="26"/>
  <c r="AC2056" i="26"/>
  <c r="AC2203" i="26"/>
  <c r="AC2338" i="26"/>
  <c r="AC2472" i="26"/>
  <c r="AC2619" i="26"/>
  <c r="AC2749" i="26"/>
  <c r="AC2884" i="26"/>
  <c r="AC3002" i="26"/>
  <c r="AC3098" i="26"/>
  <c r="AC3208" i="26"/>
  <c r="AC3306" i="26"/>
  <c r="AC3404" i="26"/>
  <c r="AC3500" i="26"/>
  <c r="AC319" i="26"/>
  <c r="AC742" i="26"/>
  <c r="AC1112" i="26"/>
  <c r="AC1435" i="26"/>
  <c r="AC1687" i="26"/>
  <c r="AC1888" i="26"/>
  <c r="AC2100" i="26"/>
  <c r="AC2372" i="26"/>
  <c r="AC2635" i="26"/>
  <c r="AC2885" i="26"/>
  <c r="AC3113" i="26"/>
  <c r="AC3344" i="26"/>
  <c r="AC747" i="26"/>
  <c r="AC1441" i="26"/>
  <c r="AC1832" i="26"/>
  <c r="AC2139" i="26"/>
  <c r="AC2424" i="26"/>
  <c r="AC2686" i="26"/>
  <c r="AC2951" i="26"/>
  <c r="AC3114" i="26"/>
  <c r="AC3308" i="26"/>
  <c r="AC3505" i="26"/>
  <c r="AC494" i="26"/>
  <c r="AC1237" i="26"/>
  <c r="AC1740" i="26"/>
  <c r="AC2045" i="26"/>
  <c r="AC3160" i="26"/>
  <c r="AC2117" i="26"/>
  <c r="AC2390" i="26"/>
  <c r="AC2653" i="26"/>
  <c r="AC2934" i="26"/>
  <c r="AC3149" i="26"/>
  <c r="AC3538" i="26"/>
  <c r="AC801" i="26"/>
  <c r="AC1471" i="26"/>
  <c r="AC1853" i="26"/>
  <c r="AC2159" i="26"/>
  <c r="AC2410" i="26"/>
  <c r="AC2672" i="26"/>
  <c r="AC2936" i="26"/>
  <c r="AC3176" i="26"/>
  <c r="AC3370" i="26"/>
  <c r="AC68" i="26"/>
  <c r="AC1114" i="26"/>
  <c r="AC1670" i="26"/>
  <c r="AC1987" i="26"/>
  <c r="AC3209" i="26"/>
  <c r="AC3428" i="26"/>
  <c r="AC243" i="26"/>
  <c r="AC1630" i="26"/>
  <c r="AC2244" i="26"/>
  <c r="AC2591" i="26"/>
  <c r="AC2942" i="26"/>
  <c r="AC3213" i="26"/>
  <c r="AC3471" i="26"/>
  <c r="AC1081" i="26"/>
  <c r="AC1972" i="26"/>
  <c r="AC2426" i="26"/>
  <c r="AC2776" i="26"/>
  <c r="AC3081" i="26"/>
  <c r="AC3346" i="26"/>
  <c r="AC286" i="26"/>
  <c r="AC1656" i="26"/>
  <c r="AC2246" i="26"/>
  <c r="AC2608" i="26"/>
  <c r="AC2955" i="26"/>
  <c r="AC3216" i="26"/>
  <c r="AC3481" i="26"/>
  <c r="AC1115" i="26"/>
  <c r="AC1992" i="26"/>
  <c r="AC2431" i="26"/>
  <c r="AC2790" i="26"/>
  <c r="AC3093" i="26"/>
  <c r="AC3351" i="26"/>
  <c r="AC558" i="26"/>
  <c r="AC1766" i="26"/>
  <c r="AC2309" i="26"/>
  <c r="AC2660" i="26"/>
  <c r="AC2996" i="26"/>
  <c r="AC3261" i="26"/>
  <c r="AC3519" i="26"/>
  <c r="AC1487" i="26"/>
  <c r="AC2162" i="26"/>
  <c r="AC2527" i="26"/>
  <c r="AC2892" i="26"/>
  <c r="AC3167" i="26"/>
  <c r="AC3424" i="26"/>
  <c r="AC1004" i="26"/>
  <c r="AC1936" i="26"/>
  <c r="AC2411" i="26"/>
  <c r="AC2808" i="26"/>
  <c r="AC3236" i="26"/>
  <c r="AC1515" i="26"/>
  <c r="AC2498" i="26"/>
  <c r="AC3177" i="26"/>
  <c r="AC3007" i="26"/>
  <c r="AC3433" i="26"/>
  <c r="AC2180" i="26"/>
  <c r="AC2894" i="26"/>
  <c r="AC3434" i="26"/>
  <c r="AC3048" i="26"/>
  <c r="AC1594" i="26"/>
  <c r="AC2352" i="26"/>
  <c r="AC2632" i="26"/>
  <c r="AC2767" i="26"/>
  <c r="AC3013" i="26"/>
  <c r="AC3112" i="26"/>
  <c r="AC3221" i="26"/>
  <c r="AC3317" i="26"/>
  <c r="AC3416" i="26"/>
  <c r="AC373" i="26"/>
  <c r="AC798" i="26"/>
  <c r="AC1142" i="26"/>
  <c r="AC74" i="26"/>
  <c r="AC186" i="26"/>
  <c r="AC274" i="26"/>
  <c r="AC370" i="26"/>
  <c r="AC474" i="26"/>
  <c r="AC570" i="26"/>
  <c r="AC658" i="26"/>
  <c r="AC102" i="26"/>
  <c r="AC203" i="26"/>
  <c r="AC312" i="26"/>
  <c r="AC413" i="26"/>
  <c r="AC513" i="26"/>
  <c r="AC605" i="26"/>
  <c r="AC695" i="26"/>
  <c r="AC775" i="26"/>
  <c r="AC863" i="26"/>
  <c r="AC943" i="26"/>
  <c r="AC1031" i="26"/>
  <c r="AC1103" i="26"/>
  <c r="AC1175" i="26"/>
  <c r="AC1247" i="26"/>
  <c r="AC1319" i="26"/>
  <c r="AC1391" i="26"/>
  <c r="AC22" i="26"/>
  <c r="AC126" i="26"/>
  <c r="AC220" i="26"/>
  <c r="AC315" i="26"/>
  <c r="AC408" i="26"/>
  <c r="AC502" i="26"/>
  <c r="AC597" i="26"/>
  <c r="AC690" i="26"/>
  <c r="AC781" i="26"/>
  <c r="AC864" i="26"/>
  <c r="AC946" i="26"/>
  <c r="AC1028" i="26"/>
  <c r="AC1110" i="26"/>
  <c r="AC1193" i="26"/>
  <c r="AC1275" i="26"/>
  <c r="AC1366" i="26"/>
  <c r="AC1449" i="26"/>
  <c r="AC1521" i="26"/>
  <c r="AC1593" i="26"/>
  <c r="AC1665" i="26"/>
  <c r="AC1737" i="26"/>
  <c r="AC1809" i="26"/>
  <c r="AC1889" i="26"/>
  <c r="AC1961" i="26"/>
  <c r="AC2033" i="26"/>
  <c r="AC2105" i="26"/>
  <c r="AC2177" i="26"/>
  <c r="AC2249" i="26"/>
  <c r="AC2321" i="26"/>
  <c r="AC2401" i="26"/>
  <c r="AC2473" i="26"/>
  <c r="AC2545" i="26"/>
  <c r="AC2617" i="26"/>
  <c r="AC2689" i="26"/>
  <c r="AC2761" i="26"/>
  <c r="AC2833" i="26"/>
  <c r="AC2913" i="26"/>
  <c r="AC2985" i="26"/>
  <c r="AC108" i="26"/>
  <c r="AC215" i="26"/>
  <c r="AC323" i="26"/>
  <c r="AC430" i="26"/>
  <c r="AC537" i="26"/>
  <c r="AC656" i="26"/>
  <c r="AC755" i="26"/>
  <c r="AC849" i="26"/>
  <c r="AC942" i="26"/>
  <c r="AC1036" i="26"/>
  <c r="AC1131" i="26"/>
  <c r="AC1225" i="26"/>
  <c r="AC1329" i="26"/>
  <c r="AC1424" i="26"/>
  <c r="AC1509" i="26"/>
  <c r="AC1591" i="26"/>
  <c r="AC1674" i="26"/>
  <c r="AC1756" i="26"/>
  <c r="AC1838" i="26"/>
  <c r="AC1930" i="26"/>
  <c r="AC2012" i="26"/>
  <c r="AC2094" i="26"/>
  <c r="AC2176" i="26"/>
  <c r="AC2259" i="26"/>
  <c r="AC2341" i="26"/>
  <c r="AC2423" i="26"/>
  <c r="AC2515" i="26"/>
  <c r="AC2597" i="26"/>
  <c r="AC2679" i="26"/>
  <c r="AC2762" i="26"/>
  <c r="AC2844" i="26"/>
  <c r="AC2926" i="26"/>
  <c r="AC3006" i="26"/>
  <c r="AC3086" i="26"/>
  <c r="AC3158" i="26"/>
  <c r="AC3230" i="26"/>
  <c r="AC3302" i="26"/>
  <c r="AC3374" i="26"/>
  <c r="AC3446" i="26"/>
  <c r="AC3518" i="26"/>
  <c r="AC97" i="26"/>
  <c r="AC205" i="26"/>
  <c r="AC311" i="26"/>
  <c r="AC420" i="26"/>
  <c r="AC527" i="26"/>
  <c r="AC635" i="26"/>
  <c r="AC734" i="26"/>
  <c r="AC840" i="26"/>
  <c r="AC933" i="26"/>
  <c r="AC59" i="26"/>
  <c r="AC201" i="26"/>
  <c r="AC344" i="26"/>
  <c r="AC488" i="26"/>
  <c r="AC631" i="26"/>
  <c r="AC779" i="26"/>
  <c r="AC905" i="26"/>
  <c r="AC1024" i="26"/>
  <c r="AC1132" i="26"/>
  <c r="AC1240" i="26"/>
  <c r="AC1346" i="26"/>
  <c r="AC1453" i="26"/>
  <c r="AC1558" i="26"/>
  <c r="AC1652" i="26"/>
  <c r="AC1746" i="26"/>
  <c r="AC125" i="26"/>
  <c r="AC269" i="26"/>
  <c r="AC412" i="26"/>
  <c r="AC556" i="26"/>
  <c r="AC710" i="26"/>
  <c r="AC835" i="26"/>
  <c r="AC961" i="26"/>
  <c r="AC1073" i="26"/>
  <c r="AC1180" i="26"/>
  <c r="AC1289" i="26"/>
  <c r="AC1396" i="26"/>
  <c r="AC1507" i="26"/>
  <c r="AC1602" i="26"/>
  <c r="AC1695" i="26"/>
  <c r="AC1789" i="26"/>
  <c r="AC1883" i="26"/>
  <c r="AC1978" i="26"/>
  <c r="AC2071" i="26"/>
  <c r="AC55" i="26"/>
  <c r="AC246" i="26"/>
  <c r="AC437" i="26"/>
  <c r="AC629" i="26"/>
  <c r="AC803" i="26"/>
  <c r="AC970" i="26"/>
  <c r="AC1116" i="26"/>
  <c r="AC1278" i="26"/>
  <c r="AC1420" i="26"/>
  <c r="AC1550" i="26"/>
  <c r="AC145" i="26"/>
  <c r="AC337" i="26"/>
  <c r="AC528" i="26"/>
  <c r="AC715" i="26"/>
  <c r="AC898" i="26"/>
  <c r="AC1054" i="26"/>
  <c r="AC1198" i="26"/>
  <c r="AC1342" i="26"/>
  <c r="AC1480" i="26"/>
  <c r="AC40" i="26"/>
  <c r="AC211" i="26"/>
  <c r="AC381" i="26"/>
  <c r="AC548" i="26"/>
  <c r="AC716" i="26"/>
  <c r="AC866" i="26"/>
  <c r="AC1009" i="26"/>
  <c r="AC1137" i="26"/>
  <c r="AC1265" i="26"/>
  <c r="AC1390" i="26"/>
  <c r="AC1511" i="26"/>
  <c r="AC152" i="26"/>
  <c r="AC428" i="26"/>
  <c r="AC700" i="26"/>
  <c r="AC930" i="26"/>
  <c r="AC1146" i="26"/>
  <c r="AC1352" i="26"/>
  <c r="AC1542" i="26"/>
  <c r="AC1666" i="26"/>
  <c r="AC1773" i="26"/>
  <c r="AC1869" i="26"/>
  <c r="AC1964" i="26"/>
  <c r="AC2060" i="26"/>
  <c r="AC2155" i="26"/>
  <c r="AC2238" i="26"/>
  <c r="AC2322" i="26"/>
  <c r="AC2406" i="26"/>
  <c r="AC2490" i="26"/>
  <c r="AC2573" i="26"/>
  <c r="AC2656" i="26"/>
  <c r="AC2740" i="26"/>
  <c r="AC2823" i="26"/>
  <c r="AC2907" i="26"/>
  <c r="AC2991" i="26"/>
  <c r="AC3064" i="26"/>
  <c r="AC3137" i="26"/>
  <c r="AC3210" i="26"/>
  <c r="AC3283" i="26"/>
  <c r="AC3356" i="26"/>
  <c r="AC3429" i="26"/>
  <c r="AC3503" i="26"/>
  <c r="AC3504" i="26"/>
  <c r="AC224" i="26"/>
  <c r="AC497" i="26"/>
  <c r="AC792" i="26"/>
  <c r="AC1020" i="26"/>
  <c r="AC1224" i="26"/>
  <c r="AC1428" i="26"/>
  <c r="AC1596" i="26"/>
  <c r="AC1708" i="26"/>
  <c r="AC1812" i="26"/>
  <c r="AC1907" i="26"/>
  <c r="AC2002" i="26"/>
  <c r="AC2098" i="26"/>
  <c r="AC2188" i="26"/>
  <c r="AC2271" i="26"/>
  <c r="AC2355" i="26"/>
  <c r="AC2438" i="26"/>
  <c r="AC2532" i="26"/>
  <c r="AC2616" i="26"/>
  <c r="AC2700" i="26"/>
  <c r="AC2783" i="26"/>
  <c r="AC2867" i="26"/>
  <c r="AC2950" i="26"/>
  <c r="AC3028" i="26"/>
  <c r="AC3111" i="26"/>
  <c r="AC3184" i="26"/>
  <c r="AC3257" i="26"/>
  <c r="AC3330" i="26"/>
  <c r="AC3403" i="26"/>
  <c r="AC3476" i="26"/>
  <c r="AC27" i="26"/>
  <c r="AC302" i="26"/>
  <c r="AC576" i="26"/>
  <c r="AC853" i="26"/>
  <c r="AC1077" i="26"/>
  <c r="AC1305" i="26"/>
  <c r="AC1502" i="26"/>
  <c r="AC1639" i="26"/>
  <c r="AC1751" i="26"/>
  <c r="AC1848" i="26"/>
  <c r="AC1943" i="26"/>
  <c r="AC2038" i="26"/>
  <c r="AC2135" i="26"/>
  <c r="AC2220" i="26"/>
  <c r="AC2303" i="26"/>
  <c r="AC2388" i="26"/>
  <c r="AC2471" i="26"/>
  <c r="AC2575" i="26"/>
  <c r="AC2659" i="26"/>
  <c r="AC2742" i="26"/>
  <c r="AC2827" i="26"/>
  <c r="AC2910" i="26"/>
  <c r="AC351" i="26"/>
  <c r="AC774" i="26"/>
  <c r="AC1130" i="26"/>
  <c r="AC1460" i="26"/>
  <c r="AC1677" i="26"/>
  <c r="AC1843" i="26"/>
  <c r="AC1996" i="26"/>
  <c r="AC2150" i="26"/>
  <c r="AC2284" i="26"/>
  <c r="AC2415" i="26"/>
  <c r="AC2547" i="26"/>
  <c r="AC2682" i="26"/>
  <c r="AC2812" i="26"/>
  <c r="AC2943" i="26"/>
  <c r="AC3144" i="26"/>
  <c r="AC3242" i="26"/>
  <c r="AC3340" i="26"/>
  <c r="AC3436" i="26"/>
  <c r="AC3535" i="26"/>
  <c r="AC414" i="26"/>
  <c r="AC832" i="26"/>
  <c r="AC1178" i="26"/>
  <c r="AC1492" i="26"/>
  <c r="AC1702" i="26"/>
  <c r="AC1864" i="26"/>
  <c r="AC2018" i="26"/>
  <c r="AC2170" i="26"/>
  <c r="AC2300" i="26"/>
  <c r="AC2435" i="26"/>
  <c r="AC2581" i="26"/>
  <c r="AC2715" i="26"/>
  <c r="AC2850" i="26"/>
  <c r="AC2974" i="26"/>
  <c r="AC3072" i="26"/>
  <c r="AC3170" i="26"/>
  <c r="AC3268" i="26"/>
  <c r="AC3364" i="26"/>
  <c r="AC3463" i="26"/>
  <c r="AC150" i="26"/>
  <c r="AC581" i="26"/>
  <c r="AC980" i="26"/>
  <c r="AC1306" i="26"/>
  <c r="AC1771" i="26"/>
  <c r="AC1924" i="26"/>
  <c r="AC2078" i="26"/>
  <c r="AC2221" i="26"/>
  <c r="AC2486" i="26"/>
  <c r="AC2902" i="26"/>
  <c r="AC106" i="26"/>
  <c r="AC194" i="26"/>
  <c r="AC282" i="26"/>
  <c r="AC394" i="26"/>
  <c r="AC490" i="26"/>
  <c r="AC578" i="26"/>
  <c r="AC11" i="26"/>
  <c r="AC111" i="26"/>
  <c r="AC221" i="26"/>
  <c r="AC331" i="26"/>
  <c r="AC422" i="26"/>
  <c r="AC523" i="26"/>
  <c r="AC614" i="26"/>
  <c r="AC703" i="26"/>
  <c r="AC791" i="26"/>
  <c r="AC871" i="26"/>
  <c r="AC959" i="26"/>
  <c r="AC1039" i="26"/>
  <c r="AC1111" i="26"/>
  <c r="AC1183" i="26"/>
  <c r="AC1255" i="26"/>
  <c r="AC1327" i="26"/>
  <c r="AC1399" i="26"/>
  <c r="AC43" i="26"/>
  <c r="AC136" i="26"/>
  <c r="AC231" i="26"/>
  <c r="AC325" i="26"/>
  <c r="AC419" i="26"/>
  <c r="AC512" i="26"/>
  <c r="AC607" i="26"/>
  <c r="AC708" i="26"/>
  <c r="AC790" i="26"/>
  <c r="AC873" i="26"/>
  <c r="AC955" i="26"/>
  <c r="AC1037" i="26"/>
  <c r="AC1120" i="26"/>
  <c r="AC1202" i="26"/>
  <c r="AC1293" i="26"/>
  <c r="AC1376" i="26"/>
  <c r="AC1457" i="26"/>
  <c r="AC1529" i="26"/>
  <c r="AC1601" i="26"/>
  <c r="AC1673" i="26"/>
  <c r="AC1745" i="26"/>
  <c r="AC1825" i="26"/>
  <c r="AC1897" i="26"/>
  <c r="AC1969" i="26"/>
  <c r="AC2041" i="26"/>
  <c r="AC2113" i="26"/>
  <c r="AC2185" i="26"/>
  <c r="AC2257" i="26"/>
  <c r="AC2337" i="26"/>
  <c r="AC2409" i="26"/>
  <c r="AC2481" i="26"/>
  <c r="AC2553" i="26"/>
  <c r="AC2625" i="26"/>
  <c r="AC2697" i="26"/>
  <c r="AC2769" i="26"/>
  <c r="AC2849" i="26"/>
  <c r="AC2921" i="26"/>
  <c r="AC13" i="26"/>
  <c r="AC119" i="26"/>
  <c r="AC227" i="26"/>
  <c r="AC334" i="26"/>
  <c r="AC443" i="26"/>
  <c r="AC561" i="26"/>
  <c r="AC668" i="26"/>
  <c r="AC765" i="26"/>
  <c r="AC859" i="26"/>
  <c r="AC953" i="26"/>
  <c r="AC1048" i="26"/>
  <c r="AC1141" i="26"/>
  <c r="AC1245" i="26"/>
  <c r="AC1340" i="26"/>
  <c r="AC1434" i="26"/>
  <c r="AC1518" i="26"/>
  <c r="AC1600" i="26"/>
  <c r="AC1683" i="26"/>
  <c r="AC1765" i="26"/>
  <c r="AC1856" i="26"/>
  <c r="AC1939" i="26"/>
  <c r="AC2021" i="26"/>
  <c r="AC2103" i="26"/>
  <c r="AC2186" i="26"/>
  <c r="AC2268" i="26"/>
  <c r="AC2350" i="26"/>
  <c r="AC2442" i="26"/>
  <c r="AC2524" i="26"/>
  <c r="AC2606" i="26"/>
  <c r="AC2688" i="26"/>
  <c r="AC2771" i="26"/>
  <c r="AC2853" i="26"/>
  <c r="AC2935" i="26"/>
  <c r="AC3022" i="26"/>
  <c r="AC3094" i="26"/>
  <c r="AC3166" i="26"/>
  <c r="AC3238" i="26"/>
  <c r="AC3310" i="26"/>
  <c r="AC3382" i="26"/>
  <c r="AC3454" i="26"/>
  <c r="AC3534" i="26"/>
  <c r="AC109" i="26"/>
  <c r="AC216" i="26"/>
  <c r="AC324" i="26"/>
  <c r="AC432" i="26"/>
  <c r="AC539" i="26"/>
  <c r="AC646" i="26"/>
  <c r="AC756" i="26"/>
  <c r="AC850" i="26"/>
  <c r="AC944" i="26"/>
  <c r="AC77" i="26"/>
  <c r="AC219" i="26"/>
  <c r="AC363" i="26"/>
  <c r="AC507" i="26"/>
  <c r="AC664" i="26"/>
  <c r="AC130" i="26"/>
  <c r="AC298" i="26"/>
  <c r="AC434" i="26"/>
  <c r="AC618" i="26"/>
  <c r="AC56" i="26"/>
  <c r="AC267" i="26"/>
  <c r="AC440" i="26"/>
  <c r="AC559" i="26"/>
  <c r="AC727" i="26"/>
  <c r="AC839" i="26"/>
  <c r="AC991" i="26"/>
  <c r="AC1119" i="26"/>
  <c r="AC1223" i="26"/>
  <c r="AC1351" i="26"/>
  <c r="AC1447" i="26"/>
  <c r="AC168" i="26"/>
  <c r="AC335" i="26"/>
  <c r="AC471" i="26"/>
  <c r="AC638" i="26"/>
  <c r="AC754" i="26"/>
  <c r="AC900" i="26"/>
  <c r="AC1046" i="26"/>
  <c r="AC1165" i="26"/>
  <c r="AC1312" i="26"/>
  <c r="AC1421" i="26"/>
  <c r="AC1553" i="26"/>
  <c r="AC1681" i="26"/>
  <c r="AC1785" i="26"/>
  <c r="AC1913" i="26"/>
  <c r="AC2017" i="26"/>
  <c r="AC2145" i="26"/>
  <c r="AC2273" i="26"/>
  <c r="AC2369" i="26"/>
  <c r="AC2497" i="26"/>
  <c r="AC2601" i="26"/>
  <c r="AC2729" i="26"/>
  <c r="AC2857" i="26"/>
  <c r="AC2953" i="26"/>
  <c r="AC143" i="26"/>
  <c r="AC299" i="26"/>
  <c r="AC489" i="26"/>
  <c r="AC681" i="26"/>
  <c r="AC806" i="26"/>
  <c r="AC974" i="26"/>
  <c r="AC1109" i="26"/>
  <c r="AC1277" i="26"/>
  <c r="AC1444" i="26"/>
  <c r="AC1564" i="26"/>
  <c r="AC1710" i="26"/>
  <c r="AC1820" i="26"/>
  <c r="AC1966" i="26"/>
  <c r="AC2112" i="26"/>
  <c r="AC2231" i="26"/>
  <c r="AC2378" i="26"/>
  <c r="AC2487" i="26"/>
  <c r="AC2634" i="26"/>
  <c r="AC2780" i="26"/>
  <c r="AC2899" i="26"/>
  <c r="AC3038" i="26"/>
  <c r="AC3134" i="26"/>
  <c r="AC3262" i="26"/>
  <c r="AC3390" i="26"/>
  <c r="AC3494" i="26"/>
  <c r="AC133" i="26"/>
  <c r="AC288" i="26"/>
  <c r="AC479" i="26"/>
  <c r="AC671" i="26"/>
  <c r="AC797" i="26"/>
  <c r="AC965" i="26"/>
  <c r="AC172" i="26"/>
  <c r="AC425" i="26"/>
  <c r="AC679" i="26"/>
  <c r="AC834" i="26"/>
  <c r="AC1000" i="26"/>
  <c r="AC1155" i="26"/>
  <c r="AC1299" i="26"/>
  <c r="AC1429" i="26"/>
  <c r="AC1579" i="26"/>
  <c r="AC1694" i="26"/>
  <c r="AC92" i="26"/>
  <c r="AC301" i="26"/>
  <c r="AC493" i="26"/>
  <c r="AC665" i="26"/>
  <c r="AC865" i="26"/>
  <c r="AC1013" i="26"/>
  <c r="AC1157" i="26"/>
  <c r="AC1324" i="26"/>
  <c r="AC1455" i="26"/>
  <c r="AC1570" i="26"/>
  <c r="AC1716" i="26"/>
  <c r="AC1842" i="26"/>
  <c r="AC1956" i="26"/>
  <c r="AC2102" i="26"/>
  <c r="AC142" i="26"/>
  <c r="AC399" i="26"/>
  <c r="AC673" i="26"/>
  <c r="AC897" i="26"/>
  <c r="AC1086" i="26"/>
  <c r="AC1307" i="26"/>
  <c r="AC1479" i="26"/>
  <c r="AC101" i="26"/>
  <c r="AC375" i="26"/>
  <c r="AC630" i="26"/>
  <c r="AC843" i="26"/>
  <c r="AC1088" i="26"/>
  <c r="AC1261" i="26"/>
  <c r="AC1452" i="26"/>
  <c r="AC81" i="26"/>
  <c r="AC295" i="26"/>
  <c r="AC509" i="26"/>
  <c r="AC753" i="26"/>
  <c r="AC939" i="26"/>
  <c r="AC1105" i="26"/>
  <c r="AC1296" i="26"/>
  <c r="AC1456" i="26"/>
  <c r="AC88" i="26"/>
  <c r="AC496" i="26"/>
  <c r="AC814" i="26"/>
  <c r="AC1094" i="26"/>
  <c r="AC1400" i="26"/>
  <c r="AC1607" i="26"/>
  <c r="AC1749" i="26"/>
  <c r="AC1892" i="26"/>
  <c r="AC2013" i="26"/>
  <c r="AC2132" i="26"/>
  <c r="AC2260" i="26"/>
  <c r="AC2364" i="26"/>
  <c r="AC2468" i="26"/>
  <c r="AC2594" i="26"/>
  <c r="AC2699" i="26"/>
  <c r="AC2803" i="26"/>
  <c r="AC2928" i="26"/>
  <c r="AC3027" i="26"/>
  <c r="AC3119" i="26"/>
  <c r="AC3228" i="26"/>
  <c r="AC3320" i="26"/>
  <c r="AC3411" i="26"/>
  <c r="AC3521" i="26"/>
  <c r="AC89" i="26"/>
  <c r="AC433" i="26"/>
  <c r="AC852" i="26"/>
  <c r="AC1125" i="26"/>
  <c r="AC1379" i="26"/>
  <c r="AC1624" i="26"/>
  <c r="AC1763" i="26"/>
  <c r="AC1882" i="26"/>
  <c r="AC2026" i="26"/>
  <c r="AC2146" i="26"/>
  <c r="AC2251" i="26"/>
  <c r="AC2375" i="26"/>
  <c r="AC2491" i="26"/>
  <c r="AC2595" i="26"/>
  <c r="AC2720" i="26"/>
  <c r="AC2824" i="26"/>
  <c r="AC2930" i="26"/>
  <c r="AC3047" i="26"/>
  <c r="AC3147" i="26"/>
  <c r="AC3239" i="26"/>
  <c r="AC3348" i="26"/>
  <c r="AC3440" i="26"/>
  <c r="AC3540" i="26"/>
  <c r="AC368" i="26"/>
  <c r="AC705" i="26"/>
  <c r="AC1029" i="26"/>
  <c r="AC1354" i="26"/>
  <c r="AC1584" i="26"/>
  <c r="AC1723" i="26"/>
  <c r="AC1871" i="26"/>
  <c r="AC1991" i="26"/>
  <c r="AC2110" i="26"/>
  <c r="AC2242" i="26"/>
  <c r="AC2346" i="26"/>
  <c r="AC2450" i="26"/>
  <c r="AC2596" i="26"/>
  <c r="AC2701" i="26"/>
  <c r="AC2805" i="26"/>
  <c r="AC31" i="26"/>
  <c r="AC579" i="26"/>
  <c r="AC1052" i="26"/>
  <c r="AC1531" i="26"/>
  <c r="AC1767" i="26"/>
  <c r="AC1959" i="26"/>
  <c r="AC2182" i="26"/>
  <c r="AC2349" i="26"/>
  <c r="AC2516" i="26"/>
  <c r="AC2714" i="26"/>
  <c r="AC2882" i="26"/>
  <c r="AC3023" i="26"/>
  <c r="AC3169" i="26"/>
  <c r="AC3290" i="26"/>
  <c r="AC3413" i="26"/>
  <c r="AC87" i="26"/>
  <c r="AC625" i="26"/>
  <c r="AC1093" i="26"/>
  <c r="AC1571" i="26"/>
  <c r="AC1790" i="26"/>
  <c r="AC1981" i="26"/>
  <c r="AC2202" i="26"/>
  <c r="AC2370" i="26"/>
  <c r="AC2530" i="26"/>
  <c r="AC2748" i="26"/>
  <c r="AC2915" i="26"/>
  <c r="AC3049" i="26"/>
  <c r="AC3195" i="26"/>
  <c r="AC3316" i="26"/>
  <c r="AC3437" i="26"/>
  <c r="AC256" i="26"/>
  <c r="AC782" i="26"/>
  <c r="AC1221" i="26"/>
  <c r="AC1640" i="26"/>
  <c r="AC1850" i="26"/>
  <c r="AC2042" i="26"/>
  <c r="AC2254" i="26"/>
  <c r="AC2421" i="26"/>
  <c r="AC2600" i="26"/>
  <c r="AC2800" i="26"/>
  <c r="AC2962" i="26"/>
  <c r="AC3087" i="26"/>
  <c r="AC3244" i="26"/>
  <c r="AC3368" i="26"/>
  <c r="AC3489" i="26"/>
  <c r="AC424" i="26"/>
  <c r="AC929" i="26"/>
  <c r="AC1349" i="26"/>
  <c r="AC1661" i="26"/>
  <c r="AC1909" i="26"/>
  <c r="AC2172" i="26"/>
  <c r="AC2474" i="26"/>
  <c r="AC2768" i="26"/>
  <c r="AC3040" i="26"/>
  <c r="AC3259" i="26"/>
  <c r="AC647" i="26"/>
  <c r="AC1512" i="26"/>
  <c r="AC1910" i="26"/>
  <c r="AC2243" i="26"/>
  <c r="AC2556" i="26"/>
  <c r="AC2854" i="26"/>
  <c r="AC3077" i="26"/>
  <c r="AC3285" i="26"/>
  <c r="AC3528" i="26"/>
  <c r="AC707" i="26"/>
  <c r="AC1484" i="26"/>
  <c r="AC1891" i="26"/>
  <c r="AC2566" i="26"/>
  <c r="AC2022" i="26"/>
  <c r="AC2357" i="26"/>
  <c r="AC2685" i="26"/>
  <c r="AC3003" i="26"/>
  <c r="AC3234" i="26"/>
  <c r="AC384" i="26"/>
  <c r="AC1236" i="26"/>
  <c r="AC1778" i="26"/>
  <c r="AC2118" i="26"/>
  <c r="AC2443" i="26"/>
  <c r="AC2738" i="26"/>
  <c r="AC3029" i="26"/>
  <c r="AC3272" i="26"/>
  <c r="AC3491" i="26"/>
  <c r="AC949" i="26"/>
  <c r="AC1627" i="26"/>
  <c r="AC2028" i="26"/>
  <c r="AC3307" i="26"/>
  <c r="AC3490" i="26"/>
  <c r="AC1043" i="26"/>
  <c r="AC2032" i="26"/>
  <c r="AC2508" i="26"/>
  <c r="AC2906" i="26"/>
  <c r="AC3241" i="26"/>
  <c r="AC3533" i="26"/>
  <c r="AC1556" i="26"/>
  <c r="AC2245" i="26"/>
  <c r="AC2642" i="26"/>
  <c r="AC3020" i="26"/>
  <c r="AC3313" i="26"/>
  <c r="AC511" i="26"/>
  <c r="AC1819" i="26"/>
  <c r="AC2381" i="26"/>
  <c r="AC2778" i="26"/>
  <c r="AC3117" i="26"/>
  <c r="AC3410" i="26"/>
  <c r="AC950" i="26"/>
  <c r="AC2068" i="26"/>
  <c r="AC2525" i="26"/>
  <c r="AC2924" i="26"/>
  <c r="AC3225" i="26"/>
  <c r="AC3517" i="26"/>
  <c r="AC1587" i="26"/>
  <c r="AC2263" i="26"/>
  <c r="AC2706" i="26"/>
  <c r="AC3067" i="26"/>
  <c r="AC3360" i="26"/>
  <c r="AC812" i="26"/>
  <c r="AC1934" i="26"/>
  <c r="AC2445" i="26"/>
  <c r="AC2842" i="26"/>
  <c r="AC3200" i="26"/>
  <c r="AC3492" i="26"/>
  <c r="AC1488" i="26"/>
  <c r="AC2227" i="26"/>
  <c r="AC2623" i="26"/>
  <c r="AC3105" i="26"/>
  <c r="AC1208" i="26"/>
  <c r="AC2590" i="26"/>
  <c r="AC3300" i="26"/>
  <c r="AC3203" i="26"/>
  <c r="AC1365" i="26"/>
  <c r="AC2629" i="26"/>
  <c r="AC3273" i="26"/>
  <c r="AC1775" i="26"/>
  <c r="AC3271" i="26"/>
  <c r="AC3373" i="26"/>
  <c r="AC3252" i="26"/>
  <c r="AC3387" i="26"/>
  <c r="AC2927" i="26"/>
  <c r="AC1606" i="26"/>
  <c r="AC2674" i="26"/>
  <c r="AC1629" i="26"/>
  <c r="AC3371" i="26"/>
  <c r="AC1717" i="26"/>
  <c r="AC2724" i="26"/>
  <c r="AC1323" i="26"/>
  <c r="AC2511" i="26"/>
  <c r="AC1896" i="26"/>
  <c r="AC2618" i="26"/>
  <c r="AC135" i="26"/>
  <c r="AC1210" i="26"/>
  <c r="AC1588" i="26"/>
  <c r="AC1805" i="26"/>
  <c r="AC2215" i="26"/>
  <c r="AC2382" i="26"/>
  <c r="AC2580" i="26"/>
  <c r="AC2747" i="26"/>
  <c r="AC2914" i="26"/>
  <c r="AC3071" i="26"/>
  <c r="AC3315" i="26"/>
  <c r="AC3461" i="26"/>
  <c r="AC198" i="26"/>
  <c r="AC740" i="26"/>
  <c r="AC1259" i="26"/>
  <c r="AC1615" i="26"/>
  <c r="AC1827" i="26"/>
  <c r="AC2055" i="26"/>
  <c r="AC2235" i="26"/>
  <c r="AC2402" i="26"/>
  <c r="AC2781" i="26"/>
  <c r="AC2946" i="26"/>
  <c r="AC3097" i="26"/>
  <c r="AC3218" i="26"/>
  <c r="AC3341" i="26"/>
  <c r="AC3488" i="26"/>
  <c r="AC369" i="26"/>
  <c r="AC886" i="26"/>
  <c r="AC1387" i="26"/>
  <c r="AC1686" i="26"/>
  <c r="AC1887" i="26"/>
  <c r="AC2116" i="26"/>
  <c r="AC2287" i="26"/>
  <c r="AC2454" i="26"/>
  <c r="AC2666" i="26"/>
  <c r="AC2832" i="26"/>
  <c r="AC3135" i="26"/>
  <c r="AC3269" i="26"/>
  <c r="AC3391" i="26"/>
  <c r="AC3525" i="26"/>
  <c r="AC542" i="26"/>
  <c r="AC1030" i="26"/>
  <c r="AC1504" i="26"/>
  <c r="AC1754" i="26"/>
  <c r="AC1947" i="26"/>
  <c r="AC2237" i="26"/>
  <c r="AC2536" i="26"/>
  <c r="AC2838" i="26"/>
  <c r="AC3088" i="26"/>
  <c r="AC3405" i="26"/>
  <c r="AC945" i="26"/>
  <c r="AC1620" i="26"/>
  <c r="AC1986" i="26"/>
  <c r="AC2326" i="26"/>
  <c r="AC2621" i="26"/>
  <c r="AC2923" i="26"/>
  <c r="AC3139" i="26"/>
  <c r="AC3359" i="26"/>
  <c r="AC174" i="26"/>
  <c r="AC896" i="26"/>
  <c r="AC1971" i="26"/>
  <c r="AC2518" i="26"/>
  <c r="AC2154" i="26"/>
  <c r="AC2455" i="26"/>
  <c r="AC2755" i="26"/>
  <c r="AC3051" i="26"/>
  <c r="AC3319" i="26"/>
  <c r="AC593" i="26"/>
  <c r="AC1397" i="26"/>
  <c r="AC1890" i="26"/>
  <c r="AC2224" i="26"/>
  <c r="AC2507" i="26"/>
  <c r="AC2806" i="26"/>
  <c r="AC3089" i="26"/>
  <c r="AC3322" i="26"/>
  <c r="AC3541" i="26"/>
  <c r="AC1195" i="26"/>
  <c r="AC1759" i="26"/>
  <c r="AC2104" i="26"/>
  <c r="AC3355" i="26"/>
  <c r="AC3515" i="26"/>
  <c r="AC1368" i="26"/>
  <c r="AC2181" i="26"/>
  <c r="AC2640" i="26"/>
  <c r="AC3017" i="26"/>
  <c r="AC3309" i="26"/>
  <c r="AC280" i="26"/>
  <c r="AC1741" i="26"/>
  <c r="AC2330" i="26"/>
  <c r="AC2727" i="26"/>
  <c r="AC3409" i="26"/>
  <c r="AC914" i="26"/>
  <c r="AC1973" i="26"/>
  <c r="AC2476" i="26"/>
  <c r="AC2874" i="26"/>
  <c r="AC3188" i="26"/>
  <c r="AC3508" i="26"/>
  <c r="AC2212" i="26"/>
  <c r="AC2610" i="26"/>
  <c r="AC2995" i="26"/>
  <c r="AC3288" i="26"/>
  <c r="AC343" i="26"/>
  <c r="AC1840" i="26"/>
  <c r="AC2394" i="26"/>
  <c r="AC2791" i="26"/>
  <c r="AC3130" i="26"/>
  <c r="AC3423" i="26"/>
  <c r="AC1161" i="26"/>
  <c r="AC2088" i="26"/>
  <c r="AC2576" i="26"/>
  <c r="AC2967" i="26"/>
  <c r="AC3263" i="26"/>
  <c r="AC177" i="26"/>
  <c r="AC1699" i="26"/>
  <c r="AC2316" i="26"/>
  <c r="AC2712" i="26"/>
  <c r="AC3335" i="26"/>
  <c r="AC1803" i="26"/>
  <c r="AC2759" i="26"/>
  <c r="AC3399" i="26"/>
  <c r="AC3299" i="26"/>
  <c r="AC1877" i="26"/>
  <c r="AC2810" i="26"/>
  <c r="AC3532" i="26"/>
  <c r="AC42" i="26"/>
  <c r="AC202" i="26"/>
  <c r="AC338" i="26"/>
  <c r="AC506" i="26"/>
  <c r="AC642" i="26"/>
  <c r="AC340" i="26"/>
  <c r="AC468" i="26"/>
  <c r="AC632" i="26"/>
  <c r="AC759" i="26"/>
  <c r="AC903" i="26"/>
  <c r="AC138" i="26"/>
  <c r="AC322" i="26"/>
  <c r="AC442" i="26"/>
  <c r="AC626" i="26"/>
  <c r="AC120" i="26"/>
  <c r="AC276" i="26"/>
  <c r="AC449" i="26"/>
  <c r="AC587" i="26"/>
  <c r="AC743" i="26"/>
  <c r="AC887" i="26"/>
  <c r="AC999" i="26"/>
  <c r="AC1127" i="26"/>
  <c r="AC1231" i="26"/>
  <c r="AC1359" i="26"/>
  <c r="AC53" i="26"/>
  <c r="AC179" i="26"/>
  <c r="AC345" i="26"/>
  <c r="AC481" i="26"/>
  <c r="AC648" i="26"/>
  <c r="AC800" i="26"/>
  <c r="AC909" i="26"/>
  <c r="AC1056" i="26"/>
  <c r="AC1174" i="26"/>
  <c r="AC1321" i="26"/>
  <c r="AC1465" i="26"/>
  <c r="AC1569" i="26"/>
  <c r="AC1697" i="26"/>
  <c r="AC1793" i="26"/>
  <c r="AC1921" i="26"/>
  <c r="AC2049" i="26"/>
  <c r="AC2153" i="26"/>
  <c r="AC2281" i="26"/>
  <c r="AC2377" i="26"/>
  <c r="AC2505" i="26"/>
  <c r="AC2633" i="26"/>
  <c r="AC2737" i="26"/>
  <c r="AC2865" i="26"/>
  <c r="AC2961" i="26"/>
  <c r="AC155" i="26"/>
  <c r="AC347" i="26"/>
  <c r="AC501" i="26"/>
  <c r="AC692" i="26"/>
  <c r="AC828" i="26"/>
  <c r="AC995" i="26"/>
  <c r="AC1162" i="26"/>
  <c r="AC1288" i="26"/>
  <c r="AC1454" i="26"/>
  <c r="AC1573" i="26"/>
  <c r="AC1719" i="26"/>
  <c r="AC1866" i="26"/>
  <c r="AC1975" i="26"/>
  <c r="AC2122" i="26"/>
  <c r="AC2240" i="26"/>
  <c r="AC2387" i="26"/>
  <c r="AC2533" i="26"/>
  <c r="AC2643" i="26"/>
  <c r="AC2789" i="26"/>
  <c r="AC2908" i="26"/>
  <c r="AC3046" i="26"/>
  <c r="AC3174" i="26"/>
  <c r="AC3278" i="26"/>
  <c r="AC3406" i="26"/>
  <c r="AC3502" i="26"/>
  <c r="AC144" i="26"/>
  <c r="AC336" i="26"/>
  <c r="AC491" i="26"/>
  <c r="AC683" i="26"/>
  <c r="AC808" i="26"/>
  <c r="AC976" i="26"/>
  <c r="AC235" i="26"/>
  <c r="AC441" i="26"/>
  <c r="AC696" i="26"/>
  <c r="AC848" i="26"/>
  <c r="AC1035" i="26"/>
  <c r="AC1168" i="26"/>
  <c r="AC1310" i="26"/>
  <c r="AC1475" i="26"/>
  <c r="AC1589" i="26"/>
  <c r="AC1704" i="26"/>
  <c r="AC141" i="26"/>
  <c r="AC332" i="26"/>
  <c r="AC508" i="26"/>
  <c r="AC725" i="26"/>
  <c r="AC877" i="26"/>
  <c r="AC1038" i="26"/>
  <c r="AC1192" i="26"/>
  <c r="AC1336" i="26"/>
  <c r="AC1466" i="26"/>
  <c r="AC1612" i="26"/>
  <c r="AC1726" i="26"/>
  <c r="AC1852" i="26"/>
  <c r="AC1988" i="26"/>
  <c r="AC2114" i="26"/>
  <c r="AC163" i="26"/>
  <c r="AC462" i="26"/>
  <c r="AC691" i="26"/>
  <c r="AC915" i="26"/>
  <c r="AC1149" i="26"/>
  <c r="AC1325" i="26"/>
  <c r="AC1493" i="26"/>
  <c r="AC164" i="26"/>
  <c r="AC421" i="26"/>
  <c r="AC654" i="26"/>
  <c r="AC916" i="26"/>
  <c r="AC1104" i="26"/>
  <c r="AC1294" i="26"/>
  <c r="AC1494" i="26"/>
  <c r="AC103" i="26"/>
  <c r="AC318" i="26"/>
  <c r="AC572" i="26"/>
  <c r="AC771" i="26"/>
  <c r="AC957" i="26"/>
  <c r="AC1153" i="26"/>
  <c r="AC1314" i="26"/>
  <c r="AC1469" i="26"/>
  <c r="AC195" i="26"/>
  <c r="AC531" i="26"/>
  <c r="AC846" i="26"/>
  <c r="AC1173" i="26"/>
  <c r="AC1427" i="26"/>
  <c r="AC1623" i="26"/>
  <c r="AC1786" i="26"/>
  <c r="AC1906" i="26"/>
  <c r="AC2024" i="26"/>
  <c r="AC2165" i="26"/>
  <c r="AC2270" i="26"/>
  <c r="AC2374" i="26"/>
  <c r="AC2500" i="26"/>
  <c r="AC2604" i="26"/>
  <c r="AC2709" i="26"/>
  <c r="AC2834" i="26"/>
  <c r="AC2939" i="26"/>
  <c r="AC3036" i="26"/>
  <c r="AC3146" i="26"/>
  <c r="AC3237" i="26"/>
  <c r="AC3329" i="26"/>
  <c r="AC3439" i="26"/>
  <c r="AC3530" i="26"/>
  <c r="AC128" i="26"/>
  <c r="AC533" i="26"/>
  <c r="AC875" i="26"/>
  <c r="AC1148" i="26"/>
  <c r="AC1458" i="26"/>
  <c r="AC1638" i="26"/>
  <c r="AC1918" i="26"/>
  <c r="AC2037" i="26"/>
  <c r="AC2156" i="26"/>
  <c r="AC2282" i="26"/>
  <c r="AC2386" i="26"/>
  <c r="AC2501" i="26"/>
  <c r="AC2627" i="26"/>
  <c r="AC2731" i="26"/>
  <c r="AC2836" i="26"/>
  <c r="AC2960" i="26"/>
  <c r="AC3056" i="26"/>
  <c r="AC3156" i="26"/>
  <c r="AC3266" i="26"/>
  <c r="AC3357" i="26"/>
  <c r="AC3449" i="26"/>
  <c r="AC67" i="26"/>
  <c r="AC403" i="26"/>
  <c r="AC737" i="26"/>
  <c r="AC1100" i="26"/>
  <c r="AC1380" i="26"/>
  <c r="AC1597" i="26"/>
  <c r="AC1764" i="26"/>
  <c r="AC1885" i="26"/>
  <c r="AC2004" i="26"/>
  <c r="AC2147" i="26"/>
  <c r="AC2252" i="26"/>
  <c r="AC2356" i="26"/>
  <c r="AC2482" i="26"/>
  <c r="AC2607" i="26"/>
  <c r="AC2711" i="26"/>
  <c r="AC2837" i="26"/>
  <c r="AC76" i="26"/>
  <c r="AC624" i="26"/>
  <c r="AC1171" i="26"/>
  <c r="AC1560" i="26"/>
  <c r="AC1784" i="26"/>
  <c r="AC2016" i="26"/>
  <c r="AC2200" i="26"/>
  <c r="AC2367" i="26"/>
  <c r="AC2562" i="26"/>
  <c r="AC2728" i="26"/>
  <c r="AC2895" i="26"/>
  <c r="AC3059" i="26"/>
  <c r="AC3180" i="26"/>
  <c r="AC3304" i="26"/>
  <c r="AC3450" i="26"/>
  <c r="AC137" i="26"/>
  <c r="AC686" i="26"/>
  <c r="AC1219" i="26"/>
  <c r="AC1592" i="26"/>
  <c r="AC1806" i="26"/>
  <c r="AC2035" i="26"/>
  <c r="AC2216" i="26"/>
  <c r="AC2383" i="26"/>
  <c r="AC2599" i="26"/>
  <c r="AC2766" i="26"/>
  <c r="AC2932" i="26"/>
  <c r="AC3085" i="26"/>
  <c r="AC3207" i="26"/>
  <c r="AC3328" i="26"/>
  <c r="AC3474" i="26"/>
  <c r="AC308" i="26"/>
  <c r="AC833" i="26"/>
  <c r="AC1345" i="26"/>
  <c r="AC1660" i="26"/>
  <c r="AC1867" i="26"/>
  <c r="AC2095" i="26"/>
  <c r="AC2269" i="26"/>
  <c r="AC2436" i="26"/>
  <c r="AC2651" i="26"/>
  <c r="AC2819" i="26"/>
  <c r="AC2975" i="26"/>
  <c r="AC3123" i="26"/>
  <c r="AC3258" i="26"/>
  <c r="AC3379" i="26"/>
  <c r="AC3514" i="26"/>
  <c r="AC480" i="26"/>
  <c r="AC981" i="26"/>
  <c r="AC1393" i="26"/>
  <c r="AC1711" i="26"/>
  <c r="AC1926" i="26"/>
  <c r="AC2205" i="26"/>
  <c r="AC2504" i="26"/>
  <c r="AC2802" i="26"/>
  <c r="AC3063" i="26"/>
  <c r="AC3296" i="26"/>
  <c r="AC841" i="26"/>
  <c r="AC1575" i="26"/>
  <c r="AC1949" i="26"/>
  <c r="AC2275" i="26"/>
  <c r="AC2589" i="26"/>
  <c r="AC2891" i="26"/>
  <c r="AC3103" i="26"/>
  <c r="AC3333" i="26"/>
  <c r="AC113" i="26"/>
  <c r="AC802" i="26"/>
  <c r="AC1554" i="26"/>
  <c r="AC1933" i="26"/>
  <c r="AC99" i="26"/>
  <c r="AC2079" i="26"/>
  <c r="AC2422" i="26"/>
  <c r="AC2718" i="26"/>
  <c r="AC3026" i="26"/>
  <c r="AC487" i="26"/>
  <c r="AC1316" i="26"/>
  <c r="AC1815" i="26"/>
  <c r="AC2191" i="26"/>
  <c r="AC2475" i="26"/>
  <c r="AC2770" i="26"/>
  <c r="AC3066" i="26"/>
  <c r="AC3297" i="26"/>
  <c r="AC3516" i="26"/>
  <c r="AC1033" i="26"/>
  <c r="AC1714" i="26"/>
  <c r="AC2066" i="26"/>
  <c r="AC3332" i="26"/>
  <c r="AC3501" i="26"/>
  <c r="AC1209" i="26"/>
  <c r="AC2107" i="26"/>
  <c r="AC2546" i="26"/>
  <c r="AC2983" i="26"/>
  <c r="AC3276" i="26"/>
  <c r="AC69" i="26"/>
  <c r="AC1648" i="26"/>
  <c r="AC2294" i="26"/>
  <c r="AC2692" i="26"/>
  <c r="AC3053" i="26"/>
  <c r="AC720" i="26"/>
  <c r="AC1899" i="26"/>
  <c r="AC2430" i="26"/>
  <c r="AC2828" i="26"/>
  <c r="AC3153" i="26"/>
  <c r="AC3445" i="26"/>
  <c r="AC1285" i="26"/>
  <c r="AC2142" i="26"/>
  <c r="AC2559" i="26"/>
  <c r="AC2956" i="26"/>
  <c r="AC134" i="26"/>
  <c r="AC1676" i="26"/>
  <c r="AC2348" i="26"/>
  <c r="AC2746" i="26"/>
  <c r="AC3095" i="26"/>
  <c r="AC1003" i="26"/>
  <c r="AC2010" i="26"/>
  <c r="AC2494" i="26"/>
  <c r="AC3227" i="26"/>
  <c r="AC3520" i="26"/>
  <c r="AC2276" i="26"/>
  <c r="AC3168" i="26"/>
  <c r="AC2675" i="26"/>
  <c r="AC3264" i="26"/>
  <c r="AC3336" i="26"/>
  <c r="AC183" i="26"/>
  <c r="AC3116" i="26"/>
  <c r="AC148" i="26"/>
  <c r="AC26" i="26"/>
  <c r="AC146" i="26"/>
  <c r="AC330" i="26"/>
  <c r="AC498" i="26"/>
  <c r="AC634" i="26"/>
  <c r="AC129" i="26"/>
  <c r="AC294" i="26"/>
  <c r="AC459" i="26"/>
  <c r="AC623" i="26"/>
  <c r="AC751" i="26"/>
  <c r="AC895" i="26"/>
  <c r="AC1007" i="26"/>
  <c r="AC1135" i="26"/>
  <c r="AC1263" i="26"/>
  <c r="AC1367" i="26"/>
  <c r="AC63" i="26"/>
  <c r="AC189" i="26"/>
  <c r="AC356" i="26"/>
  <c r="AC524" i="26"/>
  <c r="AC659" i="26"/>
  <c r="AC809" i="26"/>
  <c r="AC928" i="26"/>
  <c r="AC1074" i="26"/>
  <c r="AC1220" i="26"/>
  <c r="AC1330" i="26"/>
  <c r="AC1473" i="26"/>
  <c r="AC1577" i="26"/>
  <c r="AC1705" i="26"/>
  <c r="AC1833" i="26"/>
  <c r="AC1929" i="26"/>
  <c r="AC2057" i="26"/>
  <c r="AC2161" i="26"/>
  <c r="AC2289" i="26"/>
  <c r="AC2417" i="26"/>
  <c r="AC2513" i="26"/>
  <c r="AC2641" i="26"/>
  <c r="AC2745" i="26"/>
  <c r="AC2873" i="26"/>
  <c r="AC24" i="26"/>
  <c r="AC180" i="26"/>
  <c r="AC371" i="26"/>
  <c r="AC515" i="26"/>
  <c r="AC702" i="26"/>
  <c r="AC869" i="26"/>
  <c r="AC1005" i="26"/>
  <c r="AC1172" i="26"/>
  <c r="AC1298" i="26"/>
  <c r="AC1463" i="26"/>
  <c r="AC1610" i="26"/>
  <c r="AC1728" i="26"/>
  <c r="AC1875" i="26"/>
  <c r="AC1984" i="26"/>
  <c r="AC2131" i="26"/>
  <c r="AC2277" i="26"/>
  <c r="AC2396" i="26"/>
  <c r="AC2542" i="26"/>
  <c r="AC2661" i="26"/>
  <c r="AC2807" i="26"/>
  <c r="AC2954" i="26"/>
  <c r="AC3054" i="26"/>
  <c r="AC3182" i="26"/>
  <c r="AC3286" i="26"/>
  <c r="AC3414" i="26"/>
  <c r="AC3542" i="26"/>
  <c r="AC156" i="26"/>
  <c r="AC348" i="26"/>
  <c r="AC503" i="26"/>
  <c r="AC693" i="26"/>
  <c r="AC860" i="26"/>
  <c r="AC986" i="26"/>
  <c r="AC249" i="26"/>
  <c r="AC457" i="26"/>
  <c r="AC709" i="26"/>
  <c r="AC862" i="26"/>
  <c r="AC1049" i="26"/>
  <c r="AC1190" i="26"/>
  <c r="AC1485" i="26"/>
  <c r="AC1599" i="26"/>
  <c r="AC1725" i="26"/>
  <c r="AC159" i="26"/>
  <c r="AC350" i="26"/>
  <c r="AC521" i="26"/>
  <c r="AC739" i="26"/>
  <c r="AC893" i="26"/>
  <c r="AC1050" i="26"/>
  <c r="AC1205" i="26"/>
  <c r="AC1347" i="26"/>
  <c r="AC1476" i="26"/>
  <c r="AC1622" i="26"/>
  <c r="AC1736" i="26"/>
  <c r="AC1862" i="26"/>
  <c r="AC2008" i="26"/>
  <c r="AC2124" i="26"/>
  <c r="AC483" i="26"/>
  <c r="AC730" i="26"/>
  <c r="AC936" i="26"/>
  <c r="AC1164" i="26"/>
  <c r="AC1341" i="26"/>
  <c r="AC1522" i="26"/>
  <c r="AC185" i="26"/>
  <c r="AC438" i="26"/>
  <c r="AC675" i="26"/>
  <c r="AC938" i="26"/>
  <c r="AC1117" i="26"/>
  <c r="AC1309" i="26"/>
  <c r="AC1510" i="26"/>
  <c r="AC127" i="26"/>
  <c r="AC339" i="26"/>
  <c r="AC592" i="26"/>
  <c r="AC789" i="26"/>
  <c r="AC978" i="26"/>
  <c r="AC1170" i="26"/>
  <c r="AC1328" i="26"/>
  <c r="AC1483" i="26"/>
  <c r="AC223" i="26"/>
  <c r="AC560" i="26"/>
  <c r="AC874" i="26"/>
  <c r="AC1196" i="26"/>
  <c r="AC1450" i="26"/>
  <c r="AC1636" i="26"/>
  <c r="AC1797" i="26"/>
  <c r="AC1917" i="26"/>
  <c r="AC2036" i="26"/>
  <c r="AC2175" i="26"/>
  <c r="AC2280" i="26"/>
  <c r="AC2384" i="26"/>
  <c r="AC2510" i="26"/>
  <c r="AC2614" i="26"/>
  <c r="AC2719" i="26"/>
  <c r="AC2845" i="26"/>
  <c r="AC2949" i="26"/>
  <c r="AC3045" i="26"/>
  <c r="AC3155" i="26"/>
  <c r="AC3247" i="26"/>
  <c r="AC3338" i="26"/>
  <c r="AC3448" i="26"/>
  <c r="AC3539" i="26"/>
  <c r="AC160" i="26"/>
  <c r="AC564" i="26"/>
  <c r="AC908" i="26"/>
  <c r="AC1176" i="26"/>
  <c r="AC1477" i="26"/>
  <c r="AC1651" i="26"/>
  <c r="AC1787" i="26"/>
  <c r="AC1931" i="26"/>
  <c r="AC2050" i="26"/>
  <c r="AC2166" i="26"/>
  <c r="AC2292" i="26"/>
  <c r="AC2397" i="26"/>
  <c r="AC2637" i="26"/>
  <c r="AC2741" i="26"/>
  <c r="AC2846" i="26"/>
  <c r="AC2971" i="26"/>
  <c r="AC3065" i="26"/>
  <c r="AC3165" i="26"/>
  <c r="AC3275" i="26"/>
  <c r="AC3367" i="26"/>
  <c r="AC3458" i="26"/>
  <c r="AC94" i="26"/>
  <c r="AC435" i="26"/>
  <c r="AC795" i="26"/>
  <c r="AC1126" i="26"/>
  <c r="AC1410" i="26"/>
  <c r="AC1613" i="26"/>
  <c r="AC1776" i="26"/>
  <c r="AC2015" i="26"/>
  <c r="AC2157" i="26"/>
  <c r="AC2262" i="26"/>
  <c r="AC2366" i="26"/>
  <c r="AC2492" i="26"/>
  <c r="AC2722" i="26"/>
  <c r="AC2847" i="26"/>
  <c r="AC685" i="26"/>
  <c r="AC2034" i="26"/>
  <c r="AC3194" i="26"/>
  <c r="AC2613" i="26"/>
  <c r="AC2988" i="26"/>
  <c r="AC1604" i="26"/>
  <c r="AC1446" i="26"/>
  <c r="AC210" i="26"/>
  <c r="AC514" i="26"/>
  <c r="AC175" i="26"/>
  <c r="AC477" i="26"/>
  <c r="AC799" i="26"/>
  <c r="AC1047" i="26"/>
  <c r="AC1199" i="26"/>
  <c r="AC1415" i="26"/>
  <c r="AC158" i="26"/>
  <c r="AC429" i="26"/>
  <c r="AC670" i="26"/>
  <c r="AC882" i="26"/>
  <c r="AC1092" i="26"/>
  <c r="AC1302" i="26"/>
  <c r="AC1505" i="26"/>
  <c r="AC1713" i="26"/>
  <c r="AC1865" i="26"/>
  <c r="AC2081" i="26"/>
  <c r="AC2233" i="26"/>
  <c r="AC2441" i="26"/>
  <c r="AC2657" i="26"/>
  <c r="AC2809" i="26"/>
  <c r="AC48" i="26"/>
  <c r="AC287" i="26"/>
  <c r="AC598" i="26"/>
  <c r="AC880" i="26"/>
  <c r="AC1089" i="26"/>
  <c r="AC1361" i="26"/>
  <c r="AC1546" i="26"/>
  <c r="AC1792" i="26"/>
  <c r="AC2030" i="26"/>
  <c r="AC2204" i="26"/>
  <c r="AC2451" i="26"/>
  <c r="AC2624" i="26"/>
  <c r="AC2862" i="26"/>
  <c r="AC3062" i="26"/>
  <c r="AC3246" i="26"/>
  <c r="AC3430" i="26"/>
  <c r="AC121" i="26"/>
  <c r="AC396" i="26"/>
  <c r="AC704" i="26"/>
  <c r="AC902" i="26"/>
  <c r="AC297" i="26"/>
  <c r="AC601" i="26"/>
  <c r="AC947" i="26"/>
  <c r="AC1203" i="26"/>
  <c r="AC1406" i="26"/>
  <c r="AC1621" i="26"/>
  <c r="AC78" i="26"/>
  <c r="AC427" i="26"/>
  <c r="AC752" i="26"/>
  <c r="AC989" i="26"/>
  <c r="AC1241" i="26"/>
  <c r="AC1443" i="26"/>
  <c r="AC1653" i="26"/>
  <c r="AC1894" i="26"/>
  <c r="AC2051" i="26"/>
  <c r="AC291" i="26"/>
  <c r="AC653" i="26"/>
  <c r="AC1040" i="26"/>
  <c r="AC1355" i="26"/>
  <c r="AC39" i="26"/>
  <c r="AC484" i="26"/>
  <c r="AC825" i="26"/>
  <c r="AC1213" i="26"/>
  <c r="AC1523" i="26"/>
  <c r="AC255" i="26"/>
  <c r="AC637" i="26"/>
  <c r="AC921" i="26"/>
  <c r="AC1218" i="26"/>
  <c r="AC1524" i="26"/>
  <c r="AC361" i="26"/>
  <c r="AC996" i="26"/>
  <c r="AC1378" i="26"/>
  <c r="AC1707" i="26"/>
  <c r="AC1928" i="26"/>
  <c r="AC2108" i="26"/>
  <c r="AC2301" i="26"/>
  <c r="AC2458" i="26"/>
  <c r="AC2667" i="26"/>
  <c r="AC2855" i="26"/>
  <c r="AC3009" i="26"/>
  <c r="AC3173" i="26"/>
  <c r="AC3311" i="26"/>
  <c r="AC3475" i="26"/>
  <c r="AC260" i="26"/>
  <c r="AC701" i="26"/>
  <c r="AC1273" i="26"/>
  <c r="AC1608" i="26"/>
  <c r="AC1846" i="26"/>
  <c r="AC2062" i="26"/>
  <c r="AC2229" i="26"/>
  <c r="AC2418" i="26"/>
  <c r="AC2584" i="26"/>
  <c r="AC2794" i="26"/>
  <c r="AC2982" i="26"/>
  <c r="AC3129" i="26"/>
  <c r="AC3293" i="26"/>
  <c r="AC3431" i="26"/>
  <c r="AC197" i="26"/>
  <c r="AC885" i="26"/>
  <c r="AC1226" i="26"/>
  <c r="AC1668" i="26"/>
  <c r="AC1860" i="26"/>
  <c r="AC2075" i="26"/>
  <c r="AC2272" i="26"/>
  <c r="AC2429" i="26"/>
  <c r="AC2638" i="26"/>
  <c r="AC2795" i="26"/>
  <c r="AC409" i="26"/>
  <c r="AC1258" i="26"/>
  <c r="AC1724" i="26"/>
  <c r="AC2070" i="26"/>
  <c r="AC2331" i="26"/>
  <c r="AC2630" i="26"/>
  <c r="AC2957" i="26"/>
  <c r="AC3121" i="26"/>
  <c r="AC3363" i="26"/>
  <c r="AC33" i="26"/>
  <c r="AC979" i="26"/>
  <c r="AC1635" i="26"/>
  <c r="AC1940" i="26"/>
  <c r="AC2267" i="26"/>
  <c r="AC2517" i="26"/>
  <c r="AC2864" i="26"/>
  <c r="AC3108" i="26"/>
  <c r="AC3291" i="26"/>
  <c r="AC3511" i="26"/>
  <c r="AC741" i="26"/>
  <c r="AC1503" i="26"/>
  <c r="AC1944" i="26"/>
  <c r="AC2184" i="26"/>
  <c r="AC2535" i="26"/>
  <c r="AC2786" i="26"/>
  <c r="AC3050" i="26"/>
  <c r="AC3281" i="26"/>
  <c r="AC3464" i="26"/>
  <c r="AC644" i="26"/>
  <c r="AC1315" i="26"/>
  <c r="AC1814" i="26"/>
  <c r="AC2274" i="26"/>
  <c r="AC2703" i="26"/>
  <c r="AC3161" i="26"/>
  <c r="AC543" i="26"/>
  <c r="AC1755" i="26"/>
  <c r="AC2358" i="26"/>
  <c r="AC2788" i="26"/>
  <c r="AC3187" i="26"/>
  <c r="AC3480" i="26"/>
  <c r="AC1160" i="26"/>
  <c r="AC2007" i="26"/>
  <c r="AC1868" i="26"/>
  <c r="AC2519" i="26"/>
  <c r="AC2976" i="26"/>
  <c r="AC171" i="26"/>
  <c r="AC1547" i="26"/>
  <c r="AC2044" i="26"/>
  <c r="AC2571" i="26"/>
  <c r="AC2993" i="26"/>
  <c r="AC3418" i="26"/>
  <c r="AC1283" i="26"/>
  <c r="AC1912" i="26"/>
  <c r="AC3392" i="26"/>
  <c r="AC867" i="26"/>
  <c r="AC2379" i="26"/>
  <c r="AC3044" i="26"/>
  <c r="AC3435" i="26"/>
  <c r="AC1898" i="26"/>
  <c r="AC2592" i="26"/>
  <c r="AC3215" i="26"/>
  <c r="AC1082" i="26"/>
  <c r="AC2296" i="26"/>
  <c r="AC2994" i="26"/>
  <c r="AC3383" i="26"/>
  <c r="AC1760" i="26"/>
  <c r="AC2655" i="26"/>
  <c r="AC3154" i="26"/>
  <c r="AC958" i="26"/>
  <c r="AC2214" i="26"/>
  <c r="AC2925" i="26"/>
  <c r="AC3456" i="26"/>
  <c r="AC1781" i="26"/>
  <c r="AC2662" i="26"/>
  <c r="AC3131" i="26"/>
  <c r="AC813" i="26"/>
  <c r="AC2362" i="26"/>
  <c r="AC2968" i="26"/>
  <c r="AC2106" i="26"/>
  <c r="AC3240" i="26"/>
  <c r="AC3496" i="26"/>
  <c r="AC2979" i="26"/>
  <c r="AC218" i="26"/>
  <c r="AC184" i="26"/>
  <c r="AC815" i="26"/>
  <c r="AC1207" i="26"/>
  <c r="AC241" i="26"/>
  <c r="AC717" i="26"/>
  <c r="AC1129" i="26"/>
  <c r="AC1537" i="26"/>
  <c r="AC1905" i="26"/>
  <c r="AC2089" i="26"/>
  <c r="AC2297" i="26"/>
  <c r="AC2665" i="26"/>
  <c r="AC2817" i="26"/>
  <c r="AC60" i="26"/>
  <c r="AC382" i="26"/>
  <c r="AC609" i="26"/>
  <c r="AC890" i="26"/>
  <c r="AC1371" i="26"/>
  <c r="AC1619" i="26"/>
  <c r="AC1802" i="26"/>
  <c r="AC2039" i="26"/>
  <c r="AC2222" i="26"/>
  <c r="AC2460" i="26"/>
  <c r="AC2698" i="26"/>
  <c r="AC2880" i="26"/>
  <c r="AC3102" i="26"/>
  <c r="AC3254" i="26"/>
  <c r="AC169" i="26"/>
  <c r="AC444" i="26"/>
  <c r="AC714" i="26"/>
  <c r="AC954" i="26"/>
  <c r="AC316" i="26"/>
  <c r="AC722" i="26"/>
  <c r="AC960" i="26"/>
  <c r="AC1216" i="26"/>
  <c r="AC1418" i="26"/>
  <c r="AC1662" i="26"/>
  <c r="AC173" i="26"/>
  <c r="AC460" i="26"/>
  <c r="AC768" i="26"/>
  <c r="AC1002" i="26"/>
  <c r="AC1252" i="26"/>
  <c r="AC1517" i="26"/>
  <c r="AC1675" i="26"/>
  <c r="AC2092" i="26"/>
  <c r="AC309" i="26"/>
  <c r="AC748" i="26"/>
  <c r="AC1053" i="26"/>
  <c r="AC1373" i="26"/>
  <c r="AC80" i="26"/>
  <c r="AC547" i="26"/>
  <c r="AC956" i="26"/>
  <c r="AC1232" i="26"/>
  <c r="AC1535" i="26"/>
  <c r="AC273" i="26"/>
  <c r="AC655" i="26"/>
  <c r="AC1027" i="26"/>
  <c r="AC1233" i="26"/>
  <c r="AC1540" i="26"/>
  <c r="AC456" i="26"/>
  <c r="AC1018" i="26"/>
  <c r="AC1474" i="26"/>
  <c r="AC1720" i="26"/>
  <c r="AC1941" i="26"/>
  <c r="AC2119" i="26"/>
  <c r="AC2520" i="26"/>
  <c r="AC2677" i="26"/>
  <c r="AC2866" i="26"/>
  <c r="AC3018" i="26"/>
  <c r="AC3183" i="26"/>
  <c r="AC3365" i="26"/>
  <c r="AC3484" i="26"/>
  <c r="AC296" i="26"/>
  <c r="AC816" i="26"/>
  <c r="AC1304" i="26"/>
  <c r="AC1667" i="26"/>
  <c r="AC1859" i="26"/>
  <c r="AC2074" i="26"/>
  <c r="AC2239" i="26"/>
  <c r="AC2459" i="26"/>
  <c r="AC2647" i="26"/>
  <c r="AC2804" i="26"/>
  <c r="AC2992" i="26"/>
  <c r="AC3138" i="26"/>
  <c r="AC3303" i="26"/>
  <c r="AC3485" i="26"/>
  <c r="AC233" i="26"/>
  <c r="AC910" i="26"/>
  <c r="AC1332" i="26"/>
  <c r="AC1680" i="26"/>
  <c r="AC1908" i="26"/>
  <c r="AC2283" i="26"/>
  <c r="AC2439" i="26"/>
  <c r="AC2669" i="26"/>
  <c r="AC2858" i="26"/>
  <c r="AC453" i="26"/>
  <c r="AC1291" i="26"/>
  <c r="AC1743" i="26"/>
  <c r="AC2091" i="26"/>
  <c r="AC2434" i="26"/>
  <c r="AC2645" i="26"/>
  <c r="AC2973" i="26"/>
  <c r="AC3157" i="26"/>
  <c r="AC3377" i="26"/>
  <c r="AC245" i="26"/>
  <c r="AC1014" i="26"/>
  <c r="AC1659" i="26"/>
  <c r="AC1960" i="26"/>
  <c r="AC2318" i="26"/>
  <c r="AC538" i="26"/>
  <c r="AC532" i="26"/>
  <c r="AC1055" i="26"/>
  <c r="AC1423" i="26"/>
  <c r="AC439" i="26"/>
  <c r="AC891" i="26"/>
  <c r="AC1339" i="26"/>
  <c r="AC1721" i="26"/>
  <c r="AC2449" i="26"/>
  <c r="AC1099" i="26"/>
  <c r="AC3470" i="26"/>
  <c r="AC1904" i="26"/>
  <c r="AC2333" i="26"/>
  <c r="AC250" i="26"/>
  <c r="AC554" i="26"/>
  <c r="AC230" i="26"/>
  <c r="AC541" i="26"/>
  <c r="AC823" i="26"/>
  <c r="AC1063" i="26"/>
  <c r="AC1271" i="26"/>
  <c r="AC1431" i="26"/>
  <c r="AC252" i="26"/>
  <c r="AC461" i="26"/>
  <c r="AC726" i="26"/>
  <c r="AC964" i="26"/>
  <c r="AC1147" i="26"/>
  <c r="AC1385" i="26"/>
  <c r="AC1545" i="26"/>
  <c r="AC1761" i="26"/>
  <c r="AC1937" i="26"/>
  <c r="AC2121" i="26"/>
  <c r="AC2305" i="26"/>
  <c r="AC2489" i="26"/>
  <c r="AC2673" i="26"/>
  <c r="AC2881" i="26"/>
  <c r="AC83" i="26"/>
  <c r="AC393" i="26"/>
  <c r="AC621" i="26"/>
  <c r="AC410" i="26"/>
  <c r="AC349" i="26"/>
  <c r="AC711" i="26"/>
  <c r="AC1143" i="26"/>
  <c r="AC1439" i="26"/>
  <c r="AC377" i="26"/>
  <c r="AC745" i="26"/>
  <c r="AC1083" i="26"/>
  <c r="AC1412" i="26"/>
  <c r="AC1769" i="26"/>
  <c r="AC2001" i="26"/>
  <c r="AC2353" i="26"/>
  <c r="AC2593" i="26"/>
  <c r="AC2937" i="26"/>
  <c r="AC406" i="26"/>
  <c r="AC786" i="26"/>
  <c r="AC1182" i="26"/>
  <c r="AC1472" i="26"/>
  <c r="AC1738" i="26"/>
  <c r="AC2048" i="26"/>
  <c r="AC2314" i="26"/>
  <c r="AC2570" i="26"/>
  <c r="AC2890" i="26"/>
  <c r="AC3126" i="26"/>
  <c r="AC3358" i="26"/>
  <c r="AC228" i="26"/>
  <c r="AC574" i="26"/>
  <c r="AC881" i="26"/>
  <c r="AC379" i="26"/>
  <c r="AC805" i="26"/>
  <c r="AC1107" i="26"/>
  <c r="AC1495" i="26"/>
  <c r="AC1757" i="26"/>
  <c r="AC364" i="26"/>
  <c r="AC780" i="26"/>
  <c r="AC1108" i="26"/>
  <c r="AC1419" i="26"/>
  <c r="AC1706" i="26"/>
  <c r="AC1946" i="26"/>
  <c r="AC118" i="26"/>
  <c r="AC769" i="26"/>
  <c r="AC1197" i="26"/>
  <c r="AC1576" i="26"/>
  <c r="AC591" i="26"/>
  <c r="AC1008" i="26"/>
  <c r="AC1422" i="26"/>
  <c r="AC401" i="26"/>
  <c r="AC811" i="26"/>
  <c r="AC1186" i="26"/>
  <c r="AC1552" i="26"/>
  <c r="AC728" i="26"/>
  <c r="AC1272" i="26"/>
  <c r="AC1733" i="26"/>
  <c r="AC2000" i="26"/>
  <c r="AC2248" i="26"/>
  <c r="AC2531" i="26"/>
  <c r="AC2760" i="26"/>
  <c r="AC2970" i="26"/>
  <c r="AC3192" i="26"/>
  <c r="AC3393" i="26"/>
  <c r="AC23" i="26"/>
  <c r="AC940" i="26"/>
  <c r="AC1501" i="26"/>
  <c r="AC1823" i="26"/>
  <c r="AC2109" i="26"/>
  <c r="AC2324" i="26"/>
  <c r="AC2564" i="26"/>
  <c r="AC2814" i="26"/>
  <c r="AC3037" i="26"/>
  <c r="AC3229" i="26"/>
  <c r="AC3495" i="26"/>
  <c r="AC499" i="26"/>
  <c r="AC1177" i="26"/>
  <c r="AC1696" i="26"/>
  <c r="AC1968" i="26"/>
  <c r="AC2189" i="26"/>
  <c r="AC2419" i="26"/>
  <c r="AC2691" i="26"/>
  <c r="AC2920" i="26"/>
  <c r="AC1011" i="26"/>
  <c r="AC1879" i="26"/>
  <c r="AC2247" i="26"/>
  <c r="AC2612" i="26"/>
  <c r="AC2997" i="26"/>
  <c r="AC3267" i="26"/>
  <c r="AC3509" i="26"/>
  <c r="AC1297" i="26"/>
  <c r="AC1886" i="26"/>
  <c r="AC2253" i="26"/>
  <c r="AC2650" i="26"/>
  <c r="AC2987" i="26"/>
  <c r="AC3181" i="26"/>
  <c r="AC3415" i="26"/>
  <c r="AC643" i="26"/>
  <c r="AC1462" i="26"/>
  <c r="AC1962" i="26"/>
  <c r="AC2306" i="26"/>
  <c r="AC2582" i="26"/>
  <c r="AC2933" i="26"/>
  <c r="AC3185" i="26"/>
  <c r="AC3441" i="26"/>
  <c r="AC582" i="26"/>
  <c r="AC1541" i="26"/>
  <c r="AC1851" i="26"/>
  <c r="AC2404" i="26"/>
  <c r="AC2964" i="26"/>
  <c r="AC112" i="26"/>
  <c r="AC1669" i="26"/>
  <c r="AC2206" i="26"/>
  <c r="AC2821" i="26"/>
  <c r="AC3235" i="26"/>
  <c r="AC341" i="26"/>
  <c r="AC1690" i="26"/>
  <c r="AC104" i="26"/>
  <c r="AC2320" i="26"/>
  <c r="AC2903" i="26"/>
  <c r="AC214" i="26"/>
  <c r="AC1645" i="26"/>
  <c r="AC2290" i="26"/>
  <c r="AC2839" i="26"/>
  <c r="AC3249" i="26"/>
  <c r="AC757" i="26"/>
  <c r="AC1876" i="26"/>
  <c r="AC3417" i="26"/>
  <c r="AC1718" i="26"/>
  <c r="AC2676" i="26"/>
  <c r="AC3178" i="26"/>
  <c r="AC1242" i="26"/>
  <c r="AC2509" i="26"/>
  <c r="AC3179" i="26"/>
  <c r="AC1243" i="26"/>
  <c r="AC2514" i="26"/>
  <c r="AC3090" i="26"/>
  <c r="AC557" i="26"/>
  <c r="AC2347" i="26"/>
  <c r="AC3058" i="26"/>
  <c r="AC773" i="26"/>
  <c r="AC2444" i="26"/>
  <c r="AC3032" i="26"/>
  <c r="AC389" i="26"/>
  <c r="AC2310" i="26"/>
  <c r="AC3033" i="26"/>
  <c r="AC405" i="26"/>
  <c r="AC2163" i="26"/>
  <c r="AC3042" i="26"/>
  <c r="AC2327" i="26"/>
  <c r="AC2758" i="26"/>
  <c r="AC2278" i="26"/>
  <c r="AC1506" i="26"/>
  <c r="AC2947" i="26"/>
  <c r="AC2726" i="26"/>
  <c r="AC3460" i="26"/>
  <c r="AC58" i="26"/>
  <c r="AC586" i="26"/>
  <c r="AC919" i="26"/>
  <c r="AC85" i="26"/>
  <c r="AC827" i="26"/>
  <c r="AC1489" i="26"/>
  <c r="AC2129" i="26"/>
  <c r="AC2721" i="26"/>
  <c r="AC36" i="26"/>
  <c r="AC912" i="26"/>
  <c r="AC1527" i="26"/>
  <c r="AC2076" i="26"/>
  <c r="AC2707" i="26"/>
  <c r="AC3198" i="26"/>
  <c r="AC253" i="26"/>
  <c r="AC28" i="26"/>
  <c r="AC917" i="26"/>
  <c r="AC1516" i="26"/>
  <c r="AC475" i="26"/>
  <c r="AC1145" i="26"/>
  <c r="AC1768" i="26"/>
  <c r="AC333" i="26"/>
  <c r="AC1230" i="26"/>
  <c r="AC749" i="26"/>
  <c r="AC1551" i="26"/>
  <c r="AC884" i="26"/>
  <c r="AC52" i="26"/>
  <c r="AC1499" i="26"/>
  <c r="AC2343" i="26"/>
  <c r="AC2782" i="26"/>
  <c r="AC3256" i="26"/>
  <c r="AC327" i="26"/>
  <c r="AC1543" i="26"/>
  <c r="AC2133" i="26"/>
  <c r="AC2658" i="26"/>
  <c r="AC3092" i="26"/>
  <c r="AC3522" i="26"/>
  <c r="AC1433" i="26"/>
  <c r="AC2052" i="26"/>
  <c r="AC2534" i="26"/>
  <c r="AC1369" i="26"/>
  <c r="AC2317" i="26"/>
  <c r="AC3084" i="26"/>
  <c r="AC472" i="26"/>
  <c r="AC1923" i="26"/>
  <c r="AC2683" i="26"/>
  <c r="AC3243" i="26"/>
  <c r="AC1017" i="26"/>
  <c r="AC2371" i="26"/>
  <c r="AC3025" i="26"/>
  <c r="AC3477" i="26"/>
  <c r="AC1598" i="26"/>
  <c r="AC2568" i="26"/>
  <c r="AC436" i="26"/>
  <c r="AC2456" i="26"/>
  <c r="AC3381" i="26"/>
  <c r="AC1816" i="26"/>
  <c r="AC2550" i="26"/>
  <c r="AC706" i="26"/>
  <c r="AC2904" i="26"/>
  <c r="AC1364" i="26"/>
  <c r="AC3465" i="26"/>
  <c r="AC2775" i="26"/>
  <c r="AC1818" i="26"/>
  <c r="AC1557" i="26"/>
  <c r="AC3287" i="26"/>
  <c r="AC2477" i="26"/>
  <c r="AC1290" i="26"/>
  <c r="AC3191" i="26"/>
  <c r="AC2399" i="26"/>
  <c r="AC1163" i="26"/>
  <c r="AC448" i="26"/>
  <c r="AC2462" i="26"/>
  <c r="AC20" i="26"/>
  <c r="AC1287" i="26"/>
  <c r="AC2193" i="26"/>
  <c r="AC132" i="26"/>
  <c r="AC922" i="26"/>
  <c r="AC1536" i="26"/>
  <c r="AC2149" i="26"/>
  <c r="AC2716" i="26"/>
  <c r="AC3214" i="26"/>
  <c r="AC264" i="26"/>
  <c r="AC91" i="26"/>
  <c r="AC931" i="26"/>
  <c r="AC1526" i="26"/>
  <c r="AC589" i="26"/>
  <c r="AC1228" i="26"/>
  <c r="AC1799" i="26"/>
  <c r="AC353" i="26"/>
  <c r="AC1292" i="26"/>
  <c r="AC247" i="26"/>
  <c r="AC1166" i="26"/>
  <c r="AC464" i="26"/>
  <c r="AC1344" i="26"/>
  <c r="AC966" i="26"/>
  <c r="AC1834" i="26"/>
  <c r="AC2096" i="26"/>
  <c r="AC2792" i="26"/>
  <c r="AC3265" i="26"/>
  <c r="AC365" i="26"/>
  <c r="AC1566" i="26"/>
  <c r="AC2198" i="26"/>
  <c r="AC2668" i="26"/>
  <c r="AC3120" i="26"/>
  <c r="AC3531" i="26"/>
  <c r="AC1459" i="26"/>
  <c r="AC2063" i="26"/>
  <c r="AC2544" i="26"/>
  <c r="AC517" i="26"/>
  <c r="AC1938" i="26"/>
  <c r="AC2779" i="26"/>
  <c r="AC3388" i="26"/>
  <c r="AC1417" i="26"/>
  <c r="AC2453" i="26"/>
  <c r="AC3024" i="26"/>
  <c r="AC1062" i="26"/>
  <c r="AC2020" i="26"/>
  <c r="AC2717" i="26"/>
  <c r="AC3295" i="26"/>
  <c r="AC1618" i="26"/>
  <c r="AC2602" i="26"/>
  <c r="AC1032" i="26"/>
  <c r="AC2493" i="26"/>
  <c r="AC3407" i="26"/>
  <c r="AC1854" i="26"/>
  <c r="AC2587" i="26"/>
  <c r="AC894" i="26"/>
  <c r="AC1927" i="26"/>
  <c r="AC2965" i="26"/>
  <c r="AC1445" i="26"/>
  <c r="AC3527" i="26"/>
  <c r="AC2811" i="26"/>
  <c r="AC2046" i="26"/>
  <c r="AC3444" i="26"/>
  <c r="AC2693" i="26"/>
  <c r="AC1671" i="26"/>
  <c r="AC3323" i="26"/>
  <c r="AC2572" i="26"/>
  <c r="AC1605" i="26"/>
  <c r="AC3298" i="26"/>
  <c r="AC2539" i="26"/>
  <c r="AC2941" i="26"/>
  <c r="AC2540" i="26"/>
  <c r="AC122" i="26"/>
  <c r="AC550" i="26"/>
  <c r="AC967" i="26"/>
  <c r="AC147" i="26"/>
  <c r="AC973" i="26"/>
  <c r="AC1617" i="26"/>
  <c r="AC1857" i="26"/>
  <c r="AC2529" i="26"/>
  <c r="AC584" i="26"/>
  <c r="AC1637" i="26"/>
  <c r="AC2158" i="26"/>
  <c r="AC2734" i="26"/>
  <c r="AC3318" i="26"/>
  <c r="AC360" i="26"/>
  <c r="AC107" i="26"/>
  <c r="AC972" i="26"/>
  <c r="AC1568" i="26"/>
  <c r="AC603" i="26"/>
  <c r="AC1264" i="26"/>
  <c r="AC1810" i="26"/>
  <c r="AC500" i="26"/>
  <c r="AC271" i="26"/>
  <c r="AC1246" i="26"/>
  <c r="AC485" i="26"/>
  <c r="AC1362" i="26"/>
  <c r="AC1581" i="26"/>
  <c r="AC2416" i="26"/>
  <c r="AC3091" i="26"/>
  <c r="AC391" i="26"/>
  <c r="AC1954" i="26"/>
  <c r="AC2678" i="26"/>
  <c r="AC1525" i="26"/>
  <c r="AC2325" i="26"/>
  <c r="AC830" i="26"/>
  <c r="AC2054" i="26"/>
  <c r="AC2830" i="26"/>
  <c r="AC3400" i="26"/>
  <c r="AC1532" i="26"/>
  <c r="AC2467" i="26"/>
  <c r="AC3035" i="26"/>
  <c r="AC3536" i="26"/>
  <c r="AC1730" i="26"/>
  <c r="AC2403" i="26"/>
  <c r="AC3061" i="26"/>
  <c r="AC46" i="26"/>
  <c r="AC1644" i="26"/>
  <c r="AC2671" i="26"/>
  <c r="AC3186" i="26"/>
  <c r="AC2023" i="26"/>
  <c r="AC2523" i="26"/>
  <c r="AC3432" i="26"/>
  <c r="AC2083" i="26"/>
  <c r="AC2620" i="26"/>
  <c r="AC984" i="26"/>
  <c r="AC1970" i="26"/>
  <c r="AC3125" i="26"/>
  <c r="AC1514" i="26"/>
  <c r="AC51" i="26"/>
  <c r="AC2860" i="26"/>
  <c r="AC2126" i="26"/>
  <c r="AC3472" i="26"/>
  <c r="AC2739" i="26"/>
  <c r="AC1839" i="26"/>
  <c r="AC3386" i="26"/>
  <c r="AC2611" i="26"/>
  <c r="AC1698" i="26"/>
  <c r="AC3325" i="26"/>
  <c r="AC2578" i="26"/>
  <c r="AC3008" i="26"/>
  <c r="AC3043" i="26"/>
  <c r="AC258" i="26"/>
  <c r="AC641" i="26"/>
  <c r="AC1303" i="26"/>
  <c r="AC575" i="26"/>
  <c r="AC1257" i="26"/>
  <c r="AC1977" i="26"/>
  <c r="AC2217" i="26"/>
  <c r="AC2801" i="26"/>
  <c r="AC713" i="26"/>
  <c r="AC1350" i="26"/>
  <c r="AC1902" i="26"/>
  <c r="AC2478" i="26"/>
  <c r="AC3030" i="26"/>
  <c r="AC37" i="26"/>
  <c r="AC777" i="26"/>
  <c r="AC583" i="26"/>
  <c r="AC1358" i="26"/>
  <c r="AC222" i="26"/>
  <c r="AC977" i="26"/>
  <c r="AC1559" i="26"/>
  <c r="AC2144" i="26"/>
  <c r="AC1021" i="26"/>
  <c r="AC292" i="26"/>
  <c r="AC1356" i="26"/>
  <c r="AC613" i="26"/>
  <c r="AC326" i="26"/>
  <c r="AC1595" i="26"/>
  <c r="AC2197" i="26"/>
  <c r="AC2636" i="26"/>
  <c r="AC3100" i="26"/>
  <c r="AC760" i="26"/>
  <c r="AC1253" i="26"/>
  <c r="AC1965" i="26"/>
  <c r="AC2480" i="26"/>
  <c r="AC2919" i="26"/>
  <c r="AC3202" i="26"/>
  <c r="AC161" i="26"/>
  <c r="AC1544" i="26"/>
  <c r="AC2099" i="26"/>
  <c r="AC2586" i="26"/>
  <c r="AC868" i="26"/>
  <c r="AC2111" i="26"/>
  <c r="AC2848" i="26"/>
  <c r="AC3473" i="26"/>
  <c r="AC1727" i="26"/>
  <c r="AC2485" i="26"/>
  <c r="AC3122" i="26"/>
  <c r="AC200" i="26"/>
  <c r="AC1791" i="26"/>
  <c r="AC2503" i="26"/>
  <c r="AC3075" i="26"/>
  <c r="AC151" i="26"/>
  <c r="AC1772" i="26"/>
  <c r="AC2736" i="26"/>
  <c r="AC1189" i="26"/>
  <c r="AC2654" i="26"/>
  <c r="AC3455" i="26"/>
  <c r="AC2125" i="26"/>
  <c r="AC2787" i="26"/>
  <c r="AC3197" i="26"/>
  <c r="AC2006" i="26"/>
  <c r="AC2603" i="26"/>
  <c r="AC3151" i="26"/>
  <c r="AC447" i="26"/>
  <c r="AC1578" i="26"/>
  <c r="AC2948" i="26"/>
  <c r="AC452" i="26"/>
  <c r="AC3080" i="26"/>
  <c r="AC510" i="26"/>
  <c r="AC2194" i="26"/>
  <c r="AC3507" i="26"/>
  <c r="AC2127" i="26"/>
  <c r="AC3544" i="26"/>
  <c r="AC2829" i="26"/>
  <c r="AC1995" i="26"/>
  <c r="AC3324" i="26"/>
  <c r="AC2757" i="26"/>
  <c r="AC1861" i="26"/>
  <c r="AC1034" i="26"/>
  <c r="AC3529" i="26"/>
  <c r="AC47" i="26"/>
  <c r="AC669" i="26"/>
  <c r="AC1335" i="26"/>
  <c r="AC628" i="26"/>
  <c r="AC1394" i="26"/>
  <c r="AC1985" i="26"/>
  <c r="AC2569" i="26"/>
  <c r="AC2889" i="26"/>
  <c r="AC723" i="26"/>
  <c r="AC1381" i="26"/>
  <c r="AC1948" i="26"/>
  <c r="AC2551" i="26"/>
  <c r="AC3110" i="26"/>
  <c r="AC49" i="26"/>
  <c r="AC787" i="26"/>
  <c r="AC738" i="26"/>
  <c r="AC1382" i="26"/>
  <c r="AC236" i="26"/>
  <c r="AC1085" i="26"/>
  <c r="AC1632" i="26"/>
  <c r="AC79" i="26"/>
  <c r="AC1069" i="26"/>
  <c r="AC355" i="26"/>
  <c r="AC971" i="26"/>
  <c r="AC165" i="26"/>
  <c r="AC1075" i="26"/>
  <c r="AC595" i="26"/>
  <c r="AC1678" i="26"/>
  <c r="AC2207" i="26"/>
  <c r="AC2687" i="26"/>
  <c r="AC3109" i="26"/>
  <c r="AC2448" i="26"/>
  <c r="AC1331" i="26"/>
  <c r="AC1979" i="26"/>
  <c r="AC2543" i="26"/>
  <c r="AC3001" i="26"/>
  <c r="AC3412" i="26"/>
  <c r="AC998" i="26"/>
  <c r="AC1919" i="26"/>
  <c r="AC2398" i="26"/>
  <c r="AC2878" i="26"/>
  <c r="AC1700" i="26"/>
  <c r="AC2499" i="26"/>
  <c r="AC3217" i="26"/>
  <c r="AC925" i="26"/>
  <c r="AC2130" i="26"/>
  <c r="AC2883" i="26"/>
  <c r="AC3389" i="26"/>
  <c r="AC1187" i="26"/>
  <c r="AC2171" i="26"/>
  <c r="AC2869" i="26"/>
  <c r="AC213" i="26"/>
  <c r="AC1794" i="26"/>
  <c r="AC2852" i="26"/>
  <c r="AC1270" i="26"/>
  <c r="AC2723" i="26"/>
  <c r="AC217" i="26"/>
  <c r="AC2160" i="26"/>
  <c r="AC2820" i="26"/>
  <c r="AC1158" i="26"/>
  <c r="AC2639" i="26"/>
  <c r="AC552" i="26"/>
  <c r="AC3282" i="26"/>
  <c r="AC3115" i="26"/>
  <c r="AC2380" i="26"/>
  <c r="AC3543" i="26"/>
  <c r="AC3021" i="26"/>
  <c r="AC3447" i="26"/>
  <c r="AC3483" i="26"/>
  <c r="AC3396" i="26"/>
  <c r="AC1951" i="26"/>
  <c r="AC3141" i="26"/>
  <c r="AC678" i="26"/>
  <c r="AC293" i="26"/>
  <c r="AC1403" i="26"/>
  <c r="AC2345" i="26"/>
  <c r="AC776" i="26"/>
  <c r="AC1692" i="26"/>
  <c r="AC2560" i="26"/>
  <c r="AC3350" i="26"/>
  <c r="AC281" i="26"/>
  <c r="AC1684" i="26"/>
  <c r="AC1372" i="26"/>
  <c r="AC590" i="26"/>
  <c r="AC463" i="26"/>
  <c r="AC732" i="26"/>
  <c r="AC1250" i="26"/>
  <c r="AC2447" i="26"/>
  <c r="AC3164" i="26"/>
  <c r="AC667" i="26"/>
  <c r="AC2312" i="26"/>
  <c r="AC3010" i="26"/>
  <c r="AC470" i="26"/>
  <c r="AC1955" i="26"/>
  <c r="AC2888" i="26"/>
  <c r="AC2598" i="26"/>
  <c r="AC3498" i="26"/>
  <c r="AC2183" i="26"/>
  <c r="AC3145" i="26"/>
  <c r="AC1828" i="26"/>
  <c r="AC2916" i="26"/>
  <c r="AC1269" i="26"/>
  <c r="AC3479" i="26"/>
  <c r="AC2756" i="26"/>
  <c r="AC2192" i="26"/>
  <c r="AC1603" i="26"/>
  <c r="AC1837" i="26"/>
  <c r="AC2463" i="26"/>
  <c r="AC2464" i="26"/>
  <c r="AC3057" i="26"/>
  <c r="AC3482" i="26"/>
  <c r="AC176" i="26"/>
  <c r="AC2090" i="26"/>
  <c r="AC3497" i="26"/>
  <c r="AC50" i="26"/>
  <c r="AC426" i="26"/>
  <c r="AC367" i="26"/>
  <c r="AC831" i="26"/>
  <c r="AC1159" i="26"/>
  <c r="AC73" i="26"/>
  <c r="AC388" i="26"/>
  <c r="AC818" i="26"/>
  <c r="AC1156" i="26"/>
  <c r="AC1481" i="26"/>
  <c r="AC1777" i="26"/>
  <c r="AC2065" i="26"/>
  <c r="AC2361" i="26"/>
  <c r="AC2705" i="26"/>
  <c r="AC2945" i="26"/>
  <c r="AC465" i="26"/>
  <c r="AC796" i="26"/>
  <c r="AC1194" i="26"/>
  <c r="AC1491" i="26"/>
  <c r="AC1783" i="26"/>
  <c r="AC2058" i="26"/>
  <c r="AC2323" i="26"/>
  <c r="AC2615" i="26"/>
  <c r="AC2963" i="26"/>
  <c r="AC3190" i="26"/>
  <c r="AC3422" i="26"/>
  <c r="AC240" i="26"/>
  <c r="AC588" i="26"/>
  <c r="AC892" i="26"/>
  <c r="AC411" i="26"/>
  <c r="AC821" i="26"/>
  <c r="AC1144" i="26"/>
  <c r="AC15" i="26"/>
  <c r="AC380" i="26"/>
  <c r="AC794" i="26"/>
  <c r="AC1133" i="26"/>
  <c r="AC1432" i="26"/>
  <c r="AC1758" i="26"/>
  <c r="AC2019" i="26"/>
  <c r="AC270" i="26"/>
  <c r="AC824" i="26"/>
  <c r="AC1212" i="26"/>
  <c r="AC17" i="26"/>
  <c r="AC612" i="26"/>
  <c r="AC1070" i="26"/>
  <c r="AC1437" i="26"/>
  <c r="AC423" i="26"/>
  <c r="AC826" i="26"/>
  <c r="AC1200" i="26"/>
  <c r="AC21" i="26"/>
  <c r="AC758" i="26"/>
  <c r="AC1301" i="26"/>
  <c r="AC1808" i="26"/>
  <c r="AC2072" i="26"/>
  <c r="AC2291" i="26"/>
  <c r="AC2541" i="26"/>
  <c r="AC2772" i="26"/>
  <c r="AC3000" i="26"/>
  <c r="AC3219" i="26"/>
  <c r="AC3402" i="26"/>
  <c r="AC54" i="26"/>
  <c r="AC968" i="26"/>
  <c r="AC1520" i="26"/>
  <c r="AC1835" i="26"/>
  <c r="AC2120" i="26"/>
  <c r="AC2334" i="26"/>
  <c r="AC2574" i="26"/>
  <c r="AC2877" i="26"/>
  <c r="AC3074" i="26"/>
  <c r="AC3284" i="26"/>
  <c r="AC3513" i="26"/>
  <c r="AC604" i="26"/>
  <c r="AC1206" i="26"/>
  <c r="AC1709" i="26"/>
  <c r="AC1980" i="26"/>
  <c r="AC2199" i="26"/>
  <c r="AC2512" i="26"/>
  <c r="AC2754" i="26"/>
  <c r="AC182" i="26"/>
  <c r="AC1337" i="26"/>
  <c r="AC1900" i="26"/>
  <c r="AC2299" i="26"/>
  <c r="AC2695" i="26"/>
  <c r="AC3011" i="26"/>
  <c r="AC3279" i="26"/>
  <c r="AC307" i="26"/>
  <c r="AC1338" i="26"/>
  <c r="AC1901" i="26"/>
  <c r="AC2336" i="26"/>
  <c r="AC2664" i="26"/>
  <c r="AC2999" i="26"/>
  <c r="AC3232" i="26"/>
  <c r="AC3426" i="26"/>
  <c r="AC688" i="26"/>
  <c r="AC1533" i="26"/>
  <c r="AC1982" i="26"/>
  <c r="AC2319" i="26"/>
  <c r="AC2684" i="26"/>
  <c r="AC3196" i="26"/>
  <c r="AC3452" i="26"/>
  <c r="AC689" i="26"/>
  <c r="AC1574" i="26"/>
  <c r="AC1983" i="26"/>
  <c r="AC2440" i="26"/>
  <c r="AC2989" i="26"/>
  <c r="AC278" i="26"/>
  <c r="AC1712" i="26"/>
  <c r="AC2391" i="26"/>
  <c r="AC2978" i="26"/>
  <c r="AC3260" i="26"/>
  <c r="AC387" i="26"/>
  <c r="AC1780" i="26"/>
  <c r="AC1470" i="26"/>
  <c r="AC2488" i="26"/>
  <c r="AC3076" i="26"/>
  <c r="AC320" i="26"/>
  <c r="AC1688" i="26"/>
  <c r="AC2308" i="26"/>
  <c r="AC2872" i="26"/>
  <c r="AC3345" i="26"/>
  <c r="AC856" i="26"/>
  <c r="AC1950" i="26"/>
  <c r="AC3442" i="26"/>
  <c r="AC1804" i="26"/>
  <c r="AC3337" i="26"/>
  <c r="AC1411" i="26"/>
  <c r="AC2557" i="26"/>
  <c r="AC3250" i="26"/>
  <c r="AC1414" i="26"/>
  <c r="AC2558" i="26"/>
  <c r="AC3251" i="26"/>
  <c r="AC762" i="26"/>
  <c r="AC2392" i="26"/>
  <c r="AC3127" i="26"/>
  <c r="AC1128" i="26"/>
  <c r="AC2483" i="26"/>
  <c r="AC3163" i="26"/>
  <c r="AC615" i="26"/>
  <c r="AC2360" i="26"/>
  <c r="AC3068" i="26"/>
  <c r="AC620" i="26"/>
  <c r="AC2446" i="26"/>
  <c r="AC2412" i="26"/>
  <c r="AC3069" i="26"/>
  <c r="AC2363" i="26"/>
  <c r="AC376" i="26"/>
  <c r="AC1191" i="26"/>
  <c r="AC544" i="26"/>
  <c r="AC1229" i="26"/>
  <c r="AC1841" i="26"/>
  <c r="AC2425" i="26"/>
  <c r="AC478" i="26"/>
  <c r="AC1204" i="26"/>
  <c r="AC1811" i="26"/>
  <c r="AC2368" i="26"/>
  <c r="AC2972" i="26"/>
  <c r="AC3478" i="26"/>
  <c r="AC599" i="26"/>
  <c r="AC536" i="26"/>
  <c r="AC1251" i="26"/>
  <c r="AC30" i="26"/>
  <c r="AC851" i="26"/>
  <c r="AC1528" i="26"/>
  <c r="AC2029" i="26"/>
  <c r="AC842" i="26"/>
  <c r="AC208" i="26"/>
  <c r="AC1136" i="26"/>
  <c r="AC446" i="26"/>
  <c r="AC1281" i="26"/>
  <c r="AC784" i="26"/>
  <c r="AC1822" i="26"/>
  <c r="AC2084" i="26"/>
  <c r="AC2552" i="26"/>
  <c r="AC3073" i="26"/>
  <c r="AC3457" i="26"/>
  <c r="AC1045" i="26"/>
  <c r="AC1870" i="26"/>
  <c r="AC2365" i="26"/>
  <c r="AC2887" i="26"/>
  <c r="AC3312" i="26"/>
  <c r="AC640" i="26"/>
  <c r="AC1788" i="26"/>
  <c r="AC2230" i="26"/>
  <c r="AC2764" i="26"/>
  <c r="AC244" i="26"/>
  <c r="AC1922" i="26"/>
  <c r="AC2765" i="26"/>
  <c r="AC3352" i="26"/>
  <c r="AC1386" i="26"/>
  <c r="AC2351" i="26"/>
  <c r="AC3012" i="26"/>
  <c r="AC3499" i="26"/>
  <c r="AC1616" i="26"/>
  <c r="AC1999" i="26"/>
  <c r="AC2702" i="26"/>
  <c r="AC3233" i="26"/>
  <c r="AC837" i="26"/>
  <c r="AC2005" i="26"/>
  <c r="AC3015" i="26"/>
  <c r="AC1795" i="26"/>
  <c r="AC3004" i="26"/>
  <c r="AC606" i="26"/>
  <c r="AC1731" i="26"/>
  <c r="AC3099" i="26"/>
  <c r="AC1732" i="26"/>
  <c r="AC2340" i="26"/>
  <c r="AC3395" i="26"/>
  <c r="AC2141" i="26"/>
  <c r="AC1878" i="26"/>
  <c r="AC3372" i="26"/>
  <c r="AC2822" i="26"/>
  <c r="AC3277" i="26"/>
  <c r="AC2644" i="26"/>
  <c r="AC1586" i="26"/>
  <c r="AC3189" i="26"/>
  <c r="AC2526" i="26"/>
  <c r="AC1320" i="26"/>
  <c r="AC3104" i="26"/>
  <c r="AC2495" i="26"/>
  <c r="AC2859" i="26"/>
  <c r="AC3140" i="26"/>
  <c r="AC385" i="26"/>
  <c r="AC95" i="26"/>
  <c r="AC555" i="26"/>
  <c r="AC836" i="26"/>
  <c r="AC1238" i="26"/>
  <c r="AC1609" i="26"/>
  <c r="AC1849" i="26"/>
  <c r="AC2433" i="26"/>
  <c r="AC573" i="26"/>
  <c r="AC1256" i="26"/>
  <c r="AC1884" i="26"/>
  <c r="AC2405" i="26"/>
  <c r="AC2981" i="26"/>
  <c r="AC3486" i="26"/>
  <c r="AC611" i="26"/>
  <c r="AC553" i="26"/>
  <c r="AC1262" i="26"/>
  <c r="AC45" i="26"/>
  <c r="AC906" i="26"/>
  <c r="AC1539" i="26"/>
  <c r="AC2040" i="26"/>
  <c r="AC878" i="26"/>
  <c r="AC770" i="26"/>
  <c r="AC1565" i="26"/>
  <c r="AC899" i="26"/>
  <c r="AC259" i="26"/>
  <c r="AC1562" i="26"/>
  <c r="AC2354" i="26"/>
  <c r="AC2583" i="26"/>
  <c r="AC3082" i="26"/>
  <c r="AC3466" i="26"/>
  <c r="AC1076" i="26"/>
  <c r="AC1942" i="26"/>
  <c r="AC2407" i="26"/>
  <c r="AC2898" i="26"/>
  <c r="AC3339" i="26"/>
  <c r="AC672" i="26"/>
  <c r="AC1800" i="26"/>
  <c r="AC2315" i="26"/>
  <c r="AC2774" i="26"/>
  <c r="AC1490" i="26"/>
  <c r="AC2452" i="26"/>
  <c r="AC3096" i="26"/>
  <c r="AC518" i="26"/>
  <c r="AC2077" i="26"/>
  <c r="AC2733" i="26"/>
  <c r="AC3280" i="26"/>
  <c r="AC1703" i="26"/>
  <c r="AC2389" i="26"/>
  <c r="AC3039" i="26"/>
  <c r="AC3537" i="26"/>
  <c r="AC888" i="26"/>
  <c r="AC2043" i="26"/>
  <c r="AC3136" i="26"/>
  <c r="AC1874" i="26"/>
  <c r="AC3016" i="26"/>
  <c r="AC987" i="26"/>
  <c r="AC1963" i="26"/>
  <c r="AC3124" i="26"/>
  <c r="AC2373" i="26"/>
  <c r="AC3443" i="26"/>
  <c r="AC2174" i="26"/>
  <c r="AC1958" i="26"/>
  <c r="AC3408" i="26"/>
  <c r="AC2861" i="26"/>
  <c r="AC1742" i="26"/>
  <c r="AC3314" i="26"/>
  <c r="AC2694" i="26"/>
  <c r="AC1448" i="26"/>
  <c r="AC3226" i="26"/>
  <c r="AC2622" i="26"/>
  <c r="AC1333" i="26"/>
  <c r="AC662" i="26"/>
  <c r="AC3362" i="26"/>
  <c r="AC29" i="26"/>
  <c r="AC1295" i="26"/>
  <c r="AC565" i="26"/>
  <c r="AC1248" i="26"/>
  <c r="AC2209" i="26"/>
  <c r="AC191" i="26"/>
  <c r="AC963" i="26"/>
  <c r="AC1267" i="26"/>
  <c r="AC1893" i="26"/>
  <c r="AC2469" i="26"/>
  <c r="AC2990" i="26"/>
  <c r="AC25" i="26"/>
  <c r="AC766" i="26"/>
  <c r="AC569" i="26"/>
  <c r="AC1286" i="26"/>
  <c r="AC206" i="26"/>
  <c r="AC934" i="26"/>
  <c r="AC1549" i="26"/>
  <c r="AC2134" i="26"/>
  <c r="AC990" i="26"/>
  <c r="AC788" i="26"/>
  <c r="AC64" i="26"/>
  <c r="AC1042" i="26"/>
  <c r="AC289" i="26"/>
  <c r="AC1845" i="26"/>
  <c r="AC2876" i="26"/>
  <c r="AC3512" i="26"/>
  <c r="AC1679" i="26"/>
  <c r="AC2470" i="26"/>
  <c r="AC2909" i="26"/>
  <c r="AC3193" i="26"/>
  <c r="AC3376" i="26"/>
  <c r="AC131" i="26"/>
  <c r="AC941" i="26"/>
  <c r="AC1813" i="26"/>
  <c r="AC2087" i="26"/>
  <c r="AC2555" i="26"/>
  <c r="AC1614" i="26"/>
  <c r="AC2466" i="26"/>
  <c r="AC3107" i="26"/>
  <c r="AC580" i="26"/>
  <c r="AC2093" i="26"/>
  <c r="AC2799" i="26"/>
  <c r="AC3305" i="26"/>
  <c r="AC1106" i="26"/>
  <c r="AC2136" i="26"/>
  <c r="AC2735" i="26"/>
  <c r="AC3331" i="26"/>
  <c r="AC1064" i="26"/>
  <c r="AC2059" i="26"/>
  <c r="AC1113" i="26"/>
  <c r="AC3041" i="26"/>
  <c r="AC1080" i="26"/>
  <c r="AC2190" i="26"/>
  <c r="AC3172" i="26"/>
  <c r="AC2538" i="26"/>
  <c r="AC3468" i="26"/>
  <c r="AC2211" i="26"/>
  <c r="AC2279" i="26"/>
  <c r="AC3506" i="26"/>
  <c r="AC2911" i="26"/>
  <c r="AC2053" i="26"/>
  <c r="AC3349" i="26"/>
  <c r="AC2744" i="26"/>
  <c r="AC1916" i="26"/>
  <c r="AC3289" i="26"/>
  <c r="AC2708" i="26"/>
  <c r="AC1782" i="26"/>
  <c r="AC857" i="26"/>
  <c r="AC3397" i="26"/>
  <c r="AC38" i="26"/>
  <c r="AC983" i="26"/>
  <c r="AC262" i="26"/>
  <c r="AC982" i="26"/>
  <c r="AC1633" i="26"/>
  <c r="AC2561" i="26"/>
  <c r="AC238" i="26"/>
  <c r="AC1016" i="26"/>
  <c r="AC1646" i="26"/>
  <c r="AC2195" i="26"/>
  <c r="AC2743" i="26"/>
  <c r="AC3326" i="26"/>
  <c r="AC383" i="26"/>
  <c r="AC124" i="26"/>
  <c r="AC1060" i="26"/>
  <c r="AC1611" i="26"/>
  <c r="AC619" i="26"/>
  <c r="AC1300" i="26"/>
  <c r="AC1821" i="26"/>
  <c r="AC525" i="26"/>
  <c r="AC1451" i="26"/>
  <c r="AC804" i="26"/>
  <c r="AC149" i="26"/>
  <c r="AC1057" i="26"/>
  <c r="AC1409" i="26"/>
  <c r="AC1067" i="26"/>
  <c r="AC1880" i="26"/>
  <c r="AC2427" i="26"/>
  <c r="AC2886" i="26"/>
  <c r="AC3301" i="26"/>
  <c r="AC600" i="26"/>
  <c r="AC1722" i="26"/>
  <c r="AC2219" i="26"/>
  <c r="AC2710" i="26"/>
  <c r="AC3385" i="26"/>
  <c r="AC969" i="26"/>
  <c r="AC1824" i="26"/>
  <c r="AC2335" i="26"/>
  <c r="AC2868" i="26"/>
  <c r="AC1634" i="26"/>
  <c r="AC2484" i="26"/>
  <c r="AC3205" i="26"/>
  <c r="AC872" i="26"/>
  <c r="AC2115" i="26"/>
  <c r="AC2818" i="26"/>
  <c r="AC3378" i="26"/>
  <c r="AC1140" i="26"/>
  <c r="AC2152" i="26"/>
  <c r="AC2851" i="26"/>
  <c r="AC3343" i="26"/>
  <c r="AC1188" i="26"/>
  <c r="AC2138" i="26"/>
  <c r="AC3223" i="26"/>
  <c r="AC2064" i="26"/>
  <c r="AC3052" i="26"/>
  <c r="AC1317" i="26"/>
  <c r="AC2223" i="26"/>
  <c r="AC1066" i="26"/>
  <c r="AC2328" i="26"/>
  <c r="AC2952" i="26"/>
  <c r="AC2912" i="26"/>
  <c r="AC1914" i="26"/>
  <c r="AC3419" i="26"/>
  <c r="AC2840" i="26"/>
  <c r="AC1855" i="26"/>
  <c r="AC3361" i="26"/>
  <c r="AC2843" i="26"/>
  <c r="AC3079" i="26"/>
  <c r="AC3106" i="26"/>
  <c r="AC346" i="26"/>
  <c r="AC1071" i="26"/>
  <c r="AC272" i="26"/>
  <c r="AC1001" i="26"/>
  <c r="AC2225" i="26"/>
  <c r="AC251" i="26"/>
  <c r="AC1058" i="26"/>
  <c r="AC1655" i="26"/>
  <c r="AC2295" i="26"/>
  <c r="AC2816" i="26"/>
  <c r="AC3342" i="26"/>
  <c r="AC455" i="26"/>
  <c r="AC153" i="26"/>
  <c r="AC1072" i="26"/>
  <c r="AC1672" i="26"/>
  <c r="AC636" i="26"/>
  <c r="AC1360" i="26"/>
  <c r="AC1925" i="26"/>
  <c r="AC566" i="26"/>
  <c r="AC1467" i="26"/>
  <c r="AC1374" i="26"/>
  <c r="AC676" i="26"/>
  <c r="AC1425" i="26"/>
  <c r="AC1222" i="26"/>
  <c r="AC1976" i="26"/>
  <c r="AC2437" i="26"/>
  <c r="AC2918" i="26"/>
  <c r="AC3375" i="26"/>
  <c r="AC639" i="26"/>
  <c r="AC1734" i="26"/>
  <c r="AC2302" i="26"/>
  <c r="AC2751" i="26"/>
  <c r="AC3211" i="26"/>
  <c r="AC328" i="26"/>
  <c r="AC1567" i="26"/>
  <c r="AC2168" i="26"/>
  <c r="AC2628" i="26"/>
  <c r="AC924" i="26"/>
  <c r="AC2164" i="26"/>
  <c r="AC2863" i="26"/>
  <c r="AC3487" i="26"/>
  <c r="AC1744" i="26"/>
  <c r="AC2502" i="26"/>
  <c r="AC3133" i="26"/>
  <c r="AC415" i="26"/>
  <c r="AC1807" i="26"/>
  <c r="AC2549" i="26"/>
  <c r="AC3354" i="26"/>
  <c r="AC1234" i="26"/>
  <c r="AC2307" i="26"/>
  <c r="AC3245" i="26"/>
  <c r="AC2101" i="26"/>
  <c r="AC3162" i="26"/>
  <c r="AC1398" i="26"/>
  <c r="AC2255" i="26"/>
  <c r="AC3380" i="26"/>
  <c r="AC2080" i="26"/>
  <c r="AC3199" i="26"/>
  <c r="AC1796" i="26"/>
  <c r="AC677" i="26"/>
  <c r="AC2413" i="26"/>
  <c r="AC718" i="26"/>
  <c r="AC2984" i="26"/>
  <c r="AC2196" i="26"/>
  <c r="AC2875" i="26"/>
  <c r="AC2879" i="26"/>
  <c r="AC2796" i="26"/>
  <c r="AC2893" i="26"/>
  <c r="AC237" i="26"/>
  <c r="AC402" i="26"/>
  <c r="AC1079" i="26"/>
  <c r="AC736" i="26"/>
  <c r="AC1993" i="26"/>
  <c r="AC2929" i="26"/>
  <c r="AC1392" i="26"/>
  <c r="AC2304" i="26"/>
  <c r="AC3118" i="26"/>
  <c r="AC551" i="26"/>
  <c r="AC1395" i="26"/>
  <c r="AC652" i="26"/>
  <c r="AC1935" i="26"/>
  <c r="AC1563" i="26"/>
  <c r="AC1389" i="26"/>
  <c r="AC1438" i="26"/>
  <c r="AC1989" i="26"/>
  <c r="AC2750" i="26"/>
  <c r="AC1254" i="26"/>
  <c r="AC1750" i="26"/>
  <c r="AC2763" i="26"/>
  <c r="AC3421" i="26"/>
  <c r="AC1654" i="26"/>
  <c r="AC2408" i="26"/>
  <c r="AC2234" i="26"/>
  <c r="AC3253" i="26"/>
  <c r="AC1770" i="26"/>
  <c r="AC2901" i="26"/>
  <c r="AC476" i="26"/>
  <c r="AC2567" i="26"/>
  <c r="AC3427" i="26"/>
  <c r="AC2339" i="26"/>
  <c r="AC2173" i="26"/>
  <c r="AC279" i="26"/>
  <c r="AC2870" i="26"/>
  <c r="AC2704" i="26"/>
  <c r="AC3369" i="26"/>
  <c r="AC3143" i="26"/>
  <c r="AC3152" i="26"/>
  <c r="AC2298" i="26"/>
  <c r="AC2966" i="26"/>
  <c r="AC3459" i="26"/>
  <c r="AC2232" i="26"/>
  <c r="AC3204" i="26"/>
  <c r="AC3148" i="26"/>
  <c r="AC115" i="26"/>
  <c r="AC2069" i="26"/>
  <c r="AC2226" i="26"/>
  <c r="AC2011" i="26"/>
  <c r="AC3469" i="26"/>
  <c r="AC257" i="26"/>
  <c r="AC1375" i="26"/>
  <c r="AC1010" i="26"/>
  <c r="AC1649" i="26"/>
  <c r="AC2577" i="26"/>
  <c r="AC275" i="26"/>
  <c r="AC1078" i="26"/>
  <c r="AC1957" i="26"/>
  <c r="AC2826" i="26"/>
  <c r="AC61" i="26"/>
  <c r="AC870" i="26"/>
  <c r="AC1096" i="26"/>
  <c r="AC284" i="26"/>
  <c r="AC1097" i="26"/>
  <c r="AC1643" i="26"/>
  <c r="AC100" i="26"/>
  <c r="AC1181" i="26"/>
  <c r="AC993" i="26"/>
  <c r="AC232" i="26"/>
  <c r="AC1090" i="26"/>
  <c r="AC627" i="26"/>
  <c r="AC1691" i="26"/>
  <c r="AC2218" i="26"/>
  <c r="AC2959" i="26"/>
  <c r="AC3384" i="26"/>
  <c r="AC1353" i="26"/>
  <c r="AC2014" i="26"/>
  <c r="AC2554" i="26"/>
  <c r="AC3220" i="26"/>
  <c r="AC1154" i="26"/>
  <c r="AC2179" i="26"/>
  <c r="AC2680" i="26"/>
  <c r="AC962" i="26"/>
  <c r="AC2986" i="26"/>
  <c r="AC1059" i="26"/>
  <c r="AC2631" i="26"/>
  <c r="AC3401" i="26"/>
  <c r="AC1426" i="26"/>
  <c r="AC2236" i="26"/>
  <c r="AC3171" i="26"/>
  <c r="AC265" i="26"/>
  <c r="AC1830" i="26"/>
  <c r="AC2922" i="26"/>
  <c r="AC1363" i="26"/>
  <c r="AC3212" i="26"/>
  <c r="AC1647" i="26"/>
  <c r="AC2288" i="26"/>
  <c r="AC3453" i="26"/>
  <c r="AC2256" i="26"/>
  <c r="AC661" i="26"/>
  <c r="AC1530" i="26"/>
  <c r="AC904" i="26"/>
  <c r="AC70" i="26"/>
  <c r="AC342" i="26"/>
  <c r="AC3031" i="26"/>
  <c r="AC2148" i="26"/>
  <c r="AC3005" i="26"/>
  <c r="AC2938" i="26"/>
  <c r="AC2031" i="26"/>
  <c r="AC114" i="26"/>
  <c r="AC927" i="26"/>
  <c r="AC2785" i="26"/>
  <c r="AC3524" i="26"/>
  <c r="AC2793" i="26"/>
  <c r="AC1436" i="26"/>
  <c r="AC1044" i="26"/>
  <c r="AC2187" i="26"/>
  <c r="AC2626" i="26"/>
  <c r="AC3292" i="26"/>
  <c r="AC1098" i="26"/>
  <c r="AC2208" i="26"/>
  <c r="AC2784" i="26"/>
  <c r="AC1641" i="26"/>
  <c r="AC2258" i="26"/>
  <c r="AC1863" i="26"/>
  <c r="AC3224" i="26"/>
  <c r="AC2264" i="26"/>
  <c r="AC793" i="26"/>
  <c r="AC2342" i="26"/>
  <c r="L9" i="4" l="1"/>
  <c r="L18" i="4"/>
  <c r="L27" i="4"/>
  <c r="L36" i="4"/>
  <c r="L45" i="4"/>
  <c r="L54" i="4"/>
  <c r="L8" i="4"/>
  <c r="L17" i="4"/>
  <c r="L26" i="4"/>
  <c r="L35" i="4"/>
  <c r="L44" i="4"/>
  <c r="L53" i="4"/>
  <c r="L7" i="4"/>
  <c r="L16" i="4"/>
  <c r="L25" i="4"/>
  <c r="L34" i="4"/>
  <c r="L43" i="4"/>
  <c r="L52" i="4"/>
  <c r="L6" i="4"/>
  <c r="L15" i="4"/>
  <c r="L24" i="4"/>
  <c r="L33" i="4"/>
  <c r="L42" i="4"/>
  <c r="L51" i="4"/>
  <c r="L5" i="4"/>
  <c r="L14" i="4"/>
  <c r="L23" i="4"/>
  <c r="L32" i="4"/>
  <c r="L41" i="4"/>
  <c r="L50" i="4"/>
  <c r="L4" i="4"/>
  <c r="L13" i="4"/>
  <c r="L22" i="4"/>
  <c r="L31" i="4"/>
  <c r="L40" i="4"/>
  <c r="L49" i="4"/>
  <c r="L3" i="4"/>
  <c r="L12" i="4"/>
  <c r="L21" i="4"/>
  <c r="L30" i="4"/>
  <c r="L39" i="4"/>
  <c r="L48" i="4"/>
  <c r="L2" i="4"/>
  <c r="L11" i="4"/>
  <c r="L20" i="4"/>
  <c r="L29" i="4"/>
  <c r="L10" i="4"/>
  <c r="L19" i="4"/>
  <c r="L28" i="4"/>
  <c r="L37" i="4"/>
  <c r="L38" i="4"/>
  <c r="L46" i="4"/>
  <c r="L47" i="4"/>
  <c r="L55" i="4"/>
  <c r="E15" i="6"/>
  <c r="D3" i="4" a="1"/>
  <c r="D3" i="4"/>
  <c r="D12" i="4"/>
  <c r="D21" i="4"/>
  <c r="D30" i="4"/>
  <c r="D39" i="4"/>
  <c r="D48" i="4"/>
  <c r="D50" i="4"/>
  <c r="D20" i="4"/>
  <c r="D37" i="4"/>
  <c r="D54" i="4"/>
  <c r="D16" i="4"/>
  <c r="D41" i="4"/>
  <c r="D11" i="4"/>
  <c r="D45" i="4"/>
  <c r="D7" i="4"/>
  <c r="D24" i="4"/>
  <c r="D49" i="4"/>
  <c r="D19" i="4"/>
  <c r="D36" i="4"/>
  <c r="D53" i="4"/>
  <c r="D15" i="4"/>
  <c r="D32" i="4"/>
  <c r="D28" i="4"/>
  <c r="D34" i="4"/>
  <c r="D52" i="4"/>
  <c r="D46" i="4"/>
  <c r="D17" i="4"/>
  <c r="D10" i="4"/>
  <c r="D4" i="4"/>
  <c r="D38" i="4"/>
  <c r="D25" i="4"/>
  <c r="D5" i="4"/>
  <c r="D13" i="4"/>
  <c r="D47" i="4"/>
  <c r="D29" i="4"/>
  <c r="D35" i="4"/>
  <c r="D8" i="4"/>
  <c r="D40" i="4"/>
  <c r="D51" i="4"/>
  <c r="D18" i="4"/>
  <c r="D44" i="4"/>
  <c r="D23" i="4"/>
  <c r="D33" i="4"/>
  <c r="D26" i="4"/>
  <c r="D31" i="4"/>
  <c r="D42" i="4"/>
  <c r="D27" i="4"/>
  <c r="D55" i="4"/>
  <c r="D6" i="4"/>
  <c r="D14" i="4"/>
  <c r="D9" i="4"/>
  <c r="D43" i="4"/>
  <c r="D22" i="4"/>
  <c r="F10" i="4"/>
  <c r="E10" i="4"/>
  <c r="I10" i="4"/>
  <c r="H10" i="4"/>
  <c r="G10" i="4"/>
  <c r="I19" i="4"/>
  <c r="H19" i="4"/>
  <c r="G19" i="4"/>
  <c r="F19" i="4"/>
  <c r="E19" i="4"/>
  <c r="I28" i="4"/>
  <c r="H28" i="4"/>
  <c r="G28" i="4"/>
  <c r="F28" i="4"/>
  <c r="E28" i="4"/>
  <c r="G37" i="4"/>
  <c r="F37" i="4"/>
  <c r="E37" i="4"/>
  <c r="I37" i="4"/>
  <c r="H37" i="4"/>
  <c r="I46" i="4"/>
  <c r="H46" i="4"/>
  <c r="G46" i="4"/>
  <c r="F46" i="4"/>
  <c r="E46" i="4"/>
  <c r="E55" i="4"/>
  <c r="I55" i="4"/>
  <c r="H55" i="4"/>
  <c r="G55" i="4"/>
  <c r="F55" i="4"/>
  <c r="I17" i="4"/>
  <c r="H17" i="4"/>
  <c r="G17" i="4"/>
  <c r="F17" i="4"/>
  <c r="E17" i="4"/>
  <c r="F18" i="4"/>
  <c r="E18" i="4"/>
  <c r="I18" i="4"/>
  <c r="H18" i="4"/>
  <c r="G18" i="4"/>
  <c r="I27" i="4"/>
  <c r="H27" i="4"/>
  <c r="G27" i="4"/>
  <c r="F27" i="4"/>
  <c r="E27" i="4"/>
  <c r="I36" i="4"/>
  <c r="H36" i="4"/>
  <c r="G36" i="4"/>
  <c r="F36" i="4"/>
  <c r="E36" i="4"/>
  <c r="G45" i="4"/>
  <c r="F45" i="4"/>
  <c r="E45" i="4"/>
  <c r="I45" i="4"/>
  <c r="H45" i="4"/>
  <c r="I54" i="4"/>
  <c r="H54" i="4"/>
  <c r="G54" i="4"/>
  <c r="F54" i="4"/>
  <c r="E54" i="4"/>
  <c r="G8" i="4"/>
  <c r="F8" i="4"/>
  <c r="H8" i="4"/>
  <c r="E8" i="4"/>
  <c r="I8" i="4"/>
  <c r="I25" i="4"/>
  <c r="H25" i="4"/>
  <c r="G25" i="4"/>
  <c r="F25" i="4"/>
  <c r="E25" i="4"/>
  <c r="F26" i="4"/>
  <c r="E26" i="4"/>
  <c r="I26" i="4"/>
  <c r="H26" i="4"/>
  <c r="G26" i="4"/>
  <c r="I35" i="4"/>
  <c r="H35" i="4"/>
  <c r="G35" i="4"/>
  <c r="F35" i="4"/>
  <c r="E35" i="4"/>
  <c r="I44" i="4"/>
  <c r="H44" i="4"/>
  <c r="G44" i="4"/>
  <c r="F44" i="4"/>
  <c r="E44" i="4"/>
  <c r="G53" i="4"/>
  <c r="F53" i="4"/>
  <c r="E53" i="4"/>
  <c r="I53" i="4"/>
  <c r="H53" i="4"/>
  <c r="E7" i="4"/>
  <c r="I7" i="4"/>
  <c r="H7" i="4"/>
  <c r="G7" i="4"/>
  <c r="F7" i="4"/>
  <c r="H16" i="4"/>
  <c r="G16" i="4"/>
  <c r="F16" i="4"/>
  <c r="E16" i="4"/>
  <c r="I16" i="4"/>
  <c r="I33" i="4"/>
  <c r="H33" i="4"/>
  <c r="G33" i="4"/>
  <c r="F33" i="4"/>
  <c r="E33" i="4"/>
  <c r="F34" i="4"/>
  <c r="E34" i="4"/>
  <c r="I34" i="4"/>
  <c r="H34" i="4"/>
  <c r="G34" i="4"/>
  <c r="I43" i="4"/>
  <c r="H43" i="4"/>
  <c r="G43" i="4"/>
  <c r="F43" i="4"/>
  <c r="E43" i="4"/>
  <c r="I52" i="4"/>
  <c r="H52" i="4"/>
  <c r="G52" i="4"/>
  <c r="F52" i="4"/>
  <c r="E52" i="4"/>
  <c r="I6" i="4"/>
  <c r="H6" i="4"/>
  <c r="G6" i="4"/>
  <c r="F6" i="4"/>
  <c r="E6" i="4"/>
  <c r="E15" i="4"/>
  <c r="I15" i="4"/>
  <c r="H15" i="4"/>
  <c r="G15" i="4"/>
  <c r="F15" i="4"/>
  <c r="H24" i="4"/>
  <c r="G24" i="4"/>
  <c r="F24" i="4"/>
  <c r="E24" i="4"/>
  <c r="I24" i="4"/>
  <c r="I41" i="4"/>
  <c r="H41" i="4"/>
  <c r="G41" i="4"/>
  <c r="F41" i="4"/>
  <c r="E41" i="4"/>
  <c r="F42" i="4"/>
  <c r="E42" i="4"/>
  <c r="I42" i="4"/>
  <c r="H42" i="4"/>
  <c r="G42" i="4"/>
  <c r="I51" i="4"/>
  <c r="H51" i="4"/>
  <c r="G51" i="4"/>
  <c r="F51" i="4"/>
  <c r="E51" i="4"/>
  <c r="G5" i="4"/>
  <c r="F5" i="4"/>
  <c r="E5" i="4"/>
  <c r="I5" i="4"/>
  <c r="H5" i="4"/>
  <c r="I14" i="4"/>
  <c r="H14" i="4"/>
  <c r="G14" i="4"/>
  <c r="F14" i="4"/>
  <c r="E14" i="4"/>
  <c r="E23" i="4"/>
  <c r="I23" i="4"/>
  <c r="H23" i="4"/>
  <c r="G23" i="4"/>
  <c r="F23" i="4"/>
  <c r="H32" i="4"/>
  <c r="G32" i="4"/>
  <c r="F32" i="4"/>
  <c r="E32" i="4"/>
  <c r="I32" i="4"/>
  <c r="I49" i="4"/>
  <c r="H49" i="4"/>
  <c r="G49" i="4"/>
  <c r="F49" i="4"/>
  <c r="E49" i="4"/>
  <c r="F50" i="4"/>
  <c r="E50" i="4"/>
  <c r="I50" i="4"/>
  <c r="H50" i="4"/>
  <c r="G50" i="4"/>
  <c r="H4" i="4"/>
  <c r="I4" i="4"/>
  <c r="G4" i="4"/>
  <c r="F4" i="4"/>
  <c r="E4" i="4"/>
  <c r="E13" i="4"/>
  <c r="G13" i="4"/>
  <c r="F13" i="4"/>
  <c r="I13" i="4"/>
  <c r="H13" i="4"/>
  <c r="I22" i="4"/>
  <c r="H22" i="4"/>
  <c r="G22" i="4"/>
  <c r="F22" i="4"/>
  <c r="E22" i="4"/>
  <c r="E31" i="4"/>
  <c r="I31" i="4"/>
  <c r="H31" i="4"/>
  <c r="G31" i="4"/>
  <c r="F31" i="4"/>
  <c r="H40" i="4"/>
  <c r="G40" i="4"/>
  <c r="F40" i="4"/>
  <c r="E40" i="4"/>
  <c r="I40" i="4"/>
  <c r="E3" i="4"/>
  <c r="F3" i="4"/>
  <c r="G3" i="4"/>
  <c r="H3" i="4"/>
  <c r="I3" i="4"/>
  <c r="I12" i="4"/>
  <c r="H12" i="4"/>
  <c r="G12" i="4"/>
  <c r="F12" i="4"/>
  <c r="E12" i="4"/>
  <c r="F21" i="4"/>
  <c r="E21" i="4"/>
  <c r="G21" i="4"/>
  <c r="I21" i="4"/>
  <c r="H21" i="4"/>
  <c r="I30" i="4"/>
  <c r="H30" i="4"/>
  <c r="G30" i="4"/>
  <c r="F30" i="4"/>
  <c r="E30" i="4"/>
  <c r="E39" i="4"/>
  <c r="I39" i="4"/>
  <c r="H39" i="4"/>
  <c r="G39" i="4"/>
  <c r="F39" i="4"/>
  <c r="H48" i="4"/>
  <c r="G48" i="4"/>
  <c r="F48" i="4"/>
  <c r="E48" i="4"/>
  <c r="I48" i="4"/>
  <c r="I11" i="4"/>
  <c r="H11" i="4"/>
  <c r="G11" i="4"/>
  <c r="F11" i="4"/>
  <c r="E11" i="4"/>
  <c r="I20" i="4"/>
  <c r="H20" i="4"/>
  <c r="G20" i="4"/>
  <c r="F20" i="4"/>
  <c r="E20" i="4"/>
  <c r="G29" i="4"/>
  <c r="F29" i="4"/>
  <c r="E29" i="4"/>
  <c r="I29" i="4"/>
  <c r="H29" i="4"/>
  <c r="I38" i="4"/>
  <c r="H38" i="4"/>
  <c r="G38" i="4"/>
  <c r="F38" i="4"/>
  <c r="E38" i="4"/>
  <c r="E47" i="4"/>
  <c r="I47" i="4"/>
  <c r="H47" i="4"/>
  <c r="G47" i="4"/>
  <c r="F47" i="4"/>
  <c r="I9" i="4"/>
  <c r="H9" i="4"/>
  <c r="G9" i="4"/>
  <c r="F9" i="4"/>
  <c r="E9" i="4"/>
  <c r="F14" i="6"/>
  <c r="AD9" i="26"/>
  <c r="AD11" i="26" a="1"/>
  <c r="AD3272" i="26"/>
  <c r="AD2389" i="26"/>
  <c r="AD2596" i="26"/>
  <c r="AD180" i="26"/>
  <c r="AD1276" i="26"/>
  <c r="AD438" i="26"/>
  <c r="AD3105" i="26"/>
  <c r="AD3274" i="26"/>
  <c r="AD2926" i="26"/>
  <c r="AD914" i="26"/>
  <c r="AD3175" i="26"/>
  <c r="AD2423" i="26"/>
  <c r="AD1546" i="26"/>
  <c r="AD463" i="26"/>
  <c r="AD2768" i="26"/>
  <c r="AD1878" i="26"/>
  <c r="AD867" i="26"/>
  <c r="AD3051" i="26"/>
  <c r="AD2083" i="26"/>
  <c r="AD730" i="26"/>
  <c r="AD2766" i="26"/>
  <c r="AD1748" i="26"/>
  <c r="AD3255" i="26"/>
  <c r="AD2080" i="26"/>
  <c r="AD323" i="26"/>
  <c r="AD1967" i="26"/>
  <c r="AD1364" i="26"/>
  <c r="AD3095" i="26"/>
  <c r="AD2054" i="26"/>
  <c r="AD380" i="26"/>
  <c r="AD2607" i="26"/>
  <c r="AD733" i="26"/>
  <c r="AD1919" i="26"/>
  <c r="AD307" i="26"/>
  <c r="AD2505" i="26"/>
  <c r="AD1257" i="26"/>
  <c r="AD1431" i="26"/>
  <c r="AD294" i="26"/>
  <c r="AD2354" i="26"/>
  <c r="AD2604" i="26"/>
  <c r="AD389" i="26"/>
  <c r="AD956" i="26"/>
  <c r="AD1598" i="26"/>
  <c r="AD2475" i="26"/>
  <c r="AD3512" i="26"/>
  <c r="AD2416" i="26"/>
  <c r="AD2624" i="26"/>
  <c r="AD2845" i="26"/>
  <c r="AD1523" i="26"/>
  <c r="AD260" i="26"/>
  <c r="AD1425" i="26"/>
  <c r="AD3231" i="26"/>
  <c r="AD2168" i="26"/>
  <c r="AD834" i="26"/>
  <c r="AD3541" i="26"/>
  <c r="AD863" i="26"/>
  <c r="AD1025" i="26"/>
  <c r="AD787" i="26"/>
  <c r="AD1290" i="26"/>
  <c r="AD2938" i="26"/>
  <c r="AD2406" i="26"/>
  <c r="AD1498" i="26"/>
  <c r="AD1325" i="26"/>
  <c r="AD565" i="26"/>
  <c r="AD1630" i="26"/>
  <c r="AD2383" i="26"/>
  <c r="AD1227" i="26"/>
  <c r="AD3481" i="26"/>
  <c r="AD1906" i="26"/>
  <c r="AD3247" i="26"/>
  <c r="AD1285" i="26"/>
  <c r="AD2460" i="26"/>
  <c r="AD3318" i="26"/>
  <c r="AD552" i="26"/>
  <c r="AD1310" i="26"/>
  <c r="AD788" i="26"/>
  <c r="AD1125" i="26"/>
  <c r="AD1834" i="26"/>
  <c r="AD3533" i="26"/>
  <c r="AD315" i="26"/>
  <c r="AD1798" i="26"/>
  <c r="AD3337" i="26"/>
  <c r="AD1880" i="26"/>
  <c r="AD3065" i="26"/>
  <c r="AD2603" i="26"/>
  <c r="AD535" i="26"/>
  <c r="AD1157" i="26"/>
  <c r="AD2237" i="26"/>
  <c r="AD1155" i="26"/>
  <c r="AD1805" i="26"/>
  <c r="AD2302" i="26"/>
  <c r="AD2707" i="26"/>
  <c r="AD3442" i="26"/>
  <c r="AD810" i="26"/>
  <c r="AD1823" i="26"/>
  <c r="AD3365" i="26"/>
  <c r="AD1014" i="26"/>
  <c r="AD272" i="26"/>
  <c r="AD1743" i="26"/>
  <c r="AD2620" i="26"/>
  <c r="AD3471" i="26"/>
  <c r="AD1062" i="26"/>
  <c r="AD2436" i="26"/>
  <c r="AD485" i="26"/>
  <c r="AD2114" i="26"/>
  <c r="AD3063" i="26"/>
  <c r="AD1093" i="26"/>
  <c r="AD1763" i="26"/>
  <c r="AD2290" i="26"/>
  <c r="AD2414" i="26"/>
  <c r="AD3150" i="26"/>
  <c r="AD2064" i="26"/>
  <c r="AD684" i="26"/>
  <c r="AD2941" i="26"/>
  <c r="AD995" i="26"/>
  <c r="AD3333" i="26"/>
  <c r="AD2011" i="26"/>
  <c r="AD910" i="26"/>
  <c r="AD2609" i="26"/>
  <c r="AD1266" i="26"/>
  <c r="AD262" i="26"/>
  <c r="AD1839" i="26"/>
  <c r="AD3285" i="26"/>
  <c r="AD2579" i="26"/>
  <c r="AD1616" i="26"/>
  <c r="AD3226" i="26"/>
  <c r="AD896" i="26"/>
  <c r="AD2407" i="26"/>
  <c r="AD3430" i="26"/>
  <c r="AD1862" i="26"/>
  <c r="AD2836" i="26"/>
  <c r="AD706" i="26"/>
  <c r="AD1539" i="26"/>
  <c r="AD3510" i="26"/>
  <c r="AD1068" i="26"/>
  <c r="AD1720" i="26"/>
  <c r="AD2408" i="26"/>
  <c r="AD692" i="26"/>
  <c r="AD165" i="26"/>
  <c r="AD20" i="26"/>
  <c r="AD2520" i="26"/>
  <c r="AD2287" i="26"/>
  <c r="AD1384" i="26"/>
  <c r="AD2829" i="26"/>
  <c r="AD3178" i="26"/>
  <c r="AD1978" i="26"/>
  <c r="AD872" i="26"/>
  <c r="AD2966" i="26"/>
  <c r="AD2088" i="26"/>
  <c r="AD1272" i="26"/>
  <c r="AD3418" i="26"/>
  <c r="AD2714" i="26"/>
  <c r="AD1669" i="26"/>
  <c r="AD177" i="26"/>
  <c r="AD2822" i="26"/>
  <c r="AD1806" i="26"/>
  <c r="AD630" i="26"/>
  <c r="AD2709" i="26"/>
  <c r="AD1091" i="26"/>
  <c r="AD3010" i="26"/>
  <c r="AD1662" i="26"/>
  <c r="AD3473" i="26"/>
  <c r="AD1690" i="26"/>
  <c r="AD622" i="26"/>
  <c r="AD2891" i="26"/>
  <c r="AD1501" i="26"/>
  <c r="AD313" i="26"/>
  <c r="AD2378" i="26"/>
  <c r="AD862" i="26"/>
  <c r="AD681" i="26"/>
  <c r="AD2824" i="26"/>
  <c r="AD1663" i="26"/>
  <c r="AD152" i="26"/>
  <c r="AD2001" i="26"/>
  <c r="AD946" i="26"/>
  <c r="AD1063" i="26"/>
  <c r="AD11" i="26"/>
  <c r="AD2245" i="26"/>
  <c r="AD3288" i="26"/>
  <c r="AD1533" i="26"/>
  <c r="AD1922" i="26"/>
  <c r="AD3428" i="26"/>
  <c r="AD580" i="26"/>
  <c r="AD1801" i="26"/>
  <c r="AD1853" i="26"/>
  <c r="AD161" i="26"/>
  <c r="AD2549" i="26"/>
  <c r="AD1476" i="26"/>
  <c r="AD2645" i="26"/>
  <c r="AD802" i="26"/>
  <c r="AD2226" i="26"/>
  <c r="AD3367" i="26"/>
  <c r="AD1485" i="26"/>
  <c r="AD2014" i="26"/>
  <c r="AD2318" i="26"/>
  <c r="AD2719" i="26"/>
  <c r="AD92" i="26"/>
  <c r="AD2326" i="26"/>
  <c r="AD3222" i="26"/>
  <c r="AD553" i="26"/>
  <c r="AD2532" i="26"/>
  <c r="AD2809" i="26"/>
  <c r="AD1793" i="26"/>
  <c r="AD855" i="26"/>
  <c r="AD3201" i="26"/>
  <c r="AD2104" i="26"/>
  <c r="AD1049" i="26"/>
  <c r="AD3467" i="26"/>
  <c r="AD1808" i="26"/>
  <c r="AD2949" i="26"/>
  <c r="AD2183" i="26"/>
  <c r="AD3355" i="26"/>
  <c r="AD3306" i="26"/>
  <c r="AD529" i="26"/>
  <c r="AD472" i="26"/>
  <c r="AD576" i="26"/>
  <c r="AD2263" i="26"/>
  <c r="AD2951" i="26"/>
  <c r="AD379" i="26"/>
  <c r="AD2175" i="26"/>
  <c r="AD2617" i="26"/>
  <c r="AD1785" i="26"/>
  <c r="AD367" i="26"/>
  <c r="AD3153" i="26"/>
  <c r="AD2050" i="26"/>
  <c r="AD3508" i="26"/>
  <c r="AD3444" i="26"/>
  <c r="AD1571" i="26"/>
  <c r="AD2936" i="26"/>
  <c r="AD886" i="26"/>
  <c r="AD2196" i="26"/>
  <c r="AD3292" i="26"/>
  <c r="AD3266" i="26"/>
  <c r="AD448" i="26"/>
  <c r="AD547" i="26"/>
  <c r="AD1520" i="26"/>
  <c r="AD303" i="26"/>
  <c r="AD1827" i="26"/>
  <c r="AD1510" i="26"/>
  <c r="AD2899" i="26"/>
  <c r="AD1179" i="26"/>
  <c r="AD2536" i="26"/>
  <c r="AD3163" i="26"/>
  <c r="AD1382" i="26"/>
  <c r="AD2756" i="26"/>
  <c r="AD801" i="26"/>
  <c r="AD1848" i="26"/>
  <c r="AD2750" i="26"/>
  <c r="AD3243" i="26"/>
  <c r="AD1676" i="26"/>
  <c r="AD1954" i="26"/>
  <c r="AD2942" i="26"/>
  <c r="AD364" i="26"/>
  <c r="AD1500" i="26"/>
  <c r="AD2834" i="26"/>
  <c r="AD1883" i="26"/>
  <c r="AD2313" i="26"/>
  <c r="AD1165" i="26"/>
  <c r="AD1143" i="26"/>
  <c r="AD3164" i="26"/>
  <c r="AD2411" i="26"/>
  <c r="AD965" i="26"/>
  <c r="AD1259" i="26"/>
  <c r="AD2772" i="26"/>
  <c r="AD2592" i="26"/>
  <c r="AD1923" i="26"/>
  <c r="AD487" i="26"/>
  <c r="AD2950" i="26"/>
  <c r="AD2072" i="26"/>
  <c r="AD1253" i="26"/>
  <c r="AD3283" i="26"/>
  <c r="AD2421" i="26"/>
  <c r="AD1612" i="26"/>
  <c r="AD155" i="26"/>
  <c r="AD2810" i="26"/>
  <c r="AD1611" i="26"/>
  <c r="AD3526" i="26"/>
  <c r="AD2432" i="26"/>
  <c r="AD1073" i="26"/>
  <c r="AD2903" i="26"/>
  <c r="AD1420" i="26"/>
  <c r="AD3119" i="26"/>
  <c r="AD1648" i="26"/>
  <c r="AD280" i="26"/>
  <c r="AD2880" i="26"/>
  <c r="AD1491" i="26"/>
  <c r="AD3240" i="26"/>
  <c r="AD2366" i="26"/>
  <c r="AD850" i="26"/>
  <c r="AD430" i="26"/>
  <c r="AD2760" i="26"/>
  <c r="AD1317" i="26"/>
  <c r="AD190" i="26"/>
  <c r="AD1993" i="26"/>
  <c r="AD909" i="26"/>
  <c r="AD919" i="26"/>
  <c r="AD314" i="26"/>
  <c r="AD3019" i="26"/>
  <c r="AD227" i="26"/>
  <c r="AD1518" i="26"/>
  <c r="AD1895" i="26"/>
  <c r="AD2563" i="26"/>
  <c r="AD3238" i="26"/>
  <c r="AD1084" i="26"/>
  <c r="AD1826" i="26"/>
  <c r="AD2204" i="26"/>
  <c r="AD2871" i="26"/>
  <c r="AD3540" i="26"/>
  <c r="AD846" i="26"/>
  <c r="AD3419" i="26"/>
  <c r="AD2924" i="26"/>
  <c r="AD2310" i="26"/>
  <c r="AD1796" i="26"/>
  <c r="AD1240" i="26"/>
  <c r="AD436" i="26"/>
  <c r="AD3199" i="26"/>
  <c r="AD2644" i="26"/>
  <c r="AD2100" i="26"/>
  <c r="AD1528" i="26"/>
  <c r="AD777" i="26"/>
  <c r="AD3344" i="26"/>
  <c r="AD2698" i="26"/>
  <c r="AD2070" i="26"/>
  <c r="AD1472" i="26"/>
  <c r="AD611" i="26"/>
  <c r="AD3087" i="26"/>
  <c r="AD2348" i="26"/>
  <c r="AD1426" i="26"/>
  <c r="AD60" i="26"/>
  <c r="AD2887" i="26"/>
  <c r="AD2010" i="26"/>
  <c r="AD1034" i="26"/>
  <c r="AD3375" i="26"/>
  <c r="AD2400" i="26"/>
  <c r="AD1228" i="26"/>
  <c r="AD1054" i="26"/>
  <c r="AD3387" i="26"/>
  <c r="AD2629" i="26"/>
  <c r="AD1991" i="26"/>
  <c r="AD1114" i="26"/>
  <c r="AD3523" i="26"/>
  <c r="AD2931" i="26"/>
  <c r="AD2074" i="26"/>
  <c r="AD1256" i="26"/>
  <c r="AD363" i="26"/>
  <c r="AD417" i="26"/>
  <c r="AD3157" i="26"/>
  <c r="AD2468" i="26"/>
  <c r="AD1654" i="26"/>
  <c r="AD655" i="26"/>
  <c r="AD137" i="26"/>
  <c r="AD2305" i="26"/>
  <c r="AD1521" i="26"/>
  <c r="AD900" i="26"/>
  <c r="AD1375" i="26"/>
  <c r="AD660" i="26"/>
  <c r="AD634" i="26"/>
  <c r="AD2968" i="26"/>
  <c r="AD1132" i="26"/>
  <c r="AD2508" i="26"/>
  <c r="AD915" i="26"/>
  <c r="AD2146" i="26"/>
  <c r="AD3518" i="26"/>
  <c r="AD3273" i="26"/>
  <c r="AD2156" i="26"/>
  <c r="AD998" i="26"/>
  <c r="AD3064" i="26"/>
  <c r="AD1920" i="26"/>
  <c r="AD3172" i="26"/>
  <c r="AD1251" i="26"/>
  <c r="AD3014" i="26"/>
  <c r="AD2140" i="26"/>
  <c r="AD1408" i="26"/>
  <c r="AD25" i="26"/>
  <c r="AD2679" i="26"/>
  <c r="AD1011" i="26"/>
  <c r="AD3144" i="26"/>
  <c r="AD2384" i="26"/>
  <c r="AD1214" i="26"/>
  <c r="AD728" i="26"/>
  <c r="AD3378" i="26"/>
  <c r="AD2598" i="26"/>
  <c r="AD1824" i="26"/>
  <c r="AD1102" i="26"/>
  <c r="AD3441" i="26"/>
  <c r="AD2711" i="26"/>
  <c r="AD2043" i="26"/>
  <c r="AD1243" i="26"/>
  <c r="AD16" i="26"/>
  <c r="AD308" i="26"/>
  <c r="AD3101" i="26"/>
  <c r="AD2248" i="26"/>
  <c r="AD1590" i="26"/>
  <c r="AD644" i="26"/>
  <c r="AD2825" i="26"/>
  <c r="AD2297" i="26"/>
  <c r="AD1489" i="26"/>
  <c r="AD680" i="26"/>
  <c r="AD1367" i="26"/>
  <c r="AD596" i="26"/>
  <c r="AD3495" i="26"/>
  <c r="AD1840" i="26"/>
  <c r="AD3142" i="26"/>
  <c r="AD1432" i="26"/>
  <c r="AD2813" i="26"/>
  <c r="AD615" i="26"/>
  <c r="AD2728" i="26"/>
  <c r="AD1629" i="26"/>
  <c r="AD3539" i="26"/>
  <c r="AD2447" i="26"/>
  <c r="AD1318" i="26"/>
  <c r="AD435" i="26"/>
  <c r="AD2501" i="26"/>
  <c r="AD1903" i="26"/>
  <c r="AD300" i="26"/>
  <c r="AD1955" i="26"/>
  <c r="AD378" i="26"/>
  <c r="AD2914" i="26"/>
  <c r="AD3154" i="26"/>
  <c r="AD804" i="26"/>
  <c r="AD1786" i="26"/>
  <c r="AD2453" i="26"/>
  <c r="AD3092" i="26"/>
  <c r="AD3422" i="26"/>
  <c r="AD1369" i="26"/>
  <c r="AD2036" i="26"/>
  <c r="AD2758" i="26"/>
  <c r="AD3492" i="26"/>
  <c r="AD592" i="26"/>
  <c r="AD3236" i="26"/>
  <c r="AD2658" i="26"/>
  <c r="AD2143" i="26"/>
  <c r="AD1587" i="26"/>
  <c r="AD979" i="26"/>
  <c r="AD3528" i="26"/>
  <c r="AD2965" i="26"/>
  <c r="AD2435" i="26"/>
  <c r="AD1891" i="26"/>
  <c r="AD1300" i="26"/>
  <c r="AD407" i="26"/>
  <c r="AD3074" i="26"/>
  <c r="AD2488" i="26"/>
  <c r="AD1861" i="26"/>
  <c r="AD1236" i="26"/>
  <c r="AD151" i="26"/>
  <c r="AD3000" i="26"/>
  <c r="AD2124" i="26"/>
  <c r="AD1106" i="26"/>
  <c r="AD3449" i="26"/>
  <c r="AD2666" i="26"/>
  <c r="AD1717" i="26"/>
  <c r="AD990" i="26"/>
  <c r="AD3132" i="26"/>
  <c r="AD1982" i="26"/>
  <c r="AD1166" i="26"/>
  <c r="AD637" i="26"/>
  <c r="AD3204" i="26"/>
  <c r="AD2556" i="26"/>
  <c r="AD1731" i="26"/>
  <c r="AD851" i="26"/>
  <c r="AD3432" i="26"/>
  <c r="AD2701" i="26"/>
  <c r="AD1844" i="26"/>
  <c r="AD1136" i="26"/>
  <c r="AD1026" i="26"/>
  <c r="AD83" i="26"/>
  <c r="AD3093" i="26"/>
  <c r="AD2239" i="26"/>
  <c r="AD1328" i="26"/>
  <c r="AD595" i="26"/>
  <c r="AD2817" i="26"/>
  <c r="AD2105" i="26"/>
  <c r="AD1481" i="26"/>
  <c r="AD575" i="26"/>
  <c r="AD1175" i="26"/>
  <c r="AD532" i="26"/>
  <c r="AD322" i="26"/>
  <c r="AD3281" i="26"/>
  <c r="AD2933" i="26"/>
  <c r="AD2599" i="26"/>
  <c r="AD2333" i="26"/>
  <c r="AD1998" i="26"/>
  <c r="AD1706" i="26"/>
  <c r="AD1361" i="26"/>
  <c r="AD902" i="26"/>
  <c r="AD503" i="26"/>
  <c r="AD3438" i="26"/>
  <c r="AD3182" i="26"/>
  <c r="AD2875" i="26"/>
  <c r="AD2540" i="26"/>
  <c r="AD2277" i="26"/>
  <c r="AD1942" i="26"/>
  <c r="AD1650" i="26"/>
  <c r="AD1262" i="26"/>
  <c r="AD813" i="26"/>
  <c r="AD288" i="26"/>
  <c r="AD3363" i="26"/>
  <c r="AD3082" i="26"/>
  <c r="AD2693" i="26"/>
  <c r="AD2260" i="26"/>
  <c r="AD1941" i="26"/>
  <c r="AD1507" i="26"/>
  <c r="AD1152" i="26"/>
  <c r="AD470" i="26"/>
  <c r="AD934" i="26"/>
  <c r="AD604" i="26"/>
  <c r="AD77" i="26"/>
  <c r="AD3369" i="26"/>
  <c r="AD3086" i="26"/>
  <c r="AD2765" i="26"/>
  <c r="AD2546" i="26"/>
  <c r="AD2222" i="26"/>
  <c r="AD1981" i="26"/>
  <c r="AD1658" i="26"/>
  <c r="AD1377" i="26"/>
  <c r="AD1030" i="26"/>
  <c r="AD665" i="26"/>
  <c r="AD240" i="26"/>
  <c r="AD3404" i="26"/>
  <c r="AD3139" i="26"/>
  <c r="AD2920" i="26"/>
  <c r="AD2597" i="26"/>
  <c r="AD2356" i="26"/>
  <c r="AD2032" i="26"/>
  <c r="AD1708" i="26"/>
  <c r="AD1488" i="26"/>
  <c r="AD1124" i="26"/>
  <c r="AD821" i="26"/>
  <c r="AD348" i="26"/>
  <c r="AD890" i="26"/>
  <c r="AD645" i="26"/>
  <c r="AD292" i="26"/>
  <c r="AD3525" i="26"/>
  <c r="AD3277" i="26"/>
  <c r="AD3013" i="26"/>
  <c r="AD2751" i="26"/>
  <c r="AD2431" i="26"/>
  <c r="AD2166" i="26"/>
  <c r="AD1846" i="26"/>
  <c r="AD1554" i="26"/>
  <c r="AD1234" i="26"/>
  <c r="AD899" i="26"/>
  <c r="AD548" i="26"/>
  <c r="AD140" i="26"/>
  <c r="AD33" i="26"/>
  <c r="AD2801" i="26"/>
  <c r="AD2497" i="26"/>
  <c r="AD2289" i="26"/>
  <c r="AD1985" i="26"/>
  <c r="AD1681" i="26"/>
  <c r="AD1473" i="26"/>
  <c r="AD1129" i="26"/>
  <c r="AD891" i="26"/>
  <c r="AD524" i="26"/>
  <c r="AD158" i="26"/>
  <c r="AD1335" i="26"/>
  <c r="AD1055" i="26"/>
  <c r="AD823" i="26"/>
  <c r="AD523" i="26"/>
  <c r="AD175" i="26"/>
  <c r="AD626" i="26"/>
  <c r="AD306" i="26"/>
  <c r="AD2319" i="26"/>
  <c r="AD374" i="26"/>
  <c r="AD3108" i="26"/>
  <c r="AD2527" i="26"/>
  <c r="AD1871" i="26"/>
  <c r="AD1538" i="26"/>
  <c r="AD789" i="26"/>
  <c r="AD261" i="26"/>
  <c r="AD3352" i="26"/>
  <c r="AD2970" i="26"/>
  <c r="AD2652" i="26"/>
  <c r="AD2246" i="26"/>
  <c r="AD1925" i="26"/>
  <c r="AD1494" i="26"/>
  <c r="AD986" i="26"/>
  <c r="AD447" i="26"/>
  <c r="AD894" i="26"/>
  <c r="AD590" i="26"/>
  <c r="AD59" i="26"/>
  <c r="AD3287" i="26"/>
  <c r="AD3076" i="26"/>
  <c r="AD2755" i="26"/>
  <c r="AD2515" i="26"/>
  <c r="AD2211" i="26"/>
  <c r="AD1887" i="26"/>
  <c r="AD1647" i="26"/>
  <c r="AD1292" i="26"/>
  <c r="AD1017" i="26"/>
  <c r="AD571" i="26"/>
  <c r="AD131" i="26"/>
  <c r="AD3368" i="26"/>
  <c r="AD3112" i="26"/>
  <c r="AD2858" i="26"/>
  <c r="AD2586" i="26"/>
  <c r="AD2262" i="26"/>
  <c r="AD2022" i="26"/>
  <c r="AD1698" i="26"/>
  <c r="AD1458" i="26"/>
  <c r="AD1113" i="26"/>
  <c r="AD696" i="26"/>
  <c r="AD329" i="26"/>
  <c r="AD880" i="26"/>
  <c r="AD251" i="26"/>
  <c r="AD3269" i="26"/>
  <c r="AD2980" i="26"/>
  <c r="AD2742" i="26"/>
  <c r="AD2395" i="26"/>
  <c r="AD2075" i="26"/>
  <c r="AD1810" i="26"/>
  <c r="AD1192" i="26"/>
  <c r="AD826" i="26"/>
  <c r="AD464" i="26"/>
  <c r="AD40" i="26"/>
  <c r="AD23" i="26"/>
  <c r="AD2745" i="26"/>
  <c r="AD2489" i="26"/>
  <c r="AD2185" i="26"/>
  <c r="AD1977" i="26"/>
  <c r="AD1673" i="26"/>
  <c r="AD1465" i="26"/>
  <c r="AD1120" i="26"/>
  <c r="AD800" i="26"/>
  <c r="AD512" i="26"/>
  <c r="AD147" i="26"/>
  <c r="AD1327" i="26"/>
  <c r="AD1047" i="26"/>
  <c r="AD743" i="26"/>
  <c r="AD513" i="26"/>
  <c r="AD166" i="26"/>
  <c r="AD514" i="26"/>
  <c r="AD194" i="26"/>
  <c r="AD3453" i="26"/>
  <c r="AD2467" i="26"/>
  <c r="AD1464" i="26"/>
  <c r="AD3068" i="26"/>
  <c r="AD1909" i="26"/>
  <c r="AD420" i="26"/>
  <c r="AD2621" i="26"/>
  <c r="AD1619" i="26"/>
  <c r="AD3143" i="26"/>
  <c r="AD2006" i="26"/>
  <c r="AD761" i="26"/>
  <c r="AD2663" i="26"/>
  <c r="AD1715" i="26"/>
  <c r="AD3326" i="26"/>
  <c r="AD2103" i="26"/>
  <c r="AD1241" i="26"/>
  <c r="AD2759" i="26"/>
  <c r="AD1812" i="26"/>
  <c r="AD3362" i="26"/>
  <c r="AD2311" i="26"/>
  <c r="AD1354" i="26"/>
  <c r="AD861" i="26"/>
  <c r="AD829" i="26"/>
  <c r="AD247" i="26"/>
  <c r="AD3310" i="26"/>
  <c r="AD3090" i="26"/>
  <c r="AD2812" i="26"/>
  <c r="AD2574" i="26"/>
  <c r="AD2282" i="26"/>
  <c r="AD1963" i="26"/>
  <c r="AD1754" i="26"/>
  <c r="AD1429" i="26"/>
  <c r="AD1158" i="26"/>
  <c r="AD758" i="26"/>
  <c r="AD215" i="26"/>
  <c r="AD3393" i="26"/>
  <c r="AD3126" i="26"/>
  <c r="AD2894" i="26"/>
  <c r="AD2573" i="26"/>
  <c r="AD2280" i="26"/>
  <c r="AD2045" i="26"/>
  <c r="AD1752" i="26"/>
  <c r="AD1502" i="26"/>
  <c r="AD1126" i="26"/>
  <c r="AD510" i="26"/>
  <c r="AD31" i="26"/>
  <c r="AD3234" i="26"/>
  <c r="AD2976" i="26"/>
  <c r="AD2643" i="26"/>
  <c r="AD2308" i="26"/>
  <c r="AD2042" i="26"/>
  <c r="AD1707" i="26"/>
  <c r="AD1409" i="26"/>
  <c r="AD970" i="26"/>
  <c r="AD375" i="26"/>
  <c r="AD3464" i="26"/>
  <c r="AD3171" i="26"/>
  <c r="AD2904" i="26"/>
  <c r="AD2571" i="26"/>
  <c r="AD2207" i="26"/>
  <c r="AD1972" i="26"/>
  <c r="AD1580" i="26"/>
  <c r="AD1298" i="26"/>
  <c r="AD860" i="26"/>
  <c r="AD268" i="26"/>
  <c r="AD3390" i="26"/>
  <c r="AD3097" i="26"/>
  <c r="AD2846" i="26"/>
  <c r="AD2456" i="26"/>
  <c r="AD2123" i="26"/>
  <c r="AD1859" i="26"/>
  <c r="AD1524" i="26"/>
  <c r="AD1200" i="26"/>
  <c r="AD721" i="26"/>
  <c r="AD24" i="26"/>
  <c r="AD3279" i="26"/>
  <c r="AD2957" i="26"/>
  <c r="AD2594" i="26"/>
  <c r="AD2205" i="26"/>
  <c r="AD1799" i="26"/>
  <c r="AD1482" i="26"/>
  <c r="AD966" i="26"/>
  <c r="AD421" i="26"/>
  <c r="AD881" i="26"/>
  <c r="AD414" i="26"/>
  <c r="AD37" i="26"/>
  <c r="AD3278" i="26"/>
  <c r="AD3067" i="26"/>
  <c r="AD2744" i="26"/>
  <c r="AD2420" i="26"/>
  <c r="AD2180" i="26"/>
  <c r="AD1877" i="26"/>
  <c r="AD1637" i="26"/>
  <c r="AD1281" i="26"/>
  <c r="AD893" i="26"/>
  <c r="AD556" i="26"/>
  <c r="AD17" i="26"/>
  <c r="AD3359" i="26"/>
  <c r="AD3075" i="26"/>
  <c r="AD2795" i="26"/>
  <c r="AD2524" i="26"/>
  <c r="AD2252" i="26"/>
  <c r="AD1959" i="26"/>
  <c r="AD1687" i="26"/>
  <c r="AD1352" i="26"/>
  <c r="AD1076" i="26"/>
  <c r="AD683" i="26"/>
  <c r="AD311" i="26"/>
  <c r="AD869" i="26"/>
  <c r="AD526" i="26"/>
  <c r="AD237" i="26"/>
  <c r="AD3429" i="26"/>
  <c r="AD3261" i="26"/>
  <c r="AD2971" i="26"/>
  <c r="AD2651" i="26"/>
  <c r="AD2386" i="26"/>
  <c r="AD2066" i="26"/>
  <c r="AD1800" i="26"/>
  <c r="AD1480" i="26"/>
  <c r="AD1088" i="26"/>
  <c r="AD816" i="26"/>
  <c r="AD381" i="26"/>
  <c r="AD27" i="26"/>
  <c r="AD2945" i="26"/>
  <c r="AD2689" i="26"/>
  <c r="AD2433" i="26"/>
  <c r="AD2177" i="26"/>
  <c r="AD1921" i="26"/>
  <c r="AD1665" i="26"/>
  <c r="AD1348" i="26"/>
  <c r="AD1110" i="26"/>
  <c r="AD763" i="26"/>
  <c r="AD502" i="26"/>
  <c r="AD105" i="26"/>
  <c r="AD1247" i="26"/>
  <c r="AD1015" i="26"/>
  <c r="AD735" i="26"/>
  <c r="AD477" i="26"/>
  <c r="AD157" i="26"/>
  <c r="AD506" i="26"/>
  <c r="AD186" i="26"/>
  <c r="AD2187" i="26"/>
  <c r="AD2323" i="26"/>
  <c r="AD3475" i="26"/>
  <c r="AD884" i="26"/>
  <c r="AD2862" i="26"/>
  <c r="AD1249" i="26"/>
  <c r="AD633" i="26"/>
  <c r="AD3457" i="26"/>
  <c r="AD2355" i="26"/>
  <c r="AD1212" i="26"/>
  <c r="AD3018" i="26"/>
  <c r="AD1852" i="26"/>
  <c r="AD192" i="26"/>
  <c r="AD2397" i="26"/>
  <c r="AD1260" i="26"/>
  <c r="AD3055" i="26"/>
  <c r="AD1951" i="26"/>
  <c r="AD567" i="26"/>
  <c r="AD2606" i="26"/>
  <c r="AD1308" i="26"/>
  <c r="AD3227" i="26"/>
  <c r="AD2048" i="26"/>
  <c r="AD718" i="26"/>
  <c r="AD2704" i="26"/>
  <c r="AD1534" i="26"/>
  <c r="AD3312" i="26"/>
  <c r="AD2256" i="26"/>
  <c r="AD1226" i="26"/>
  <c r="AD1115" i="26"/>
  <c r="AD672" i="26"/>
  <c r="AD216" i="26"/>
  <c r="AD3298" i="26"/>
  <c r="AD3079" i="26"/>
  <c r="AD2799" i="26"/>
  <c r="AD2478" i="26"/>
  <c r="AD2269" i="26"/>
  <c r="AD1948" i="26"/>
  <c r="AD1712" i="26"/>
  <c r="AD1416" i="26"/>
  <c r="AD1096" i="26"/>
  <c r="AD734" i="26"/>
  <c r="AD188" i="26"/>
  <c r="AD3382" i="26"/>
  <c r="AD3089" i="26"/>
  <c r="AD2798" i="26"/>
  <c r="AD2560" i="26"/>
  <c r="AD2268" i="26"/>
  <c r="AD2030" i="26"/>
  <c r="AD1738" i="26"/>
  <c r="AD1381" i="26"/>
  <c r="AD1109" i="26"/>
  <c r="AD484" i="26"/>
  <c r="AD3513" i="26"/>
  <c r="AD3220" i="26"/>
  <c r="AD2919" i="26"/>
  <c r="AD2627" i="26"/>
  <c r="AD2292" i="26"/>
  <c r="AD2028" i="26"/>
  <c r="AD1639" i="26"/>
  <c r="AD1283" i="26"/>
  <c r="AD950" i="26"/>
  <c r="AD353" i="26"/>
  <c r="AD3427" i="26"/>
  <c r="AD3135" i="26"/>
  <c r="AD2792" i="26"/>
  <c r="AD2557" i="26"/>
  <c r="AD2195" i="26"/>
  <c r="AD1902" i="26"/>
  <c r="AD1567" i="26"/>
  <c r="AD1201" i="26"/>
  <c r="AD841" i="26"/>
  <c r="AD233" i="26"/>
  <c r="AD3376" i="26"/>
  <c r="AD3060" i="26"/>
  <c r="AD2736" i="26"/>
  <c r="AD2444" i="26"/>
  <c r="AD2109" i="26"/>
  <c r="AD1843" i="26"/>
  <c r="AD1509" i="26"/>
  <c r="AD1072" i="26"/>
  <c r="AD704" i="26"/>
  <c r="AD3535" i="26"/>
  <c r="AD3265" i="26"/>
  <c r="AD2874" i="26"/>
  <c r="AD2510" i="26"/>
  <c r="AD2150" i="26"/>
  <c r="AD1758" i="26"/>
  <c r="AD1389" i="26"/>
  <c r="AD940" i="26"/>
  <c r="AD172" i="26"/>
  <c r="AD866" i="26"/>
  <c r="AD399" i="26"/>
  <c r="AD3534" i="26"/>
  <c r="AD3268" i="26"/>
  <c r="AD2984" i="26"/>
  <c r="AD2734" i="26"/>
  <c r="AD2410" i="26"/>
  <c r="AD2170" i="26"/>
  <c r="AD1845" i="26"/>
  <c r="AD1542" i="26"/>
  <c r="AD1269" i="26"/>
  <c r="AD877" i="26"/>
  <c r="AD540" i="26"/>
  <c r="AD3542" i="26"/>
  <c r="AD3258" i="26"/>
  <c r="AD3066" i="26"/>
  <c r="AD2754" i="26"/>
  <c r="AD2512" i="26"/>
  <c r="AD2189" i="26"/>
  <c r="AD1917" i="26"/>
  <c r="AD1624" i="26"/>
  <c r="AD1340" i="26"/>
  <c r="AD1029" i="26"/>
  <c r="AD635" i="26"/>
  <c r="AD144" i="26"/>
  <c r="AD859" i="26"/>
  <c r="AD515" i="26"/>
  <c r="AD224" i="26"/>
  <c r="AD3421" i="26"/>
  <c r="AD3173" i="26"/>
  <c r="AD2962" i="26"/>
  <c r="AD2614" i="26"/>
  <c r="AD2376" i="26"/>
  <c r="AD2029" i="26"/>
  <c r="AD1709" i="26"/>
  <c r="AD1443" i="26"/>
  <c r="AD1077" i="26"/>
  <c r="AD774" i="26"/>
  <c r="AD369" i="26"/>
  <c r="AD211" i="26"/>
  <c r="AD2937" i="26"/>
  <c r="AD2633" i="26"/>
  <c r="AD2425" i="26"/>
  <c r="AD2121" i="26"/>
  <c r="AD1865" i="26"/>
  <c r="AD1609" i="26"/>
  <c r="AD1339" i="26"/>
  <c r="AD1046" i="26"/>
  <c r="AD754" i="26"/>
  <c r="AD398" i="26"/>
  <c r="AD95" i="26"/>
  <c r="AD1239" i="26"/>
  <c r="AD1007" i="26"/>
  <c r="AD727" i="26"/>
  <c r="AD385" i="26"/>
  <c r="AD148" i="26"/>
  <c r="AD498" i="26"/>
  <c r="AD178" i="26"/>
  <c r="AD2522" i="26"/>
  <c r="AD1686" i="26"/>
  <c r="AD3106" i="26"/>
  <c r="AD624" i="26"/>
  <c r="AD2676" i="26"/>
  <c r="AD1728" i="26"/>
  <c r="AD3289" i="26"/>
  <c r="AD2396" i="26"/>
  <c r="AD939" i="26"/>
  <c r="AD2718" i="26"/>
  <c r="AD1770" i="26"/>
  <c r="AD3374" i="26"/>
  <c r="AD2494" i="26"/>
  <c r="AD1306" i="26"/>
  <c r="AD2814" i="26"/>
  <c r="AD1979" i="26"/>
  <c r="AD3410" i="26"/>
  <c r="AD1417" i="26"/>
  <c r="AD339" i="26"/>
  <c r="AD3408" i="26"/>
  <c r="AD3115" i="26"/>
  <c r="AD2826" i="26"/>
  <c r="AD2590" i="26"/>
  <c r="AD2298" i="26"/>
  <c r="AD2060" i="26"/>
  <c r="AD1767" i="26"/>
  <c r="AD1461" i="26"/>
  <c r="AD1225" i="26"/>
  <c r="AD778" i="26"/>
  <c r="AD360" i="26"/>
  <c r="AD3407" i="26"/>
  <c r="AD3151" i="26"/>
  <c r="AD2908" i="26"/>
  <c r="AD2630" i="26"/>
  <c r="AD2392" i="26"/>
  <c r="AD2059" i="26"/>
  <c r="AD1766" i="26"/>
  <c r="AD1515" i="26"/>
  <c r="AD1142" i="26"/>
  <c r="AD707" i="26"/>
  <c r="AD62" i="26"/>
  <c r="AD3246" i="26"/>
  <c r="AD3038" i="26"/>
  <c r="AD2684" i="26"/>
  <c r="AD2391" i="26"/>
  <c r="AD2058" i="26"/>
  <c r="AD1723" i="26"/>
  <c r="AD1456" i="26"/>
  <c r="AD1075" i="26"/>
  <c r="AD581" i="26"/>
  <c r="AD3183" i="26"/>
  <c r="AD2918" i="26"/>
  <c r="AD2583" i="26"/>
  <c r="AD1986" i="26"/>
  <c r="AD1596" i="26"/>
  <c r="AD1345" i="26"/>
  <c r="AD3401" i="26"/>
  <c r="AD2235" i="26"/>
  <c r="AD1490" i="26"/>
  <c r="AD3215" i="26"/>
  <c r="AD2300" i="26"/>
  <c r="AD1146" i="26"/>
  <c r="AD2967" i="26"/>
  <c r="AD1685" i="26"/>
  <c r="AD3251" i="26"/>
  <c r="AD2342" i="26"/>
  <c r="AD1116" i="26"/>
  <c r="AD3007" i="26"/>
  <c r="AD1894" i="26"/>
  <c r="AD3336" i="26"/>
  <c r="AD2551" i="26"/>
  <c r="AD1242" i="26"/>
  <c r="AD3091" i="26"/>
  <c r="AD1935" i="26"/>
  <c r="AD3519" i="26"/>
  <c r="AD2647" i="26"/>
  <c r="AD1477" i="26"/>
  <c r="AD3264" i="26"/>
  <c r="AD2035" i="26"/>
  <c r="AD254" i="26"/>
  <c r="AD1082" i="26"/>
  <c r="AD643" i="26"/>
  <c r="AD191" i="26"/>
  <c r="AD3284" i="26"/>
  <c r="AD2979" i="26"/>
  <c r="AD2771" i="26"/>
  <c r="AD2464" i="26"/>
  <c r="AD2214" i="26"/>
  <c r="AD1934" i="26"/>
  <c r="AD1642" i="26"/>
  <c r="AD1397" i="26"/>
  <c r="AD1081" i="26"/>
  <c r="AD689" i="26"/>
  <c r="AD100" i="26"/>
  <c r="AD3297" i="26"/>
  <c r="AD3078" i="26"/>
  <c r="AD2782" i="26"/>
  <c r="AD2547" i="26"/>
  <c r="AD2254" i="26"/>
  <c r="AD1933" i="26"/>
  <c r="AD1724" i="26"/>
  <c r="AD1365" i="26"/>
  <c r="AD1021" i="26"/>
  <c r="AD456" i="26"/>
  <c r="AD3440" i="26"/>
  <c r="AD3209" i="26"/>
  <c r="AD2906" i="26"/>
  <c r="AD2613" i="26"/>
  <c r="AD2251" i="26"/>
  <c r="AD1916" i="26"/>
  <c r="AD1623" i="26"/>
  <c r="AD1267" i="26"/>
  <c r="AD926" i="26"/>
  <c r="AD327" i="26"/>
  <c r="AD3329" i="26"/>
  <c r="AD3123" i="26"/>
  <c r="AD2780" i="26"/>
  <c r="AD2487" i="26"/>
  <c r="AD2152" i="26"/>
  <c r="AD1818" i="26"/>
  <c r="AD1555" i="26"/>
  <c r="AD1187" i="26"/>
  <c r="AD771" i="26"/>
  <c r="AD87" i="26"/>
  <c r="AD3280" i="26"/>
  <c r="AD3047" i="26"/>
  <c r="AD2720" i="26"/>
  <c r="AD2428" i="26"/>
  <c r="AD2094" i="26"/>
  <c r="AD1733" i="26"/>
  <c r="AD1495" i="26"/>
  <c r="AD1051" i="26"/>
  <c r="AD627" i="26"/>
  <c r="AD3521" i="26"/>
  <c r="AD3155" i="26"/>
  <c r="AD2860" i="26"/>
  <c r="AD2427" i="26"/>
  <c r="AD2134" i="26"/>
  <c r="AD1703" i="26"/>
  <c r="AD1294" i="26"/>
  <c r="AD812" i="26"/>
  <c r="AD135" i="26"/>
  <c r="AD782" i="26"/>
  <c r="AD383" i="26"/>
  <c r="AD3451" i="26"/>
  <c r="AD3241" i="26"/>
  <c r="AD2974" i="26"/>
  <c r="AD2723" i="26"/>
  <c r="AD2399" i="26"/>
  <c r="AD2076" i="26"/>
  <c r="AD1835" i="26"/>
  <c r="AD1511" i="26"/>
  <c r="AD1258" i="26"/>
  <c r="AD865" i="26"/>
  <c r="AD397" i="26"/>
  <c r="AD3532" i="26"/>
  <c r="AD3249" i="26"/>
  <c r="AD3039" i="26"/>
  <c r="AD2743" i="26"/>
  <c r="AD2419" i="26"/>
  <c r="AD2179" i="26"/>
  <c r="AD1854" i="26"/>
  <c r="AD1614" i="26"/>
  <c r="AD1268" i="26"/>
  <c r="AD945" i="26"/>
  <c r="AD569" i="26"/>
  <c r="AD89" i="26"/>
  <c r="AD796" i="26"/>
  <c r="AD501" i="26"/>
  <c r="AD99" i="26"/>
  <c r="AD3413" i="26"/>
  <c r="AD3165" i="26"/>
  <c r="AD2952" i="26"/>
  <c r="AD2605" i="26"/>
  <c r="AD2285" i="26"/>
  <c r="AD2020" i="26"/>
  <c r="AD1700" i="26"/>
  <c r="AD1433" i="26"/>
  <c r="AD1067" i="26"/>
  <c r="AD667" i="26"/>
  <c r="AD357" i="26"/>
  <c r="AD200" i="26"/>
  <c r="AD2929" i="26"/>
  <c r="AD2625" i="26"/>
  <c r="AD2321" i="26"/>
  <c r="AD2113" i="26"/>
  <c r="AD1809" i="26"/>
  <c r="AD1601" i="26"/>
  <c r="AD1275" i="26"/>
  <c r="AD982" i="26"/>
  <c r="AD690" i="26"/>
  <c r="AD356" i="26"/>
  <c r="AD22" i="26"/>
  <c r="AD1207" i="26"/>
  <c r="AD927" i="26"/>
  <c r="AD695" i="26"/>
  <c r="AD376" i="26"/>
  <c r="AD111" i="26"/>
  <c r="AD490" i="26"/>
  <c r="AD122" i="26"/>
  <c r="AD618" i="26"/>
  <c r="AD434" i="26"/>
  <c r="AD298" i="26"/>
  <c r="AD114" i="26"/>
  <c r="AD3409" i="26"/>
  <c r="AD2802" i="26"/>
  <c r="AD2188" i="26"/>
  <c r="AD1404" i="26"/>
  <c r="AD3447" i="26"/>
  <c r="AD2855" i="26"/>
  <c r="AD2132" i="26"/>
  <c r="AD1463" i="26"/>
  <c r="AD3544" i="26"/>
  <c r="AD2844" i="26"/>
  <c r="AD2229" i="26"/>
  <c r="AD1560" i="26"/>
  <c r="AD3531" i="26"/>
  <c r="AD2955" i="26"/>
  <c r="AD2341" i="26"/>
  <c r="AD1559" i="26"/>
  <c r="AD368" i="26"/>
  <c r="AD3044" i="26"/>
  <c r="AD2271" i="26"/>
  <c r="AD1660" i="26"/>
  <c r="AD741" i="26"/>
  <c r="AD3043" i="26"/>
  <c r="AD2382" i="26"/>
  <c r="AD1768" i="26"/>
  <c r="AD518" i="26"/>
  <c r="AD3128" i="26"/>
  <c r="AD2480" i="26"/>
  <c r="AD1757" i="26"/>
  <c r="AD874" i="26"/>
  <c r="AD3216" i="26"/>
  <c r="AD2479" i="26"/>
  <c r="AD1868" i="26"/>
  <c r="AD1163" i="26"/>
  <c r="AD67" i="26"/>
  <c r="AD1048" i="26"/>
  <c r="AD803" i="26"/>
  <c r="AD467" i="26"/>
  <c r="AD160" i="26"/>
  <c r="AD3394" i="26"/>
  <c r="AD3211" i="26"/>
  <c r="AD3054" i="26"/>
  <c r="AD2909" i="26"/>
  <c r="AD2716" i="26"/>
  <c r="AD2548" i="26"/>
  <c r="AD2394" i="26"/>
  <c r="AD2198" i="26"/>
  <c r="AD2046" i="26"/>
  <c r="AD1879" i="26"/>
  <c r="AD1696" i="26"/>
  <c r="AD1530" i="26"/>
  <c r="AD1368" i="26"/>
  <c r="AD1144" i="26"/>
  <c r="AD936" i="26"/>
  <c r="AD663" i="26"/>
  <c r="AD337" i="26"/>
  <c r="AD3503" i="26"/>
  <c r="AD3370" i="26"/>
  <c r="AD3187" i="26"/>
  <c r="AD3052" i="26"/>
  <c r="AD2882" i="26"/>
  <c r="AD2685" i="26"/>
  <c r="AD2531" i="26"/>
  <c r="AD2380" i="26"/>
  <c r="AD2171" i="26"/>
  <c r="AD2004" i="26"/>
  <c r="AD1850" i="26"/>
  <c r="AD1653" i="26"/>
  <c r="AD1486" i="26"/>
  <c r="AD1270" i="26"/>
  <c r="AD997" i="26"/>
  <c r="AD688" i="26"/>
  <c r="AD384" i="26"/>
  <c r="AD3502" i="26"/>
  <c r="AD3330" i="26"/>
  <c r="AD3161" i="26"/>
  <c r="AD2960" i="26"/>
  <c r="AD2794" i="26"/>
  <c r="AD2600" i="26"/>
  <c r="AD2375" i="26"/>
  <c r="AD2182" i="26"/>
  <c r="AD2015" i="26"/>
  <c r="AD1790" i="26"/>
  <c r="AD1597" i="26"/>
  <c r="AD1395" i="26"/>
  <c r="AD1141" i="26"/>
  <c r="AD907" i="26"/>
  <c r="AD558" i="26"/>
  <c r="AD119" i="26"/>
  <c r="AD3416" i="26"/>
  <c r="AD3270" i="26"/>
  <c r="AD3073" i="26"/>
  <c r="AD2892" i="26"/>
  <c r="AD2695" i="26"/>
  <c r="AD2474" i="26"/>
  <c r="AD2307" i="26"/>
  <c r="AD2110" i="26"/>
  <c r="AD1888" i="26"/>
  <c r="AD1693" i="26"/>
  <c r="AD1525" i="26"/>
  <c r="AD1282" i="26"/>
  <c r="AD1058" i="26"/>
  <c r="AD748" i="26"/>
  <c r="AD352" i="26"/>
  <c r="AD3536" i="26"/>
  <c r="AD3364" i="26"/>
  <c r="AD3170" i="26"/>
  <c r="AD2999" i="26"/>
  <c r="AD2832" i="26"/>
  <c r="AD2611" i="26"/>
  <c r="AD2415" i="26"/>
  <c r="AD2219" i="26"/>
  <c r="AD1997" i="26"/>
  <c r="AD1830" i="26"/>
  <c r="AD1634" i="26"/>
  <c r="AD1406" i="26"/>
  <c r="AD1182" i="26"/>
  <c r="AD968" i="26"/>
  <c r="AD600" i="26"/>
  <c r="AD229" i="26"/>
  <c r="AD3462" i="26"/>
  <c r="AD3254" i="26"/>
  <c r="AD3034" i="26"/>
  <c r="AD2831" i="26"/>
  <c r="AD2581" i="26"/>
  <c r="AD2372" i="26"/>
  <c r="AD2092" i="26"/>
  <c r="AD1842" i="26"/>
  <c r="AD1632" i="26"/>
  <c r="AD1372" i="26"/>
  <c r="AD1133" i="26"/>
  <c r="AD762" i="26"/>
  <c r="AD255" i="26"/>
  <c r="AD1043" i="26"/>
  <c r="AD769" i="26"/>
  <c r="AD542" i="26"/>
  <c r="AD244" i="26"/>
  <c r="AD3497" i="26"/>
  <c r="AD3360" i="26"/>
  <c r="AD3195" i="26"/>
  <c r="AD3058" i="26"/>
  <c r="AD2848" i="26"/>
  <c r="AD2661" i="26"/>
  <c r="AD2503" i="26"/>
  <c r="AD2316" i="26"/>
  <c r="AD2159" i="26"/>
  <c r="AD1971" i="26"/>
  <c r="AD1762" i="26"/>
  <c r="AD1626" i="26"/>
  <c r="AD1413" i="26"/>
  <c r="AD1221" i="26"/>
  <c r="AD1002" i="26"/>
  <c r="AD752" i="26"/>
  <c r="AD521" i="26"/>
  <c r="AD219" i="26"/>
  <c r="AD3514" i="26"/>
  <c r="AD3331" i="26"/>
  <c r="AD3167" i="26"/>
  <c r="AD3030" i="26"/>
  <c r="AD2847" i="26"/>
  <c r="AD2691" i="26"/>
  <c r="AD2502" i="26"/>
  <c r="AD2293" i="26"/>
  <c r="AD2158" i="26"/>
  <c r="AD1949" i="26"/>
  <c r="AD1792" i="26"/>
  <c r="AD1604" i="26"/>
  <c r="AD1410" i="26"/>
  <c r="AD1232" i="26"/>
  <c r="AD1013" i="26"/>
  <c r="AD808" i="26"/>
  <c r="AD507" i="26"/>
  <c r="AD201" i="26"/>
  <c r="AD985" i="26"/>
  <c r="AD786" i="26"/>
  <c r="AD621" i="26"/>
  <c r="AD406" i="26"/>
  <c r="AD141" i="26"/>
  <c r="AD3517" i="26"/>
  <c r="AD3357" i="26"/>
  <c r="AD3237" i="26"/>
  <c r="AD3085" i="26"/>
  <c r="AD2888" i="26"/>
  <c r="AD2733" i="26"/>
  <c r="AD2523" i="26"/>
  <c r="AD2367" i="26"/>
  <c r="AD2157" i="26"/>
  <c r="AD1947" i="26"/>
  <c r="AD1791" i="26"/>
  <c r="AD1581" i="26"/>
  <c r="AD1422" i="26"/>
  <c r="AD1181" i="26"/>
  <c r="AD941" i="26"/>
  <c r="AD764" i="26"/>
  <c r="AD500" i="26"/>
  <c r="AD291" i="26"/>
  <c r="AD305" i="26"/>
  <c r="AD96" i="26"/>
  <c r="AD2897" i="26"/>
  <c r="AD2737" i="26"/>
  <c r="AD2577" i="26"/>
  <c r="AD2417" i="26"/>
  <c r="AD2233" i="26"/>
  <c r="AD2097" i="26"/>
  <c r="AD1913" i="26"/>
  <c r="AD1777" i="26"/>
  <c r="AD1593" i="26"/>
  <c r="AD1403" i="26"/>
  <c r="AD1248" i="26"/>
  <c r="AD1037" i="26"/>
  <c r="AD882" i="26"/>
  <c r="AD670" i="26"/>
  <c r="AD429" i="26"/>
  <c r="AD252" i="26"/>
  <c r="AD12" i="26"/>
  <c r="AD1319" i="26"/>
  <c r="AD1135" i="26"/>
  <c r="AD951" i="26"/>
  <c r="AD815" i="26"/>
  <c r="AD623" i="26"/>
  <c r="AD468" i="26"/>
  <c r="AD257" i="26"/>
  <c r="AD75" i="26"/>
  <c r="AD586" i="26"/>
  <c r="AD426" i="26"/>
  <c r="AD266" i="26"/>
  <c r="AD106" i="26"/>
  <c r="AD3361" i="26"/>
  <c r="AD2747" i="26"/>
  <c r="AD2021" i="26"/>
  <c r="AD1337" i="26"/>
  <c r="AD3399" i="26"/>
  <c r="AD2688" i="26"/>
  <c r="AD2077" i="26"/>
  <c r="AD1402" i="26"/>
  <c r="AD3347" i="26"/>
  <c r="AD2789" i="26"/>
  <c r="AD2174" i="26"/>
  <c r="AD1386" i="26"/>
  <c r="AD3435" i="26"/>
  <c r="AD2896" i="26"/>
  <c r="AD2118" i="26"/>
  <c r="AD1504" i="26"/>
  <c r="AD3530" i="26"/>
  <c r="AD2885" i="26"/>
  <c r="AD2216" i="26"/>
  <c r="AD1603" i="26"/>
  <c r="AD3520" i="26"/>
  <c r="AD2995" i="26"/>
  <c r="AD2327" i="26"/>
  <c r="AD1602" i="26"/>
  <c r="AD310" i="26"/>
  <c r="AD3081" i="26"/>
  <c r="AD2314" i="26"/>
  <c r="AD1702" i="26"/>
  <c r="AD694" i="26"/>
  <c r="AD3032" i="26"/>
  <c r="AD2424" i="26"/>
  <c r="AD1811" i="26"/>
  <c r="AD673" i="26"/>
  <c r="AD3260" i="26"/>
  <c r="AD1024" i="26"/>
  <c r="AD716" i="26"/>
  <c r="AD437" i="26"/>
  <c r="AD101" i="26"/>
  <c r="AD3346" i="26"/>
  <c r="AD3200" i="26"/>
  <c r="AD3042" i="26"/>
  <c r="AD2854" i="26"/>
  <c r="AD2700" i="26"/>
  <c r="AD2533" i="26"/>
  <c r="AD2352" i="26"/>
  <c r="AD2186" i="26"/>
  <c r="AD2031" i="26"/>
  <c r="AD1838" i="26"/>
  <c r="AD1684" i="26"/>
  <c r="AD1516" i="26"/>
  <c r="AD1301" i="26"/>
  <c r="AD1128" i="26"/>
  <c r="AD913" i="26"/>
  <c r="AD591" i="26"/>
  <c r="AD271" i="26"/>
  <c r="AD3491" i="26"/>
  <c r="AD3320" i="26"/>
  <c r="AD3174" i="26"/>
  <c r="AD3027" i="26"/>
  <c r="AD2839" i="26"/>
  <c r="AD2672" i="26"/>
  <c r="AD2518" i="26"/>
  <c r="AD2309" i="26"/>
  <c r="AD2155" i="26"/>
  <c r="AD1988" i="26"/>
  <c r="AD1807" i="26"/>
  <c r="AD1640" i="26"/>
  <c r="AD1444" i="26"/>
  <c r="AD1189" i="26"/>
  <c r="AD978" i="26"/>
  <c r="AD662" i="26"/>
  <c r="AD245" i="26"/>
  <c r="AD3465" i="26"/>
  <c r="AD3319" i="26"/>
  <c r="AD3124" i="26"/>
  <c r="AD2948" i="26"/>
  <c r="AD2752" i="26"/>
  <c r="AD2530" i="26"/>
  <c r="AD2363" i="26"/>
  <c r="AD2167" i="26"/>
  <c r="AD1944" i="26"/>
  <c r="AD1749" i="26"/>
  <c r="AD1582" i="26"/>
  <c r="AD1346" i="26"/>
  <c r="AD1123" i="26"/>
  <c r="AD819" i="26"/>
  <c r="AD433" i="26"/>
  <c r="AD88" i="26"/>
  <c r="AD3402" i="26"/>
  <c r="AD3208" i="26"/>
  <c r="AD3036" i="26"/>
  <c r="AD2876" i="26"/>
  <c r="AD2654" i="26"/>
  <c r="AD2458" i="26"/>
  <c r="AD2264" i="26"/>
  <c r="AD2040" i="26"/>
  <c r="AD1872" i="26"/>
  <c r="AD1679" i="26"/>
  <c r="AD1455" i="26"/>
  <c r="AD1235" i="26"/>
  <c r="AD1036" i="26"/>
  <c r="AD677" i="26"/>
  <c r="AD324" i="26"/>
  <c r="AD3499" i="26"/>
  <c r="AD3303" i="26"/>
  <c r="AD3156" i="26"/>
  <c r="AD2987" i="26"/>
  <c r="AD2763" i="26"/>
  <c r="AD2570" i="26"/>
  <c r="AD2402" i="26"/>
  <c r="AD2178" i="26"/>
  <c r="AD1984" i="26"/>
  <c r="AD1788" i="26"/>
  <c r="AD1566" i="26"/>
  <c r="AD1392" i="26"/>
  <c r="AD1168" i="26"/>
  <c r="AD857" i="26"/>
  <c r="AD528" i="26"/>
  <c r="AD198" i="26"/>
  <c r="AD3425" i="26"/>
  <c r="AD3242" i="26"/>
  <c r="AD3023" i="26"/>
  <c r="AD2819" i="26"/>
  <c r="AD2539" i="26"/>
  <c r="AD2288" i="26"/>
  <c r="AD2079" i="26"/>
  <c r="AD1829" i="26"/>
  <c r="AD1620" i="26"/>
  <c r="AD1356" i="26"/>
  <c r="AD1033" i="26"/>
  <c r="AD746" i="26"/>
  <c r="AD228" i="26"/>
  <c r="AD1003" i="26"/>
  <c r="AD756" i="26"/>
  <c r="AD479" i="26"/>
  <c r="AD225" i="26"/>
  <c r="AD3488" i="26"/>
  <c r="AD3351" i="26"/>
  <c r="AD3168" i="26"/>
  <c r="AD3003" i="26"/>
  <c r="AD2838" i="26"/>
  <c r="AD2650" i="26"/>
  <c r="AD2493" i="26"/>
  <c r="AD2306" i="26"/>
  <c r="AD2096" i="26"/>
  <c r="AD1960" i="26"/>
  <c r="AD1751" i="26"/>
  <c r="AD1595" i="26"/>
  <c r="AD1400" i="26"/>
  <c r="AD1173" i="26"/>
  <c r="AD988" i="26"/>
  <c r="AD739" i="26"/>
  <c r="AD508" i="26"/>
  <c r="AD164" i="26"/>
  <c r="AD3459" i="26"/>
  <c r="AD3322" i="26"/>
  <c r="AD3158" i="26"/>
  <c r="AD3020" i="26"/>
  <c r="AD2837" i="26"/>
  <c r="AD2628" i="26"/>
  <c r="AD2492" i="26"/>
  <c r="AD2283" i="26"/>
  <c r="AD2126" i="26"/>
  <c r="AD1939" i="26"/>
  <c r="AD1750" i="26"/>
  <c r="AD1594" i="26"/>
  <c r="AD1398" i="26"/>
  <c r="AD1219" i="26"/>
  <c r="AD971" i="26"/>
  <c r="AD724" i="26"/>
  <c r="AD491" i="26"/>
  <c r="AD183" i="26"/>
  <c r="AD974" i="26"/>
  <c r="AD776" i="26"/>
  <c r="AD549" i="26"/>
  <c r="AD393" i="26"/>
  <c r="AD125" i="26"/>
  <c r="AD3493" i="26"/>
  <c r="AD3349" i="26"/>
  <c r="AD3205" i="26"/>
  <c r="AD3077" i="26"/>
  <c r="AD2879" i="26"/>
  <c r="AD2724" i="26"/>
  <c r="AD2514" i="26"/>
  <c r="AD2303" i="26"/>
  <c r="AD2148" i="26"/>
  <c r="AD1938" i="26"/>
  <c r="AD1782" i="26"/>
  <c r="AD1572" i="26"/>
  <c r="AD1349" i="26"/>
  <c r="AD1171" i="26"/>
  <c r="AD931" i="26"/>
  <c r="AD753" i="26"/>
  <c r="AD488" i="26"/>
  <c r="AD195" i="26"/>
  <c r="AD295" i="26"/>
  <c r="AD54" i="26"/>
  <c r="AD2889" i="26"/>
  <c r="AD2705" i="26"/>
  <c r="AD2545" i="26"/>
  <c r="AD2385" i="26"/>
  <c r="AD2225" i="26"/>
  <c r="AD2065" i="26"/>
  <c r="AD1905" i="26"/>
  <c r="AD1721" i="26"/>
  <c r="AD1585" i="26"/>
  <c r="AD1394" i="26"/>
  <c r="AD1238" i="26"/>
  <c r="AD1028" i="26"/>
  <c r="AD818" i="26"/>
  <c r="AD659" i="26"/>
  <c r="AD419" i="26"/>
  <c r="AD241" i="26"/>
  <c r="AD1447" i="26"/>
  <c r="AD1263" i="26"/>
  <c r="AD1127" i="26"/>
  <c r="AD943" i="26"/>
  <c r="AD807" i="26"/>
  <c r="AD614" i="26"/>
  <c r="AD404" i="26"/>
  <c r="AD248" i="26"/>
  <c r="AD38" i="26"/>
  <c r="AD578" i="26"/>
  <c r="AD394" i="26"/>
  <c r="AD234" i="26"/>
  <c r="AD74" i="26"/>
  <c r="AD3311" i="26"/>
  <c r="AD2690" i="26"/>
  <c r="AD1911" i="26"/>
  <c r="AD1274" i="26"/>
  <c r="AD3348" i="26"/>
  <c r="AD2634" i="26"/>
  <c r="AD1964" i="26"/>
  <c r="AD1336" i="26"/>
  <c r="AD3299" i="26"/>
  <c r="AD2731" i="26"/>
  <c r="AD2062" i="26"/>
  <c r="AD1323" i="26"/>
  <c r="AD3385" i="26"/>
  <c r="AD2842" i="26"/>
  <c r="AD2061" i="26"/>
  <c r="AD1450" i="26"/>
  <c r="AD3482" i="26"/>
  <c r="AD2830" i="26"/>
  <c r="AD2162" i="26"/>
  <c r="AD1548" i="26"/>
  <c r="AD3472" i="26"/>
  <c r="AD2939" i="26"/>
  <c r="AD2270" i="26"/>
  <c r="AD1492" i="26"/>
  <c r="AD78" i="26"/>
  <c r="AD3033" i="26"/>
  <c r="AD2259" i="26"/>
  <c r="AD1589" i="26"/>
  <c r="AD496" i="26"/>
  <c r="AD2981" i="26"/>
  <c r="AD2370" i="26"/>
  <c r="AD1701" i="26"/>
  <c r="AD469" i="26"/>
  <c r="AD3016" i="26"/>
  <c r="AD1006" i="26"/>
  <c r="AD693" i="26"/>
  <c r="AD415" i="26"/>
  <c r="AD68" i="26"/>
  <c r="AD3335" i="26"/>
  <c r="AD3188" i="26"/>
  <c r="AD3028" i="26"/>
  <c r="AD2840" i="26"/>
  <c r="AD2686" i="26"/>
  <c r="AD2519" i="26"/>
  <c r="AD2324" i="26"/>
  <c r="AD2172" i="26"/>
  <c r="AD2018" i="26"/>
  <c r="AD1822" i="26"/>
  <c r="AD1655" i="26"/>
  <c r="AD1503" i="26"/>
  <c r="AD1288" i="26"/>
  <c r="AD1112" i="26"/>
  <c r="AD870" i="26"/>
  <c r="AD564" i="26"/>
  <c r="AD246" i="26"/>
  <c r="AD3480" i="26"/>
  <c r="AD3308" i="26"/>
  <c r="AD3162" i="26"/>
  <c r="AD3004" i="26"/>
  <c r="AD2823" i="26"/>
  <c r="AD2656" i="26"/>
  <c r="AD2506" i="26"/>
  <c r="AD2296" i="26"/>
  <c r="AD2142" i="26"/>
  <c r="AD1975" i="26"/>
  <c r="AD1779" i="26"/>
  <c r="AD1628" i="26"/>
  <c r="AD1428" i="26"/>
  <c r="AD1176" i="26"/>
  <c r="AD954" i="26"/>
  <c r="AD639" i="26"/>
  <c r="AD214" i="26"/>
  <c r="AD3454" i="26"/>
  <c r="AD3307" i="26"/>
  <c r="AD3111" i="26"/>
  <c r="AD2935" i="26"/>
  <c r="AD2739" i="26"/>
  <c r="AD2517" i="26"/>
  <c r="AD2350" i="26"/>
  <c r="AD2154" i="26"/>
  <c r="AD1932" i="26"/>
  <c r="AD1735" i="26"/>
  <c r="AD1568" i="26"/>
  <c r="AD1332" i="26"/>
  <c r="AD1107" i="26"/>
  <c r="AD798" i="26"/>
  <c r="AD403" i="26"/>
  <c r="AD61" i="26"/>
  <c r="AD3391" i="26"/>
  <c r="AD3196" i="26"/>
  <c r="AD3025" i="26"/>
  <c r="AD2863" i="26"/>
  <c r="AD2640" i="26"/>
  <c r="AD2445" i="26"/>
  <c r="AD2250" i="26"/>
  <c r="AD2027" i="26"/>
  <c r="AD1860" i="26"/>
  <c r="AD1664" i="26"/>
  <c r="AD1441" i="26"/>
  <c r="AD1217" i="26"/>
  <c r="AD1012" i="26"/>
  <c r="AD657" i="26"/>
  <c r="AD289" i="26"/>
  <c r="AD3486" i="26"/>
  <c r="AD3291" i="26"/>
  <c r="AD3145" i="26"/>
  <c r="AD2972" i="26"/>
  <c r="AD2749" i="26"/>
  <c r="AD2554" i="26"/>
  <c r="AD2387" i="26"/>
  <c r="AD2164" i="26"/>
  <c r="AD1968" i="26"/>
  <c r="AD1775" i="26"/>
  <c r="AD1550" i="26"/>
  <c r="AD1373" i="26"/>
  <c r="AD1153" i="26"/>
  <c r="AD833" i="26"/>
  <c r="AD499" i="26"/>
  <c r="AD173" i="26"/>
  <c r="AD3411" i="26"/>
  <c r="AD3228" i="26"/>
  <c r="AD2986" i="26"/>
  <c r="AD2735" i="26"/>
  <c r="AD2526" i="26"/>
  <c r="AD2275" i="26"/>
  <c r="AD2067" i="26"/>
  <c r="AD1815" i="26"/>
  <c r="AD1536" i="26"/>
  <c r="AD1342" i="26"/>
  <c r="AD1009" i="26"/>
  <c r="AD675" i="26"/>
  <c r="AD197" i="26"/>
  <c r="AD948" i="26"/>
  <c r="AD740" i="26"/>
  <c r="AD462" i="26"/>
  <c r="AD205" i="26"/>
  <c r="AD3460" i="26"/>
  <c r="AD3296" i="26"/>
  <c r="AD3159" i="26"/>
  <c r="AD2994" i="26"/>
  <c r="AD2828" i="26"/>
  <c r="AD2639" i="26"/>
  <c r="AD2430" i="26"/>
  <c r="AD2295" i="26"/>
  <c r="AD2086" i="26"/>
  <c r="AD1930" i="26"/>
  <c r="AD1741" i="26"/>
  <c r="AD1552" i="26"/>
  <c r="AD1388" i="26"/>
  <c r="AD1162" i="26"/>
  <c r="AD976" i="26"/>
  <c r="AD697" i="26"/>
  <c r="AD412" i="26"/>
  <c r="AD145" i="26"/>
  <c r="AD3450" i="26"/>
  <c r="AD3313" i="26"/>
  <c r="AD3148" i="26"/>
  <c r="AD2963" i="26"/>
  <c r="AD2827" i="26"/>
  <c r="AD2618" i="26"/>
  <c r="AD2461" i="26"/>
  <c r="AD2272" i="26"/>
  <c r="AD2085" i="26"/>
  <c r="AD1927" i="26"/>
  <c r="AD1740" i="26"/>
  <c r="AD1583" i="26"/>
  <c r="AD1363" i="26"/>
  <c r="AD1148" i="26"/>
  <c r="AD958" i="26"/>
  <c r="AD709" i="26"/>
  <c r="AD473" i="26"/>
  <c r="AD163" i="26"/>
  <c r="AD912" i="26"/>
  <c r="AD765" i="26"/>
  <c r="AD537" i="26"/>
  <c r="AD359" i="26"/>
  <c r="AD112" i="26"/>
  <c r="AD3461" i="26"/>
  <c r="AD3341" i="26"/>
  <c r="AD3197" i="26"/>
  <c r="AD3045" i="26"/>
  <c r="AD2870" i="26"/>
  <c r="AD2660" i="26"/>
  <c r="AD2504" i="26"/>
  <c r="AD2294" i="26"/>
  <c r="AD2139" i="26"/>
  <c r="AD1928" i="26"/>
  <c r="AD1718" i="26"/>
  <c r="AD1563" i="26"/>
  <c r="AD1338" i="26"/>
  <c r="AD1161" i="26"/>
  <c r="AD921" i="26"/>
  <c r="AD679" i="26"/>
  <c r="AD476" i="26"/>
  <c r="AD181" i="26"/>
  <c r="AD284" i="26"/>
  <c r="AD44" i="26"/>
  <c r="AD2833" i="26"/>
  <c r="AD2697" i="26"/>
  <c r="AD2513" i="26"/>
  <c r="AD2377" i="26"/>
  <c r="AD2193" i="26"/>
  <c r="AD2033" i="26"/>
  <c r="AD1873" i="26"/>
  <c r="AD1713" i="26"/>
  <c r="AD1553" i="26"/>
  <c r="AD1385" i="26"/>
  <c r="AD1174" i="26"/>
  <c r="AD1019" i="26"/>
  <c r="AD809" i="26"/>
  <c r="AD648" i="26"/>
  <c r="AD408" i="26"/>
  <c r="AD168" i="26"/>
  <c r="AD1439" i="26"/>
  <c r="AD1255" i="26"/>
  <c r="AD1119" i="26"/>
  <c r="AD935" i="26"/>
  <c r="AD751" i="26"/>
  <c r="AD605" i="26"/>
  <c r="AD395" i="26"/>
  <c r="AD239" i="26"/>
  <c r="AD29" i="26"/>
  <c r="AD522" i="26"/>
  <c r="AD386" i="26"/>
  <c r="AD202" i="26"/>
  <c r="AD66" i="26"/>
  <c r="AD3338" i="26"/>
  <c r="AD3217" i="26"/>
  <c r="AD3071" i="26"/>
  <c r="AD2944" i="26"/>
  <c r="AD2803" i="26"/>
  <c r="AD2636" i="26"/>
  <c r="AD2498" i="26"/>
  <c r="AD2359" i="26"/>
  <c r="AD2191" i="26"/>
  <c r="AD2051" i="26"/>
  <c r="AD1912" i="26"/>
  <c r="AD1744" i="26"/>
  <c r="AD1606" i="26"/>
  <c r="AD1466" i="26"/>
  <c r="AD1277" i="26"/>
  <c r="AD1117" i="26"/>
  <c r="AD923" i="26"/>
  <c r="AD647" i="26"/>
  <c r="AD391" i="26"/>
  <c r="AD104" i="26"/>
  <c r="AD989" i="26"/>
  <c r="AD852" i="26"/>
  <c r="AD714" i="26"/>
  <c r="AD527" i="26"/>
  <c r="AD365" i="26"/>
  <c r="AD187" i="26"/>
  <c r="AD3524" i="26"/>
  <c r="AD3433" i="26"/>
  <c r="AD3342" i="26"/>
  <c r="AD3232" i="26"/>
  <c r="AD3140" i="26"/>
  <c r="AD3049" i="26"/>
  <c r="AD2932" i="26"/>
  <c r="AD2818" i="26"/>
  <c r="AD2712" i="26"/>
  <c r="AD2588" i="26"/>
  <c r="AD2483" i="26"/>
  <c r="AD2379" i="26"/>
  <c r="AD2253" i="26"/>
  <c r="AD2149" i="26"/>
  <c r="AD2044" i="26"/>
  <c r="AD1918" i="26"/>
  <c r="AD1814" i="26"/>
  <c r="AD1710" i="26"/>
  <c r="AD1584" i="26"/>
  <c r="AD1479" i="26"/>
  <c r="AD1353" i="26"/>
  <c r="AD1209" i="26"/>
  <c r="AD1090" i="26"/>
  <c r="AD960" i="26"/>
  <c r="AD794" i="26"/>
  <c r="AD652" i="26"/>
  <c r="AD493" i="26"/>
  <c r="AD297" i="26"/>
  <c r="AD109" i="26"/>
  <c r="AD3505" i="26"/>
  <c r="AD3395" i="26"/>
  <c r="AD3304" i="26"/>
  <c r="AD3212" i="26"/>
  <c r="AD3103" i="26"/>
  <c r="AD3011" i="26"/>
  <c r="AD2910" i="26"/>
  <c r="AD2784" i="26"/>
  <c r="AD2680" i="26"/>
  <c r="AD2575" i="26"/>
  <c r="AD2451" i="26"/>
  <c r="AD2346" i="26"/>
  <c r="AD2242" i="26"/>
  <c r="AD2116" i="26"/>
  <c r="AD2012" i="26"/>
  <c r="AD1907" i="26"/>
  <c r="AD1781" i="26"/>
  <c r="AD1677" i="26"/>
  <c r="AD1573" i="26"/>
  <c r="AD1446" i="26"/>
  <c r="AD1326" i="26"/>
  <c r="AD1208" i="26"/>
  <c r="AD1064" i="26"/>
  <c r="AD930" i="26"/>
  <c r="AD793" i="26"/>
  <c r="AD616" i="26"/>
  <c r="AD457" i="26"/>
  <c r="AD296" i="26"/>
  <c r="AD71" i="26"/>
  <c r="AD963" i="26"/>
  <c r="AD849" i="26"/>
  <c r="AD723" i="26"/>
  <c r="AD609" i="26"/>
  <c r="AD489" i="26"/>
  <c r="AD347" i="26"/>
  <c r="AD208" i="26"/>
  <c r="AD70" i="26"/>
  <c r="AD3485" i="26"/>
  <c r="AD3405" i="26"/>
  <c r="AD3325" i="26"/>
  <c r="AD3229" i="26"/>
  <c r="AD3149" i="26"/>
  <c r="AD3037" i="26"/>
  <c r="AD2943" i="26"/>
  <c r="AD2815" i="26"/>
  <c r="AD2687" i="26"/>
  <c r="AD2587" i="26"/>
  <c r="AD2459" i="26"/>
  <c r="AD2358" i="26"/>
  <c r="AD2230" i="26"/>
  <c r="AD2102" i="26"/>
  <c r="AD2002" i="26"/>
  <c r="AD1874" i="26"/>
  <c r="AD1773" i="26"/>
  <c r="AD1645" i="26"/>
  <c r="AD1517" i="26"/>
  <c r="AD1411" i="26"/>
  <c r="AD1265" i="26"/>
  <c r="AD1150" i="26"/>
  <c r="AD1004" i="26"/>
  <c r="AD858" i="26"/>
  <c r="AD742" i="26"/>
  <c r="AD583" i="26"/>
  <c r="AD453" i="26"/>
  <c r="AD278" i="26"/>
  <c r="AD81" i="26"/>
  <c r="AD273" i="26"/>
  <c r="AD127" i="26"/>
  <c r="AD13" i="26"/>
  <c r="AD2881" i="26"/>
  <c r="AD2769" i="26"/>
  <c r="AD2681" i="26"/>
  <c r="AD2569" i="26"/>
  <c r="AD2481" i="26"/>
  <c r="AD2369" i="26"/>
  <c r="AD2257" i="26"/>
  <c r="AD2169" i="26"/>
  <c r="AD2057" i="26"/>
  <c r="AD1969" i="26"/>
  <c r="AD1857" i="26"/>
  <c r="AD1745" i="26"/>
  <c r="AD1657" i="26"/>
  <c r="AD1545" i="26"/>
  <c r="AD1457" i="26"/>
  <c r="AD1330" i="26"/>
  <c r="AD1202" i="26"/>
  <c r="AD1101" i="26"/>
  <c r="AD973" i="26"/>
  <c r="AD873" i="26"/>
  <c r="AD745" i="26"/>
  <c r="AD607" i="26"/>
  <c r="AD492" i="26"/>
  <c r="AD345" i="26"/>
  <c r="AD231" i="26"/>
  <c r="AD85" i="26"/>
  <c r="AD1399" i="26"/>
  <c r="AD1311" i="26"/>
  <c r="AD1199" i="26"/>
  <c r="AD1111" i="26"/>
  <c r="AD999" i="26"/>
  <c r="AD887" i="26"/>
  <c r="AD799" i="26"/>
  <c r="AD687" i="26"/>
  <c r="AD587" i="26"/>
  <c r="AD459" i="26"/>
  <c r="AD331" i="26"/>
  <c r="AD230" i="26"/>
  <c r="AD102" i="26"/>
  <c r="AD682" i="26"/>
  <c r="AD570" i="26"/>
  <c r="AD458" i="26"/>
  <c r="AD370" i="26"/>
  <c r="AD258" i="26"/>
  <c r="AD170" i="26"/>
  <c r="AD58" i="26"/>
  <c r="AD3116" i="26"/>
  <c r="AD2635" i="26"/>
  <c r="AD2133" i="26"/>
  <c r="AD1631" i="26"/>
  <c r="AD1008" i="26"/>
  <c r="AD3252" i="26"/>
  <c r="AD2800" i="26"/>
  <c r="AD2299" i="26"/>
  <c r="AD1797" i="26"/>
  <c r="AD1273" i="26"/>
  <c r="AD3494" i="26"/>
  <c r="AD3056" i="26"/>
  <c r="AD2509" i="26"/>
  <c r="AD2007" i="26"/>
  <c r="AD1506" i="26"/>
  <c r="AD593" i="26"/>
  <c r="AD3239" i="26"/>
  <c r="AD2787" i="26"/>
  <c r="AD2286" i="26"/>
  <c r="AD1726" i="26"/>
  <c r="AD1194" i="26"/>
  <c r="AD3434" i="26"/>
  <c r="AD2996" i="26"/>
  <c r="AD2496" i="26"/>
  <c r="AD1995" i="26"/>
  <c r="AD1493" i="26"/>
  <c r="AD341" i="26"/>
  <c r="AD3179" i="26"/>
  <c r="AD2717" i="26"/>
  <c r="AD2215" i="26"/>
  <c r="AD1714" i="26"/>
  <c r="AD1178" i="26"/>
  <c r="AD3420" i="26"/>
  <c r="AD2927" i="26"/>
  <c r="AD2426" i="26"/>
  <c r="AD1924" i="26"/>
  <c r="AD1418" i="26"/>
  <c r="AD286" i="26"/>
  <c r="AD3166" i="26"/>
  <c r="AD2703" i="26"/>
  <c r="AD2144" i="26"/>
  <c r="AD1643" i="26"/>
  <c r="AD1027" i="26"/>
  <c r="AD3456" i="26"/>
  <c r="AD1145" i="26"/>
  <c r="AD980" i="26"/>
  <c r="AD784" i="26"/>
  <c r="AD543" i="26"/>
  <c r="AD309" i="26"/>
  <c r="AD3529" i="26"/>
  <c r="AD3383" i="26"/>
  <c r="AD3262" i="26"/>
  <c r="AD3152" i="26"/>
  <c r="AD3017" i="26"/>
  <c r="AD2883" i="26"/>
  <c r="AD2757" i="26"/>
  <c r="AD2631" i="26"/>
  <c r="AD2507" i="26"/>
  <c r="AD2381" i="26"/>
  <c r="AD2255" i="26"/>
  <c r="AD2131" i="26"/>
  <c r="AD1989" i="26"/>
  <c r="AD1863" i="26"/>
  <c r="AD1739" i="26"/>
  <c r="AD1613" i="26"/>
  <c r="AD1487" i="26"/>
  <c r="AD1350" i="26"/>
  <c r="AD1206" i="26"/>
  <c r="AD1044" i="26"/>
  <c r="AD844" i="26"/>
  <c r="AD640" i="26"/>
  <c r="AD409" i="26"/>
  <c r="AD156" i="26"/>
  <c r="AD3466" i="26"/>
  <c r="AD3356" i="26"/>
  <c r="AD3224" i="26"/>
  <c r="AD3114" i="26"/>
  <c r="AD2991" i="26"/>
  <c r="AD2866" i="26"/>
  <c r="AD2740" i="26"/>
  <c r="AD2615" i="26"/>
  <c r="AD2490" i="26"/>
  <c r="AD2351" i="26"/>
  <c r="AD2213" i="26"/>
  <c r="AD2087" i="26"/>
  <c r="AD1962" i="26"/>
  <c r="AD1836" i="26"/>
  <c r="AD1711" i="26"/>
  <c r="AD1557" i="26"/>
  <c r="AD1414" i="26"/>
  <c r="AD1252" i="26"/>
  <c r="AD1060" i="26"/>
  <c r="AD843" i="26"/>
  <c r="AD612" i="26"/>
  <c r="AD301" i="26"/>
  <c r="AD3538" i="26"/>
  <c r="AD3417" i="26"/>
  <c r="AD3271" i="26"/>
  <c r="AD3147" i="26"/>
  <c r="AD3026" i="26"/>
  <c r="AD2864" i="26"/>
  <c r="AD2726" i="26"/>
  <c r="AD2584" i="26"/>
  <c r="AD2418" i="26"/>
  <c r="AD2279" i="26"/>
  <c r="AD2141" i="26"/>
  <c r="AD1973" i="26"/>
  <c r="AD1832" i="26"/>
  <c r="AD1694" i="26"/>
  <c r="AD1527" i="26"/>
  <c r="AD1379" i="26"/>
  <c r="AD1218" i="26"/>
  <c r="AD1020" i="26"/>
  <c r="AD773" i="26"/>
  <c r="AD531" i="26"/>
  <c r="AD213" i="26"/>
  <c r="AD3500" i="26"/>
  <c r="AD3379" i="26"/>
  <c r="AD3233" i="26"/>
  <c r="AD3110" i="26"/>
  <c r="AD2988" i="26"/>
  <c r="AD2821" i="26"/>
  <c r="AD2683" i="26"/>
  <c r="AD2542" i="26"/>
  <c r="AD2374" i="26"/>
  <c r="AD2236" i="26"/>
  <c r="AD2098" i="26"/>
  <c r="AD1931" i="26"/>
  <c r="AD1789" i="26"/>
  <c r="AD1651" i="26"/>
  <c r="AD1484" i="26"/>
  <c r="AD1331" i="26"/>
  <c r="AD1169" i="26"/>
  <c r="AD949" i="26"/>
  <c r="AD729" i="26"/>
  <c r="AD480" i="26"/>
  <c r="AD143" i="26"/>
  <c r="AD3474" i="26"/>
  <c r="AD3353" i="26"/>
  <c r="AD3207" i="26"/>
  <c r="AD3083" i="26"/>
  <c r="AD2958" i="26"/>
  <c r="AD2791" i="26"/>
  <c r="AD2653" i="26"/>
  <c r="AD2511" i="26"/>
  <c r="AD2344" i="26"/>
  <c r="AD2206" i="26"/>
  <c r="AD2068" i="26"/>
  <c r="AD1900" i="26"/>
  <c r="AD1759" i="26"/>
  <c r="AD1621" i="26"/>
  <c r="AD1454" i="26"/>
  <c r="AD1296" i="26"/>
  <c r="AD1134" i="26"/>
  <c r="AD901" i="26"/>
  <c r="AD676" i="26"/>
  <c r="AD423" i="26"/>
  <c r="AD80" i="26"/>
  <c r="AD3448" i="26"/>
  <c r="AD3327" i="26"/>
  <c r="AD3180" i="26"/>
  <c r="AD3059" i="26"/>
  <c r="AD2928" i="26"/>
  <c r="AD2762" i="26"/>
  <c r="AD2622" i="26"/>
  <c r="AD2484" i="26"/>
  <c r="AD2317" i="26"/>
  <c r="AD2176" i="26"/>
  <c r="AD2037" i="26"/>
  <c r="AD1870" i="26"/>
  <c r="AD1732" i="26"/>
  <c r="AD1591" i="26"/>
  <c r="AD1419" i="26"/>
  <c r="AD1261" i="26"/>
  <c r="AD1104" i="26"/>
  <c r="AD856" i="26"/>
  <c r="AD625" i="26"/>
  <c r="AD372" i="26"/>
  <c r="AD21" i="26"/>
  <c r="AD977" i="26"/>
  <c r="AD840" i="26"/>
  <c r="AD671" i="26"/>
  <c r="AD509" i="26"/>
  <c r="AD351" i="26"/>
  <c r="AD132" i="26"/>
  <c r="AD3515" i="26"/>
  <c r="AD3424" i="26"/>
  <c r="AD3314" i="26"/>
  <c r="AD3223" i="26"/>
  <c r="AD3131" i="26"/>
  <c r="AD3022" i="26"/>
  <c r="AD2922" i="26"/>
  <c r="AD2807" i="26"/>
  <c r="AD2682" i="26"/>
  <c r="AD2576" i="26"/>
  <c r="AD2472" i="26"/>
  <c r="AD2347" i="26"/>
  <c r="AD2243" i="26"/>
  <c r="AD2138" i="26"/>
  <c r="AD2013" i="26"/>
  <c r="AD1908" i="26"/>
  <c r="AD1804" i="26"/>
  <c r="AD1678" i="26"/>
  <c r="AD1574" i="26"/>
  <c r="AD1469" i="26"/>
  <c r="AD1316" i="26"/>
  <c r="AD1197" i="26"/>
  <c r="AD1078" i="26"/>
  <c r="AD917" i="26"/>
  <c r="AD780" i="26"/>
  <c r="AD636" i="26"/>
  <c r="AD445" i="26"/>
  <c r="AD277" i="26"/>
  <c r="AD91" i="26"/>
  <c r="AD3478" i="26"/>
  <c r="AD3386" i="26"/>
  <c r="AD3295" i="26"/>
  <c r="AD3185" i="26"/>
  <c r="AD3094" i="26"/>
  <c r="AD3002" i="26"/>
  <c r="AD2878" i="26"/>
  <c r="AD2774" i="26"/>
  <c r="AD2670" i="26"/>
  <c r="AD2544" i="26"/>
  <c r="AD2439" i="26"/>
  <c r="AD2335" i="26"/>
  <c r="AD2210" i="26"/>
  <c r="AD2106" i="26"/>
  <c r="AD2000" i="26"/>
  <c r="AD1876" i="26"/>
  <c r="AD1771" i="26"/>
  <c r="AD1667" i="26"/>
  <c r="AD1541" i="26"/>
  <c r="AD1435" i="26"/>
  <c r="AD1315" i="26"/>
  <c r="AD1172" i="26"/>
  <c r="AD1052" i="26"/>
  <c r="AD916" i="26"/>
  <c r="AD750" i="26"/>
  <c r="AD601" i="26"/>
  <c r="AD444" i="26"/>
  <c r="AD238" i="26"/>
  <c r="AD51" i="26"/>
  <c r="AD953" i="26"/>
  <c r="AD817" i="26"/>
  <c r="AD713" i="26"/>
  <c r="AD598" i="26"/>
  <c r="AD454" i="26"/>
  <c r="AD334" i="26"/>
  <c r="AD196" i="26"/>
  <c r="AD28" i="26"/>
  <c r="AD3477" i="26"/>
  <c r="AD3397" i="26"/>
  <c r="AD3301" i="26"/>
  <c r="AD3221" i="26"/>
  <c r="AD3141" i="26"/>
  <c r="AD3029" i="26"/>
  <c r="AD2907" i="26"/>
  <c r="AD2806" i="26"/>
  <c r="AD2678" i="26"/>
  <c r="AD2578" i="26"/>
  <c r="AD2450" i="26"/>
  <c r="AD2322" i="26"/>
  <c r="AD2221" i="26"/>
  <c r="AD2093" i="26"/>
  <c r="AD1992" i="26"/>
  <c r="AD1864" i="26"/>
  <c r="AD1736" i="26"/>
  <c r="AD1636" i="26"/>
  <c r="AD1508" i="26"/>
  <c r="AD1401" i="26"/>
  <c r="AD1254" i="26"/>
  <c r="AD1108" i="26"/>
  <c r="AD994" i="26"/>
  <c r="AD848" i="26"/>
  <c r="AD732" i="26"/>
  <c r="AD572" i="26"/>
  <c r="AD405" i="26"/>
  <c r="AD264" i="26"/>
  <c r="AD69" i="26"/>
  <c r="AD263" i="26"/>
  <c r="AD117" i="26"/>
  <c r="AD2961" i="26"/>
  <c r="AD2873" i="26"/>
  <c r="AD2761" i="26"/>
  <c r="AD2673" i="26"/>
  <c r="AD2561" i="26"/>
  <c r="AD2449" i="26"/>
  <c r="AD2361" i="26"/>
  <c r="AD2249" i="26"/>
  <c r="AD2161" i="26"/>
  <c r="AD2049" i="26"/>
  <c r="AD1937" i="26"/>
  <c r="AD1849" i="26"/>
  <c r="AD1737" i="26"/>
  <c r="AD1649" i="26"/>
  <c r="AD1537" i="26"/>
  <c r="AD1421" i="26"/>
  <c r="AD1321" i="26"/>
  <c r="AD1193" i="26"/>
  <c r="AD1092" i="26"/>
  <c r="AD964" i="26"/>
  <c r="AD836" i="26"/>
  <c r="AD736" i="26"/>
  <c r="AD597" i="26"/>
  <c r="AD481" i="26"/>
  <c r="AD335" i="26"/>
  <c r="AD189" i="26"/>
  <c r="AD73" i="26"/>
  <c r="AD1391" i="26"/>
  <c r="AD1303" i="26"/>
  <c r="AD1191" i="26"/>
  <c r="AD1079" i="26"/>
  <c r="AD991" i="26"/>
  <c r="AD879" i="26"/>
  <c r="AD791" i="26"/>
  <c r="AD678" i="26"/>
  <c r="AD550" i="26"/>
  <c r="AD449" i="26"/>
  <c r="AD321" i="26"/>
  <c r="AD221" i="26"/>
  <c r="AD93" i="26"/>
  <c r="AD650" i="26"/>
  <c r="AD562" i="26"/>
  <c r="AD450" i="26"/>
  <c r="AD362" i="26"/>
  <c r="AD250" i="26"/>
  <c r="AD138" i="26"/>
  <c r="AD50" i="26"/>
  <c r="AD3507" i="26"/>
  <c r="AD3070" i="26"/>
  <c r="AD2580" i="26"/>
  <c r="AD2078" i="26"/>
  <c r="AD1576" i="26"/>
  <c r="AD646" i="26"/>
  <c r="AD3202" i="26"/>
  <c r="AD2746" i="26"/>
  <c r="AD2244" i="26"/>
  <c r="AD1742" i="26"/>
  <c r="AD1210" i="26"/>
  <c r="AD3446" i="26"/>
  <c r="AD2956" i="26"/>
  <c r="AD2454" i="26"/>
  <c r="AD1952" i="26"/>
  <c r="AD1451" i="26"/>
  <c r="AD390" i="26"/>
  <c r="AD3191" i="26"/>
  <c r="AD2730" i="26"/>
  <c r="AD2173" i="26"/>
  <c r="AD1671" i="26"/>
  <c r="AD1099" i="26"/>
  <c r="AD3384" i="26"/>
  <c r="AD2940" i="26"/>
  <c r="AD2438" i="26"/>
  <c r="AD1936" i="26"/>
  <c r="AD1371" i="26"/>
  <c r="AD103" i="26"/>
  <c r="AD3129" i="26"/>
  <c r="AD2662" i="26"/>
  <c r="AD2160" i="26"/>
  <c r="AD1659" i="26"/>
  <c r="AD1069" i="26"/>
  <c r="AD3324" i="26"/>
  <c r="AD2872" i="26"/>
  <c r="AD2371" i="26"/>
  <c r="AD1869" i="26"/>
  <c r="AD1355" i="26"/>
  <c r="AD46" i="26"/>
  <c r="AD3118" i="26"/>
  <c r="AD2591" i="26"/>
  <c r="AD2090" i="26"/>
  <c r="AD1588" i="26"/>
  <c r="AD853" i="26"/>
  <c r="AD3358" i="26"/>
  <c r="AD1131" i="26"/>
  <c r="AD957" i="26"/>
  <c r="AD737" i="26"/>
  <c r="AD517" i="26"/>
  <c r="AD281" i="26"/>
  <c r="AD3504" i="26"/>
  <c r="AD3371" i="26"/>
  <c r="AD3248" i="26"/>
  <c r="AD3138" i="26"/>
  <c r="AD2992" i="26"/>
  <c r="AD2867" i="26"/>
  <c r="AD2741" i="26"/>
  <c r="AD2616" i="26"/>
  <c r="AD2491" i="26"/>
  <c r="AD2365" i="26"/>
  <c r="AD2240" i="26"/>
  <c r="AD2101" i="26"/>
  <c r="AD1976" i="26"/>
  <c r="AD1851" i="26"/>
  <c r="AD1725" i="26"/>
  <c r="AD1600" i="26"/>
  <c r="AD1475" i="26"/>
  <c r="AD1334" i="26"/>
  <c r="AD1177" i="26"/>
  <c r="AD1022" i="26"/>
  <c r="AD825" i="26"/>
  <c r="AD613" i="26"/>
  <c r="AD387" i="26"/>
  <c r="AD123" i="26"/>
  <c r="AD3455" i="26"/>
  <c r="AD3334" i="26"/>
  <c r="AD3210" i="26"/>
  <c r="AD3100" i="26"/>
  <c r="AD2978" i="26"/>
  <c r="AD2853" i="26"/>
  <c r="AD2727" i="26"/>
  <c r="AD2602" i="26"/>
  <c r="AD2463" i="26"/>
  <c r="AD2338" i="26"/>
  <c r="AD2197" i="26"/>
  <c r="AD2071" i="26"/>
  <c r="AD1946" i="26"/>
  <c r="AD1821" i="26"/>
  <c r="AD1695" i="26"/>
  <c r="AD1543" i="26"/>
  <c r="AD1396" i="26"/>
  <c r="AD1237" i="26"/>
  <c r="AD1040" i="26"/>
  <c r="AD820" i="26"/>
  <c r="AD582" i="26"/>
  <c r="AD270" i="26"/>
  <c r="AD3527" i="26"/>
  <c r="AD3403" i="26"/>
  <c r="AD3257" i="26"/>
  <c r="AD3136" i="26"/>
  <c r="AD3015" i="26"/>
  <c r="AD2851" i="26"/>
  <c r="AD2710" i="26"/>
  <c r="AD2572" i="26"/>
  <c r="AD2405" i="26"/>
  <c r="AD2266" i="26"/>
  <c r="AD2125" i="26"/>
  <c r="AD1958" i="26"/>
  <c r="AD1820" i="26"/>
  <c r="AD1680" i="26"/>
  <c r="AD1514" i="26"/>
  <c r="AD1362" i="26"/>
  <c r="AD1204" i="26"/>
  <c r="AD996" i="26"/>
  <c r="AD749" i="26"/>
  <c r="AD505" i="26"/>
  <c r="AD176" i="26"/>
  <c r="AD3489" i="26"/>
  <c r="AD3366" i="26"/>
  <c r="AD3219" i="26"/>
  <c r="AD3098" i="26"/>
  <c r="AD2975" i="26"/>
  <c r="AD2808" i="26"/>
  <c r="AD2667" i="26"/>
  <c r="AD2528" i="26"/>
  <c r="AD2362" i="26"/>
  <c r="AD2223" i="26"/>
  <c r="AD2082" i="26"/>
  <c r="AD1915" i="26"/>
  <c r="AD1776" i="26"/>
  <c r="AD1638" i="26"/>
  <c r="AD1470" i="26"/>
  <c r="AD1313" i="26"/>
  <c r="AD1154" i="26"/>
  <c r="AD925" i="26"/>
  <c r="AD705" i="26"/>
  <c r="AD452" i="26"/>
  <c r="AD118" i="26"/>
  <c r="AD3463" i="26"/>
  <c r="AD3339" i="26"/>
  <c r="AD3193" i="26"/>
  <c r="AD3072" i="26"/>
  <c r="AD2946" i="26"/>
  <c r="AD2778" i="26"/>
  <c r="AD2637" i="26"/>
  <c r="AD2499" i="26"/>
  <c r="AD2332" i="26"/>
  <c r="AD2192" i="26"/>
  <c r="AD2052" i="26"/>
  <c r="AD1885" i="26"/>
  <c r="AD1747" i="26"/>
  <c r="AD1607" i="26"/>
  <c r="AD1438" i="26"/>
  <c r="AD1278" i="26"/>
  <c r="AD1121" i="26"/>
  <c r="AD883" i="26"/>
  <c r="AD654" i="26"/>
  <c r="AD400" i="26"/>
  <c r="AD49" i="26"/>
  <c r="AD3436" i="26"/>
  <c r="AD3315" i="26"/>
  <c r="AD3169" i="26"/>
  <c r="AD3046" i="26"/>
  <c r="AD2915" i="26"/>
  <c r="AD2748" i="26"/>
  <c r="AD2610" i="26"/>
  <c r="AD2469" i="26"/>
  <c r="AD2301" i="26"/>
  <c r="AD2163" i="26"/>
  <c r="AD2024" i="26"/>
  <c r="AD1858" i="26"/>
  <c r="AD1716" i="26"/>
  <c r="AD1578" i="26"/>
  <c r="AD1405" i="26"/>
  <c r="AD1246" i="26"/>
  <c r="AD1085" i="26"/>
  <c r="AD832" i="26"/>
  <c r="AD599" i="26"/>
  <c r="AD342" i="26"/>
  <c r="AD2901" i="26"/>
  <c r="AD961" i="26"/>
  <c r="AD824" i="26"/>
  <c r="AD653" i="26"/>
  <c r="AD494" i="26"/>
  <c r="AD336" i="26"/>
  <c r="AD113" i="26"/>
  <c r="AD3506" i="26"/>
  <c r="AD3415" i="26"/>
  <c r="AD3305" i="26"/>
  <c r="AD3214" i="26"/>
  <c r="AD3122" i="26"/>
  <c r="AD3012" i="26"/>
  <c r="AD2911" i="26"/>
  <c r="AD2796" i="26"/>
  <c r="AD2671" i="26"/>
  <c r="AD2566" i="26"/>
  <c r="AD2462" i="26"/>
  <c r="AD2336" i="26"/>
  <c r="AD2232" i="26"/>
  <c r="AD2127" i="26"/>
  <c r="AD2003" i="26"/>
  <c r="AD1898" i="26"/>
  <c r="AD1794" i="26"/>
  <c r="AD1668" i="26"/>
  <c r="AD1564" i="26"/>
  <c r="AD1459" i="26"/>
  <c r="AD1305" i="26"/>
  <c r="AD1186" i="26"/>
  <c r="AD1066" i="26"/>
  <c r="AD905" i="26"/>
  <c r="AD768" i="26"/>
  <c r="AD619" i="26"/>
  <c r="AD427" i="26"/>
  <c r="AD259" i="26"/>
  <c r="AD72" i="26"/>
  <c r="AD3468" i="26"/>
  <c r="AD3377" i="26"/>
  <c r="AD3286" i="26"/>
  <c r="AD3176" i="26"/>
  <c r="AD3084" i="26"/>
  <c r="AD2993" i="26"/>
  <c r="AD2868" i="26"/>
  <c r="AD2764" i="26"/>
  <c r="AD2659" i="26"/>
  <c r="AD2534" i="26"/>
  <c r="AD2429" i="26"/>
  <c r="AD2325" i="26"/>
  <c r="AD2199" i="26"/>
  <c r="AD2095" i="26"/>
  <c r="AD1990" i="26"/>
  <c r="AD1866" i="26"/>
  <c r="AD1760" i="26"/>
  <c r="AD1656" i="26"/>
  <c r="AD1531" i="26"/>
  <c r="AD1424" i="26"/>
  <c r="AD1304" i="26"/>
  <c r="AD1160" i="26"/>
  <c r="AD1041" i="26"/>
  <c r="AD904" i="26"/>
  <c r="AD738" i="26"/>
  <c r="AD588" i="26"/>
  <c r="AD425" i="26"/>
  <c r="AD217" i="26"/>
  <c r="AD35" i="26"/>
  <c r="AD942" i="26"/>
  <c r="AD806" i="26"/>
  <c r="AD702" i="26"/>
  <c r="AD584" i="26"/>
  <c r="AD443" i="26"/>
  <c r="AD320" i="26"/>
  <c r="AD182" i="26"/>
  <c r="AD15" i="26"/>
  <c r="AD3469" i="26"/>
  <c r="AD3389" i="26"/>
  <c r="AD3293" i="26"/>
  <c r="AD3213" i="26"/>
  <c r="AD3109" i="26"/>
  <c r="AD3021" i="26"/>
  <c r="AD2898" i="26"/>
  <c r="AD2797" i="26"/>
  <c r="AD2669" i="26"/>
  <c r="AD2541" i="26"/>
  <c r="AD2440" i="26"/>
  <c r="AD2312" i="26"/>
  <c r="AD2212" i="26"/>
  <c r="AD2084" i="26"/>
  <c r="AD1956" i="26"/>
  <c r="AD1855" i="26"/>
  <c r="AD1727" i="26"/>
  <c r="AD1627" i="26"/>
  <c r="AD1499" i="26"/>
  <c r="AD1360" i="26"/>
  <c r="AD1244" i="26"/>
  <c r="AD1098" i="26"/>
  <c r="AD984" i="26"/>
  <c r="AD837" i="26"/>
  <c r="AD691" i="26"/>
  <c r="AD560" i="26"/>
  <c r="AD392" i="26"/>
  <c r="AD249" i="26"/>
  <c r="AD55" i="26"/>
  <c r="AD222" i="26"/>
  <c r="AD107" i="26"/>
  <c r="AD2953" i="26"/>
  <c r="AD2865" i="26"/>
  <c r="AD2753" i="26"/>
  <c r="AD2641" i="26"/>
  <c r="AD2553" i="26"/>
  <c r="AD2441" i="26"/>
  <c r="AD2353" i="26"/>
  <c r="AD2241" i="26"/>
  <c r="AD2129" i="26"/>
  <c r="AD2041" i="26"/>
  <c r="AD1929" i="26"/>
  <c r="AD1841" i="26"/>
  <c r="AD1729" i="26"/>
  <c r="AD1617" i="26"/>
  <c r="AD1529" i="26"/>
  <c r="AD1412" i="26"/>
  <c r="AD1312" i="26"/>
  <c r="AD1184" i="26"/>
  <c r="AD1056" i="26"/>
  <c r="AD955" i="26"/>
  <c r="AD827" i="26"/>
  <c r="AD726" i="26"/>
  <c r="AD585" i="26"/>
  <c r="AD439" i="26"/>
  <c r="AD325" i="26"/>
  <c r="AD179" i="26"/>
  <c r="AD63" i="26"/>
  <c r="AD1383" i="26"/>
  <c r="AD1271" i="26"/>
  <c r="AD1183" i="26"/>
  <c r="AD1071" i="26"/>
  <c r="AD983" i="26"/>
  <c r="AD871" i="26"/>
  <c r="AD759" i="26"/>
  <c r="AD669" i="26"/>
  <c r="AD541" i="26"/>
  <c r="AD440" i="26"/>
  <c r="AD312" i="26"/>
  <c r="AD184" i="26"/>
  <c r="AD84" i="26"/>
  <c r="AD642" i="26"/>
  <c r="AD554" i="26"/>
  <c r="AD442" i="26"/>
  <c r="AD330" i="26"/>
  <c r="AD242" i="26"/>
  <c r="AD130" i="26"/>
  <c r="AD42" i="26"/>
  <c r="AD3133" i="26"/>
  <c r="AD3069" i="26"/>
  <c r="AD3005" i="26"/>
  <c r="AD2934" i="26"/>
  <c r="AD2861" i="26"/>
  <c r="AD2788" i="26"/>
  <c r="AD2715" i="26"/>
  <c r="AD2642" i="26"/>
  <c r="AD2568" i="26"/>
  <c r="AD2495" i="26"/>
  <c r="AD2422" i="26"/>
  <c r="AD2349" i="26"/>
  <c r="AD2276" i="26"/>
  <c r="AD2203" i="26"/>
  <c r="AD2130" i="26"/>
  <c r="AD2056" i="26"/>
  <c r="AD1983" i="26"/>
  <c r="AD1910" i="26"/>
  <c r="AD1837" i="26"/>
  <c r="AD1764" i="26"/>
  <c r="AD1691" i="26"/>
  <c r="AD1618" i="26"/>
  <c r="AD1544" i="26"/>
  <c r="AD1471" i="26"/>
  <c r="AD1390" i="26"/>
  <c r="AD1307" i="26"/>
  <c r="AD1224" i="26"/>
  <c r="AD1140" i="26"/>
  <c r="AD1057" i="26"/>
  <c r="AD972" i="26"/>
  <c r="AD889" i="26"/>
  <c r="AD805" i="26"/>
  <c r="AD722" i="26"/>
  <c r="AD631" i="26"/>
  <c r="AD536" i="26"/>
  <c r="AD441" i="26"/>
  <c r="AD344" i="26"/>
  <c r="AD236" i="26"/>
  <c r="AD124" i="26"/>
  <c r="AD14" i="26"/>
  <c r="AD253" i="26"/>
  <c r="AD169" i="26"/>
  <c r="AD86" i="26"/>
  <c r="AD2985" i="26"/>
  <c r="AD2921" i="26"/>
  <c r="AD2857" i="26"/>
  <c r="AD2793" i="26"/>
  <c r="AD2729" i="26"/>
  <c r="AD2665" i="26"/>
  <c r="AD2601" i="26"/>
  <c r="AD2537" i="26"/>
  <c r="AD2473" i="26"/>
  <c r="AD2409" i="26"/>
  <c r="AD2345" i="26"/>
  <c r="AD2281" i="26"/>
  <c r="AD2217" i="26"/>
  <c r="AD2153" i="26"/>
  <c r="AD2089" i="26"/>
  <c r="AD2025" i="26"/>
  <c r="AD1961" i="26"/>
  <c r="AD1897" i="26"/>
  <c r="AD1833" i="26"/>
  <c r="AD1769" i="26"/>
  <c r="AD1705" i="26"/>
  <c r="AD1641" i="26"/>
  <c r="AD1577" i="26"/>
  <c r="AD1513" i="26"/>
  <c r="AD1449" i="26"/>
  <c r="AD1376" i="26"/>
  <c r="AD1302" i="26"/>
  <c r="AD1229" i="26"/>
  <c r="AD1156" i="26"/>
  <c r="AD1083" i="26"/>
  <c r="AD1010" i="26"/>
  <c r="AD937" i="26"/>
  <c r="AD864" i="26"/>
  <c r="AD790" i="26"/>
  <c r="AD717" i="26"/>
  <c r="AD638" i="26"/>
  <c r="AD555" i="26"/>
  <c r="AD471" i="26"/>
  <c r="AD388" i="26"/>
  <c r="AD304" i="26"/>
  <c r="AD220" i="26"/>
  <c r="AD136" i="26"/>
  <c r="AD53" i="26"/>
  <c r="AD1423" i="26"/>
  <c r="AD1359" i="26"/>
  <c r="AD1295" i="26"/>
  <c r="AD1231" i="26"/>
  <c r="AD1167" i="26"/>
  <c r="AD1103" i="26"/>
  <c r="AD1039" i="26"/>
  <c r="AD975" i="26"/>
  <c r="AD911" i="26"/>
  <c r="AD847" i="26"/>
  <c r="AD783" i="26"/>
  <c r="AD719" i="26"/>
  <c r="AD651" i="26"/>
  <c r="AD577" i="26"/>
  <c r="AD504" i="26"/>
  <c r="AD431" i="26"/>
  <c r="AD358" i="26"/>
  <c r="AD285" i="26"/>
  <c r="AD212" i="26"/>
  <c r="AD139" i="26"/>
  <c r="AD65" i="26"/>
  <c r="AD674" i="26"/>
  <c r="AD610" i="26"/>
  <c r="AD546" i="26"/>
  <c r="AD482" i="26"/>
  <c r="AD418" i="26"/>
  <c r="AD354" i="26"/>
  <c r="AD290" i="26"/>
  <c r="AD226" i="26"/>
  <c r="AD162" i="26"/>
  <c r="AD98" i="26"/>
  <c r="AD34" i="26"/>
  <c r="AD1586" i="26"/>
  <c r="AD1474" i="26"/>
  <c r="AD1347" i="26"/>
  <c r="AD1222" i="26"/>
  <c r="AD1094" i="26"/>
  <c r="AD929" i="26"/>
  <c r="AD757" i="26"/>
  <c r="AD563" i="26"/>
  <c r="AD355" i="26"/>
  <c r="AD121" i="26"/>
  <c r="AD3490" i="26"/>
  <c r="AD3392" i="26"/>
  <c r="AD3294" i="26"/>
  <c r="AD3198" i="26"/>
  <c r="AD3099" i="26"/>
  <c r="AD3001" i="26"/>
  <c r="AD2893" i="26"/>
  <c r="AD2781" i="26"/>
  <c r="AD2668" i="26"/>
  <c r="AD2558" i="26"/>
  <c r="AD2446" i="26"/>
  <c r="AD2334" i="26"/>
  <c r="AD2224" i="26"/>
  <c r="AD2112" i="26"/>
  <c r="AD1999" i="26"/>
  <c r="AD1890" i="26"/>
  <c r="AD1778" i="26"/>
  <c r="AD1666" i="26"/>
  <c r="AD1556" i="26"/>
  <c r="AD1442" i="26"/>
  <c r="AD1314" i="26"/>
  <c r="AD1188" i="26"/>
  <c r="AD1059" i="26"/>
  <c r="AD885" i="26"/>
  <c r="AD686" i="26"/>
  <c r="AD483" i="26"/>
  <c r="AD269" i="26"/>
  <c r="AD30" i="26"/>
  <c r="AD3452" i="26"/>
  <c r="AD3354" i="26"/>
  <c r="AD3256" i="26"/>
  <c r="AD3160" i="26"/>
  <c r="AD3062" i="26"/>
  <c r="AD2959" i="26"/>
  <c r="AD2850" i="26"/>
  <c r="AD2738" i="26"/>
  <c r="AD2626" i="26"/>
  <c r="AD2516" i="26"/>
  <c r="AD2403" i="26"/>
  <c r="AD2291" i="26"/>
  <c r="AD2181" i="26"/>
  <c r="AD2069" i="26"/>
  <c r="AD1957" i="26"/>
  <c r="AD1847" i="26"/>
  <c r="AD1734" i="26"/>
  <c r="AD1622" i="26"/>
  <c r="AD1512" i="26"/>
  <c r="AD1393" i="26"/>
  <c r="AD1264" i="26"/>
  <c r="AD1139" i="26"/>
  <c r="AD993" i="26"/>
  <c r="AD814" i="26"/>
  <c r="AD629" i="26"/>
  <c r="AD424" i="26"/>
  <c r="AD206" i="26"/>
  <c r="AD3522" i="26"/>
  <c r="AD3426" i="26"/>
  <c r="AD3328" i="26"/>
  <c r="AD3230" i="26"/>
  <c r="AD3134" i="26"/>
  <c r="AD3035" i="26"/>
  <c r="AD2930" i="26"/>
  <c r="AD2820" i="26"/>
  <c r="AD2708" i="26"/>
  <c r="AD2595" i="26"/>
  <c r="AD2485" i="26"/>
  <c r="AD2373" i="26"/>
  <c r="AD2261" i="26"/>
  <c r="AD2151" i="26"/>
  <c r="AD2039" i="26"/>
  <c r="AD1926" i="26"/>
  <c r="AD1816" i="26"/>
  <c r="AD1704" i="26"/>
  <c r="AD1592" i="26"/>
  <c r="AD1483" i="26"/>
  <c r="AD1358" i="26"/>
  <c r="AD1230" i="26"/>
  <c r="AD1105" i="26"/>
  <c r="AD944" i="26"/>
  <c r="AD770" i="26"/>
  <c r="AD579" i="26"/>
  <c r="AD373" i="26"/>
  <c r="AD142" i="26"/>
  <c r="AD3498" i="26"/>
  <c r="AD3400" i="26"/>
  <c r="AD3302" i="26"/>
  <c r="AD3206" i="26"/>
  <c r="AD3107" i="26"/>
  <c r="AD3009" i="26"/>
  <c r="AD2902" i="26"/>
  <c r="AD2790" i="26"/>
  <c r="AD2677" i="26"/>
  <c r="AD2567" i="26"/>
  <c r="AD2455" i="26"/>
  <c r="AD2343" i="26"/>
  <c r="AD2234" i="26"/>
  <c r="AD2122" i="26"/>
  <c r="AD2008" i="26"/>
  <c r="AD1899" i="26"/>
  <c r="AD1787" i="26"/>
  <c r="AD1675" i="26"/>
  <c r="AD1565" i="26"/>
  <c r="AD1452" i="26"/>
  <c r="AD1324" i="26"/>
  <c r="AD1198" i="26"/>
  <c r="AD1070" i="26"/>
  <c r="AD898" i="26"/>
  <c r="AD720" i="26"/>
  <c r="AD519" i="26"/>
  <c r="AD318" i="26"/>
  <c r="AD79" i="26"/>
  <c r="AD1032" i="26"/>
  <c r="AD920" i="26"/>
  <c r="AD811" i="26"/>
  <c r="AD698" i="26"/>
  <c r="AD574" i="26"/>
  <c r="AD446" i="26"/>
  <c r="AD317" i="26"/>
  <c r="AD171" i="26"/>
  <c r="AD19" i="26"/>
  <c r="AD3479" i="26"/>
  <c r="AD3406" i="26"/>
  <c r="AD3332" i="26"/>
  <c r="AD3259" i="26"/>
  <c r="AD3186" i="26"/>
  <c r="AD3113" i="26"/>
  <c r="AD3040" i="26"/>
  <c r="AD2964" i="26"/>
  <c r="AD2869" i="26"/>
  <c r="AD2786" i="26"/>
  <c r="AD2702" i="26"/>
  <c r="AD2619" i="26"/>
  <c r="AD2535" i="26"/>
  <c r="AD2452" i="26"/>
  <c r="AD2368" i="26"/>
  <c r="AD2284" i="26"/>
  <c r="AD2200" i="26"/>
  <c r="AD2117" i="26"/>
  <c r="AD2034" i="26"/>
  <c r="AD1950" i="26"/>
  <c r="AD1867" i="26"/>
  <c r="AD1783" i="26"/>
  <c r="AD1699" i="26"/>
  <c r="AD1615" i="26"/>
  <c r="AD1532" i="26"/>
  <c r="AD1448" i="26"/>
  <c r="AD1341" i="26"/>
  <c r="AD1245" i="26"/>
  <c r="AD1149" i="26"/>
  <c r="AD1053" i="26"/>
  <c r="AD947" i="26"/>
  <c r="AD835" i="26"/>
  <c r="AD725" i="26"/>
  <c r="AD603" i="26"/>
  <c r="AD475" i="26"/>
  <c r="AD350" i="26"/>
  <c r="AD204" i="26"/>
  <c r="AD52" i="26"/>
  <c r="AD3496" i="26"/>
  <c r="AD3423" i="26"/>
  <c r="AD3350" i="26"/>
  <c r="AD3276" i="26"/>
  <c r="AD3203" i="26"/>
  <c r="AD3130" i="26"/>
  <c r="AD3057" i="26"/>
  <c r="AD2983" i="26"/>
  <c r="AD2900" i="26"/>
  <c r="AD2816" i="26"/>
  <c r="AD2732" i="26"/>
  <c r="AD2648" i="26"/>
  <c r="AD2565" i="26"/>
  <c r="AD2482" i="26"/>
  <c r="AD2398" i="26"/>
  <c r="AD2315" i="26"/>
  <c r="AD2231" i="26"/>
  <c r="AD2147" i="26"/>
  <c r="AD2063" i="26"/>
  <c r="AD1980" i="26"/>
  <c r="AD1896" i="26"/>
  <c r="AD1813" i="26"/>
  <c r="AD1730" i="26"/>
  <c r="AD1646" i="26"/>
  <c r="AD1562" i="26"/>
  <c r="AD1478" i="26"/>
  <c r="AD1387" i="26"/>
  <c r="AD1291" i="26"/>
  <c r="AD1196" i="26"/>
  <c r="AD1100" i="26"/>
  <c r="AD1000" i="26"/>
  <c r="AD892" i="26"/>
  <c r="AD779" i="26"/>
  <c r="AD664" i="26"/>
  <c r="AD539" i="26"/>
  <c r="AD411" i="26"/>
  <c r="AD275" i="26"/>
  <c r="AD128" i="26"/>
  <c r="AD1016" i="26"/>
  <c r="AD932" i="26"/>
  <c r="AD838" i="26"/>
  <c r="AD755" i="26"/>
  <c r="AD668" i="26"/>
  <c r="AD573" i="26"/>
  <c r="AD478" i="26"/>
  <c r="AD382" i="26"/>
  <c r="AD279" i="26"/>
  <c r="AD167" i="26"/>
  <c r="AD57" i="26"/>
  <c r="AD3509" i="26"/>
  <c r="AD3445" i="26"/>
  <c r="AD3381" i="26"/>
  <c r="AD3317" i="26"/>
  <c r="AD3253" i="26"/>
  <c r="AD3189" i="26"/>
  <c r="AD3125" i="26"/>
  <c r="AD3061" i="26"/>
  <c r="AD2997" i="26"/>
  <c r="AD2925" i="26"/>
  <c r="AD2852" i="26"/>
  <c r="AD2779" i="26"/>
  <c r="AD2706" i="26"/>
  <c r="AD2632" i="26"/>
  <c r="AD2559" i="26"/>
  <c r="AD2486" i="26"/>
  <c r="AD2413" i="26"/>
  <c r="AD2340" i="26"/>
  <c r="AD2267" i="26"/>
  <c r="AD2194" i="26"/>
  <c r="AD2120" i="26"/>
  <c r="AD2047" i="26"/>
  <c r="AD1974" i="26"/>
  <c r="AD1901" i="26"/>
  <c r="AD1828" i="26"/>
  <c r="AD1755" i="26"/>
  <c r="AD1682" i="26"/>
  <c r="AD1608" i="26"/>
  <c r="AD1535" i="26"/>
  <c r="AD1462" i="26"/>
  <c r="AD1380" i="26"/>
  <c r="AD1297" i="26"/>
  <c r="AD1213" i="26"/>
  <c r="AD1130" i="26"/>
  <c r="AD1045" i="26"/>
  <c r="AD962" i="26"/>
  <c r="AD878" i="26"/>
  <c r="AD795" i="26"/>
  <c r="AD712" i="26"/>
  <c r="AD620" i="26"/>
  <c r="AD525" i="26"/>
  <c r="AD428" i="26"/>
  <c r="AD333" i="26"/>
  <c r="AD223" i="26"/>
  <c r="AD110" i="26"/>
  <c r="AD326" i="26"/>
  <c r="AD243" i="26"/>
  <c r="AD159" i="26"/>
  <c r="AD76" i="26"/>
  <c r="AD2977" i="26"/>
  <c r="AD2913" i="26"/>
  <c r="AD2849" i="26"/>
  <c r="AD2785" i="26"/>
  <c r="AD2721" i="26"/>
  <c r="AD2657" i="26"/>
  <c r="AD2593" i="26"/>
  <c r="AD2529" i="26"/>
  <c r="AD2465" i="26"/>
  <c r="AD2401" i="26"/>
  <c r="AD2337" i="26"/>
  <c r="AD2273" i="26"/>
  <c r="AD2209" i="26"/>
  <c r="AD2145" i="26"/>
  <c r="AD2081" i="26"/>
  <c r="AD2017" i="26"/>
  <c r="AD1953" i="26"/>
  <c r="AD1889" i="26"/>
  <c r="AD1825" i="26"/>
  <c r="AD1761" i="26"/>
  <c r="AD1697" i="26"/>
  <c r="AD1633" i="26"/>
  <c r="AD1569" i="26"/>
  <c r="AD1505" i="26"/>
  <c r="AD1440" i="26"/>
  <c r="AD1366" i="26"/>
  <c r="AD1293" i="26"/>
  <c r="AD1220" i="26"/>
  <c r="AD1147" i="26"/>
  <c r="AD1074" i="26"/>
  <c r="AD1001" i="26"/>
  <c r="AD928" i="26"/>
  <c r="AD854" i="26"/>
  <c r="AD781" i="26"/>
  <c r="AD708" i="26"/>
  <c r="AD628" i="26"/>
  <c r="AD544" i="26"/>
  <c r="AD461" i="26"/>
  <c r="AD377" i="26"/>
  <c r="AD293" i="26"/>
  <c r="AD209" i="26"/>
  <c r="AD126" i="26"/>
  <c r="AD43" i="26"/>
  <c r="AD1415" i="26"/>
  <c r="AD1351" i="26"/>
  <c r="AD1287" i="26"/>
  <c r="AD1223" i="26"/>
  <c r="AD1159" i="26"/>
  <c r="AD1095" i="26"/>
  <c r="AD1031" i="26"/>
  <c r="AD967" i="26"/>
  <c r="AD903" i="26"/>
  <c r="AD839" i="26"/>
  <c r="AD775" i="26"/>
  <c r="AD711" i="26"/>
  <c r="AD641" i="26"/>
  <c r="AD568" i="26"/>
  <c r="AD495" i="26"/>
  <c r="AD422" i="26"/>
  <c r="AD349" i="26"/>
  <c r="AD276" i="26"/>
  <c r="AD203" i="26"/>
  <c r="AD129" i="26"/>
  <c r="AD56" i="26"/>
  <c r="AD666" i="26"/>
  <c r="AD602" i="26"/>
  <c r="AD538" i="26"/>
  <c r="AD474" i="26"/>
  <c r="AD410" i="26"/>
  <c r="AD346" i="26"/>
  <c r="AD282" i="26"/>
  <c r="AD218" i="26"/>
  <c r="AD154" i="26"/>
  <c r="AD90" i="26"/>
  <c r="AD26" i="26"/>
  <c r="AD3263" i="26"/>
  <c r="AD2856" i="26"/>
  <c r="AD2412" i="26"/>
  <c r="AD1966" i="26"/>
  <c r="AD1519" i="26"/>
  <c r="AD830" i="26"/>
  <c r="AD3300" i="26"/>
  <c r="AD2912" i="26"/>
  <c r="AD2466" i="26"/>
  <c r="AD2019" i="26"/>
  <c r="AD1575" i="26"/>
  <c r="AD981" i="26"/>
  <c r="AD3398" i="26"/>
  <c r="AD3008" i="26"/>
  <c r="AD2564" i="26"/>
  <c r="AD2119" i="26"/>
  <c r="AD1674" i="26"/>
  <c r="AD1195" i="26"/>
  <c r="AD3483" i="26"/>
  <c r="AD3102" i="26"/>
  <c r="AD2675" i="26"/>
  <c r="AD2228" i="26"/>
  <c r="AD1784" i="26"/>
  <c r="AD1322" i="26"/>
  <c r="AD134" i="26"/>
  <c r="AD3190" i="26"/>
  <c r="AD2773" i="26"/>
  <c r="AD2328" i="26"/>
  <c r="AD1882" i="26"/>
  <c r="AD1434" i="26"/>
  <c r="AD545" i="26"/>
  <c r="AD3275" i="26"/>
  <c r="AD2884" i="26"/>
  <c r="AD2437" i="26"/>
  <c r="AD1994" i="26"/>
  <c r="AD1547" i="26"/>
  <c r="AD897" i="26"/>
  <c r="AD3372" i="26"/>
  <c r="AD2982" i="26"/>
  <c r="AD2538" i="26"/>
  <c r="AD2091" i="26"/>
  <c r="AD1644" i="26"/>
  <c r="AD1164" i="26"/>
  <c r="AD3458" i="26"/>
  <c r="AD3080" i="26"/>
  <c r="AD2646" i="26"/>
  <c r="AD2202" i="26"/>
  <c r="AD1756" i="26"/>
  <c r="AD1289" i="26"/>
  <c r="AD45" i="26"/>
  <c r="AD3516" i="26"/>
  <c r="AD1097" i="26"/>
  <c r="AD938" i="26"/>
  <c r="AD760" i="26"/>
  <c r="AD566" i="26"/>
  <c r="AD361" i="26"/>
  <c r="AD133" i="26"/>
  <c r="AD3431" i="26"/>
  <c r="AD3321" i="26"/>
  <c r="AD3225" i="26"/>
  <c r="AD3127" i="26"/>
  <c r="AD3006" i="26"/>
  <c r="AD2895" i="26"/>
  <c r="AD2783" i="26"/>
  <c r="AD2674" i="26"/>
  <c r="AD2562" i="26"/>
  <c r="AD2448" i="26"/>
  <c r="AD2339" i="26"/>
  <c r="AD2227" i="26"/>
  <c r="AD2115" i="26"/>
  <c r="AD2005" i="26"/>
  <c r="AD1893" i="26"/>
  <c r="AD1780" i="26"/>
  <c r="AD1670" i="26"/>
  <c r="AD1558" i="26"/>
  <c r="AD1445" i="26"/>
  <c r="AD1320" i="26"/>
  <c r="AD1190" i="26"/>
  <c r="AD1061" i="26"/>
  <c r="AD888" i="26"/>
  <c r="AD715" i="26"/>
  <c r="AD516" i="26"/>
  <c r="AD302" i="26"/>
  <c r="AD39" i="26"/>
  <c r="AD3443" i="26"/>
  <c r="AD3345" i="26"/>
  <c r="AD3235" i="26"/>
  <c r="AD3137" i="26"/>
  <c r="AD3041" i="26"/>
  <c r="AD2923" i="26"/>
  <c r="AD2811" i="26"/>
  <c r="AD2699" i="26"/>
  <c r="AD2589" i="26"/>
  <c r="AD2476" i="26"/>
  <c r="AD2364" i="26"/>
  <c r="AD2238" i="26"/>
  <c r="AD2128" i="26"/>
  <c r="AD2016" i="26"/>
  <c r="AD1904" i="26"/>
  <c r="AD1795" i="26"/>
  <c r="AD1683" i="26"/>
  <c r="AD1570" i="26"/>
  <c r="AD1460" i="26"/>
  <c r="AD1333" i="26"/>
  <c r="AD1205" i="26"/>
  <c r="AD1080" i="26"/>
  <c r="AD908" i="26"/>
  <c r="AD731" i="26"/>
  <c r="AD533" i="26"/>
  <c r="AD328" i="26"/>
  <c r="AD94" i="26"/>
  <c r="AD3476" i="26"/>
  <c r="AD3380" i="26"/>
  <c r="AD3282" i="26"/>
  <c r="AD3184" i="26"/>
  <c r="AD3088" i="26"/>
  <c r="AD2990" i="26"/>
  <c r="AD2877" i="26"/>
  <c r="AD2767" i="26"/>
  <c r="AD2655" i="26"/>
  <c r="AD2543" i="26"/>
  <c r="AD2434" i="26"/>
  <c r="AD2320" i="26"/>
  <c r="AD2208" i="26"/>
  <c r="AD2099" i="26"/>
  <c r="AD1987" i="26"/>
  <c r="AD1875" i="26"/>
  <c r="AD1765" i="26"/>
  <c r="AD1652" i="26"/>
  <c r="AD1540" i="26"/>
  <c r="AD1427" i="26"/>
  <c r="AD1299" i="26"/>
  <c r="AD1170" i="26"/>
  <c r="AD1038" i="26"/>
  <c r="AD842" i="26"/>
  <c r="AD661" i="26"/>
  <c r="AD455" i="26"/>
  <c r="AD235" i="26"/>
  <c r="AD3537" i="26"/>
  <c r="AD3439" i="26"/>
  <c r="AD3343" i="26"/>
  <c r="AD3244" i="26"/>
  <c r="AD3146" i="26"/>
  <c r="AD3050" i="26"/>
  <c r="AD2947" i="26"/>
  <c r="AD2835" i="26"/>
  <c r="AD2725" i="26"/>
  <c r="AD2612" i="26"/>
  <c r="AD2500" i="26"/>
  <c r="AD2390" i="26"/>
  <c r="AD2278" i="26"/>
  <c r="AD2165" i="26"/>
  <c r="AD2055" i="26"/>
  <c r="AD1943" i="26"/>
  <c r="AD1831" i="26"/>
  <c r="AD1722" i="26"/>
  <c r="AD1610" i="26"/>
  <c r="AD1496" i="26"/>
  <c r="AD1378" i="26"/>
  <c r="AD1250" i="26"/>
  <c r="AD1122" i="26"/>
  <c r="AD969" i="26"/>
  <c r="AD792" i="26"/>
  <c r="AD606" i="26"/>
  <c r="AD401" i="26"/>
  <c r="AD174" i="26"/>
  <c r="AD3511" i="26"/>
  <c r="AD3412" i="26"/>
  <c r="AD3316" i="26"/>
  <c r="AD3218" i="26"/>
  <c r="AD3120" i="26"/>
  <c r="AD3024" i="26"/>
  <c r="AD2917" i="26"/>
  <c r="AD2804" i="26"/>
  <c r="AD2694" i="26"/>
  <c r="AD2582" i="26"/>
  <c r="AD2470" i="26"/>
  <c r="AD2360" i="26"/>
  <c r="AD2247" i="26"/>
  <c r="AD2135" i="26"/>
  <c r="AD2026" i="26"/>
  <c r="AD1914" i="26"/>
  <c r="AD1802" i="26"/>
  <c r="AD1692" i="26"/>
  <c r="AD1579" i="26"/>
  <c r="AD1467" i="26"/>
  <c r="AD1344" i="26"/>
  <c r="AD1216" i="26"/>
  <c r="AD1086" i="26"/>
  <c r="AD924" i="26"/>
  <c r="AD747" i="26"/>
  <c r="AD551" i="26"/>
  <c r="AD343" i="26"/>
  <c r="AD115" i="26"/>
  <c r="AD3484" i="26"/>
  <c r="AD3388" i="26"/>
  <c r="AD3290" i="26"/>
  <c r="AD3192" i="26"/>
  <c r="AD3096" i="26"/>
  <c r="AD2998" i="26"/>
  <c r="AD2886" i="26"/>
  <c r="AD2776" i="26"/>
  <c r="AD2664" i="26"/>
  <c r="AD2552" i="26"/>
  <c r="AD2443" i="26"/>
  <c r="AD2330" i="26"/>
  <c r="AD2218" i="26"/>
  <c r="AD2108" i="26"/>
  <c r="AD1996" i="26"/>
  <c r="AD1884" i="26"/>
  <c r="AD1774" i="26"/>
  <c r="AD1661" i="26"/>
  <c r="AD1549" i="26"/>
  <c r="AD1437" i="26"/>
  <c r="AD1309" i="26"/>
  <c r="AD1180" i="26"/>
  <c r="AD1050" i="26"/>
  <c r="AD875" i="26"/>
  <c r="AD700" i="26"/>
  <c r="AD497" i="26"/>
  <c r="AD287" i="26"/>
  <c r="AD48" i="26"/>
  <c r="AD1018" i="26"/>
  <c r="AD906" i="26"/>
  <c r="AD797" i="26"/>
  <c r="AD685" i="26"/>
  <c r="AD557" i="26"/>
  <c r="AD432" i="26"/>
  <c r="AD299" i="26"/>
  <c r="AD150" i="26"/>
  <c r="AD3543" i="26"/>
  <c r="AD3470" i="26"/>
  <c r="AD3396" i="26"/>
  <c r="AD3323" i="26"/>
  <c r="AD3250" i="26"/>
  <c r="AD3177" i="26"/>
  <c r="AD3104" i="26"/>
  <c r="AD3031" i="26"/>
  <c r="AD2954" i="26"/>
  <c r="AD2859" i="26"/>
  <c r="AD2775" i="26"/>
  <c r="AD2692" i="26"/>
  <c r="AD2608" i="26"/>
  <c r="AD2525" i="26"/>
  <c r="AD2442" i="26"/>
  <c r="AD2357" i="26"/>
  <c r="AD2274" i="26"/>
  <c r="AD2190" i="26"/>
  <c r="AD2107" i="26"/>
  <c r="AD2023" i="26"/>
  <c r="AD1940" i="26"/>
  <c r="AD1856" i="26"/>
  <c r="AD1772" i="26"/>
  <c r="AD1688" i="26"/>
  <c r="AD1605" i="26"/>
  <c r="AD1522" i="26"/>
  <c r="AD1436" i="26"/>
  <c r="AD1329" i="26"/>
  <c r="AD1233" i="26"/>
  <c r="AD1137" i="26"/>
  <c r="AD1042" i="26"/>
  <c r="AD933" i="26"/>
  <c r="AD822" i="26"/>
  <c r="AD710" i="26"/>
  <c r="AD589" i="26"/>
  <c r="AD460" i="26"/>
  <c r="AD332" i="26"/>
  <c r="AD185" i="26"/>
  <c r="AD36" i="26"/>
  <c r="AD3487" i="26"/>
  <c r="AD3414" i="26"/>
  <c r="AD3340" i="26"/>
  <c r="AD3267" i="26"/>
  <c r="AD3194" i="26"/>
  <c r="AD3121" i="26"/>
  <c r="AD3048" i="26"/>
  <c r="AD2973" i="26"/>
  <c r="AD2890" i="26"/>
  <c r="AD2805" i="26"/>
  <c r="AD2722" i="26"/>
  <c r="AD2638" i="26"/>
  <c r="AD2555" i="26"/>
  <c r="AD2471" i="26"/>
  <c r="AD2388" i="26"/>
  <c r="AD2304" i="26"/>
  <c r="AD2220" i="26"/>
  <c r="AD2136" i="26"/>
  <c r="AD2053" i="26"/>
  <c r="AD1970" i="26"/>
  <c r="AD1886" i="26"/>
  <c r="AD1803" i="26"/>
  <c r="AD1719" i="26"/>
  <c r="AD1635" i="26"/>
  <c r="AD1551" i="26"/>
  <c r="AD1468" i="26"/>
  <c r="AD1374" i="26"/>
  <c r="AD1280" i="26"/>
  <c r="AD1185" i="26"/>
  <c r="AD1089" i="26"/>
  <c r="AD987" i="26"/>
  <c r="AD876" i="26"/>
  <c r="AD766" i="26"/>
  <c r="AD649" i="26"/>
  <c r="AD520" i="26"/>
  <c r="AD396" i="26"/>
  <c r="AD256" i="26"/>
  <c r="AD108" i="26"/>
  <c r="AD1005" i="26"/>
  <c r="AD922" i="26"/>
  <c r="AD828" i="26"/>
  <c r="AD744" i="26"/>
  <c r="AD656" i="26"/>
  <c r="AD561" i="26"/>
  <c r="AD465" i="26"/>
  <c r="AD371" i="26"/>
  <c r="AD265" i="26"/>
  <c r="AD153" i="26"/>
  <c r="AD41" i="26"/>
  <c r="AD3501" i="26"/>
  <c r="AD3437" i="26"/>
  <c r="AD3373" i="26"/>
  <c r="AD3309" i="26"/>
  <c r="AD3245" i="26"/>
  <c r="AD3181" i="26"/>
  <c r="AD3117" i="26"/>
  <c r="AD3053" i="26"/>
  <c r="AD2989" i="26"/>
  <c r="AD2916" i="26"/>
  <c r="AD2843" i="26"/>
  <c r="AD2770" i="26"/>
  <c r="AD2696" i="26"/>
  <c r="AD2623" i="26"/>
  <c r="AD2550" i="26"/>
  <c r="AD2477" i="26"/>
  <c r="AD2404" i="26"/>
  <c r="AD2331" i="26"/>
  <c r="AD2258" i="26"/>
  <c r="AD2184" i="26"/>
  <c r="AD2111" i="26"/>
  <c r="AD2038" i="26"/>
  <c r="AD1965" i="26"/>
  <c r="AD1892" i="26"/>
  <c r="AD1819" i="26"/>
  <c r="AD1746" i="26"/>
  <c r="AD1672" i="26"/>
  <c r="AD1599" i="26"/>
  <c r="AD1526" i="26"/>
  <c r="AD1453" i="26"/>
  <c r="AD1370" i="26"/>
  <c r="AD1286" i="26"/>
  <c r="AD1203" i="26"/>
  <c r="AD1118" i="26"/>
  <c r="AD1035" i="26"/>
  <c r="AD952" i="26"/>
  <c r="AD868" i="26"/>
  <c r="AD785" i="26"/>
  <c r="AD701" i="26"/>
  <c r="AD608" i="26"/>
  <c r="AD511" i="26"/>
  <c r="AD416" i="26"/>
  <c r="AD319" i="26"/>
  <c r="AD207" i="26"/>
  <c r="AD97" i="26"/>
  <c r="AD316" i="26"/>
  <c r="AD232" i="26"/>
  <c r="AD149" i="26"/>
  <c r="AD64" i="26"/>
  <c r="AD2969" i="26"/>
  <c r="AD2905" i="26"/>
  <c r="AD2841" i="26"/>
  <c r="AD2777" i="26"/>
  <c r="AD2713" i="26"/>
  <c r="AD2649" i="26"/>
  <c r="AD2585" i="26"/>
  <c r="AD2521" i="26"/>
  <c r="AD2457" i="26"/>
  <c r="AD2393" i="26"/>
  <c r="AD2329" i="26"/>
  <c r="AD2265" i="26"/>
  <c r="AD2201" i="26"/>
  <c r="AD2137" i="26"/>
  <c r="AD2073" i="26"/>
  <c r="AD2009" i="26"/>
  <c r="AD1945" i="26"/>
  <c r="AD1881" i="26"/>
  <c r="AD1817" i="26"/>
  <c r="AD1753" i="26"/>
  <c r="AD1689" i="26"/>
  <c r="AD1625" i="26"/>
  <c r="AD1561" i="26"/>
  <c r="AD1497" i="26"/>
  <c r="AD1430" i="26"/>
  <c r="AD1357" i="26"/>
  <c r="AD1284" i="26"/>
  <c r="AD1211" i="26"/>
  <c r="AD1138" i="26"/>
  <c r="AD1065" i="26"/>
  <c r="AD992" i="26"/>
  <c r="AD918" i="26"/>
  <c r="AD845" i="26"/>
  <c r="AD772" i="26"/>
  <c r="AD699" i="26"/>
  <c r="AD617" i="26"/>
  <c r="AD534" i="26"/>
  <c r="AD451" i="26"/>
  <c r="AD366" i="26"/>
  <c r="AD283" i="26"/>
  <c r="AD199" i="26"/>
  <c r="AD116" i="26"/>
  <c r="AD32" i="26"/>
  <c r="AD1407" i="26"/>
  <c r="AD1343" i="26"/>
  <c r="AD1279" i="26"/>
  <c r="AD1215" i="26"/>
  <c r="AD1151" i="26"/>
  <c r="AD1087" i="26"/>
  <c r="AD1023" i="26"/>
  <c r="AD959" i="26"/>
  <c r="AD895" i="26"/>
  <c r="AD831" i="26"/>
  <c r="AD767" i="26"/>
  <c r="AD703" i="26"/>
  <c r="AD632" i="26"/>
  <c r="AD559" i="26"/>
  <c r="AD486" i="26"/>
  <c r="AD413" i="26"/>
  <c r="AD340" i="26"/>
  <c r="AD267" i="26"/>
  <c r="AD193" i="26"/>
  <c r="AD120" i="26"/>
  <c r="AD47" i="26"/>
  <c r="AD658" i="26"/>
  <c r="AD594" i="26"/>
  <c r="AD530" i="26"/>
  <c r="AD466" i="26"/>
  <c r="AD402" i="26"/>
  <c r="AD338" i="26"/>
  <c r="AD274" i="26"/>
  <c r="AD210" i="26"/>
  <c r="AD146" i="26"/>
  <c r="AD82" i="26"/>
  <c r="AD18" i="26"/>
  <c r="F15" i="6"/>
  <c r="M2" i="4" a="1"/>
  <c r="M33" i="4"/>
  <c r="M7" i="4"/>
  <c r="M9" i="4"/>
  <c r="M51" i="4"/>
  <c r="M45" i="4"/>
  <c r="M39" i="4"/>
  <c r="M48" i="4"/>
  <c r="M30" i="4"/>
  <c r="M36" i="4"/>
  <c r="M46" i="4"/>
  <c r="M47" i="4"/>
  <c r="M55" i="4"/>
  <c r="M18" i="4"/>
  <c r="M15" i="4"/>
  <c r="M32" i="4"/>
  <c r="M41" i="4"/>
  <c r="M16" i="4"/>
  <c r="M40" i="4"/>
  <c r="M2" i="4"/>
  <c r="M50" i="4"/>
  <c r="M11" i="4"/>
  <c r="M26" i="4"/>
  <c r="M13" i="4"/>
  <c r="M24" i="4"/>
  <c r="M10" i="4"/>
  <c r="M19" i="4"/>
  <c r="M43" i="4"/>
  <c r="M27" i="4"/>
  <c r="M29" i="4"/>
  <c r="M23" i="4"/>
  <c r="M44" i="4"/>
  <c r="M28" i="4"/>
  <c r="M3" i="4"/>
  <c r="M17" i="4"/>
  <c r="M35" i="4"/>
  <c r="M34" i="4"/>
  <c r="M5" i="4"/>
  <c r="M8" i="4"/>
  <c r="M31" i="4"/>
  <c r="M12" i="4"/>
  <c r="M54" i="4"/>
  <c r="M49" i="4"/>
  <c r="M37" i="4"/>
  <c r="M53" i="4"/>
  <c r="M42" i="4"/>
  <c r="M6" i="4"/>
  <c r="M4" i="4"/>
  <c r="M25" i="4"/>
  <c r="M20" i="4"/>
  <c r="M21" i="4"/>
  <c r="M52" i="4"/>
  <c r="M14" i="4"/>
  <c r="M38" i="4"/>
  <c r="M22" i="4"/>
  <c r="AA9" i="26"/>
  <c r="J2" i="4"/>
  <c r="AA11" i="26" a="1"/>
  <c r="AA13" i="26"/>
  <c r="AB13" i="26"/>
  <c r="AA21" i="26"/>
  <c r="AB21" i="26" s="1"/>
  <c r="AA29" i="26"/>
  <c r="AB29" i="26"/>
  <c r="AA37" i="26"/>
  <c r="AB37" i="26" s="1"/>
  <c r="AA45" i="26"/>
  <c r="AB45" i="26" s="1"/>
  <c r="AA53" i="26"/>
  <c r="AB53" i="26" s="1"/>
  <c r="AA61" i="26"/>
  <c r="AB61" i="26"/>
  <c r="AA69" i="26"/>
  <c r="AB69" i="26" s="1"/>
  <c r="AA77" i="26"/>
  <c r="AB77" i="26"/>
  <c r="AA85" i="26"/>
  <c r="AB85" i="26" s="1"/>
  <c r="AA93" i="26"/>
  <c r="AB93" i="26" s="1"/>
  <c r="AA101" i="26"/>
  <c r="AB101" i="26" s="1"/>
  <c r="AA109" i="26"/>
  <c r="AB109" i="26"/>
  <c r="AA117" i="26"/>
  <c r="AB117" i="26" s="1"/>
  <c r="AA125" i="26"/>
  <c r="AB125" i="26"/>
  <c r="AA133" i="26"/>
  <c r="AB133" i="26" s="1"/>
  <c r="AA141" i="26"/>
  <c r="AB141" i="26" s="1"/>
  <c r="AA149" i="26"/>
  <c r="AB149" i="26" s="1"/>
  <c r="AA157" i="26"/>
  <c r="AB157" i="26"/>
  <c r="AA165" i="26"/>
  <c r="AB165" i="26" s="1"/>
  <c r="AA173" i="26"/>
  <c r="AB173" i="26"/>
  <c r="AA181" i="26"/>
  <c r="AB181" i="26" s="1"/>
  <c r="AA189" i="26"/>
  <c r="AB189" i="26" s="1"/>
  <c r="AA197" i="26"/>
  <c r="AB197" i="26" s="1"/>
  <c r="AA205" i="26"/>
  <c r="AB205" i="26"/>
  <c r="AA213" i="26"/>
  <c r="AB213" i="26" s="1"/>
  <c r="AA221" i="26"/>
  <c r="AB221" i="26" s="1"/>
  <c r="AA229" i="26"/>
  <c r="AB229" i="26" s="1"/>
  <c r="AA237" i="26"/>
  <c r="AB237" i="26"/>
  <c r="AA245" i="26"/>
  <c r="AB245" i="26" s="1"/>
  <c r="AA253" i="26"/>
  <c r="AB253" i="26"/>
  <c r="AA261" i="26"/>
  <c r="AB261" i="26" s="1"/>
  <c r="AA269" i="26"/>
  <c r="AB269" i="26" s="1"/>
  <c r="AA277" i="26"/>
  <c r="AB277" i="26" s="1"/>
  <c r="AA285" i="26"/>
  <c r="AB285" i="26"/>
  <c r="AA293" i="26"/>
  <c r="AB293" i="26" s="1"/>
  <c r="AA301" i="26"/>
  <c r="AB301" i="26"/>
  <c r="AA309" i="26"/>
  <c r="AB309" i="26" s="1"/>
  <c r="AA317" i="26"/>
  <c r="AB317" i="26" s="1"/>
  <c r="AA325" i="26"/>
  <c r="AB325" i="26" s="1"/>
  <c r="AA333" i="26"/>
  <c r="AB333" i="26"/>
  <c r="AA341" i="26"/>
  <c r="AB341" i="26" s="1"/>
  <c r="AA349" i="26"/>
  <c r="AB349" i="26" s="1"/>
  <c r="AA357" i="26"/>
  <c r="AB357" i="26" s="1"/>
  <c r="AA365" i="26"/>
  <c r="AB365" i="26"/>
  <c r="AA373" i="26"/>
  <c r="AB373" i="26" s="1"/>
  <c r="AA381" i="26"/>
  <c r="AB381" i="26" s="1"/>
  <c r="AA389" i="26"/>
  <c r="AB389" i="26" s="1"/>
  <c r="AA397" i="26"/>
  <c r="AB397" i="26"/>
  <c r="AA405" i="26"/>
  <c r="AB405" i="26" s="1"/>
  <c r="AA413" i="26"/>
  <c r="AB413" i="26"/>
  <c r="AA421" i="26"/>
  <c r="AB421" i="26" s="1"/>
  <c r="AA429" i="26"/>
  <c r="AB429" i="26" s="1"/>
  <c r="AA437" i="26"/>
  <c r="AB437" i="26" s="1"/>
  <c r="AA445" i="26"/>
  <c r="AB445" i="26"/>
  <c r="AA453" i="26"/>
  <c r="AB453" i="26" s="1"/>
  <c r="AA461" i="26"/>
  <c r="AB461" i="26"/>
  <c r="AA469" i="26"/>
  <c r="AB469" i="26" s="1"/>
  <c r="AA477" i="26"/>
  <c r="AB477" i="26" s="1"/>
  <c r="AA485" i="26"/>
  <c r="AB485" i="26" s="1"/>
  <c r="AA493" i="26"/>
  <c r="AB493" i="26"/>
  <c r="AA501" i="26"/>
  <c r="AB501" i="26" s="1"/>
  <c r="AA509" i="26"/>
  <c r="AB509" i="26"/>
  <c r="AA517" i="26"/>
  <c r="AB517" i="26" s="1"/>
  <c r="AA525" i="26"/>
  <c r="AB525" i="26"/>
  <c r="AA533" i="26"/>
  <c r="AB533" i="26" s="1"/>
  <c r="AA541" i="26"/>
  <c r="AB541" i="26"/>
  <c r="AA549" i="26"/>
  <c r="AB549" i="26" s="1"/>
  <c r="AA557" i="26"/>
  <c r="AB557" i="26" s="1"/>
  <c r="AA565" i="26"/>
  <c r="AB565" i="26" s="1"/>
  <c r="AA573" i="26"/>
  <c r="AB573" i="26"/>
  <c r="AA581" i="26"/>
  <c r="AB581" i="26" s="1"/>
  <c r="AA589" i="26"/>
  <c r="AB589" i="26"/>
  <c r="AA597" i="26"/>
  <c r="AB597" i="26" s="1"/>
  <c r="AA605" i="26"/>
  <c r="AB605" i="26" s="1"/>
  <c r="AA613" i="26"/>
  <c r="AB613" i="26" s="1"/>
  <c r="AA621" i="26"/>
  <c r="AB621" i="26"/>
  <c r="AA629" i="26"/>
  <c r="AB629" i="26" s="1"/>
  <c r="AA637" i="26"/>
  <c r="AB637" i="26"/>
  <c r="AA645" i="26"/>
  <c r="AB645" i="26" s="1"/>
  <c r="AA653" i="26"/>
  <c r="AB653" i="26" s="1"/>
  <c r="AA661" i="26"/>
  <c r="AB661" i="26" s="1"/>
  <c r="AA669" i="26"/>
  <c r="AB669" i="26"/>
  <c r="AA677" i="26"/>
  <c r="AB677" i="26" s="1"/>
  <c r="AA685" i="26"/>
  <c r="AB685" i="26"/>
  <c r="AA693" i="26"/>
  <c r="AB693" i="26" s="1"/>
  <c r="AA701" i="26"/>
  <c r="AB701" i="26"/>
  <c r="AA709" i="26"/>
  <c r="AB709" i="26" s="1"/>
  <c r="AA717" i="26"/>
  <c r="AB717" i="26"/>
  <c r="AA725" i="26"/>
  <c r="AB725" i="26" s="1"/>
  <c r="AA733" i="26"/>
  <c r="AB733" i="26" s="1"/>
  <c r="AA741" i="26"/>
  <c r="AB741" i="26" s="1"/>
  <c r="AA749" i="26"/>
  <c r="AB749" i="26"/>
  <c r="AA757" i="26"/>
  <c r="AB757" i="26" s="1"/>
  <c r="AA765" i="26"/>
  <c r="AB765" i="26"/>
  <c r="AA773" i="26"/>
  <c r="AB773" i="26" s="1"/>
  <c r="AA781" i="26"/>
  <c r="AB781" i="26"/>
  <c r="AA789" i="26"/>
  <c r="AB789" i="26" s="1"/>
  <c r="AA797" i="26"/>
  <c r="AB797" i="26"/>
  <c r="AA805" i="26"/>
  <c r="AB805" i="26" s="1"/>
  <c r="AA813" i="26"/>
  <c r="AB813" i="26"/>
  <c r="AA821" i="26"/>
  <c r="AB821" i="26" s="1"/>
  <c r="AA829" i="26"/>
  <c r="AB829" i="26"/>
  <c r="AA837" i="26"/>
  <c r="AB837" i="26" s="1"/>
  <c r="AA845" i="26"/>
  <c r="AB845" i="26" s="1"/>
  <c r="AA853" i="26"/>
  <c r="AB853" i="26" s="1"/>
  <c r="AA861" i="26"/>
  <c r="AB861" i="26" s="1"/>
  <c r="AA869" i="26"/>
  <c r="AB869" i="26" s="1"/>
  <c r="AA877" i="26"/>
  <c r="AB877" i="26"/>
  <c r="AA885" i="26"/>
  <c r="AB885" i="26" s="1"/>
  <c r="AA893" i="26"/>
  <c r="AB893" i="26"/>
  <c r="AA901" i="26"/>
  <c r="AB901" i="26" s="1"/>
  <c r="AA909" i="26"/>
  <c r="AB909" i="26"/>
  <c r="AA917" i="26"/>
  <c r="AB917" i="26" s="1"/>
  <c r="AA925" i="26"/>
  <c r="AB925" i="26" s="1"/>
  <c r="AA933" i="26"/>
  <c r="AB933" i="26" s="1"/>
  <c r="AA941" i="26"/>
  <c r="AB941" i="26"/>
  <c r="AA949" i="26"/>
  <c r="AB949" i="26" s="1"/>
  <c r="AA957" i="26"/>
  <c r="AB957" i="26"/>
  <c r="AA965" i="26"/>
  <c r="AB965" i="26" s="1"/>
  <c r="AA973" i="26"/>
  <c r="AB973" i="26"/>
  <c r="AA981" i="26"/>
  <c r="AB981" i="26" s="1"/>
  <c r="AA989" i="26"/>
  <c r="AB989" i="26" s="1"/>
  <c r="AA997" i="26"/>
  <c r="AB997" i="26" s="1"/>
  <c r="AA1005" i="26"/>
  <c r="AB1005" i="26"/>
  <c r="AA1013" i="26"/>
  <c r="AB1013" i="26" s="1"/>
  <c r="AA1021" i="26"/>
  <c r="AB1021" i="26"/>
  <c r="AA1029" i="26"/>
  <c r="AB1029" i="26" s="1"/>
  <c r="AA1037" i="26"/>
  <c r="AB1037" i="26"/>
  <c r="AA1045" i="26"/>
  <c r="AB1045" i="26" s="1"/>
  <c r="AA1053" i="26"/>
  <c r="AB1053" i="26" s="1"/>
  <c r="AA1061" i="26"/>
  <c r="AB1061" i="26" s="1"/>
  <c r="AA1069" i="26"/>
  <c r="AB1069" i="26"/>
  <c r="AA1077" i="26"/>
  <c r="AB1077" i="26" s="1"/>
  <c r="AA1085" i="26"/>
  <c r="AB1085" i="26"/>
  <c r="AA1093" i="26"/>
  <c r="AB1093" i="26" s="1"/>
  <c r="AA1101" i="26"/>
  <c r="AB1101" i="26" s="1"/>
  <c r="AA1109" i="26"/>
  <c r="AB1109" i="26" s="1"/>
  <c r="AA1117" i="26"/>
  <c r="AB1117" i="26" s="1"/>
  <c r="AA1125" i="26"/>
  <c r="AB1125" i="26" s="1"/>
  <c r="AA1133" i="26"/>
  <c r="AB1133" i="26"/>
  <c r="AA1141" i="26"/>
  <c r="AB1141" i="26" s="1"/>
  <c r="AA1149" i="26"/>
  <c r="AB1149" i="26" s="1"/>
  <c r="AA1157" i="26"/>
  <c r="AB1157" i="26" s="1"/>
  <c r="AA1165" i="26"/>
  <c r="AB1165" i="26"/>
  <c r="AA1173" i="26"/>
  <c r="AB1173" i="26" s="1"/>
  <c r="AA1181" i="26"/>
  <c r="AB1181" i="26"/>
  <c r="AA1189" i="26"/>
  <c r="AB1189" i="26" s="1"/>
  <c r="AA1197" i="26"/>
  <c r="AB1197" i="26"/>
  <c r="AA1205" i="26"/>
  <c r="AB1205" i="26" s="1"/>
  <c r="AA1213" i="26"/>
  <c r="AB1213" i="26"/>
  <c r="AA1221" i="26"/>
  <c r="AB1221" i="26" s="1"/>
  <c r="AA1229" i="26"/>
  <c r="AB1229" i="26" s="1"/>
  <c r="AA1237" i="26"/>
  <c r="AB1237" i="26" s="1"/>
  <c r="AA1245" i="26"/>
  <c r="AB1245" i="26" s="1"/>
  <c r="AA1253" i="26"/>
  <c r="AB1253" i="26" s="1"/>
  <c r="AA1261" i="26"/>
  <c r="AB1261" i="26"/>
  <c r="AA1269" i="26"/>
  <c r="AB1269" i="26" s="1"/>
  <c r="AA1277" i="26"/>
  <c r="AB1277" i="26" s="1"/>
  <c r="AA1285" i="26"/>
  <c r="AB1285" i="26" s="1"/>
  <c r="AA1293" i="26"/>
  <c r="AB1293" i="26"/>
  <c r="AA1301" i="26"/>
  <c r="AB1301" i="26" s="1"/>
  <c r="AA1309" i="26"/>
  <c r="AB1309" i="26"/>
  <c r="AA1317" i="26"/>
  <c r="AB1317" i="26" s="1"/>
  <c r="AA1325" i="26"/>
  <c r="AB1325" i="26" s="1"/>
  <c r="AA1333" i="26"/>
  <c r="AB1333" i="26" s="1"/>
  <c r="AA1341" i="26"/>
  <c r="AB1341" i="26"/>
  <c r="AA1349" i="26"/>
  <c r="AB1349" i="26" s="1"/>
  <c r="AA1357" i="26"/>
  <c r="AB1357" i="26"/>
  <c r="AA1365" i="26"/>
  <c r="AB1365" i="26" s="1"/>
  <c r="AA1373" i="26"/>
  <c r="AB1373" i="26" s="1"/>
  <c r="AA1381" i="26"/>
  <c r="AB1381" i="26" s="1"/>
  <c r="AA1389" i="26"/>
  <c r="AB1389" i="26"/>
  <c r="AA1397" i="26"/>
  <c r="AB1397" i="26" s="1"/>
  <c r="AA1405" i="26"/>
  <c r="AB1405" i="26"/>
  <c r="AA1413" i="26"/>
  <c r="AB1413" i="26" s="1"/>
  <c r="AA1421" i="26"/>
  <c r="AB1421" i="26"/>
  <c r="AA1429" i="26"/>
  <c r="AB1429" i="26" s="1"/>
  <c r="AA1437" i="26"/>
  <c r="AB1437" i="26"/>
  <c r="AA1445" i="26"/>
  <c r="AB1445" i="26" s="1"/>
  <c r="AA1453" i="26"/>
  <c r="AB1453" i="26" s="1"/>
  <c r="AA1461" i="26"/>
  <c r="AB1461" i="26" s="1"/>
  <c r="AA1469" i="26"/>
  <c r="AB1469" i="26"/>
  <c r="AA1477" i="26"/>
  <c r="AB1477" i="26"/>
  <c r="AA1485" i="26"/>
  <c r="AB1485" i="26"/>
  <c r="AA1493" i="26"/>
  <c r="AB1493" i="26" s="1"/>
  <c r="AA1501" i="26"/>
  <c r="AB1501" i="26"/>
  <c r="AA1509" i="26"/>
  <c r="AB1509" i="26"/>
  <c r="AA1517" i="26"/>
  <c r="AB1517" i="26"/>
  <c r="AA1525" i="26"/>
  <c r="AB1525" i="26" s="1"/>
  <c r="AA1533" i="26"/>
  <c r="AB1533" i="26" s="1"/>
  <c r="AA1541" i="26"/>
  <c r="AB1541" i="26"/>
  <c r="AA1549" i="26"/>
  <c r="AB1549" i="26"/>
  <c r="AA1557" i="26"/>
  <c r="AB1557" i="26" s="1"/>
  <c r="AA1565" i="26"/>
  <c r="AB1565" i="26"/>
  <c r="AA1573" i="26"/>
  <c r="AB1573" i="26"/>
  <c r="AA1581" i="26"/>
  <c r="AB1581" i="26"/>
  <c r="AA1589" i="26"/>
  <c r="AB1589" i="26" s="1"/>
  <c r="AA1597" i="26"/>
  <c r="AB1597" i="26"/>
  <c r="AA1605" i="26"/>
  <c r="AB1605" i="26" s="1"/>
  <c r="AA1613" i="26"/>
  <c r="AB1613" i="26"/>
  <c r="AA1621" i="26"/>
  <c r="AB1621" i="26" s="1"/>
  <c r="AA1629" i="26"/>
  <c r="AB1629" i="26"/>
  <c r="AA1637" i="26"/>
  <c r="AB1637" i="26"/>
  <c r="AA1645" i="26"/>
  <c r="AB1645" i="26"/>
  <c r="AA1653" i="26"/>
  <c r="AB1653" i="26" s="1"/>
  <c r="AA1661" i="26"/>
  <c r="AB1661" i="26" s="1"/>
  <c r="AA1669" i="26"/>
  <c r="AB1669" i="26"/>
  <c r="AA1677" i="26"/>
  <c r="AB1677" i="26" s="1"/>
  <c r="AA1685" i="26"/>
  <c r="AB1685" i="26" s="1"/>
  <c r="AA1693" i="26"/>
  <c r="AB1693" i="26"/>
  <c r="AA1701" i="26"/>
  <c r="AB1701" i="26"/>
  <c r="AA1709" i="26"/>
  <c r="AB1709" i="26"/>
  <c r="AA1717" i="26"/>
  <c r="AB1717" i="26" s="1"/>
  <c r="AA1725" i="26"/>
  <c r="AB1725" i="26" s="1"/>
  <c r="AA1733" i="26"/>
  <c r="AB1733" i="26" s="1"/>
  <c r="AA1741" i="26"/>
  <c r="AB1741" i="26"/>
  <c r="AA1749" i="26"/>
  <c r="AB1749" i="26" s="1"/>
  <c r="AA1757" i="26"/>
  <c r="AB1757" i="26"/>
  <c r="AA1765" i="26"/>
  <c r="AB1765" i="26"/>
  <c r="AA1773" i="26"/>
  <c r="AB1773" i="26" s="1"/>
  <c r="AA1781" i="26"/>
  <c r="AB1781" i="26" s="1"/>
  <c r="AA1789" i="26"/>
  <c r="AB1789" i="26" s="1"/>
  <c r="AA1797" i="26"/>
  <c r="AB1797" i="26"/>
  <c r="AA1805" i="26"/>
  <c r="AB1805" i="26" s="1"/>
  <c r="AA1813" i="26"/>
  <c r="AB1813" i="26" s="1"/>
  <c r="AA1821" i="26"/>
  <c r="AB1821" i="26"/>
  <c r="AA1829" i="26"/>
  <c r="AB1829" i="26"/>
  <c r="AA1837" i="26"/>
  <c r="AB1837" i="26"/>
  <c r="AA1845" i="26"/>
  <c r="AB1845" i="26" s="1"/>
  <c r="AA1853" i="26"/>
  <c r="AB1853" i="26" s="1"/>
  <c r="AA1861" i="26"/>
  <c r="AB1861" i="26" s="1"/>
  <c r="AA1869" i="26"/>
  <c r="AB1869" i="26"/>
  <c r="AA1877" i="26"/>
  <c r="AB1877" i="26" s="1"/>
  <c r="AA1885" i="26"/>
  <c r="AB1885" i="26" s="1"/>
  <c r="AA1893" i="26"/>
  <c r="AB1893" i="26" s="1"/>
  <c r="AA1901" i="26"/>
  <c r="AB1901" i="26"/>
  <c r="AA1909" i="26"/>
  <c r="AB1909" i="26" s="1"/>
  <c r="AA1917" i="26"/>
  <c r="AB1917" i="26"/>
  <c r="AA1925" i="26"/>
  <c r="AB1925" i="26" s="1"/>
  <c r="AA1933" i="26"/>
  <c r="AB1933" i="26" s="1"/>
  <c r="AA1941" i="26"/>
  <c r="AB1941" i="26"/>
  <c r="AA1949" i="26"/>
  <c r="AB1949" i="26"/>
  <c r="AA1957" i="26"/>
  <c r="AB1957" i="26" s="1"/>
  <c r="AA1965" i="26"/>
  <c r="AB1965" i="26" s="1"/>
  <c r="AA1973" i="26"/>
  <c r="AB1973" i="26"/>
  <c r="AA1981" i="26"/>
  <c r="AB1981" i="26"/>
  <c r="AA1989" i="26"/>
  <c r="AB1989" i="26"/>
  <c r="AA1997" i="26"/>
  <c r="AB1997" i="26" s="1"/>
  <c r="AA2005" i="26"/>
  <c r="AB2005" i="26"/>
  <c r="AA2013" i="26"/>
  <c r="AB2013" i="26"/>
  <c r="AA2021" i="26"/>
  <c r="AB2021" i="26"/>
  <c r="AA2029" i="26"/>
  <c r="AB2029" i="26" s="1"/>
  <c r="AA2037" i="26"/>
  <c r="AB2037" i="26"/>
  <c r="AA2045" i="26"/>
  <c r="AB2045" i="26"/>
  <c r="AA2053" i="26"/>
  <c r="AB2053" i="26"/>
  <c r="AA2061" i="26"/>
  <c r="AB2061" i="26" s="1"/>
  <c r="AA2069" i="26"/>
  <c r="AB2069" i="26"/>
  <c r="AA2077" i="26"/>
  <c r="AB2077" i="26"/>
  <c r="AA2085" i="26"/>
  <c r="AB2085" i="26"/>
  <c r="AA2093" i="26"/>
  <c r="AB2093" i="26" s="1"/>
  <c r="AA2101" i="26"/>
  <c r="AB2101" i="26"/>
  <c r="AA2109" i="26"/>
  <c r="AB2109" i="26" s="1"/>
  <c r="AA2117" i="26"/>
  <c r="AB2117" i="26" s="1"/>
  <c r="AA2125" i="26"/>
  <c r="AB2125" i="26" s="1"/>
  <c r="AA2133" i="26"/>
  <c r="AB2133" i="26"/>
  <c r="AA2141" i="26"/>
  <c r="AB2141" i="26" s="1"/>
  <c r="AA2149" i="26"/>
  <c r="AB2149" i="26"/>
  <c r="AA2157" i="26"/>
  <c r="AB2157" i="26" s="1"/>
  <c r="AA2165" i="26"/>
  <c r="AB2165" i="26"/>
  <c r="AA2173" i="26"/>
  <c r="AB2173" i="26"/>
  <c r="AA2181" i="26"/>
  <c r="AB2181" i="26" s="1"/>
  <c r="AA2189" i="26"/>
  <c r="AB2189" i="26" s="1"/>
  <c r="AA2197" i="26"/>
  <c r="AB2197" i="26"/>
  <c r="AA2205" i="26"/>
  <c r="AB2205" i="26"/>
  <c r="AA2213" i="26"/>
  <c r="AB2213" i="26" s="1"/>
  <c r="AA2221" i="26"/>
  <c r="AB2221" i="26" s="1"/>
  <c r="AA2229" i="26"/>
  <c r="AB2229" i="26"/>
  <c r="AA2237" i="26"/>
  <c r="AB2237" i="26"/>
  <c r="AA2245" i="26"/>
  <c r="AB2245" i="26"/>
  <c r="AA2253" i="26"/>
  <c r="AB2253" i="26" s="1"/>
  <c r="AA2261" i="26"/>
  <c r="AB2261" i="26"/>
  <c r="AA2269" i="26"/>
  <c r="AB2269" i="26"/>
  <c r="AA2277" i="26"/>
  <c r="AB2277" i="26"/>
  <c r="AA2285" i="26"/>
  <c r="AB2285" i="26" s="1"/>
  <c r="AA2293" i="26"/>
  <c r="AB2293" i="26"/>
  <c r="AA2301" i="26"/>
  <c r="AB2301" i="26" s="1"/>
  <c r="AA2309" i="26"/>
  <c r="AB2309" i="26"/>
  <c r="AA2317" i="26"/>
  <c r="AB2317" i="26" s="1"/>
  <c r="AA2325" i="26"/>
  <c r="AB2325" i="26"/>
  <c r="AA2333" i="26"/>
  <c r="AB2333" i="26"/>
  <c r="AA2341" i="26"/>
  <c r="AB2341" i="26"/>
  <c r="AA2349" i="26"/>
  <c r="AB2349" i="26" s="1"/>
  <c r="AA2357" i="26"/>
  <c r="AB2357" i="26"/>
  <c r="AA2365" i="26"/>
  <c r="AB2365" i="26" s="1"/>
  <c r="AA2373" i="26"/>
  <c r="AB2373" i="26" s="1"/>
  <c r="AA2381" i="26"/>
  <c r="AB2381" i="26" s="1"/>
  <c r="AA2389" i="26"/>
  <c r="AB2389" i="26"/>
  <c r="AA2397" i="26"/>
  <c r="AB2397" i="26" s="1"/>
  <c r="AA2405" i="26"/>
  <c r="AB2405" i="26"/>
  <c r="AA2413" i="26"/>
  <c r="AB2413" i="26" s="1"/>
  <c r="AA2421" i="26"/>
  <c r="AB2421" i="26"/>
  <c r="AA2429" i="26"/>
  <c r="AB2429" i="26"/>
  <c r="AA2437" i="26"/>
  <c r="AB2437" i="26" s="1"/>
  <c r="AA2445" i="26"/>
  <c r="AB2445" i="26" s="1"/>
  <c r="AA2453" i="26"/>
  <c r="AB2453" i="26"/>
  <c r="AA2461" i="26"/>
  <c r="AB2461" i="26"/>
  <c r="AA2469" i="26"/>
  <c r="AB2469" i="26" s="1"/>
  <c r="AA2477" i="26"/>
  <c r="AB2477" i="26" s="1"/>
  <c r="AA2485" i="26"/>
  <c r="AB2485" i="26"/>
  <c r="AA2493" i="26"/>
  <c r="AB2493" i="26"/>
  <c r="AA2501" i="26"/>
  <c r="AB2501" i="26"/>
  <c r="AA2509" i="26"/>
  <c r="AB2509" i="26" s="1"/>
  <c r="AA2517" i="26"/>
  <c r="AB2517" i="26"/>
  <c r="AA2525" i="26"/>
  <c r="AB2525" i="26"/>
  <c r="AA2533" i="26"/>
  <c r="AB2533" i="26"/>
  <c r="AA2541" i="26"/>
  <c r="AB2541" i="26" s="1"/>
  <c r="AA2549" i="26"/>
  <c r="AB2549" i="26"/>
  <c r="AA2557" i="26"/>
  <c r="AB2557" i="26" s="1"/>
  <c r="AA2565" i="26"/>
  <c r="AB2565" i="26"/>
  <c r="AA2573" i="26"/>
  <c r="AB2573" i="26" s="1"/>
  <c r="AA2581" i="26"/>
  <c r="AB2581" i="26"/>
  <c r="AA2589" i="26"/>
  <c r="AB2589" i="26"/>
  <c r="AA2597" i="26"/>
  <c r="AB2597" i="26"/>
  <c r="AA2605" i="26"/>
  <c r="AB2605" i="26" s="1"/>
  <c r="AA2613" i="26"/>
  <c r="AB2613" i="26"/>
  <c r="AA2621" i="26"/>
  <c r="AB2621" i="26" s="1"/>
  <c r="AA2629" i="26"/>
  <c r="AB2629" i="26" s="1"/>
  <c r="AA2637" i="26"/>
  <c r="AB2637" i="26" s="1"/>
  <c r="AA2645" i="26"/>
  <c r="AB2645" i="26"/>
  <c r="AA2653" i="26"/>
  <c r="AB2653" i="26" s="1"/>
  <c r="AA2661" i="26"/>
  <c r="AB2661" i="26"/>
  <c r="AA2669" i="26"/>
  <c r="AB2669" i="26" s="1"/>
  <c r="AA2677" i="26"/>
  <c r="AB2677" i="26"/>
  <c r="AA2685" i="26"/>
  <c r="AB2685" i="26"/>
  <c r="AA2693" i="26"/>
  <c r="AB2693" i="26" s="1"/>
  <c r="AA2701" i="26"/>
  <c r="AB2701" i="26" s="1"/>
  <c r="AA2709" i="26"/>
  <c r="AB2709" i="26"/>
  <c r="AA2717" i="26"/>
  <c r="AB2717" i="26"/>
  <c r="AA2725" i="26"/>
  <c r="AB2725" i="26" s="1"/>
  <c r="AA2733" i="26"/>
  <c r="AB2733" i="26" s="1"/>
  <c r="AA2741" i="26"/>
  <c r="AB2741" i="26"/>
  <c r="AA2749" i="26"/>
  <c r="AB2749" i="26"/>
  <c r="AA2757" i="26"/>
  <c r="AB2757" i="26"/>
  <c r="AA2765" i="26"/>
  <c r="AB2765" i="26" s="1"/>
  <c r="AA2773" i="26"/>
  <c r="AB2773" i="26"/>
  <c r="AA2781" i="26"/>
  <c r="AB2781" i="26"/>
  <c r="AA2789" i="26"/>
  <c r="AB2789" i="26"/>
  <c r="AA2797" i="26"/>
  <c r="AB2797" i="26" s="1"/>
  <c r="AA2805" i="26"/>
  <c r="AB2805" i="26"/>
  <c r="AA2813" i="26"/>
  <c r="AB2813" i="26" s="1"/>
  <c r="AA2821" i="26"/>
  <c r="AB2821" i="26"/>
  <c r="AA2829" i="26"/>
  <c r="AB2829" i="26" s="1"/>
  <c r="AA2837" i="26"/>
  <c r="AB2837" i="26"/>
  <c r="AA2845" i="26"/>
  <c r="AB2845" i="26"/>
  <c r="AA2853" i="26"/>
  <c r="AB2853" i="26"/>
  <c r="AA2861" i="26"/>
  <c r="AB2861" i="26" s="1"/>
  <c r="AA2869" i="26"/>
  <c r="AB2869" i="26"/>
  <c r="AA2877" i="26"/>
  <c r="AB2877" i="26" s="1"/>
  <c r="AA2885" i="26"/>
  <c r="AB2885" i="26" s="1"/>
  <c r="AA2893" i="26"/>
  <c r="AB2893" i="26" s="1"/>
  <c r="AA2901" i="26"/>
  <c r="AB2901" i="26"/>
  <c r="AA2909" i="26"/>
  <c r="AB2909" i="26" s="1"/>
  <c r="AA2917" i="26"/>
  <c r="AB2917" i="26"/>
  <c r="AA2925" i="26"/>
  <c r="AB2925" i="26" s="1"/>
  <c r="AA2933" i="26"/>
  <c r="AB2933" i="26"/>
  <c r="AA2941" i="26"/>
  <c r="AB2941" i="26"/>
  <c r="AA2949" i="26"/>
  <c r="AB2949" i="26" s="1"/>
  <c r="AA2957" i="26"/>
  <c r="AB2957" i="26" s="1"/>
  <c r="AA2965" i="26"/>
  <c r="AB2965" i="26"/>
  <c r="AA2973" i="26"/>
  <c r="AB2973" i="26"/>
  <c r="AA2981" i="26"/>
  <c r="AB2981" i="26" s="1"/>
  <c r="AA2989" i="26"/>
  <c r="AB2989" i="26" s="1"/>
  <c r="AA2997" i="26"/>
  <c r="AB2997" i="26"/>
  <c r="AA3005" i="26"/>
  <c r="AB3005" i="26"/>
  <c r="AA3013" i="26"/>
  <c r="AB3013" i="26"/>
  <c r="AA3021" i="26"/>
  <c r="AB3021" i="26" s="1"/>
  <c r="AA3029" i="26"/>
  <c r="AB3029" i="26"/>
  <c r="AA3037" i="26"/>
  <c r="AB3037" i="26"/>
  <c r="AA3045" i="26"/>
  <c r="AB3045" i="26"/>
  <c r="AA3053" i="26"/>
  <c r="AB3053" i="26" s="1"/>
  <c r="AA3061" i="26"/>
  <c r="AB3061" i="26"/>
  <c r="AA3069" i="26"/>
  <c r="AB3069" i="26" s="1"/>
  <c r="AA3077" i="26"/>
  <c r="AB3077" i="26"/>
  <c r="AA3085" i="26"/>
  <c r="AB3085" i="26" s="1"/>
  <c r="AA3093" i="26"/>
  <c r="AB3093" i="26"/>
  <c r="AA3101" i="26"/>
  <c r="AB3101" i="26" s="1"/>
  <c r="AA3109" i="26"/>
  <c r="AB3109" i="26"/>
  <c r="AA3117" i="26"/>
  <c r="AB3117" i="26" s="1"/>
  <c r="AA3125" i="26"/>
  <c r="AB3125" i="26"/>
  <c r="AA3133" i="26"/>
  <c r="AB3133" i="26" s="1"/>
  <c r="AA3141" i="26"/>
  <c r="AB3141" i="26" s="1"/>
  <c r="AA3149" i="26"/>
  <c r="AB3149" i="26" s="1"/>
  <c r="AA3157" i="26"/>
  <c r="AB3157" i="26"/>
  <c r="AA3165" i="26"/>
  <c r="AB3165" i="26" s="1"/>
  <c r="AA3173" i="26"/>
  <c r="AB3173" i="26" s="1"/>
  <c r="AA3181" i="26"/>
  <c r="AB3181" i="26" s="1"/>
  <c r="AA3189" i="26"/>
  <c r="AB3189" i="26"/>
  <c r="AA3197" i="26"/>
  <c r="AB3197" i="26"/>
  <c r="AA3205" i="26"/>
  <c r="AB3205" i="26" s="1"/>
  <c r="AA3213" i="26"/>
  <c r="AB3213" i="26" s="1"/>
  <c r="AA3221" i="26"/>
  <c r="AB3221" i="26"/>
  <c r="AA3229" i="26"/>
  <c r="AB3229" i="26"/>
  <c r="AA3237" i="26"/>
  <c r="AB3237" i="26" s="1"/>
  <c r="AA3245" i="26"/>
  <c r="AB3245" i="26" s="1"/>
  <c r="AA3253" i="26"/>
  <c r="AB3253" i="26"/>
  <c r="AA3261" i="26"/>
  <c r="AB3261" i="26"/>
  <c r="AA3269" i="26"/>
  <c r="AB3269" i="26"/>
  <c r="AA3277" i="26"/>
  <c r="AB3277" i="26" s="1"/>
  <c r="AA3285" i="26"/>
  <c r="AB3285" i="26"/>
  <c r="AA3293" i="26"/>
  <c r="AB3293" i="26"/>
  <c r="AA3301" i="26"/>
  <c r="AB3301" i="26"/>
  <c r="AA3309" i="26"/>
  <c r="AB3309" i="26" s="1"/>
  <c r="AA3317" i="26"/>
  <c r="AB3317" i="26"/>
  <c r="AA3325" i="26"/>
  <c r="AB3325" i="26" s="1"/>
  <c r="AA3333" i="26"/>
  <c r="AB3333" i="26"/>
  <c r="AA3341" i="26"/>
  <c r="AB3341" i="26" s="1"/>
  <c r="AA3349" i="26"/>
  <c r="AB3349" i="26"/>
  <c r="AA3357" i="26"/>
  <c r="AB3357" i="26"/>
  <c r="AA3365" i="26"/>
  <c r="AB3365" i="26"/>
  <c r="AA3373" i="26"/>
  <c r="AB3373" i="26" s="1"/>
  <c r="AA3381" i="26"/>
  <c r="AB3381" i="26"/>
  <c r="AA3389" i="26"/>
  <c r="AB3389" i="26" s="1"/>
  <c r="AA3397" i="26"/>
  <c r="AB3397" i="26" s="1"/>
  <c r="AA3405" i="26"/>
  <c r="AB3405" i="26" s="1"/>
  <c r="AA3413" i="26"/>
  <c r="AB3413" i="26"/>
  <c r="AA3421" i="26"/>
  <c r="AB3421" i="26" s="1"/>
  <c r="AA3429" i="26"/>
  <c r="AB3429" i="26"/>
  <c r="AA3437" i="26"/>
  <c r="AB3437" i="26" s="1"/>
  <c r="AA3445" i="26"/>
  <c r="AB3445" i="26"/>
  <c r="AA3453" i="26"/>
  <c r="AB3453" i="26"/>
  <c r="AA3461" i="26"/>
  <c r="AB3461" i="26" s="1"/>
  <c r="AA3469" i="26"/>
  <c r="AB3469" i="26" s="1"/>
  <c r="AA3477" i="26"/>
  <c r="AB3477" i="26"/>
  <c r="AA3485" i="26"/>
  <c r="AB3485" i="26"/>
  <c r="AA3493" i="26"/>
  <c r="AB3493" i="26" s="1"/>
  <c r="AA3501" i="26"/>
  <c r="AB3501" i="26" s="1"/>
  <c r="AA3509" i="26"/>
  <c r="AB3509" i="26"/>
  <c r="AA3517" i="26"/>
  <c r="AB3517" i="26"/>
  <c r="AA3525" i="26"/>
  <c r="AB3525" i="26"/>
  <c r="AA3533" i="26"/>
  <c r="AB3533" i="26" s="1"/>
  <c r="AA3541" i="26"/>
  <c r="AB3541" i="26"/>
  <c r="AA486" i="26"/>
  <c r="AB486" i="26"/>
  <c r="AA918" i="26"/>
  <c r="AB918" i="26"/>
  <c r="AA1078" i="26"/>
  <c r="AB1078" i="26" s="1"/>
  <c r="AA1158" i="26"/>
  <c r="AB1158" i="26"/>
  <c r="AA1198" i="26"/>
  <c r="AB1198" i="26" s="1"/>
  <c r="AA1214" i="26"/>
  <c r="AB1214" i="26"/>
  <c r="AA1230" i="26"/>
  <c r="AB1230" i="26" s="1"/>
  <c r="AA1246" i="26"/>
  <c r="AB1246" i="26"/>
  <c r="AA1262" i="26"/>
  <c r="AB1262" i="26"/>
  <c r="AA1278" i="26"/>
  <c r="AB1278" i="26"/>
  <c r="AA1286" i="26"/>
  <c r="AB1286" i="26" s="1"/>
  <c r="AA1302" i="26"/>
  <c r="AB1302" i="26"/>
  <c r="AA1310" i="26"/>
  <c r="AB1310" i="26" s="1"/>
  <c r="AA1326" i="26"/>
  <c r="AB1326" i="26" s="1"/>
  <c r="AA1334" i="26"/>
  <c r="AB1334" i="26" s="1"/>
  <c r="AA1350" i="26"/>
  <c r="AB1350" i="26"/>
  <c r="AA1358" i="26"/>
  <c r="AB1358" i="26" s="1"/>
  <c r="AA1374" i="26"/>
  <c r="AB1374" i="26"/>
  <c r="AA1390" i="26"/>
  <c r="AB1390" i="26" s="1"/>
  <c r="AA1406" i="26"/>
  <c r="AB1406" i="26"/>
  <c r="AA1422" i="26"/>
  <c r="AB1422" i="26"/>
  <c r="AA1438" i="26"/>
  <c r="AB1438" i="26" s="1"/>
  <c r="AA1454" i="26"/>
  <c r="AB1454" i="26" s="1"/>
  <c r="AA1470" i="26"/>
  <c r="AB1470" i="26"/>
  <c r="AA1486" i="26"/>
  <c r="AB1486" i="26"/>
  <c r="AA1494" i="26"/>
  <c r="AB1494" i="26" s="1"/>
  <c r="AA1510" i="26"/>
  <c r="AB1510" i="26" s="1"/>
  <c r="AA1526" i="26"/>
  <c r="AB1526" i="26"/>
  <c r="AA1542" i="26"/>
  <c r="AB1542" i="26"/>
  <c r="AA1558" i="26"/>
  <c r="AB1558" i="26"/>
  <c r="AA1574" i="26"/>
  <c r="AB1574" i="26" s="1"/>
  <c r="AA1590" i="26"/>
  <c r="AB1590" i="26"/>
  <c r="AA1606" i="26"/>
  <c r="AB1606" i="26"/>
  <c r="AA1622" i="26"/>
  <c r="AB1622" i="26"/>
  <c r="AA1638" i="26"/>
  <c r="AB1638" i="26" s="1"/>
  <c r="AA1646" i="26"/>
  <c r="AB1646" i="26"/>
  <c r="AA1662" i="26"/>
  <c r="AB1662" i="26" s="1"/>
  <c r="AA1678" i="26"/>
  <c r="AB1678" i="26"/>
  <c r="AA1694" i="26"/>
  <c r="AB1694" i="26" s="1"/>
  <c r="AA1710" i="26"/>
  <c r="AB1710" i="26"/>
  <c r="AA1718" i="26"/>
  <c r="AB1718" i="26"/>
  <c r="AA1734" i="26"/>
  <c r="AB1734" i="26"/>
  <c r="AA1742" i="26"/>
  <c r="AB1742" i="26" s="1"/>
  <c r="AA1758" i="26"/>
  <c r="AB1758" i="26"/>
  <c r="AA1774" i="26"/>
  <c r="AB1774" i="26" s="1"/>
  <c r="AA1790" i="26"/>
  <c r="AB1790" i="26" s="1"/>
  <c r="AA1798" i="26"/>
  <c r="AB1798" i="26" s="1"/>
  <c r="AA1814" i="26"/>
  <c r="AB1814" i="26"/>
  <c r="AA1822" i="26"/>
  <c r="AB1822" i="26" s="1"/>
  <c r="AA1838" i="26"/>
  <c r="AB1838" i="26"/>
  <c r="AA1846" i="26"/>
  <c r="AB1846" i="26" s="1"/>
  <c r="AA1862" i="26"/>
  <c r="AB1862" i="26"/>
  <c r="AA1878" i="26"/>
  <c r="AB1878" i="26"/>
  <c r="AA1894" i="26"/>
  <c r="AB1894" i="26" s="1"/>
  <c r="AA1910" i="26"/>
  <c r="AB1910" i="26" s="1"/>
  <c r="AA1926" i="26"/>
  <c r="AB1926" i="26"/>
  <c r="AA1942" i="26"/>
  <c r="AB1942" i="26"/>
  <c r="AA1950" i="26"/>
  <c r="AB1950" i="26" s="1"/>
  <c r="AA1966" i="26"/>
  <c r="AB1966" i="26" s="1"/>
  <c r="AA1982" i="26"/>
  <c r="AB1982" i="26"/>
  <c r="AA1990" i="26"/>
  <c r="AB1990" i="26"/>
  <c r="AA2006" i="26"/>
  <c r="AB2006" i="26"/>
  <c r="AA2014" i="26"/>
  <c r="AB2014" i="26" s="1"/>
  <c r="AA2030" i="26"/>
  <c r="AB2030" i="26"/>
  <c r="AA2046" i="26"/>
  <c r="AB2046" i="26"/>
  <c r="AA2062" i="26"/>
  <c r="AB2062" i="26"/>
  <c r="AA2078" i="26"/>
  <c r="AB2078" i="26" s="1"/>
  <c r="AA2094" i="26"/>
  <c r="AB2094" i="26"/>
  <c r="AA2110" i="26"/>
  <c r="AB2110" i="26" s="1"/>
  <c r="AA2118" i="26"/>
  <c r="AB2118" i="26"/>
  <c r="AA2134" i="26"/>
  <c r="AB2134" i="26" s="1"/>
  <c r="AA2142" i="26"/>
  <c r="AB2142" i="26"/>
  <c r="AA2158" i="26"/>
  <c r="AB2158" i="26"/>
  <c r="AA2174" i="26"/>
  <c r="AB2174" i="26"/>
  <c r="AA2190" i="26"/>
  <c r="AB2190" i="26"/>
  <c r="AA2206" i="26"/>
  <c r="AB2206" i="26"/>
  <c r="AA2214" i="26"/>
  <c r="AB2214" i="26"/>
  <c r="AA2230" i="26"/>
  <c r="AB2230" i="26"/>
  <c r="AA2246" i="26"/>
  <c r="AB2246" i="26"/>
  <c r="AA2254" i="26"/>
  <c r="AB2254" i="26"/>
  <c r="AA2270" i="26"/>
  <c r="AB2270" i="26"/>
  <c r="AA2286" i="26"/>
  <c r="AB2286" i="26"/>
  <c r="AA2302" i="26"/>
  <c r="AB2302" i="26"/>
  <c r="AA2318" i="26"/>
  <c r="AB2318" i="26"/>
  <c r="AA2334" i="26"/>
  <c r="AB2334" i="26"/>
  <c r="AA2342" i="26"/>
  <c r="AB2342" i="26"/>
  <c r="AA2358" i="26"/>
  <c r="AB2358" i="26"/>
  <c r="AA2366" i="26"/>
  <c r="AB2366" i="26" s="1"/>
  <c r="AA2382" i="26"/>
  <c r="AB2382" i="26"/>
  <c r="AA2398" i="26"/>
  <c r="AB2398" i="26"/>
  <c r="AA2414" i="26"/>
  <c r="AB2414" i="26"/>
  <c r="AA2430" i="26"/>
  <c r="AB2430" i="26" s="1"/>
  <c r="AA2438" i="26"/>
  <c r="AB2438" i="26"/>
  <c r="AA2454" i="26"/>
  <c r="AB2454" i="26"/>
  <c r="AA2470" i="26"/>
  <c r="AB2470" i="26"/>
  <c r="AA2486" i="26"/>
  <c r="AB2486" i="26" s="1"/>
  <c r="AA2502" i="26"/>
  <c r="AB2502" i="26"/>
  <c r="AA2510" i="26"/>
  <c r="AB2510" i="26"/>
  <c r="AA2526" i="26"/>
  <c r="AB2526" i="26"/>
  <c r="AA2534" i="26"/>
  <c r="AB2534" i="26" s="1"/>
  <c r="AA2550" i="26"/>
  <c r="AB2550" i="26"/>
  <c r="AA2566" i="26"/>
  <c r="AB2566" i="26"/>
  <c r="AA2574" i="26"/>
  <c r="AB2574" i="26"/>
  <c r="AA2590" i="26"/>
  <c r="AB2590" i="26" s="1"/>
  <c r="AA2598" i="26"/>
  <c r="AB2598" i="26"/>
  <c r="AA2614" i="26"/>
  <c r="AB2614" i="26"/>
  <c r="AA2630" i="26"/>
  <c r="AB2630" i="26"/>
  <c r="AA2646" i="26"/>
  <c r="AB2646" i="26" s="1"/>
  <c r="AA2654" i="26"/>
  <c r="AB2654" i="26"/>
  <c r="AA2670" i="26"/>
  <c r="AB2670" i="26"/>
  <c r="AA2678" i="26"/>
  <c r="AB2678" i="26"/>
  <c r="AA2694" i="26"/>
  <c r="AB2694" i="26" s="1"/>
  <c r="AA2710" i="26"/>
  <c r="AB2710" i="26"/>
  <c r="AA2726" i="26"/>
  <c r="AB2726" i="26"/>
  <c r="AA2742" i="26"/>
  <c r="AB2742" i="26"/>
  <c r="AA2758" i="26"/>
  <c r="AB2758" i="26" s="1"/>
  <c r="AA2766" i="26"/>
  <c r="AB2766" i="26"/>
  <c r="AA2782" i="26"/>
  <c r="AB2782" i="26"/>
  <c r="AA2798" i="26"/>
  <c r="AB2798" i="26"/>
  <c r="AA2814" i="26"/>
  <c r="AB2814" i="26" s="1"/>
  <c r="AA2830" i="26"/>
  <c r="AB2830" i="26"/>
  <c r="AA2846" i="26"/>
  <c r="AB2846" i="26"/>
  <c r="AA2862" i="26"/>
  <c r="AB2862" i="26"/>
  <c r="AA2878" i="26"/>
  <c r="AB2878" i="26" s="1"/>
  <c r="AA2894" i="26"/>
  <c r="AB2894" i="26"/>
  <c r="AA2910" i="26"/>
  <c r="AB2910" i="26"/>
  <c r="AA2926" i="26"/>
  <c r="AB2926" i="26"/>
  <c r="AA2942" i="26"/>
  <c r="AB2942" i="26" s="1"/>
  <c r="AA2950" i="26"/>
  <c r="AB2950" i="26"/>
  <c r="AA2966" i="26"/>
  <c r="AB2966" i="26"/>
  <c r="AA2982" i="26"/>
  <c r="AB2982" i="26"/>
  <c r="AA2998" i="26"/>
  <c r="AB2998" i="26" s="1"/>
  <c r="AA3014" i="26"/>
  <c r="AB3014" i="26"/>
  <c r="AA3022" i="26"/>
  <c r="AB3022" i="26"/>
  <c r="AA3038" i="26"/>
  <c r="AB3038" i="26"/>
  <c r="AA3046" i="26"/>
  <c r="AB3046" i="26" s="1"/>
  <c r="AA3062" i="26"/>
  <c r="AB3062" i="26"/>
  <c r="AA3078" i="26"/>
  <c r="AB3078" i="26"/>
  <c r="AA3094" i="26"/>
  <c r="AB3094" i="26"/>
  <c r="AA3102" i="26"/>
  <c r="AB3102" i="26" s="1"/>
  <c r="AA3118" i="26"/>
  <c r="AB3118" i="26"/>
  <c r="AA3134" i="26"/>
  <c r="AB3134" i="26"/>
  <c r="AA3150" i="26"/>
  <c r="AB3150" i="26"/>
  <c r="AA3166" i="26"/>
  <c r="AB3166" i="26" s="1"/>
  <c r="AA3182" i="26"/>
  <c r="AB3182" i="26"/>
  <c r="AA3198" i="26"/>
  <c r="AB3198" i="26"/>
  <c r="AA3206" i="26"/>
  <c r="AB3206" i="26"/>
  <c r="AA3214" i="26"/>
  <c r="AB3214" i="26" s="1"/>
  <c r="AA3230" i="26"/>
  <c r="AB3230" i="26"/>
  <c r="AA3238" i="26"/>
  <c r="AB3238" i="26"/>
  <c r="AA3254" i="26"/>
  <c r="AB3254" i="26"/>
  <c r="AA3270" i="26"/>
  <c r="AB3270" i="26" s="1"/>
  <c r="AA3278" i="26"/>
  <c r="AB3278" i="26"/>
  <c r="AA3294" i="26"/>
  <c r="AB3294" i="26"/>
  <c r="AA3310" i="26"/>
  <c r="AB3310" i="26"/>
  <c r="AA3326" i="26"/>
  <c r="AB3326" i="26" s="1"/>
  <c r="AA3342" i="26"/>
  <c r="AB3342" i="26"/>
  <c r="AA3358" i="26"/>
  <c r="AB3358" i="26"/>
  <c r="AA3366" i="26"/>
  <c r="AB3366" i="26"/>
  <c r="AA3382" i="26"/>
  <c r="AB3382" i="26" s="1"/>
  <c r="AA3398" i="26"/>
  <c r="AB3398" i="26"/>
  <c r="AA3414" i="26"/>
  <c r="AB3414" i="26"/>
  <c r="AA3430" i="26"/>
  <c r="AB3430" i="26"/>
  <c r="AA3438" i="26"/>
  <c r="AB3438" i="26" s="1"/>
  <c r="AA3454" i="26"/>
  <c r="AB3454" i="26"/>
  <c r="AA3462" i="26"/>
  <c r="AB3462" i="26"/>
  <c r="AA3478" i="26"/>
  <c r="AB3478" i="26"/>
  <c r="AA3494" i="26"/>
  <c r="AB3494" i="26" s="1"/>
  <c r="AA3510" i="26"/>
  <c r="AB3510" i="26"/>
  <c r="AA3526" i="26"/>
  <c r="AB3526" i="26"/>
  <c r="AA3542" i="26"/>
  <c r="AB3542" i="26"/>
  <c r="AA23" i="26"/>
  <c r="AB23" i="26" s="1"/>
  <c r="AA39" i="26"/>
  <c r="AB39" i="26"/>
  <c r="AA55" i="26"/>
  <c r="AB55" i="26"/>
  <c r="AA71" i="26"/>
  <c r="AB71" i="26"/>
  <c r="AA87" i="26"/>
  <c r="AB87" i="26" s="1"/>
  <c r="AA103" i="26"/>
  <c r="AB103" i="26"/>
  <c r="AA119" i="26"/>
  <c r="AB119" i="26"/>
  <c r="AA135" i="26"/>
  <c r="AB135" i="26"/>
  <c r="AA151" i="26"/>
  <c r="AB151" i="26" s="1"/>
  <c r="AA167" i="26"/>
  <c r="AB167" i="26"/>
  <c r="AA183" i="26"/>
  <c r="AB183" i="26"/>
  <c r="AA199" i="26"/>
  <c r="AB199" i="26"/>
  <c r="AA215" i="26"/>
  <c r="AB215" i="26" s="1"/>
  <c r="AA231" i="26"/>
  <c r="AB231" i="26"/>
  <c r="AA247" i="26"/>
  <c r="AB247" i="26"/>
  <c r="AA263" i="26"/>
  <c r="AB263" i="26"/>
  <c r="AA279" i="26"/>
  <c r="AB279" i="26" s="1"/>
  <c r="AA295" i="26"/>
  <c r="AB295" i="26"/>
  <c r="AA311" i="26"/>
  <c r="AB311" i="26"/>
  <c r="AA327" i="26"/>
  <c r="AB327" i="26"/>
  <c r="AA343" i="26"/>
  <c r="AB343" i="26" s="1"/>
  <c r="AA359" i="26"/>
  <c r="AB359" i="26"/>
  <c r="AA375" i="26"/>
  <c r="AB375" i="26"/>
  <c r="AA391" i="26"/>
  <c r="AB391" i="26"/>
  <c r="AA415" i="26"/>
  <c r="AB415" i="26" s="1"/>
  <c r="AA431" i="26"/>
  <c r="AB431" i="26"/>
  <c r="AA447" i="26"/>
  <c r="AB447" i="26"/>
  <c r="AA463" i="26"/>
  <c r="AB463" i="26"/>
  <c r="AA487" i="26"/>
  <c r="AB487" i="26" s="1"/>
  <c r="AA503" i="26"/>
  <c r="AB503" i="26"/>
  <c r="AA519" i="26"/>
  <c r="AB519" i="26"/>
  <c r="AA535" i="26"/>
  <c r="AB535" i="26"/>
  <c r="AA551" i="26"/>
  <c r="AB551" i="26" s="1"/>
  <c r="AA567" i="26"/>
  <c r="AB567" i="26"/>
  <c r="AA583" i="26"/>
  <c r="AB583" i="26"/>
  <c r="AA599" i="26"/>
  <c r="AB599" i="26"/>
  <c r="AA615" i="26"/>
  <c r="AB615" i="26" s="1"/>
  <c r="AA631" i="26"/>
  <c r="AB631" i="26"/>
  <c r="AA647" i="26"/>
  <c r="AB647" i="26"/>
  <c r="AA663" i="26"/>
  <c r="AB663" i="26"/>
  <c r="AA679" i="26"/>
  <c r="AB679" i="26" s="1"/>
  <c r="AA695" i="26"/>
  <c r="AB695" i="26"/>
  <c r="AA711" i="26"/>
  <c r="AB711" i="26"/>
  <c r="AA727" i="26"/>
  <c r="AB727" i="26"/>
  <c r="AA743" i="26"/>
  <c r="AB743" i="26" s="1"/>
  <c r="AA759" i="26"/>
  <c r="AB759" i="26"/>
  <c r="AA775" i="26"/>
  <c r="AB775" i="26"/>
  <c r="AA791" i="26"/>
  <c r="AB791" i="26"/>
  <c r="AA807" i="26"/>
  <c r="AB807" i="26"/>
  <c r="AA815" i="26"/>
  <c r="AB815" i="26"/>
  <c r="AA831" i="26"/>
  <c r="AB831" i="26"/>
  <c r="AA847" i="26"/>
  <c r="AB847" i="26"/>
  <c r="AA863" i="26"/>
  <c r="AB863" i="26"/>
  <c r="AA879" i="26"/>
  <c r="AB879" i="26"/>
  <c r="AA895" i="26"/>
  <c r="AB895" i="26"/>
  <c r="AA911" i="26"/>
  <c r="AB911" i="26"/>
  <c r="AA927" i="26"/>
  <c r="AB927" i="26"/>
  <c r="AA943" i="26"/>
  <c r="AB943" i="26"/>
  <c r="AA959" i="26"/>
  <c r="AB959" i="26"/>
  <c r="AA975" i="26"/>
  <c r="AB975" i="26"/>
  <c r="AA983" i="26"/>
  <c r="AB983" i="26"/>
  <c r="AA999" i="26"/>
  <c r="AB999" i="26"/>
  <c r="AA1015" i="26"/>
  <c r="AB1015" i="26"/>
  <c r="AA1031" i="26"/>
  <c r="AB1031" i="26"/>
  <c r="AA1047" i="26"/>
  <c r="AB1047" i="26"/>
  <c r="AA1063" i="26"/>
  <c r="AB1063" i="26"/>
  <c r="AA1079" i="26"/>
  <c r="AB1079" i="26"/>
  <c r="AA1095" i="26"/>
  <c r="AB1095" i="26"/>
  <c r="AA1111" i="26"/>
  <c r="AB1111" i="26"/>
  <c r="AA1127" i="26"/>
  <c r="AB1127" i="26"/>
  <c r="AA1143" i="26"/>
  <c r="AB1143" i="26"/>
  <c r="AA1159" i="26"/>
  <c r="AB1159" i="26"/>
  <c r="AA1175" i="26"/>
  <c r="AB1175" i="26"/>
  <c r="AA1191" i="26"/>
  <c r="AB1191" i="26"/>
  <c r="AA1207" i="26"/>
  <c r="AB1207" i="26"/>
  <c r="AA1223" i="26"/>
  <c r="AB1223" i="26"/>
  <c r="AA1239" i="26"/>
  <c r="AB1239" i="26"/>
  <c r="AA1255" i="26"/>
  <c r="AB1255" i="26"/>
  <c r="AA1271" i="26"/>
  <c r="AB1271" i="26"/>
  <c r="AA1287" i="26"/>
  <c r="AB1287" i="26"/>
  <c r="AA1303" i="26"/>
  <c r="AB1303" i="26"/>
  <c r="AA1319" i="26"/>
  <c r="AB1319" i="26"/>
  <c r="AA1327" i="26"/>
  <c r="AB1327" i="26"/>
  <c r="AA1343" i="26"/>
  <c r="AB1343" i="26"/>
  <c r="AA1359" i="26"/>
  <c r="AB1359" i="26"/>
  <c r="AA1375" i="26"/>
  <c r="AB1375" i="26"/>
  <c r="AA1391" i="26"/>
  <c r="AB1391" i="26"/>
  <c r="AA1407" i="26"/>
  <c r="AB1407" i="26"/>
  <c r="AA1415" i="26"/>
  <c r="AB1415" i="26"/>
  <c r="AA1431" i="26"/>
  <c r="AB1431" i="26"/>
  <c r="AA1439" i="26"/>
  <c r="AB1439" i="26"/>
  <c r="AA1455" i="26"/>
  <c r="AB1455" i="26"/>
  <c r="AA1471" i="26"/>
  <c r="AB1471" i="26"/>
  <c r="AA1487" i="26"/>
  <c r="AB1487" i="26"/>
  <c r="AA1503" i="26"/>
  <c r="AB1503" i="26"/>
  <c r="AA1511" i="26"/>
  <c r="AB1511" i="26"/>
  <c r="AA1527" i="26"/>
  <c r="AB1527" i="26"/>
  <c r="AA1543" i="26"/>
  <c r="AB1543" i="26"/>
  <c r="AA1559" i="26"/>
  <c r="AB1559" i="26"/>
  <c r="AA1575" i="26"/>
  <c r="AB1575" i="26"/>
  <c r="AA1591" i="26"/>
  <c r="AB1591" i="26"/>
  <c r="AA1607" i="26"/>
  <c r="AB1607" i="26"/>
  <c r="AA1623" i="26"/>
  <c r="AB1623" i="26"/>
  <c r="AA1639" i="26"/>
  <c r="AB1639" i="26"/>
  <c r="AA1655" i="26"/>
  <c r="AB1655" i="26"/>
  <c r="AA1671" i="26"/>
  <c r="AB1671" i="26"/>
  <c r="AA1679" i="26"/>
  <c r="AB1679" i="26"/>
  <c r="AA1695" i="26"/>
  <c r="AB1695" i="26"/>
  <c r="AA1703" i="26"/>
  <c r="AB1703" i="26"/>
  <c r="AA1719" i="26"/>
  <c r="AB1719" i="26"/>
  <c r="AA1735" i="26"/>
  <c r="AB1735" i="26"/>
  <c r="AA1751" i="26"/>
  <c r="AB1751" i="26"/>
  <c r="AA1767" i="26"/>
  <c r="AB1767" i="26"/>
  <c r="AA1783" i="26"/>
  <c r="AB1783" i="26"/>
  <c r="AA1799" i="26"/>
  <c r="AB1799" i="26"/>
  <c r="AA1815" i="26"/>
  <c r="AB1815" i="26"/>
  <c r="AA1831" i="26"/>
  <c r="AB1831" i="26"/>
  <c r="AA1847" i="26"/>
  <c r="AB1847" i="26"/>
  <c r="AA1863" i="26"/>
  <c r="AB1863" i="26"/>
  <c r="AA1879" i="26"/>
  <c r="AB1879" i="26"/>
  <c r="AA1895" i="26"/>
  <c r="AB1895" i="26"/>
  <c r="AA1911" i="26"/>
  <c r="AB1911" i="26"/>
  <c r="AA1927" i="26"/>
  <c r="AB1927" i="26"/>
  <c r="AA1943" i="26"/>
  <c r="AB1943" i="26"/>
  <c r="AA1959" i="26"/>
  <c r="AB1959" i="26"/>
  <c r="AA1975" i="26"/>
  <c r="AB1975" i="26"/>
  <c r="AA1991" i="26"/>
  <c r="AB1991" i="26"/>
  <c r="AA2007" i="26"/>
  <c r="AB2007" i="26"/>
  <c r="AA2023" i="26"/>
  <c r="AB2023" i="26"/>
  <c r="AA2039" i="26"/>
  <c r="AB2039" i="26"/>
  <c r="AA2055" i="26"/>
  <c r="AB2055" i="26"/>
  <c r="AA2071" i="26"/>
  <c r="AB2071" i="26"/>
  <c r="AA2087" i="26"/>
  <c r="AB2087" i="26"/>
  <c r="AA2103" i="26"/>
  <c r="AB2103" i="26"/>
  <c r="AA2119" i="26"/>
  <c r="AB2119" i="26"/>
  <c r="AA2135" i="26"/>
  <c r="AB2135" i="26"/>
  <c r="AA2151" i="26"/>
  <c r="AB2151" i="26"/>
  <c r="AA2167" i="26"/>
  <c r="AB2167" i="26"/>
  <c r="AA2183" i="26"/>
  <c r="AB2183" i="26"/>
  <c r="AA2199" i="26"/>
  <c r="AB2199" i="26"/>
  <c r="AA2215" i="26"/>
  <c r="AB2215" i="26"/>
  <c r="AA2231" i="26"/>
  <c r="AB2231" i="26"/>
  <c r="AA2247" i="26"/>
  <c r="AB2247" i="26"/>
  <c r="AA2263" i="26"/>
  <c r="AB2263" i="26"/>
  <c r="AA2279" i="26"/>
  <c r="AB2279" i="26"/>
  <c r="AA2295" i="26"/>
  <c r="AB2295" i="26"/>
  <c r="AA2311" i="26"/>
  <c r="AB2311" i="26"/>
  <c r="AA2327" i="26"/>
  <c r="AB2327" i="26"/>
  <c r="AA2343" i="26"/>
  <c r="AB2343" i="26"/>
  <c r="AA2359" i="26"/>
  <c r="AB2359" i="26"/>
  <c r="AA2375" i="26"/>
  <c r="AB2375" i="26"/>
  <c r="AA2391" i="26"/>
  <c r="AB2391" i="26"/>
  <c r="AA2407" i="26"/>
  <c r="AB2407" i="26"/>
  <c r="AA2423" i="26"/>
  <c r="AB2423" i="26"/>
  <c r="AA2439" i="26"/>
  <c r="AB2439" i="26"/>
  <c r="AA2455" i="26"/>
  <c r="AB2455" i="26"/>
  <c r="AA2471" i="26"/>
  <c r="AB2471" i="26"/>
  <c r="AA2487" i="26"/>
  <c r="AB2487" i="26"/>
  <c r="AA2503" i="26"/>
  <c r="AB2503" i="26"/>
  <c r="AA2519" i="26"/>
  <c r="AB2519" i="26"/>
  <c r="AA2535" i="26"/>
  <c r="AB2535" i="26"/>
  <c r="AA2551" i="26"/>
  <c r="AB2551" i="26"/>
  <c r="AA2567" i="26"/>
  <c r="AB2567" i="26"/>
  <c r="AA2583" i="26"/>
  <c r="AB2583" i="26"/>
  <c r="AA2599" i="26"/>
  <c r="AB2599" i="26"/>
  <c r="AA2615" i="26"/>
  <c r="AB2615" i="26"/>
  <c r="AA2631" i="26"/>
  <c r="AB2631" i="26"/>
  <c r="AA2639" i="26"/>
  <c r="AB2639" i="26"/>
  <c r="AA2655" i="26"/>
  <c r="AB2655" i="26"/>
  <c r="AA2663" i="26"/>
  <c r="AB2663" i="26"/>
  <c r="AA2679" i="26"/>
  <c r="AB2679" i="26"/>
  <c r="AA2695" i="26"/>
  <c r="AB2695" i="26"/>
  <c r="AA2711" i="26"/>
  <c r="AB2711" i="26"/>
  <c r="AA2727" i="26"/>
  <c r="AB2727" i="26"/>
  <c r="AA2743" i="26"/>
  <c r="AB2743" i="26"/>
  <c r="AA2759" i="26"/>
  <c r="AB2759" i="26"/>
  <c r="AA2775" i="26"/>
  <c r="AB2775" i="26"/>
  <c r="AA2791" i="26"/>
  <c r="AB2791" i="26"/>
  <c r="AA2807" i="26"/>
  <c r="AB2807" i="26"/>
  <c r="AA2823" i="26"/>
  <c r="AB2823" i="26"/>
  <c r="AA2839" i="26"/>
  <c r="AB2839" i="26"/>
  <c r="AA2855" i="26"/>
  <c r="AB2855" i="26"/>
  <c r="AA2871" i="26"/>
  <c r="AB2871" i="26"/>
  <c r="AA2887" i="26"/>
  <c r="AB2887" i="26"/>
  <c r="AA2903" i="26"/>
  <c r="AB2903" i="26"/>
  <c r="AA2919" i="26"/>
  <c r="AB2919" i="26"/>
  <c r="AA2927" i="26"/>
  <c r="AB2927" i="26"/>
  <c r="AA2943" i="26"/>
  <c r="AB2943" i="26"/>
  <c r="AA2959" i="26"/>
  <c r="AB2959" i="26"/>
  <c r="AA2975" i="26"/>
  <c r="AB2975" i="26"/>
  <c r="AA2991" i="26"/>
  <c r="AB2991" i="26"/>
  <c r="AA3007" i="26"/>
  <c r="AB3007" i="26"/>
  <c r="AA3023" i="26"/>
  <c r="AB3023" i="26"/>
  <c r="AA3039" i="26"/>
  <c r="AB3039" i="26"/>
  <c r="AA3055" i="26"/>
  <c r="AB3055" i="26"/>
  <c r="AA3071" i="26"/>
  <c r="AB3071" i="26"/>
  <c r="AA3087" i="26"/>
  <c r="AB3087" i="26"/>
  <c r="AA3103" i="26"/>
  <c r="AB3103" i="26"/>
  <c r="AA3119" i="26"/>
  <c r="AB3119" i="26"/>
  <c r="AA3135" i="26"/>
  <c r="AB3135" i="26"/>
  <c r="AA3151" i="26"/>
  <c r="AB3151" i="26"/>
  <c r="AA3167" i="26"/>
  <c r="AB3167" i="26"/>
  <c r="AA3183" i="26"/>
  <c r="AB3183" i="26"/>
  <c r="AA3199" i="26"/>
  <c r="AB3199" i="26"/>
  <c r="AA3215" i="26"/>
  <c r="AB3215" i="26"/>
  <c r="AA3231" i="26"/>
  <c r="AB3231" i="26"/>
  <c r="AA3247" i="26"/>
  <c r="AB3247" i="26"/>
  <c r="AA3263" i="26"/>
  <c r="AB3263" i="26"/>
  <c r="AA3279" i="26"/>
  <c r="AB3279" i="26"/>
  <c r="AA3295" i="26"/>
  <c r="AB3295" i="26"/>
  <c r="AA3311" i="26"/>
  <c r="AB3311" i="26"/>
  <c r="AA3327" i="26"/>
  <c r="AB3327" i="26"/>
  <c r="AA3343" i="26"/>
  <c r="AB3343" i="26"/>
  <c r="AA3359" i="26"/>
  <c r="AB3359" i="26"/>
  <c r="AA3375" i="26"/>
  <c r="AB3375" i="26"/>
  <c r="AA3391" i="26"/>
  <c r="AB3391" i="26"/>
  <c r="AA3407" i="26"/>
  <c r="AB3407" i="26"/>
  <c r="AA3423" i="26"/>
  <c r="AB3423" i="26"/>
  <c r="AA3439" i="26"/>
  <c r="AB3439" i="26"/>
  <c r="AA3455" i="26"/>
  <c r="AB3455" i="26"/>
  <c r="AA3471" i="26"/>
  <c r="AB3471" i="26"/>
  <c r="AA3487" i="26"/>
  <c r="AB3487" i="26"/>
  <c r="AA3503" i="26"/>
  <c r="AB3503" i="26"/>
  <c r="AA3519" i="26"/>
  <c r="AB3519" i="26"/>
  <c r="AA3535" i="26"/>
  <c r="AB3535" i="26"/>
  <c r="AA704" i="26"/>
  <c r="AB704" i="26"/>
  <c r="AA14" i="26"/>
  <c r="AB14" i="26"/>
  <c r="AA22" i="26"/>
  <c r="AB22" i="26"/>
  <c r="AA30" i="26"/>
  <c r="AB30" i="26"/>
  <c r="AA38" i="26"/>
  <c r="AB38" i="26"/>
  <c r="AA46" i="26"/>
  <c r="AB46" i="26"/>
  <c r="AA54" i="26"/>
  <c r="AB54" i="26"/>
  <c r="AA62" i="26"/>
  <c r="AB62" i="26"/>
  <c r="AA70" i="26"/>
  <c r="AB70" i="26"/>
  <c r="AA78" i="26"/>
  <c r="AB78" i="26"/>
  <c r="AA86" i="26"/>
  <c r="AB86" i="26"/>
  <c r="AA94" i="26"/>
  <c r="AB94" i="26"/>
  <c r="AA102" i="26"/>
  <c r="AB102" i="26"/>
  <c r="AA110" i="26"/>
  <c r="AB110" i="26"/>
  <c r="AA118" i="26"/>
  <c r="AB118" i="26"/>
  <c r="AA126" i="26"/>
  <c r="AB126" i="26"/>
  <c r="AA134" i="26"/>
  <c r="AB134" i="26"/>
  <c r="AA142" i="26"/>
  <c r="AB142" i="26"/>
  <c r="AA150" i="26"/>
  <c r="AB150" i="26"/>
  <c r="AA158" i="26"/>
  <c r="AB158" i="26"/>
  <c r="AA166" i="26"/>
  <c r="AB166" i="26"/>
  <c r="AA174" i="26"/>
  <c r="AB174" i="26"/>
  <c r="AA182" i="26"/>
  <c r="AB182" i="26"/>
  <c r="AA190" i="26"/>
  <c r="AB190" i="26"/>
  <c r="AA198" i="26"/>
  <c r="AB198" i="26"/>
  <c r="AA206" i="26"/>
  <c r="AB206" i="26"/>
  <c r="AA214" i="26"/>
  <c r="AB214" i="26"/>
  <c r="AA222" i="26"/>
  <c r="AB222" i="26"/>
  <c r="AA230" i="26"/>
  <c r="AB230" i="26"/>
  <c r="AA238" i="26"/>
  <c r="AB238" i="26"/>
  <c r="AA246" i="26"/>
  <c r="AB246" i="26"/>
  <c r="AA254" i="26"/>
  <c r="AB254" i="26"/>
  <c r="AA262" i="26"/>
  <c r="AB262" i="26"/>
  <c r="AA270" i="26"/>
  <c r="AB270" i="26"/>
  <c r="AA278" i="26"/>
  <c r="AB278" i="26"/>
  <c r="AA286" i="26"/>
  <c r="AB286" i="26"/>
  <c r="AA294" i="26"/>
  <c r="AB294" i="26"/>
  <c r="AA302" i="26"/>
  <c r="AB302" i="26"/>
  <c r="AA310" i="26"/>
  <c r="AB310" i="26"/>
  <c r="AA318" i="26"/>
  <c r="AB318" i="26"/>
  <c r="AA326" i="26"/>
  <c r="AB326" i="26"/>
  <c r="AA334" i="26"/>
  <c r="AB334" i="26"/>
  <c r="AA342" i="26"/>
  <c r="AB342" i="26"/>
  <c r="AA350" i="26"/>
  <c r="AB350" i="26"/>
  <c r="AA358" i="26"/>
  <c r="AB358" i="26"/>
  <c r="AA366" i="26"/>
  <c r="AB366" i="26"/>
  <c r="AA374" i="26"/>
  <c r="AB374" i="26"/>
  <c r="AA382" i="26"/>
  <c r="AB382" i="26"/>
  <c r="AA390" i="26"/>
  <c r="AB390" i="26"/>
  <c r="AA398" i="26"/>
  <c r="AB398" i="26"/>
  <c r="AA406" i="26"/>
  <c r="AB406" i="26"/>
  <c r="AA414" i="26"/>
  <c r="AB414" i="26"/>
  <c r="AA422" i="26"/>
  <c r="AB422" i="26"/>
  <c r="AA430" i="26"/>
  <c r="AB430" i="26"/>
  <c r="AA438" i="26"/>
  <c r="AB438" i="26"/>
  <c r="AA446" i="26"/>
  <c r="AB446" i="26"/>
  <c r="AA454" i="26"/>
  <c r="AB454" i="26"/>
  <c r="AA462" i="26"/>
  <c r="AB462" i="26"/>
  <c r="AA470" i="26"/>
  <c r="AB470" i="26"/>
  <c r="AA478" i="26"/>
  <c r="AB478" i="26"/>
  <c r="AA494" i="26"/>
  <c r="AB494" i="26"/>
  <c r="AA502" i="26"/>
  <c r="AB502" i="26"/>
  <c r="AA510" i="26"/>
  <c r="AB510" i="26"/>
  <c r="AA518" i="26"/>
  <c r="AB518" i="26"/>
  <c r="AA526" i="26"/>
  <c r="AB526" i="26"/>
  <c r="AA534" i="26"/>
  <c r="AB534" i="26"/>
  <c r="AA542" i="26"/>
  <c r="AB542" i="26"/>
  <c r="AA550" i="26"/>
  <c r="AB550" i="26"/>
  <c r="AA558" i="26"/>
  <c r="AB558" i="26"/>
  <c r="AA566" i="26"/>
  <c r="AB566" i="26"/>
  <c r="AA574" i="26"/>
  <c r="AB574" i="26"/>
  <c r="AA582" i="26"/>
  <c r="AB582" i="26"/>
  <c r="AA590" i="26"/>
  <c r="AB590" i="26"/>
  <c r="AA598" i="26"/>
  <c r="AB598" i="26"/>
  <c r="AA606" i="26"/>
  <c r="AB606" i="26"/>
  <c r="AA614" i="26"/>
  <c r="AB614" i="26"/>
  <c r="AA622" i="26"/>
  <c r="AB622" i="26"/>
  <c r="AA630" i="26"/>
  <c r="AB630" i="26"/>
  <c r="AA638" i="26"/>
  <c r="AB638" i="26"/>
  <c r="AA646" i="26"/>
  <c r="AB646" i="26"/>
  <c r="AA654" i="26"/>
  <c r="AB654" i="26"/>
  <c r="AA662" i="26"/>
  <c r="AB662" i="26"/>
  <c r="AA670" i="26"/>
  <c r="AB670" i="26"/>
  <c r="AA678" i="26"/>
  <c r="AB678" i="26"/>
  <c r="AA686" i="26"/>
  <c r="AB686" i="26"/>
  <c r="AA694" i="26"/>
  <c r="AB694" i="26"/>
  <c r="AA702" i="26"/>
  <c r="AB702" i="26"/>
  <c r="AA710" i="26"/>
  <c r="AB710" i="26"/>
  <c r="AA718" i="26"/>
  <c r="AB718" i="26"/>
  <c r="AA726" i="26"/>
  <c r="AB726" i="26"/>
  <c r="AA734" i="26"/>
  <c r="AB734" i="26"/>
  <c r="AA742" i="26"/>
  <c r="AB742" i="26"/>
  <c r="AA750" i="26"/>
  <c r="AB750" i="26"/>
  <c r="AA758" i="26"/>
  <c r="AB758" i="26"/>
  <c r="AA766" i="26"/>
  <c r="AB766" i="26"/>
  <c r="AA774" i="26"/>
  <c r="AB774" i="26"/>
  <c r="AA782" i="26"/>
  <c r="AB782" i="26"/>
  <c r="AA790" i="26"/>
  <c r="AB790" i="26"/>
  <c r="AA798" i="26"/>
  <c r="AB798" i="26"/>
  <c r="AA806" i="26"/>
  <c r="AB806" i="26"/>
  <c r="AA814" i="26"/>
  <c r="AB814" i="26"/>
  <c r="AA822" i="26"/>
  <c r="AB822" i="26"/>
  <c r="AA830" i="26"/>
  <c r="AB830" i="26"/>
  <c r="AA838" i="26"/>
  <c r="AB838" i="26"/>
  <c r="AA846" i="26"/>
  <c r="AB846" i="26"/>
  <c r="AA854" i="26"/>
  <c r="AB854" i="26"/>
  <c r="AA862" i="26"/>
  <c r="AB862" i="26"/>
  <c r="AA870" i="26"/>
  <c r="AB870" i="26"/>
  <c r="AA878" i="26"/>
  <c r="AB878" i="26"/>
  <c r="AA886" i="26"/>
  <c r="AB886" i="26"/>
  <c r="AA894" i="26"/>
  <c r="AB894" i="26"/>
  <c r="AA902" i="26"/>
  <c r="AB902" i="26"/>
  <c r="AA910" i="26"/>
  <c r="AB910" i="26"/>
  <c r="AA926" i="26"/>
  <c r="AB926" i="26"/>
  <c r="AA934" i="26"/>
  <c r="AB934" i="26"/>
  <c r="AA942" i="26"/>
  <c r="AB942" i="26"/>
  <c r="AA950" i="26"/>
  <c r="AB950" i="26"/>
  <c r="AA958" i="26"/>
  <c r="AB958" i="26"/>
  <c r="AA966" i="26"/>
  <c r="AB966" i="26"/>
  <c r="AA974" i="26"/>
  <c r="AB974" i="26"/>
  <c r="AA982" i="26"/>
  <c r="AB982" i="26"/>
  <c r="AA990" i="26"/>
  <c r="AB990" i="26"/>
  <c r="AA998" i="26"/>
  <c r="AB998" i="26"/>
  <c r="AA1006" i="26"/>
  <c r="AB1006" i="26"/>
  <c r="AA1014" i="26"/>
  <c r="AB1014" i="26"/>
  <c r="AA1022" i="26"/>
  <c r="AB1022" i="26"/>
  <c r="AA1030" i="26"/>
  <c r="AB1030" i="26"/>
  <c r="AA1038" i="26"/>
  <c r="AB1038" i="26"/>
  <c r="AA1046" i="26"/>
  <c r="AB1046" i="26"/>
  <c r="AA1054" i="26"/>
  <c r="AB1054" i="26"/>
  <c r="AA1062" i="26"/>
  <c r="AB1062" i="26"/>
  <c r="AA1070" i="26"/>
  <c r="AB1070" i="26"/>
  <c r="AA1086" i="26"/>
  <c r="AB1086" i="26"/>
  <c r="AA1094" i="26"/>
  <c r="AB1094" i="26"/>
  <c r="AA1102" i="26"/>
  <c r="AB1102" i="26"/>
  <c r="AA1110" i="26"/>
  <c r="AB1110" i="26"/>
  <c r="AA1118" i="26"/>
  <c r="AB1118" i="26"/>
  <c r="AA1126" i="26"/>
  <c r="AB1126" i="26"/>
  <c r="AA1134" i="26"/>
  <c r="AB1134" i="26"/>
  <c r="AA1142" i="26"/>
  <c r="AB1142" i="26"/>
  <c r="AA1150" i="26"/>
  <c r="AB1150" i="26"/>
  <c r="AA1166" i="26"/>
  <c r="AB1166" i="26"/>
  <c r="AA1174" i="26"/>
  <c r="AB1174" i="26"/>
  <c r="AA1182" i="26"/>
  <c r="AB1182" i="26"/>
  <c r="AA1190" i="26"/>
  <c r="AB1190" i="26"/>
  <c r="AA1206" i="26"/>
  <c r="AB1206" i="26"/>
  <c r="AA1222" i="26"/>
  <c r="AB1222" i="26"/>
  <c r="AA1238" i="26"/>
  <c r="AB1238" i="26"/>
  <c r="AA1254" i="26"/>
  <c r="AB1254" i="26"/>
  <c r="AA1270" i="26"/>
  <c r="AB1270" i="26"/>
  <c r="AA1294" i="26"/>
  <c r="AB1294" i="26"/>
  <c r="AA1318" i="26"/>
  <c r="AB1318" i="26"/>
  <c r="AA1342" i="26"/>
  <c r="AB1342" i="26"/>
  <c r="AA1366" i="26"/>
  <c r="AB1366" i="26"/>
  <c r="AA1382" i="26"/>
  <c r="AB1382" i="26"/>
  <c r="AA1398" i="26"/>
  <c r="AB1398" i="26"/>
  <c r="AA1414" i="26"/>
  <c r="AB1414" i="26"/>
  <c r="AA1430" i="26"/>
  <c r="AB1430" i="26"/>
  <c r="AA1446" i="26"/>
  <c r="AB1446" i="26"/>
  <c r="AA1462" i="26"/>
  <c r="AB1462" i="26"/>
  <c r="AA1478" i="26"/>
  <c r="AB1478" i="26"/>
  <c r="AA1502" i="26"/>
  <c r="AB1502" i="26"/>
  <c r="AA1518" i="26"/>
  <c r="AB1518" i="26"/>
  <c r="AA1534" i="26"/>
  <c r="AB1534" i="26"/>
  <c r="AA1550" i="26"/>
  <c r="AB1550" i="26"/>
  <c r="AA1566" i="26"/>
  <c r="AB1566" i="26"/>
  <c r="AA1582" i="26"/>
  <c r="AB1582" i="26"/>
  <c r="AA1598" i="26"/>
  <c r="AB1598" i="26"/>
  <c r="AA1614" i="26"/>
  <c r="AB1614" i="26"/>
  <c r="AA1630" i="26"/>
  <c r="AB1630" i="26"/>
  <c r="AA1654" i="26"/>
  <c r="AB1654" i="26"/>
  <c r="AA1670" i="26"/>
  <c r="AB1670" i="26"/>
  <c r="AA1686" i="26"/>
  <c r="AB1686" i="26"/>
  <c r="AA1702" i="26"/>
  <c r="AB1702" i="26"/>
  <c r="AA1726" i="26"/>
  <c r="AB1726" i="26"/>
  <c r="AA1750" i="26"/>
  <c r="AB1750" i="26"/>
  <c r="AA1766" i="26"/>
  <c r="AB1766" i="26"/>
  <c r="AA1782" i="26"/>
  <c r="AB1782" i="26"/>
  <c r="AA1806" i="26"/>
  <c r="AB1806" i="26"/>
  <c r="AA1830" i="26"/>
  <c r="AB1830" i="26"/>
  <c r="AA1854" i="26"/>
  <c r="AB1854" i="26"/>
  <c r="AA1870" i="26"/>
  <c r="AB1870" i="26"/>
  <c r="AA1886" i="26"/>
  <c r="AB1886" i="26"/>
  <c r="AA1902" i="26"/>
  <c r="AB1902" i="26"/>
  <c r="AA1918" i="26"/>
  <c r="AB1918" i="26"/>
  <c r="AA1934" i="26"/>
  <c r="AB1934" i="26"/>
  <c r="AA1958" i="26"/>
  <c r="AB1958" i="26"/>
  <c r="AA1974" i="26"/>
  <c r="AB1974" i="26"/>
  <c r="AA1998" i="26"/>
  <c r="AB1998" i="26"/>
  <c r="AA2022" i="26"/>
  <c r="AB2022" i="26"/>
  <c r="AA2038" i="26"/>
  <c r="AB2038" i="26"/>
  <c r="AA2054" i="26"/>
  <c r="AB2054" i="26"/>
  <c r="AA2070" i="26"/>
  <c r="AB2070" i="26"/>
  <c r="AA2086" i="26"/>
  <c r="AB2086" i="26"/>
  <c r="AA2102" i="26"/>
  <c r="AB2102" i="26"/>
  <c r="AA2126" i="26"/>
  <c r="AB2126" i="26"/>
  <c r="AA2150" i="26"/>
  <c r="AB2150" i="26"/>
  <c r="AA2166" i="26"/>
  <c r="AB2166" i="26"/>
  <c r="AA2182" i="26"/>
  <c r="AB2182" i="26"/>
  <c r="AA2198" i="26"/>
  <c r="AB2198" i="26"/>
  <c r="AA2222" i="26"/>
  <c r="AB2222" i="26"/>
  <c r="AA2238" i="26"/>
  <c r="AB2238" i="26"/>
  <c r="AA2262" i="26"/>
  <c r="AB2262" i="26"/>
  <c r="AA2278" i="26"/>
  <c r="AB2278" i="26"/>
  <c r="AA2294" i="26"/>
  <c r="AB2294" i="26"/>
  <c r="AA2310" i="26"/>
  <c r="AB2310" i="26"/>
  <c r="AA2326" i="26"/>
  <c r="AB2326" i="26"/>
  <c r="AA2350" i="26"/>
  <c r="AB2350" i="26"/>
  <c r="AA2374" i="26"/>
  <c r="AB2374" i="26"/>
  <c r="AA2390" i="26"/>
  <c r="AB2390" i="26"/>
  <c r="AA2406" i="26"/>
  <c r="AB2406" i="26"/>
  <c r="AA2422" i="26"/>
  <c r="AB2422" i="26"/>
  <c r="AA2446" i="26"/>
  <c r="AB2446" i="26"/>
  <c r="AA2462" i="26"/>
  <c r="AB2462" i="26"/>
  <c r="AA2478" i="26"/>
  <c r="AB2478" i="26"/>
  <c r="AA2494" i="26"/>
  <c r="AB2494" i="26"/>
  <c r="AA2518" i="26"/>
  <c r="AB2518" i="26"/>
  <c r="AA2542" i="26"/>
  <c r="AB2542" i="26"/>
  <c r="AA2558" i="26"/>
  <c r="AB2558" i="26"/>
  <c r="AA2582" i="26"/>
  <c r="AB2582" i="26"/>
  <c r="AA2606" i="26"/>
  <c r="AB2606" i="26"/>
  <c r="AA2622" i="26"/>
  <c r="AB2622" i="26"/>
  <c r="AA2638" i="26"/>
  <c r="AB2638" i="26"/>
  <c r="AA2662" i="26"/>
  <c r="AB2662" i="26"/>
  <c r="AA2686" i="26"/>
  <c r="AB2686" i="26"/>
  <c r="AA2702" i="26"/>
  <c r="AB2702" i="26"/>
  <c r="AA2718" i="26"/>
  <c r="AB2718" i="26"/>
  <c r="AA2734" i="26"/>
  <c r="AB2734" i="26"/>
  <c r="AA2750" i="26"/>
  <c r="AB2750" i="26"/>
  <c r="AA2774" i="26"/>
  <c r="AB2774" i="26"/>
  <c r="AA2790" i="26"/>
  <c r="AB2790" i="26"/>
  <c r="AA2806" i="26"/>
  <c r="AB2806" i="26"/>
  <c r="AA2822" i="26"/>
  <c r="AB2822" i="26"/>
  <c r="AA2838" i="26"/>
  <c r="AB2838" i="26"/>
  <c r="AA2854" i="26"/>
  <c r="AB2854" i="26"/>
  <c r="AA2870" i="26"/>
  <c r="AB2870" i="26"/>
  <c r="AA2886" i="26"/>
  <c r="AB2886" i="26"/>
  <c r="AA2902" i="26"/>
  <c r="AB2902" i="26"/>
  <c r="AA2918" i="26"/>
  <c r="AB2918" i="26"/>
  <c r="AA2934" i="26"/>
  <c r="AB2934" i="26"/>
  <c r="AA2958" i="26"/>
  <c r="AB2958" i="26"/>
  <c r="AA2974" i="26"/>
  <c r="AB2974" i="26"/>
  <c r="AA2990" i="26"/>
  <c r="AB2990" i="26"/>
  <c r="AA3006" i="26"/>
  <c r="AB3006" i="26"/>
  <c r="AA3030" i="26"/>
  <c r="AB3030" i="26"/>
  <c r="AA3054" i="26"/>
  <c r="AB3054" i="26"/>
  <c r="AA3070" i="26"/>
  <c r="AB3070" i="26"/>
  <c r="AA3086" i="26"/>
  <c r="AB3086" i="26"/>
  <c r="AA3110" i="26"/>
  <c r="AB3110" i="26"/>
  <c r="AA3126" i="26"/>
  <c r="AB3126" i="26"/>
  <c r="AA3142" i="26"/>
  <c r="AB3142" i="26"/>
  <c r="AA3158" i="26"/>
  <c r="AB3158" i="26"/>
  <c r="AA3174" i="26"/>
  <c r="AB3174" i="26"/>
  <c r="AA3190" i="26"/>
  <c r="AB3190" i="26"/>
  <c r="AA3222" i="26"/>
  <c r="AB3222" i="26"/>
  <c r="AA3246" i="26"/>
  <c r="AB3246" i="26"/>
  <c r="AA3262" i="26"/>
  <c r="AB3262" i="26"/>
  <c r="AA3286" i="26"/>
  <c r="AB3286" i="26"/>
  <c r="AA3302" i="26"/>
  <c r="AB3302" i="26"/>
  <c r="AA3318" i="26"/>
  <c r="AB3318" i="26"/>
  <c r="AA3334" i="26"/>
  <c r="AB3334" i="26"/>
  <c r="AA3350" i="26"/>
  <c r="AB3350" i="26"/>
  <c r="AA3374" i="26"/>
  <c r="AB3374" i="26"/>
  <c r="AA3390" i="26"/>
  <c r="AB3390" i="26"/>
  <c r="AA3406" i="26"/>
  <c r="AB3406" i="26"/>
  <c r="AA3422" i="26"/>
  <c r="AB3422" i="26"/>
  <c r="AA3446" i="26"/>
  <c r="AB3446" i="26"/>
  <c r="AA3470" i="26"/>
  <c r="AB3470" i="26"/>
  <c r="AA3486" i="26"/>
  <c r="AB3486" i="26"/>
  <c r="AA3502" i="26"/>
  <c r="AB3502" i="26"/>
  <c r="AA3518" i="26"/>
  <c r="AB3518" i="26"/>
  <c r="AA3534" i="26"/>
  <c r="AB3534" i="26"/>
  <c r="AA15" i="26"/>
  <c r="AB15" i="26"/>
  <c r="AA31" i="26"/>
  <c r="AB31" i="26"/>
  <c r="AA47" i="26"/>
  <c r="AB47" i="26"/>
  <c r="AA63" i="26"/>
  <c r="AB63" i="26"/>
  <c r="AA79" i="26"/>
  <c r="AB79" i="26"/>
  <c r="AA95" i="26"/>
  <c r="AB95" i="26"/>
  <c r="AA111" i="26"/>
  <c r="AB111" i="26"/>
  <c r="AA127" i="26"/>
  <c r="AB127" i="26"/>
  <c r="AA143" i="26"/>
  <c r="AB143" i="26"/>
  <c r="AA159" i="26"/>
  <c r="AB159" i="26"/>
  <c r="AA175" i="26"/>
  <c r="AB175" i="26"/>
  <c r="AA191" i="26"/>
  <c r="AB191" i="26"/>
  <c r="AA207" i="26"/>
  <c r="AB207" i="26"/>
  <c r="AA223" i="26"/>
  <c r="AB223" i="26"/>
  <c r="AA239" i="26"/>
  <c r="AB239" i="26"/>
  <c r="AA255" i="26"/>
  <c r="AB255" i="26"/>
  <c r="AA271" i="26"/>
  <c r="AB271" i="26"/>
  <c r="AA287" i="26"/>
  <c r="AB287" i="26"/>
  <c r="AA303" i="26"/>
  <c r="AB303" i="26"/>
  <c r="AA319" i="26"/>
  <c r="AB319" i="26"/>
  <c r="AA335" i="26"/>
  <c r="AB335" i="26"/>
  <c r="AA351" i="26"/>
  <c r="AB351" i="26"/>
  <c r="AA367" i="26"/>
  <c r="AB367" i="26"/>
  <c r="AA383" i="26"/>
  <c r="AB383" i="26"/>
  <c r="AA399" i="26"/>
  <c r="AB399" i="26"/>
  <c r="AA407" i="26"/>
  <c r="AB407" i="26"/>
  <c r="AA423" i="26"/>
  <c r="AB423" i="26"/>
  <c r="AA439" i="26"/>
  <c r="AB439" i="26"/>
  <c r="AA455" i="26"/>
  <c r="AB455" i="26"/>
  <c r="AA471" i="26"/>
  <c r="AB471" i="26"/>
  <c r="AA479" i="26"/>
  <c r="AB479" i="26"/>
  <c r="AA495" i="26"/>
  <c r="AB495" i="26"/>
  <c r="AA511" i="26"/>
  <c r="AB511" i="26"/>
  <c r="AA527" i="26"/>
  <c r="AB527" i="26"/>
  <c r="AA543" i="26"/>
  <c r="AB543" i="26"/>
  <c r="AA559" i="26"/>
  <c r="AB559" i="26"/>
  <c r="AA575" i="26"/>
  <c r="AB575" i="26"/>
  <c r="AA591" i="26"/>
  <c r="AB591" i="26"/>
  <c r="AA607" i="26"/>
  <c r="AB607" i="26"/>
  <c r="AA623" i="26"/>
  <c r="AB623" i="26"/>
  <c r="AA639" i="26"/>
  <c r="AB639" i="26"/>
  <c r="AA655" i="26"/>
  <c r="AB655" i="26"/>
  <c r="AA671" i="26"/>
  <c r="AB671" i="26"/>
  <c r="AA687" i="26"/>
  <c r="AB687" i="26"/>
  <c r="AA703" i="26"/>
  <c r="AB703" i="26"/>
  <c r="AA719" i="26"/>
  <c r="AB719" i="26"/>
  <c r="AA735" i="26"/>
  <c r="AB735" i="26"/>
  <c r="AA751" i="26"/>
  <c r="AB751" i="26"/>
  <c r="AA767" i="26"/>
  <c r="AB767" i="26"/>
  <c r="AA783" i="26"/>
  <c r="AB783" i="26"/>
  <c r="AA799" i="26"/>
  <c r="AB799" i="26"/>
  <c r="AA823" i="26"/>
  <c r="AB823" i="26"/>
  <c r="AA839" i="26"/>
  <c r="AB839" i="26"/>
  <c r="AA855" i="26"/>
  <c r="AB855" i="26"/>
  <c r="AA871" i="26"/>
  <c r="AB871" i="26"/>
  <c r="AA887" i="26"/>
  <c r="AB887" i="26"/>
  <c r="AA903" i="26"/>
  <c r="AB903" i="26"/>
  <c r="AA919" i="26"/>
  <c r="AB919" i="26"/>
  <c r="AA935" i="26"/>
  <c r="AB935" i="26"/>
  <c r="AA951" i="26"/>
  <c r="AB951" i="26"/>
  <c r="AA967" i="26"/>
  <c r="AB967" i="26"/>
  <c r="AA991" i="26"/>
  <c r="AB991" i="26"/>
  <c r="AA1007" i="26"/>
  <c r="AB1007" i="26"/>
  <c r="AA1023" i="26"/>
  <c r="AB1023" i="26"/>
  <c r="AA1039" i="26"/>
  <c r="AB1039" i="26"/>
  <c r="AA1055" i="26"/>
  <c r="AB1055" i="26"/>
  <c r="AA1071" i="26"/>
  <c r="AB1071" i="26"/>
  <c r="AA1087" i="26"/>
  <c r="AB1087" i="26"/>
  <c r="AA1103" i="26"/>
  <c r="AB1103" i="26"/>
  <c r="AA1119" i="26"/>
  <c r="AB1119" i="26"/>
  <c r="AA1135" i="26"/>
  <c r="AB1135" i="26"/>
  <c r="AA1151" i="26"/>
  <c r="AB1151" i="26"/>
  <c r="AA1167" i="26"/>
  <c r="AB1167" i="26"/>
  <c r="AA1183" i="26"/>
  <c r="AB1183" i="26"/>
  <c r="AA1199" i="26"/>
  <c r="AB1199" i="26"/>
  <c r="AA1215" i="26"/>
  <c r="AB1215" i="26"/>
  <c r="AA1231" i="26"/>
  <c r="AB1231" i="26"/>
  <c r="AA1247" i="26"/>
  <c r="AB1247" i="26"/>
  <c r="AA1263" i="26"/>
  <c r="AB1263" i="26"/>
  <c r="AA1279" i="26"/>
  <c r="AB1279" i="26"/>
  <c r="AA1295" i="26"/>
  <c r="AB1295" i="26"/>
  <c r="AA1311" i="26"/>
  <c r="AB1311" i="26"/>
  <c r="AA1335" i="26"/>
  <c r="AB1335" i="26"/>
  <c r="AA1351" i="26"/>
  <c r="AB1351" i="26"/>
  <c r="AA1367" i="26"/>
  <c r="AB1367" i="26"/>
  <c r="AA1383" i="26"/>
  <c r="AB1383" i="26"/>
  <c r="AA1399" i="26"/>
  <c r="AB1399" i="26"/>
  <c r="AA1423" i="26"/>
  <c r="AB1423" i="26"/>
  <c r="AA1447" i="26"/>
  <c r="AB1447" i="26"/>
  <c r="AA1463" i="26"/>
  <c r="AB1463" i="26"/>
  <c r="AA1479" i="26"/>
  <c r="AB1479" i="26"/>
  <c r="AA1495" i="26"/>
  <c r="AB1495" i="26"/>
  <c r="AA1519" i="26"/>
  <c r="AB1519" i="26"/>
  <c r="AA1535" i="26"/>
  <c r="AB1535" i="26"/>
  <c r="AA1551" i="26"/>
  <c r="AB1551" i="26"/>
  <c r="AA1567" i="26"/>
  <c r="AB1567" i="26"/>
  <c r="AA1583" i="26"/>
  <c r="AB1583" i="26"/>
  <c r="AA1599" i="26"/>
  <c r="AB1599" i="26"/>
  <c r="AA1615" i="26"/>
  <c r="AB1615" i="26"/>
  <c r="AA1631" i="26"/>
  <c r="AB1631" i="26"/>
  <c r="AA1647" i="26"/>
  <c r="AB1647" i="26"/>
  <c r="AA1663" i="26"/>
  <c r="AB1663" i="26"/>
  <c r="AA1687" i="26"/>
  <c r="AB1687" i="26"/>
  <c r="AA1711" i="26"/>
  <c r="AB1711" i="26"/>
  <c r="AA1727" i="26"/>
  <c r="AB1727" i="26"/>
  <c r="AA1743" i="26"/>
  <c r="AB1743" i="26"/>
  <c r="AA1759" i="26"/>
  <c r="AB1759" i="26"/>
  <c r="AA1775" i="26"/>
  <c r="AB1775" i="26"/>
  <c r="AA1791" i="26"/>
  <c r="AB1791" i="26"/>
  <c r="AA1807" i="26"/>
  <c r="AB1807" i="26"/>
  <c r="AA1823" i="26"/>
  <c r="AB1823" i="26"/>
  <c r="AA1839" i="26"/>
  <c r="AB1839" i="26"/>
  <c r="AA1855" i="26"/>
  <c r="AB1855" i="26"/>
  <c r="AA1871" i="26"/>
  <c r="AB1871" i="26"/>
  <c r="AA1887" i="26"/>
  <c r="AB1887" i="26"/>
  <c r="AA1903" i="26"/>
  <c r="AB1903" i="26"/>
  <c r="AA1919" i="26"/>
  <c r="AB1919" i="26"/>
  <c r="AA1935" i="26"/>
  <c r="AB1935" i="26"/>
  <c r="AA1951" i="26"/>
  <c r="AB1951" i="26"/>
  <c r="AA1967" i="26"/>
  <c r="AB1967" i="26"/>
  <c r="AA1983" i="26"/>
  <c r="AB1983" i="26"/>
  <c r="AA1999" i="26"/>
  <c r="AB1999" i="26"/>
  <c r="AA2015" i="26"/>
  <c r="AB2015" i="26"/>
  <c r="AA2031" i="26"/>
  <c r="AB2031" i="26"/>
  <c r="AA2047" i="26"/>
  <c r="AB2047" i="26"/>
  <c r="AA2063" i="26"/>
  <c r="AB2063" i="26"/>
  <c r="AA2079" i="26"/>
  <c r="AB2079" i="26"/>
  <c r="AA2095" i="26"/>
  <c r="AB2095" i="26"/>
  <c r="AA2111" i="26"/>
  <c r="AB2111" i="26"/>
  <c r="AA2127" i="26"/>
  <c r="AB2127" i="26"/>
  <c r="AA2143" i="26"/>
  <c r="AB2143" i="26"/>
  <c r="AA2159" i="26"/>
  <c r="AB2159" i="26"/>
  <c r="AA2175" i="26"/>
  <c r="AB2175" i="26"/>
  <c r="AA2191" i="26"/>
  <c r="AB2191" i="26"/>
  <c r="AA2207" i="26"/>
  <c r="AB2207" i="26"/>
  <c r="AA2223" i="26"/>
  <c r="AB2223" i="26"/>
  <c r="AA2239" i="26"/>
  <c r="AB2239" i="26"/>
  <c r="AA2255" i="26"/>
  <c r="AB2255" i="26"/>
  <c r="AA2271" i="26"/>
  <c r="AB2271" i="26"/>
  <c r="AA2287" i="26"/>
  <c r="AB2287" i="26"/>
  <c r="AA2303" i="26"/>
  <c r="AB2303" i="26"/>
  <c r="AA2319" i="26"/>
  <c r="AB2319" i="26"/>
  <c r="AA2335" i="26"/>
  <c r="AB2335" i="26"/>
  <c r="AA2351" i="26"/>
  <c r="AB2351" i="26"/>
  <c r="AA2367" i="26"/>
  <c r="AB2367" i="26"/>
  <c r="AA2383" i="26"/>
  <c r="AB2383" i="26"/>
  <c r="AA2399" i="26"/>
  <c r="AB2399" i="26"/>
  <c r="AA2415" i="26"/>
  <c r="AB2415" i="26"/>
  <c r="AA2431" i="26"/>
  <c r="AB2431" i="26"/>
  <c r="AA2447" i="26"/>
  <c r="AB2447" i="26"/>
  <c r="AA2463" i="26"/>
  <c r="AB2463" i="26"/>
  <c r="AA2479" i="26"/>
  <c r="AB2479" i="26"/>
  <c r="AA2495" i="26"/>
  <c r="AB2495" i="26"/>
  <c r="AA2511" i="26"/>
  <c r="AB2511" i="26"/>
  <c r="AA2527" i="26"/>
  <c r="AB2527" i="26"/>
  <c r="AA2543" i="26"/>
  <c r="AB2543" i="26"/>
  <c r="AA2559" i="26"/>
  <c r="AB2559" i="26"/>
  <c r="AA2575" i="26"/>
  <c r="AB2575" i="26"/>
  <c r="AA2591" i="26"/>
  <c r="AB2591" i="26"/>
  <c r="AA2607" i="26"/>
  <c r="AB2607" i="26"/>
  <c r="AA2623" i="26"/>
  <c r="AB2623" i="26"/>
  <c r="AA2647" i="26"/>
  <c r="AB2647" i="26"/>
  <c r="AA2671" i="26"/>
  <c r="AB2671" i="26"/>
  <c r="AA2687" i="26"/>
  <c r="AB2687" i="26"/>
  <c r="AA2703" i="26"/>
  <c r="AB2703" i="26"/>
  <c r="AA2719" i="26"/>
  <c r="AB2719" i="26"/>
  <c r="AA2735" i="26"/>
  <c r="AB2735" i="26"/>
  <c r="AA2751" i="26"/>
  <c r="AB2751" i="26"/>
  <c r="AA2767" i="26"/>
  <c r="AB2767" i="26"/>
  <c r="AA2783" i="26"/>
  <c r="AB2783" i="26"/>
  <c r="AA2799" i="26"/>
  <c r="AB2799" i="26"/>
  <c r="AA2815" i="26"/>
  <c r="AB2815" i="26"/>
  <c r="AA2831" i="26"/>
  <c r="AB2831" i="26"/>
  <c r="AA2847" i="26"/>
  <c r="AB2847" i="26"/>
  <c r="AA2863" i="26"/>
  <c r="AB2863" i="26"/>
  <c r="AA2879" i="26"/>
  <c r="AB2879" i="26"/>
  <c r="AA2895" i="26"/>
  <c r="AB2895" i="26"/>
  <c r="AA2911" i="26"/>
  <c r="AB2911" i="26"/>
  <c r="AA2935" i="26"/>
  <c r="AB2935" i="26"/>
  <c r="AA2951" i="26"/>
  <c r="AB2951" i="26"/>
  <c r="AA2967" i="26"/>
  <c r="AB2967" i="26"/>
  <c r="AA2983" i="26"/>
  <c r="AB2983" i="26"/>
  <c r="AA2999" i="26"/>
  <c r="AB2999" i="26"/>
  <c r="AA3015" i="26"/>
  <c r="AB3015" i="26"/>
  <c r="AA3031" i="26"/>
  <c r="AB3031" i="26"/>
  <c r="AA3047" i="26"/>
  <c r="AB3047" i="26"/>
  <c r="AA3063" i="26"/>
  <c r="AB3063" i="26"/>
  <c r="AA3079" i="26"/>
  <c r="AB3079" i="26"/>
  <c r="AA3095" i="26"/>
  <c r="AB3095" i="26"/>
  <c r="AA3111" i="26"/>
  <c r="AB3111" i="26"/>
  <c r="AA3127" i="26"/>
  <c r="AB3127" i="26"/>
  <c r="AA3143" i="26"/>
  <c r="AB3143" i="26"/>
  <c r="AA3159" i="26"/>
  <c r="AB3159" i="26"/>
  <c r="AA3175" i="26"/>
  <c r="AB3175" i="26"/>
  <c r="AA3191" i="26"/>
  <c r="AB3191" i="26"/>
  <c r="AA3207" i="26"/>
  <c r="AB3207" i="26"/>
  <c r="AA3223" i="26"/>
  <c r="AB3223" i="26"/>
  <c r="AA3239" i="26"/>
  <c r="AB3239" i="26"/>
  <c r="AA3255" i="26"/>
  <c r="AB3255" i="26"/>
  <c r="AA3271" i="26"/>
  <c r="AB3271" i="26"/>
  <c r="AA3287" i="26"/>
  <c r="AB3287" i="26"/>
  <c r="AA3303" i="26"/>
  <c r="AB3303" i="26"/>
  <c r="AA3319" i="26"/>
  <c r="AB3319" i="26"/>
  <c r="AA3335" i="26"/>
  <c r="AB3335" i="26"/>
  <c r="AA3351" i="26"/>
  <c r="AB3351" i="26"/>
  <c r="AA3367" i="26"/>
  <c r="AB3367" i="26"/>
  <c r="AA3383" i="26"/>
  <c r="AB3383" i="26"/>
  <c r="AA3399" i="26"/>
  <c r="AB3399" i="26"/>
  <c r="AA3415" i="26"/>
  <c r="AB3415" i="26"/>
  <c r="AA3431" i="26"/>
  <c r="AB3431" i="26"/>
  <c r="AA3447" i="26"/>
  <c r="AB3447" i="26"/>
  <c r="AA3463" i="26"/>
  <c r="AB3463" i="26"/>
  <c r="AA3479" i="26"/>
  <c r="AB3479" i="26"/>
  <c r="AA3495" i="26"/>
  <c r="AB3495" i="26"/>
  <c r="AA3511" i="26"/>
  <c r="AB3511" i="26"/>
  <c r="AA3527" i="26"/>
  <c r="AB3527" i="26"/>
  <c r="AA3543" i="26"/>
  <c r="AB3543" i="26"/>
  <c r="AA712" i="26"/>
  <c r="AB712" i="26"/>
  <c r="AA16" i="26"/>
  <c r="AB16" i="26"/>
  <c r="AA24" i="26"/>
  <c r="AB24" i="26"/>
  <c r="AA32" i="26"/>
  <c r="AB32" i="26"/>
  <c r="AA40" i="26"/>
  <c r="AB40" i="26"/>
  <c r="AA48" i="26"/>
  <c r="AB48" i="26"/>
  <c r="AA56" i="26"/>
  <c r="AB56" i="26"/>
  <c r="AA64" i="26"/>
  <c r="AB64" i="26"/>
  <c r="AA72" i="26"/>
  <c r="AB72" i="26"/>
  <c r="AA80" i="26"/>
  <c r="AB80" i="26"/>
  <c r="AA88" i="26"/>
  <c r="AB88" i="26"/>
  <c r="AA96" i="26"/>
  <c r="AB96" i="26"/>
  <c r="AA104" i="26"/>
  <c r="AB104" i="26"/>
  <c r="AA112" i="26"/>
  <c r="AB112" i="26"/>
  <c r="AA120" i="26"/>
  <c r="AB120" i="26"/>
  <c r="AA128" i="26"/>
  <c r="AB128" i="26"/>
  <c r="AA136" i="26"/>
  <c r="AB136" i="26"/>
  <c r="AA144" i="26"/>
  <c r="AB144" i="26"/>
  <c r="AA152" i="26"/>
  <c r="AB152" i="26"/>
  <c r="AA160" i="26"/>
  <c r="AB160" i="26"/>
  <c r="AA168" i="26"/>
  <c r="AB168" i="26"/>
  <c r="AA176" i="26"/>
  <c r="AB176" i="26"/>
  <c r="AA184" i="26"/>
  <c r="AB184" i="26"/>
  <c r="AA192" i="26"/>
  <c r="AB192" i="26"/>
  <c r="AA200" i="26"/>
  <c r="AB200" i="26"/>
  <c r="AA208" i="26"/>
  <c r="AB208" i="26"/>
  <c r="AA216" i="26"/>
  <c r="AB216" i="26"/>
  <c r="AA224" i="26"/>
  <c r="AB224" i="26"/>
  <c r="AA232" i="26"/>
  <c r="AB232" i="26"/>
  <c r="AA240" i="26"/>
  <c r="AB240" i="26"/>
  <c r="AA248" i="26"/>
  <c r="AB248" i="26"/>
  <c r="AA256" i="26"/>
  <c r="AB256" i="26"/>
  <c r="AA264" i="26"/>
  <c r="AB264" i="26"/>
  <c r="AA272" i="26"/>
  <c r="AB272" i="26"/>
  <c r="AA280" i="26"/>
  <c r="AB280" i="26"/>
  <c r="AA288" i="26"/>
  <c r="AB288" i="26"/>
  <c r="AA296" i="26"/>
  <c r="AB296" i="26"/>
  <c r="AA304" i="26"/>
  <c r="AB304" i="26"/>
  <c r="AA312" i="26"/>
  <c r="AB312" i="26"/>
  <c r="AA320" i="26"/>
  <c r="AB320" i="26"/>
  <c r="AA328" i="26"/>
  <c r="AB328" i="26"/>
  <c r="AA336" i="26"/>
  <c r="AB336" i="26"/>
  <c r="AA344" i="26"/>
  <c r="AB344" i="26"/>
  <c r="AA352" i="26"/>
  <c r="AB352" i="26"/>
  <c r="AA360" i="26"/>
  <c r="AB360" i="26"/>
  <c r="AA368" i="26"/>
  <c r="AB368" i="26"/>
  <c r="AA376" i="26"/>
  <c r="AB376" i="26"/>
  <c r="AA384" i="26"/>
  <c r="AB384" i="26"/>
  <c r="AA392" i="26"/>
  <c r="AB392" i="26"/>
  <c r="AA400" i="26"/>
  <c r="AB400" i="26"/>
  <c r="AA408" i="26"/>
  <c r="AB408" i="26"/>
  <c r="AA416" i="26"/>
  <c r="AB416" i="26"/>
  <c r="AA424" i="26"/>
  <c r="AB424" i="26"/>
  <c r="AA432" i="26"/>
  <c r="AB432" i="26"/>
  <c r="AA440" i="26"/>
  <c r="AB440" i="26"/>
  <c r="AA448" i="26"/>
  <c r="AB448" i="26"/>
  <c r="AA456" i="26"/>
  <c r="AB456" i="26"/>
  <c r="AA464" i="26"/>
  <c r="AB464" i="26"/>
  <c r="AA472" i="26"/>
  <c r="AB472" i="26"/>
  <c r="AA480" i="26"/>
  <c r="AB480" i="26"/>
  <c r="AA488" i="26"/>
  <c r="AB488" i="26"/>
  <c r="AA496" i="26"/>
  <c r="AB496" i="26"/>
  <c r="AA504" i="26"/>
  <c r="AB504" i="26"/>
  <c r="AA512" i="26"/>
  <c r="AB512" i="26"/>
  <c r="AA520" i="26"/>
  <c r="AB520" i="26"/>
  <c r="AA528" i="26"/>
  <c r="AB528" i="26"/>
  <c r="AA536" i="26"/>
  <c r="AB536" i="26"/>
  <c r="AA544" i="26"/>
  <c r="AB544" i="26"/>
  <c r="AA552" i="26"/>
  <c r="AB552" i="26"/>
  <c r="AA560" i="26"/>
  <c r="AB560" i="26"/>
  <c r="AA568" i="26"/>
  <c r="AB568" i="26"/>
  <c r="AA576" i="26"/>
  <c r="AB576" i="26"/>
  <c r="AA584" i="26"/>
  <c r="AB584" i="26"/>
  <c r="AA592" i="26"/>
  <c r="AB592" i="26"/>
  <c r="AA600" i="26"/>
  <c r="AB600" i="26"/>
  <c r="AA608" i="26"/>
  <c r="AB608" i="26"/>
  <c r="AA616" i="26"/>
  <c r="AB616" i="26"/>
  <c r="AA624" i="26"/>
  <c r="AB624" i="26"/>
  <c r="AA632" i="26"/>
  <c r="AB632" i="26"/>
  <c r="AA640" i="26"/>
  <c r="AB640" i="26"/>
  <c r="AA648" i="26"/>
  <c r="AB648" i="26"/>
  <c r="AA656" i="26"/>
  <c r="AB656" i="26"/>
  <c r="AA664" i="26"/>
  <c r="AB664" i="26"/>
  <c r="AA672" i="26"/>
  <c r="AB672" i="26"/>
  <c r="AA680" i="26"/>
  <c r="AB680" i="26"/>
  <c r="AA688" i="26"/>
  <c r="AB688" i="26"/>
  <c r="AA696" i="26"/>
  <c r="AB696" i="26"/>
  <c r="AA720" i="26"/>
  <c r="AB720" i="26"/>
  <c r="AA728" i="26"/>
  <c r="AB728" i="26"/>
  <c r="AA736" i="26"/>
  <c r="AB736" i="26"/>
  <c r="AA744" i="26"/>
  <c r="AB744" i="26"/>
  <c r="AA752" i="26"/>
  <c r="AB752" i="26"/>
  <c r="AA760" i="26"/>
  <c r="AB760" i="26"/>
  <c r="AA768" i="26"/>
  <c r="AB768" i="26"/>
  <c r="AA776" i="26"/>
  <c r="AB776" i="26"/>
  <c r="AA784" i="26"/>
  <c r="AB784" i="26"/>
  <c r="AA792" i="26"/>
  <c r="AB792" i="26"/>
  <c r="AA800" i="26"/>
  <c r="AB800" i="26"/>
  <c r="AA808" i="26"/>
  <c r="AB808" i="26"/>
  <c r="AA816" i="26"/>
  <c r="AB816" i="26"/>
  <c r="AA824" i="26"/>
  <c r="AB824" i="26"/>
  <c r="AA832" i="26"/>
  <c r="AB832" i="26"/>
  <c r="AA840" i="26"/>
  <c r="AB840" i="26"/>
  <c r="AA848" i="26"/>
  <c r="AB848" i="26"/>
  <c r="AA856" i="26"/>
  <c r="AB856" i="26"/>
  <c r="AA864" i="26"/>
  <c r="AB864" i="26"/>
  <c r="AA872" i="26"/>
  <c r="AB872" i="26"/>
  <c r="AA880" i="26"/>
  <c r="AB880" i="26"/>
  <c r="AA888" i="26"/>
  <c r="AB888" i="26"/>
  <c r="AA896" i="26"/>
  <c r="AB896" i="26"/>
  <c r="AA904" i="26"/>
  <c r="AB904" i="26"/>
  <c r="AA912" i="26"/>
  <c r="AB912" i="26"/>
  <c r="AA920" i="26"/>
  <c r="AB920" i="26"/>
  <c r="AA928" i="26"/>
  <c r="AB928" i="26"/>
  <c r="AA936" i="26"/>
  <c r="AB936" i="26"/>
  <c r="AA944" i="26"/>
  <c r="AB944" i="26"/>
  <c r="AA952" i="26"/>
  <c r="AB952" i="26"/>
  <c r="AA960" i="26"/>
  <c r="AB960" i="26"/>
  <c r="AA968" i="26"/>
  <c r="AB968" i="26"/>
  <c r="AA976" i="26"/>
  <c r="AB976" i="26"/>
  <c r="AA984" i="26"/>
  <c r="AB984" i="26"/>
  <c r="AA992" i="26"/>
  <c r="AB992" i="26"/>
  <c r="AA1000" i="26"/>
  <c r="AB1000" i="26"/>
  <c r="AA1008" i="26"/>
  <c r="AB1008" i="26"/>
  <c r="AA1016" i="26"/>
  <c r="AB1016" i="26"/>
  <c r="AA1024" i="26"/>
  <c r="AB1024" i="26"/>
  <c r="AA1032" i="26"/>
  <c r="AB1032" i="26"/>
  <c r="AA1040" i="26"/>
  <c r="AB1040" i="26"/>
  <c r="AA1048" i="26"/>
  <c r="AB1048" i="26"/>
  <c r="AA1056" i="26"/>
  <c r="AB1056" i="26"/>
  <c r="AA1064" i="26"/>
  <c r="AB1064" i="26"/>
  <c r="AA1072" i="26"/>
  <c r="AB1072" i="26"/>
  <c r="AA1080" i="26"/>
  <c r="AB1080" i="26"/>
  <c r="AA1088" i="26"/>
  <c r="AB1088" i="26"/>
  <c r="AA1096" i="26"/>
  <c r="AB1096" i="26"/>
  <c r="AA1104" i="26"/>
  <c r="AB1104" i="26"/>
  <c r="AA1112" i="26"/>
  <c r="AB1112" i="26"/>
  <c r="AA1120" i="26"/>
  <c r="AB1120" i="26"/>
  <c r="AA1128" i="26"/>
  <c r="AB1128" i="26"/>
  <c r="AA1136" i="26"/>
  <c r="AB1136" i="26"/>
  <c r="AA1144" i="26"/>
  <c r="AB1144" i="26"/>
  <c r="AA1152" i="26"/>
  <c r="AB1152" i="26"/>
  <c r="AA1160" i="26"/>
  <c r="AB1160" i="26"/>
  <c r="AA1168" i="26"/>
  <c r="AB1168" i="26"/>
  <c r="AA1176" i="26"/>
  <c r="AB1176" i="26"/>
  <c r="AA1184" i="26"/>
  <c r="AB1184" i="26"/>
  <c r="AA1192" i="26"/>
  <c r="AB1192" i="26"/>
  <c r="AA1200" i="26"/>
  <c r="AB1200" i="26"/>
  <c r="AA1208" i="26"/>
  <c r="AB1208" i="26"/>
  <c r="AA1216" i="26"/>
  <c r="AB1216" i="26"/>
  <c r="AA1224" i="26"/>
  <c r="AB1224" i="26"/>
  <c r="AA1232" i="26"/>
  <c r="AB1232" i="26"/>
  <c r="AA1240" i="26"/>
  <c r="AB1240" i="26"/>
  <c r="AA1248" i="26"/>
  <c r="AB1248" i="26"/>
  <c r="AA1256" i="26"/>
  <c r="AB1256" i="26"/>
  <c r="AA1264" i="26"/>
  <c r="AB1264" i="26"/>
  <c r="AA1272" i="26"/>
  <c r="AB1272" i="26"/>
  <c r="AA1280" i="26"/>
  <c r="AB1280" i="26"/>
  <c r="AA1288" i="26"/>
  <c r="AB1288" i="26"/>
  <c r="AA1296" i="26"/>
  <c r="AB1296" i="26"/>
  <c r="AA1304" i="26"/>
  <c r="AB1304" i="26"/>
  <c r="AA1312" i="26"/>
  <c r="AB1312" i="26"/>
  <c r="AA1320" i="26"/>
  <c r="AB1320" i="26"/>
  <c r="AA1328" i="26"/>
  <c r="AB1328" i="26"/>
  <c r="AA1336" i="26"/>
  <c r="AB1336" i="26"/>
  <c r="AA1344" i="26"/>
  <c r="AB1344" i="26"/>
  <c r="AA1352" i="26"/>
  <c r="AB1352" i="26"/>
  <c r="AA1360" i="26"/>
  <c r="AB1360" i="26"/>
  <c r="AA1368" i="26"/>
  <c r="AB1368" i="26"/>
  <c r="AA1376" i="26"/>
  <c r="AB1376" i="26"/>
  <c r="AA1392" i="26"/>
  <c r="AB1392" i="26"/>
  <c r="AA11" i="26"/>
  <c r="AB11" i="26"/>
  <c r="AA27" i="26"/>
  <c r="AB27" i="26"/>
  <c r="AA43" i="26"/>
  <c r="AB43" i="26"/>
  <c r="AA59" i="26"/>
  <c r="AB59" i="26"/>
  <c r="AA75" i="26"/>
  <c r="AB75" i="26"/>
  <c r="AA91" i="26"/>
  <c r="AB91" i="26"/>
  <c r="AA107" i="26"/>
  <c r="AB107" i="26"/>
  <c r="AA123" i="26"/>
  <c r="AB123" i="26"/>
  <c r="AA139" i="26"/>
  <c r="AB139" i="26"/>
  <c r="AA155" i="26"/>
  <c r="AB155" i="26"/>
  <c r="AA171" i="26"/>
  <c r="AB171" i="26"/>
  <c r="AA187" i="26"/>
  <c r="AB187" i="26"/>
  <c r="AA203" i="26"/>
  <c r="AB203" i="26"/>
  <c r="AA219" i="26"/>
  <c r="AB219" i="26"/>
  <c r="AA235" i="26"/>
  <c r="AB235" i="26"/>
  <c r="AA251" i="26"/>
  <c r="AB251" i="26"/>
  <c r="AA267" i="26"/>
  <c r="AB267" i="26"/>
  <c r="AA283" i="26"/>
  <c r="AB283" i="26"/>
  <c r="AA299" i="26"/>
  <c r="AB299" i="26"/>
  <c r="AA315" i="26"/>
  <c r="AB315" i="26"/>
  <c r="AA331" i="26"/>
  <c r="AB331" i="26"/>
  <c r="AA347" i="26"/>
  <c r="AB347" i="26"/>
  <c r="AA363" i="26"/>
  <c r="AB363" i="26"/>
  <c r="AA379" i="26"/>
  <c r="AB379" i="26"/>
  <c r="AA395" i="26"/>
  <c r="AB395" i="26"/>
  <c r="AA411" i="26"/>
  <c r="AB411" i="26"/>
  <c r="AA427" i="26"/>
  <c r="AB427" i="26"/>
  <c r="AA443" i="26"/>
  <c r="AB443" i="26"/>
  <c r="AA459" i="26"/>
  <c r="AB459" i="26"/>
  <c r="AA475" i="26"/>
  <c r="AB475" i="26"/>
  <c r="AA491" i="26"/>
  <c r="AB491" i="26"/>
  <c r="AA507" i="26"/>
  <c r="AB507" i="26"/>
  <c r="AA523" i="26"/>
  <c r="AB523" i="26"/>
  <c r="AA539" i="26"/>
  <c r="AB539" i="26"/>
  <c r="AA555" i="26"/>
  <c r="AB555" i="26"/>
  <c r="AA571" i="26"/>
  <c r="AB571" i="26"/>
  <c r="AA587" i="26"/>
  <c r="AB587" i="26"/>
  <c r="AA603" i="26"/>
  <c r="AB603" i="26"/>
  <c r="AA619" i="26"/>
  <c r="AB619" i="26"/>
  <c r="AA635" i="26"/>
  <c r="AB635" i="26"/>
  <c r="AA651" i="26"/>
  <c r="AB651" i="26"/>
  <c r="AA667" i="26"/>
  <c r="AB667" i="26"/>
  <c r="AA683" i="26"/>
  <c r="AB683" i="26"/>
  <c r="AA699" i="26"/>
  <c r="AB699" i="26"/>
  <c r="AA715" i="26"/>
  <c r="AB715" i="26"/>
  <c r="AA731" i="26"/>
  <c r="AB731" i="26"/>
  <c r="AA747" i="26"/>
  <c r="AB747" i="26"/>
  <c r="AA763" i="26"/>
  <c r="AB763" i="26"/>
  <c r="AA779" i="26"/>
  <c r="AB779" i="26"/>
  <c r="AA795" i="26"/>
  <c r="AB795" i="26"/>
  <c r="AA811" i="26"/>
  <c r="AB811" i="26"/>
  <c r="AA827" i="26"/>
  <c r="AB827" i="26"/>
  <c r="AA843" i="26"/>
  <c r="AB843" i="26"/>
  <c r="AA859" i="26"/>
  <c r="AB859" i="26"/>
  <c r="AA875" i="26"/>
  <c r="AB875" i="26"/>
  <c r="AA891" i="26"/>
  <c r="AB891" i="26"/>
  <c r="AA907" i="26"/>
  <c r="AB907" i="26"/>
  <c r="AA923" i="26"/>
  <c r="AB923" i="26"/>
  <c r="AA939" i="26"/>
  <c r="AB939" i="26"/>
  <c r="AA955" i="26"/>
  <c r="AB955" i="26"/>
  <c r="AA971" i="26"/>
  <c r="AB971" i="26"/>
  <c r="AA987" i="26"/>
  <c r="AB987" i="26"/>
  <c r="AA1003" i="26"/>
  <c r="AB1003" i="26"/>
  <c r="AA1019" i="26"/>
  <c r="AB1019" i="26"/>
  <c r="AA1035" i="26"/>
  <c r="AB1035" i="26"/>
  <c r="AA1051" i="26"/>
  <c r="AB1051" i="26"/>
  <c r="AA1067" i="26"/>
  <c r="AB1067" i="26"/>
  <c r="AA1083" i="26"/>
  <c r="AB1083" i="26"/>
  <c r="AA1099" i="26"/>
  <c r="AB1099" i="26"/>
  <c r="AA1115" i="26"/>
  <c r="AB1115" i="26"/>
  <c r="AA1131" i="26"/>
  <c r="AB1131" i="26"/>
  <c r="AA1147" i="26"/>
  <c r="AB1147" i="26"/>
  <c r="AA1163" i="26"/>
  <c r="AB1163" i="26"/>
  <c r="AA1179" i="26"/>
  <c r="AB1179" i="26"/>
  <c r="AA1195" i="26"/>
  <c r="AB1195" i="26"/>
  <c r="AA1211" i="26"/>
  <c r="AB1211" i="26"/>
  <c r="AA1227" i="26"/>
  <c r="AB1227" i="26"/>
  <c r="AA1243" i="26"/>
  <c r="AB1243" i="26"/>
  <c r="AA1259" i="26"/>
  <c r="AB1259" i="26"/>
  <c r="AA1275" i="26"/>
  <c r="AB1275" i="26"/>
  <c r="AA1291" i="26"/>
  <c r="AB1291" i="26"/>
  <c r="AA1307" i="26"/>
  <c r="AB1307" i="26"/>
  <c r="AA1323" i="26"/>
  <c r="AB1323" i="26"/>
  <c r="AA1339" i="26"/>
  <c r="AB1339" i="26"/>
  <c r="AA1355" i="26"/>
  <c r="AB1355" i="26"/>
  <c r="AA1371" i="26"/>
  <c r="AB1371" i="26"/>
  <c r="AA1386" i="26"/>
  <c r="AB1386" i="26"/>
  <c r="AA1401" i="26"/>
  <c r="AB1401" i="26"/>
  <c r="AA1412" i="26"/>
  <c r="AB1412" i="26"/>
  <c r="AA1426" i="26"/>
  <c r="AB1426" i="26"/>
  <c r="AA1440" i="26"/>
  <c r="AB1440" i="26"/>
  <c r="AA1451" i="26"/>
  <c r="AB1451" i="26"/>
  <c r="AA1465" i="26"/>
  <c r="AB1465" i="26"/>
  <c r="AA1476" i="26"/>
  <c r="AB1476" i="26"/>
  <c r="AA1490" i="26"/>
  <c r="AB1490" i="26"/>
  <c r="AA1504" i="26"/>
  <c r="AB1504" i="26"/>
  <c r="AA1515" i="26"/>
  <c r="AB1515" i="26"/>
  <c r="AA1529" i="26"/>
  <c r="AB1529" i="26"/>
  <c r="AA1540" i="26"/>
  <c r="AB1540" i="26"/>
  <c r="AA1554" i="26"/>
  <c r="AB1554" i="26"/>
  <c r="AA1568" i="26"/>
  <c r="AB1568" i="26"/>
  <c r="AA1579" i="26"/>
  <c r="AB1579" i="26"/>
  <c r="AA1593" i="26"/>
  <c r="AB1593" i="26"/>
  <c r="AA1604" i="26"/>
  <c r="AB1604" i="26"/>
  <c r="AA1618" i="26"/>
  <c r="AB1618" i="26"/>
  <c r="AA1632" i="26"/>
  <c r="AB1632" i="26"/>
  <c r="AA1643" i="26"/>
  <c r="AB1643" i="26"/>
  <c r="AA1657" i="26"/>
  <c r="AB1657" i="26"/>
  <c r="AA1668" i="26"/>
  <c r="AB1668" i="26"/>
  <c r="AA1682" i="26"/>
  <c r="AB1682" i="26"/>
  <c r="AA1696" i="26"/>
  <c r="AB1696" i="26"/>
  <c r="AA1707" i="26"/>
  <c r="AB1707" i="26"/>
  <c r="AA1721" i="26"/>
  <c r="AB1721" i="26"/>
  <c r="AA1732" i="26"/>
  <c r="AB1732" i="26"/>
  <c r="AA1746" i="26"/>
  <c r="AB1746" i="26"/>
  <c r="AA1760" i="26"/>
  <c r="AB1760" i="26"/>
  <c r="AA1771" i="26"/>
  <c r="AB1771" i="26"/>
  <c r="AA1785" i="26"/>
  <c r="AB1785" i="26"/>
  <c r="AA1796" i="26"/>
  <c r="AB1796" i="26"/>
  <c r="AA1810" i="26"/>
  <c r="AB1810" i="26"/>
  <c r="AA1824" i="26"/>
  <c r="AB1824" i="26"/>
  <c r="AA1835" i="26"/>
  <c r="AB1835" i="26"/>
  <c r="AA1849" i="26"/>
  <c r="AB1849" i="26"/>
  <c r="AA1860" i="26"/>
  <c r="AB1860" i="26"/>
  <c r="AA1874" i="26"/>
  <c r="AB1874" i="26"/>
  <c r="AA1888" i="26"/>
  <c r="AB1888" i="26"/>
  <c r="AA1899" i="26"/>
  <c r="AB1899" i="26"/>
  <c r="AA1913" i="26"/>
  <c r="AB1913" i="26"/>
  <c r="AA1924" i="26"/>
  <c r="AB1924" i="26"/>
  <c r="AA1938" i="26"/>
  <c r="AB1938" i="26"/>
  <c r="AA1952" i="26"/>
  <c r="AB1952" i="26"/>
  <c r="AA1963" i="26"/>
  <c r="AB1963" i="26"/>
  <c r="AA1977" i="26"/>
  <c r="AB1977" i="26"/>
  <c r="AA1988" i="26"/>
  <c r="AB1988" i="26"/>
  <c r="AA2002" i="26"/>
  <c r="AB2002" i="26"/>
  <c r="AA2016" i="26"/>
  <c r="AB2016" i="26"/>
  <c r="AA2027" i="26"/>
  <c r="AB2027" i="26"/>
  <c r="AA2041" i="26"/>
  <c r="AB2041" i="26"/>
  <c r="AA2052" i="26"/>
  <c r="AB2052" i="26"/>
  <c r="AA2066" i="26"/>
  <c r="AB2066" i="26"/>
  <c r="AA2080" i="26"/>
  <c r="AB2080" i="26"/>
  <c r="AA2091" i="26"/>
  <c r="AB2091" i="26"/>
  <c r="AA2105" i="26"/>
  <c r="AB2105" i="26"/>
  <c r="AA2116" i="26"/>
  <c r="AB2116" i="26"/>
  <c r="AA2130" i="26"/>
  <c r="AB2130" i="26"/>
  <c r="AA2144" i="26"/>
  <c r="AB2144" i="26"/>
  <c r="AA2155" i="26"/>
  <c r="AB2155" i="26"/>
  <c r="AA2169" i="26"/>
  <c r="AB2169" i="26"/>
  <c r="AA2180" i="26"/>
  <c r="AB2180" i="26"/>
  <c r="AA2194" i="26"/>
  <c r="AB2194" i="26"/>
  <c r="AA2208" i="26"/>
  <c r="AB2208" i="26"/>
  <c r="AA2219" i="26"/>
  <c r="AB2219" i="26"/>
  <c r="AA2233" i="26"/>
  <c r="AB2233" i="26"/>
  <c r="AA2244" i="26"/>
  <c r="AB2244" i="26"/>
  <c r="AA2258" i="26"/>
  <c r="AB2258" i="26"/>
  <c r="AA2272" i="26"/>
  <c r="AB2272" i="26"/>
  <c r="AA2283" i="26"/>
  <c r="AB2283" i="26"/>
  <c r="AA2297" i="26"/>
  <c r="AB2297" i="26"/>
  <c r="AA2308" i="26"/>
  <c r="AB2308" i="26"/>
  <c r="AA2322" i="26"/>
  <c r="AB2322" i="26"/>
  <c r="AA2336" i="26"/>
  <c r="AB2336" i="26"/>
  <c r="AA2347" i="26"/>
  <c r="AB2347" i="26"/>
  <c r="AA2361" i="26"/>
  <c r="AB2361" i="26"/>
  <c r="AA2372" i="26"/>
  <c r="AB2372" i="26"/>
  <c r="AA2386" i="26"/>
  <c r="AB2386" i="26"/>
  <c r="AA2400" i="26"/>
  <c r="AB2400" i="26"/>
  <c r="AA2411" i="26"/>
  <c r="AB2411" i="26"/>
  <c r="AA2425" i="26"/>
  <c r="AB2425" i="26"/>
  <c r="AA2436" i="26"/>
  <c r="AB2436" i="26"/>
  <c r="AA2450" i="26"/>
  <c r="AB2450" i="26"/>
  <c r="AA2464" i="26"/>
  <c r="AB2464" i="26"/>
  <c r="AA2475" i="26"/>
  <c r="AB2475" i="26"/>
  <c r="AA2489" i="26"/>
  <c r="AB2489" i="26"/>
  <c r="AA2500" i="26"/>
  <c r="AB2500" i="26"/>
  <c r="AA2514" i="26"/>
  <c r="AB2514" i="26"/>
  <c r="AA2528" i="26"/>
  <c r="AB2528" i="26"/>
  <c r="AA2539" i="26"/>
  <c r="AB2539" i="26"/>
  <c r="AA2553" i="26"/>
  <c r="AB2553" i="26"/>
  <c r="AA2564" i="26"/>
  <c r="AB2564" i="26"/>
  <c r="AA2578" i="26"/>
  <c r="AB2578" i="26"/>
  <c r="AA2592" i="26"/>
  <c r="AB2592" i="26"/>
  <c r="AA2603" i="26"/>
  <c r="AB2603" i="26"/>
  <c r="AA2617" i="26"/>
  <c r="AB2617" i="26"/>
  <c r="AA2628" i="26"/>
  <c r="AB2628" i="26"/>
  <c r="AA2642" i="26"/>
  <c r="AB2642" i="26"/>
  <c r="AA2656" i="26"/>
  <c r="AB2656" i="26"/>
  <c r="AA2667" i="26"/>
  <c r="AB2667" i="26"/>
  <c r="AA2681" i="26"/>
  <c r="AB2681" i="26"/>
  <c r="AA2692" i="26"/>
  <c r="AB2692" i="26"/>
  <c r="AA2706" i="26"/>
  <c r="AB2706" i="26"/>
  <c r="AA2720" i="26"/>
  <c r="AB2720" i="26"/>
  <c r="AA2731" i="26"/>
  <c r="AB2731" i="26"/>
  <c r="AA2745" i="26"/>
  <c r="AB2745" i="26"/>
  <c r="AA2756" i="26"/>
  <c r="AB2756" i="26"/>
  <c r="AA2770" i="26"/>
  <c r="AB2770" i="26"/>
  <c r="AA2784" i="26"/>
  <c r="AB2784" i="26"/>
  <c r="AA2795" i="26"/>
  <c r="AB2795" i="26"/>
  <c r="AA2809" i="26"/>
  <c r="AB2809" i="26"/>
  <c r="AA2820" i="26"/>
  <c r="AB2820" i="26"/>
  <c r="AA2834" i="26"/>
  <c r="AB2834" i="26"/>
  <c r="AA2848" i="26"/>
  <c r="AB2848" i="26"/>
  <c r="AA2859" i="26"/>
  <c r="AB2859" i="26"/>
  <c r="AA2873" i="26"/>
  <c r="AB2873" i="26"/>
  <c r="AA2884" i="26"/>
  <c r="AB2884" i="26"/>
  <c r="AA2898" i="26"/>
  <c r="AB2898" i="26"/>
  <c r="AA2912" i="26"/>
  <c r="AB2912" i="26"/>
  <c r="AA2923" i="26"/>
  <c r="AB2923" i="26"/>
  <c r="AA2937" i="26"/>
  <c r="AB2937" i="26"/>
  <c r="AA2948" i="26"/>
  <c r="AB2948" i="26"/>
  <c r="AA2962" i="26"/>
  <c r="AB2962" i="26"/>
  <c r="AA2976" i="26"/>
  <c r="AB2976" i="26"/>
  <c r="AA2987" i="26"/>
  <c r="AB2987" i="26"/>
  <c r="AA3001" i="26"/>
  <c r="AB3001" i="26"/>
  <c r="AA3012" i="26"/>
  <c r="AB3012" i="26"/>
  <c r="AA3026" i="26"/>
  <c r="AB3026" i="26"/>
  <c r="AA3040" i="26"/>
  <c r="AB3040" i="26"/>
  <c r="AA3051" i="26"/>
  <c r="AB3051" i="26"/>
  <c r="AA3065" i="26"/>
  <c r="AB3065" i="26"/>
  <c r="AA3076" i="26"/>
  <c r="AB3076" i="26"/>
  <c r="AA3090" i="26"/>
  <c r="AB3090" i="26"/>
  <c r="AA3104" i="26"/>
  <c r="AB3104" i="26"/>
  <c r="AA3115" i="26"/>
  <c r="AB3115" i="26"/>
  <c r="AA3129" i="26"/>
  <c r="AB3129" i="26"/>
  <c r="AA3140" i="26"/>
  <c r="AB3140" i="26"/>
  <c r="AA3154" i="26"/>
  <c r="AB3154" i="26"/>
  <c r="AA3168" i="26"/>
  <c r="AB3168" i="26"/>
  <c r="AA3179" i="26"/>
  <c r="AB3179" i="26"/>
  <c r="AA3193" i="26"/>
  <c r="AB3193" i="26"/>
  <c r="AA3204" i="26"/>
  <c r="AB3204" i="26"/>
  <c r="AA3218" i="26"/>
  <c r="AB3218" i="26"/>
  <c r="AA3232" i="26"/>
  <c r="AB3232" i="26"/>
  <c r="AA3243" i="26"/>
  <c r="AB3243" i="26"/>
  <c r="AA3257" i="26"/>
  <c r="AB3257" i="26"/>
  <c r="AA3268" i="26"/>
  <c r="AB3268" i="26"/>
  <c r="AA3282" i="26"/>
  <c r="AB3282" i="26"/>
  <c r="AA3296" i="26"/>
  <c r="AB3296" i="26"/>
  <c r="AA3307" i="26"/>
  <c r="AB3307" i="26"/>
  <c r="AA3321" i="26"/>
  <c r="AB3321" i="26"/>
  <c r="AA3332" i="26"/>
  <c r="AB3332" i="26"/>
  <c r="AA3346" i="26"/>
  <c r="AB3346" i="26"/>
  <c r="AA3360" i="26"/>
  <c r="AB3360" i="26"/>
  <c r="AA3371" i="26"/>
  <c r="AB3371" i="26"/>
  <c r="AA3385" i="26"/>
  <c r="AB3385" i="26"/>
  <c r="AA3396" i="26"/>
  <c r="AB3396" i="26"/>
  <c r="AA3410" i="26"/>
  <c r="AB3410" i="26"/>
  <c r="AA3424" i="26"/>
  <c r="AB3424" i="26"/>
  <c r="AA3435" i="26"/>
  <c r="AB3435" i="26"/>
  <c r="AA3449" i="26"/>
  <c r="AB3449" i="26"/>
  <c r="AA3460" i="26"/>
  <c r="AB3460" i="26"/>
  <c r="AA3474" i="26"/>
  <c r="AB3474" i="26"/>
  <c r="AA3488" i="26"/>
  <c r="AB3488" i="26"/>
  <c r="AA3499" i="26"/>
  <c r="AB3499" i="26"/>
  <c r="AA3513" i="26"/>
  <c r="AB3513" i="26"/>
  <c r="AA3524" i="26"/>
  <c r="AB3524" i="26"/>
  <c r="AA3538" i="26"/>
  <c r="AB3538" i="26"/>
  <c r="AA2171" i="26"/>
  <c r="AB2171" i="26"/>
  <c r="AA3323" i="26"/>
  <c r="AB3323" i="26"/>
  <c r="AA34" i="26"/>
  <c r="AB34" i="26"/>
  <c r="AA738" i="26"/>
  <c r="AB738" i="26"/>
  <c r="AA946" i="26"/>
  <c r="AB946" i="26"/>
  <c r="AA1058" i="26"/>
  <c r="AB1058" i="26"/>
  <c r="AA1122" i="26"/>
  <c r="AB1122" i="26"/>
  <c r="AA1186" i="26"/>
  <c r="AB1186" i="26"/>
  <c r="AA1218" i="26"/>
  <c r="AB1218" i="26"/>
  <c r="AA1266" i="26"/>
  <c r="AB1266" i="26"/>
  <c r="AA1282" i="26"/>
  <c r="AB1282" i="26"/>
  <c r="AA1298" i="26"/>
  <c r="AB1298" i="26"/>
  <c r="AA1330" i="26"/>
  <c r="AB1330" i="26"/>
  <c r="AA1378" i="26"/>
  <c r="AB1378" i="26"/>
  <c r="AA1404" i="26"/>
  <c r="AB1404" i="26"/>
  <c r="AA1432" i="26"/>
  <c r="AB1432" i="26"/>
  <c r="AA1443" i="26"/>
  <c r="AB1443" i="26"/>
  <c r="AA1468" i="26"/>
  <c r="AB1468" i="26"/>
  <c r="AA1496" i="26"/>
  <c r="AB1496" i="26"/>
  <c r="AA1521" i="26"/>
  <c r="AB1521" i="26"/>
  <c r="AA1546" i="26"/>
  <c r="AB1546" i="26"/>
  <c r="AA1571" i="26"/>
  <c r="AB1571" i="26"/>
  <c r="AA1596" i="26"/>
  <c r="AB1596" i="26"/>
  <c r="AA1624" i="26"/>
  <c r="AB1624" i="26"/>
  <c r="AA1635" i="26"/>
  <c r="AB1635" i="26"/>
  <c r="AA1660" i="26"/>
  <c r="AB1660" i="26"/>
  <c r="AA1713" i="26"/>
  <c r="AB1713" i="26"/>
  <c r="AA1738" i="26"/>
  <c r="AB1738" i="26"/>
  <c r="AA1763" i="26"/>
  <c r="AB1763" i="26"/>
  <c r="AA1777" i="26"/>
  <c r="AB1777" i="26"/>
  <c r="AA1802" i="26"/>
  <c r="AB1802" i="26"/>
  <c r="AA1841" i="26"/>
  <c r="AB1841" i="26"/>
  <c r="AA1866" i="26"/>
  <c r="AB1866" i="26"/>
  <c r="AA1891" i="26"/>
  <c r="AB1891" i="26"/>
  <c r="AA1930" i="26"/>
  <c r="AB1930" i="26"/>
  <c r="AA1944" i="26"/>
  <c r="AB1944" i="26"/>
  <c r="AA1980" i="26"/>
  <c r="AB1980" i="26"/>
  <c r="AA2019" i="26"/>
  <c r="AB2019" i="26"/>
  <c r="AA2058" i="26"/>
  <c r="AB2058" i="26"/>
  <c r="AA2097" i="26"/>
  <c r="AB2097" i="26"/>
  <c r="AA2136" i="26"/>
  <c r="AB2136" i="26"/>
  <c r="AA2186" i="26"/>
  <c r="AB2186" i="26"/>
  <c r="AA2250" i="26"/>
  <c r="AB2250" i="26"/>
  <c r="AA2314" i="26"/>
  <c r="AB2314" i="26"/>
  <c r="AA2364" i="26"/>
  <c r="AB2364" i="26"/>
  <c r="AA2417" i="26"/>
  <c r="AB2417" i="26"/>
  <c r="AA2456" i="26"/>
  <c r="AB2456" i="26"/>
  <c r="AA2506" i="26"/>
  <c r="AB2506" i="26"/>
  <c r="AA2556" i="26"/>
  <c r="AB2556" i="26"/>
  <c r="AA2609" i="26"/>
  <c r="AB2609" i="26"/>
  <c r="AA2673" i="26"/>
  <c r="AB2673" i="26"/>
  <c r="AA2723" i="26"/>
  <c r="AB2723" i="26"/>
  <c r="AA2762" i="26"/>
  <c r="AB2762" i="26"/>
  <c r="AA2801" i="26"/>
  <c r="AB2801" i="26"/>
  <c r="AA2840" i="26"/>
  <c r="AB2840" i="26"/>
  <c r="AA2876" i="26"/>
  <c r="AB2876" i="26"/>
  <c r="AA2929" i="26"/>
  <c r="AB2929" i="26"/>
  <c r="AA2979" i="26"/>
  <c r="AB2979" i="26"/>
  <c r="AA3018" i="26"/>
  <c r="AB3018" i="26"/>
  <c r="AA3068" i="26"/>
  <c r="AB3068" i="26"/>
  <c r="AA3121" i="26"/>
  <c r="AB3121" i="26"/>
  <c r="AA3171" i="26"/>
  <c r="AB3171" i="26"/>
  <c r="AA3224" i="26"/>
  <c r="AB3224" i="26"/>
  <c r="AA3274" i="26"/>
  <c r="AB3274" i="26"/>
  <c r="AA3324" i="26"/>
  <c r="AB3324" i="26"/>
  <c r="AA3377" i="26"/>
  <c r="AB3377" i="26"/>
  <c r="AA3427" i="26"/>
  <c r="AB3427" i="26"/>
  <c r="AA3466" i="26"/>
  <c r="AB3466" i="26"/>
  <c r="AA3516" i="26"/>
  <c r="AB3516" i="26"/>
  <c r="AA12" i="26"/>
  <c r="AB12" i="26"/>
  <c r="AA28" i="26"/>
  <c r="AB28" i="26"/>
  <c r="AA44" i="26"/>
  <c r="AB44" i="26"/>
  <c r="AA60" i="26"/>
  <c r="AB60" i="26"/>
  <c r="AA76" i="26"/>
  <c r="AB76" i="26"/>
  <c r="AA92" i="26"/>
  <c r="AB92" i="26"/>
  <c r="AA108" i="26"/>
  <c r="AB108" i="26"/>
  <c r="AA124" i="26"/>
  <c r="AB124" i="26"/>
  <c r="AA140" i="26"/>
  <c r="AB140" i="26"/>
  <c r="AA156" i="26"/>
  <c r="AB156" i="26"/>
  <c r="AA172" i="26"/>
  <c r="AB172" i="26"/>
  <c r="AA188" i="26"/>
  <c r="AB188" i="26"/>
  <c r="AA204" i="26"/>
  <c r="AB204" i="26"/>
  <c r="AA220" i="26"/>
  <c r="AB220" i="26"/>
  <c r="AA236" i="26"/>
  <c r="AB236" i="26"/>
  <c r="AA252" i="26"/>
  <c r="AB252" i="26"/>
  <c r="AA268" i="26"/>
  <c r="AB268" i="26"/>
  <c r="AA284" i="26"/>
  <c r="AB284" i="26"/>
  <c r="AA300" i="26"/>
  <c r="AB300" i="26"/>
  <c r="AA316" i="26"/>
  <c r="AB316" i="26"/>
  <c r="AA332" i="26"/>
  <c r="AB332" i="26"/>
  <c r="AA348" i="26"/>
  <c r="AB348" i="26"/>
  <c r="AA364" i="26"/>
  <c r="AB364" i="26"/>
  <c r="AA380" i="26"/>
  <c r="AB380" i="26"/>
  <c r="AA396" i="26"/>
  <c r="AB396" i="26"/>
  <c r="AA412" i="26"/>
  <c r="AB412" i="26"/>
  <c r="AA428" i="26"/>
  <c r="AB428" i="26"/>
  <c r="AA444" i="26"/>
  <c r="AB444" i="26"/>
  <c r="AA460" i="26"/>
  <c r="AB460" i="26"/>
  <c r="AA476" i="26"/>
  <c r="AB476" i="26"/>
  <c r="AA492" i="26"/>
  <c r="AB492" i="26"/>
  <c r="AA508" i="26"/>
  <c r="AB508" i="26"/>
  <c r="AA524" i="26"/>
  <c r="AB524" i="26"/>
  <c r="AA540" i="26"/>
  <c r="AB540" i="26"/>
  <c r="AA556" i="26"/>
  <c r="AB556" i="26"/>
  <c r="AA572" i="26"/>
  <c r="AB572" i="26"/>
  <c r="AA588" i="26"/>
  <c r="AB588" i="26"/>
  <c r="AA604" i="26"/>
  <c r="AB604" i="26"/>
  <c r="AA620" i="26"/>
  <c r="AB620" i="26"/>
  <c r="AA636" i="26"/>
  <c r="AB636" i="26"/>
  <c r="AA652" i="26"/>
  <c r="AB652" i="26"/>
  <c r="AA668" i="26"/>
  <c r="AB668" i="26"/>
  <c r="AA684" i="26"/>
  <c r="AB684" i="26"/>
  <c r="AA700" i="26"/>
  <c r="AB700" i="26"/>
  <c r="AA716" i="26"/>
  <c r="AB716" i="26"/>
  <c r="AA732" i="26"/>
  <c r="AB732" i="26"/>
  <c r="AA748" i="26"/>
  <c r="AB748" i="26"/>
  <c r="AA764" i="26"/>
  <c r="AB764" i="26"/>
  <c r="AA780" i="26"/>
  <c r="AB780" i="26"/>
  <c r="AA796" i="26"/>
  <c r="AB796" i="26"/>
  <c r="AA812" i="26"/>
  <c r="AB812" i="26"/>
  <c r="AA828" i="26"/>
  <c r="AB828" i="26"/>
  <c r="AA844" i="26"/>
  <c r="AB844" i="26"/>
  <c r="AA860" i="26"/>
  <c r="AB860" i="26"/>
  <c r="AA876" i="26"/>
  <c r="AB876" i="26"/>
  <c r="AA892" i="26"/>
  <c r="AB892" i="26"/>
  <c r="AA908" i="26"/>
  <c r="AB908" i="26"/>
  <c r="AA924" i="26"/>
  <c r="AB924" i="26"/>
  <c r="AA940" i="26"/>
  <c r="AB940" i="26"/>
  <c r="AA956" i="26"/>
  <c r="AB956" i="26"/>
  <c r="AA972" i="26"/>
  <c r="AB972" i="26"/>
  <c r="AA988" i="26"/>
  <c r="AB988" i="26"/>
  <c r="AA1004" i="26"/>
  <c r="AB1004" i="26"/>
  <c r="AA1020" i="26"/>
  <c r="AB1020" i="26"/>
  <c r="AA1036" i="26"/>
  <c r="AB1036" i="26"/>
  <c r="AA1052" i="26"/>
  <c r="AB1052" i="26"/>
  <c r="AA1068" i="26"/>
  <c r="AB1068" i="26"/>
  <c r="AA1084" i="26"/>
  <c r="AB1084" i="26"/>
  <c r="AA1100" i="26"/>
  <c r="AB1100" i="26"/>
  <c r="AA1116" i="26"/>
  <c r="AB1116" i="26"/>
  <c r="AA1132" i="26"/>
  <c r="AB1132" i="26"/>
  <c r="AA1148" i="26"/>
  <c r="AB1148" i="26"/>
  <c r="AA1164" i="26"/>
  <c r="AB1164" i="26"/>
  <c r="AA1180" i="26"/>
  <c r="AB1180" i="26"/>
  <c r="AA1196" i="26"/>
  <c r="AB1196" i="26"/>
  <c r="AA1212" i="26"/>
  <c r="AB1212" i="26"/>
  <c r="AA1228" i="26"/>
  <c r="AB1228" i="26"/>
  <c r="AA1244" i="26"/>
  <c r="AB1244" i="26"/>
  <c r="AA1260" i="26"/>
  <c r="AB1260" i="26"/>
  <c r="AA1276" i="26"/>
  <c r="AB1276" i="26"/>
  <c r="AA1292" i="26"/>
  <c r="AB1292" i="26"/>
  <c r="AA1308" i="26"/>
  <c r="AB1308" i="26"/>
  <c r="AA1324" i="26"/>
  <c r="AB1324" i="26"/>
  <c r="AA1340" i="26"/>
  <c r="AB1340" i="26"/>
  <c r="AA1356" i="26"/>
  <c r="AB1356" i="26"/>
  <c r="AA1372" i="26"/>
  <c r="AB1372" i="26"/>
  <c r="AA1387" i="26"/>
  <c r="AB1387" i="26"/>
  <c r="AA1402" i="26"/>
  <c r="AB1402" i="26"/>
  <c r="AA1416" i="26"/>
  <c r="AB1416" i="26"/>
  <c r="AA1427" i="26"/>
  <c r="AB1427" i="26"/>
  <c r="AA1441" i="26"/>
  <c r="AB1441" i="26"/>
  <c r="AA1452" i="26"/>
  <c r="AB1452" i="26"/>
  <c r="AA1466" i="26"/>
  <c r="AB1466" i="26"/>
  <c r="AA1480" i="26"/>
  <c r="AB1480" i="26"/>
  <c r="AA1491" i="26"/>
  <c r="AB1491" i="26"/>
  <c r="AA1505" i="26"/>
  <c r="AB1505" i="26"/>
  <c r="AA1516" i="26"/>
  <c r="AB1516" i="26"/>
  <c r="AA1530" i="26"/>
  <c r="AB1530" i="26"/>
  <c r="AA1544" i="26"/>
  <c r="AB1544" i="26"/>
  <c r="AA1555" i="26"/>
  <c r="AB1555" i="26"/>
  <c r="AA1569" i="26"/>
  <c r="AB1569" i="26"/>
  <c r="AA1580" i="26"/>
  <c r="AB1580" i="26"/>
  <c r="AA1594" i="26"/>
  <c r="AB1594" i="26"/>
  <c r="AA1608" i="26"/>
  <c r="AB1608" i="26"/>
  <c r="AA1619" i="26"/>
  <c r="AB1619" i="26"/>
  <c r="AA1633" i="26"/>
  <c r="AB1633" i="26"/>
  <c r="AA1644" i="26"/>
  <c r="AB1644" i="26"/>
  <c r="AA1658" i="26"/>
  <c r="AB1658" i="26"/>
  <c r="AA1672" i="26"/>
  <c r="AB1672" i="26"/>
  <c r="AA1683" i="26"/>
  <c r="AB1683" i="26"/>
  <c r="AA1697" i="26"/>
  <c r="AB1697" i="26"/>
  <c r="AA1708" i="26"/>
  <c r="AB1708" i="26"/>
  <c r="AA1722" i="26"/>
  <c r="AB1722" i="26"/>
  <c r="AA1736" i="26"/>
  <c r="AB1736" i="26"/>
  <c r="AA1747" i="26"/>
  <c r="AB1747" i="26"/>
  <c r="AA1761" i="26"/>
  <c r="AB1761" i="26"/>
  <c r="AA1772" i="26"/>
  <c r="AB1772" i="26"/>
  <c r="AA1786" i="26"/>
  <c r="AB1786" i="26"/>
  <c r="AA1800" i="26"/>
  <c r="AB1800" i="26"/>
  <c r="AA1811" i="26"/>
  <c r="AB1811" i="26"/>
  <c r="AA1825" i="26"/>
  <c r="AB1825" i="26"/>
  <c r="AA1836" i="26"/>
  <c r="AB1836" i="26"/>
  <c r="AA1850" i="26"/>
  <c r="AB1850" i="26"/>
  <c r="AA1864" i="26"/>
  <c r="AB1864" i="26"/>
  <c r="AA1875" i="26"/>
  <c r="AB1875" i="26"/>
  <c r="AA1889" i="26"/>
  <c r="AB1889" i="26"/>
  <c r="AA1900" i="26"/>
  <c r="AB1900" i="26"/>
  <c r="AA1914" i="26"/>
  <c r="AB1914" i="26"/>
  <c r="AA1928" i="26"/>
  <c r="AB1928" i="26"/>
  <c r="AA1939" i="26"/>
  <c r="AB1939" i="26"/>
  <c r="AA1953" i="26"/>
  <c r="AB1953" i="26"/>
  <c r="AA1964" i="26"/>
  <c r="AB1964" i="26"/>
  <c r="AA1978" i="26"/>
  <c r="AB1978" i="26"/>
  <c r="AA1992" i="26"/>
  <c r="AB1992" i="26"/>
  <c r="AA2003" i="26"/>
  <c r="AB2003" i="26"/>
  <c r="AA2017" i="26"/>
  <c r="AB2017" i="26"/>
  <c r="AA2028" i="26"/>
  <c r="AB2028" i="26"/>
  <c r="AA2042" i="26"/>
  <c r="AB2042" i="26"/>
  <c r="AA2056" i="26"/>
  <c r="AB2056" i="26"/>
  <c r="AA2067" i="26"/>
  <c r="AB2067" i="26"/>
  <c r="AA2081" i="26"/>
  <c r="AB2081" i="26"/>
  <c r="AA2092" i="26"/>
  <c r="AB2092" i="26"/>
  <c r="AA2106" i="26"/>
  <c r="AB2106" i="26"/>
  <c r="AA2120" i="26"/>
  <c r="AB2120" i="26"/>
  <c r="AA2131" i="26"/>
  <c r="AB2131" i="26"/>
  <c r="AA2145" i="26"/>
  <c r="AB2145" i="26"/>
  <c r="AA2156" i="26"/>
  <c r="AB2156" i="26"/>
  <c r="AA2170" i="26"/>
  <c r="AB2170" i="26"/>
  <c r="AA2184" i="26"/>
  <c r="AB2184" i="26"/>
  <c r="AA2195" i="26"/>
  <c r="AB2195" i="26"/>
  <c r="AA2209" i="26"/>
  <c r="AB2209" i="26"/>
  <c r="AA2220" i="26"/>
  <c r="AB2220" i="26"/>
  <c r="AA2234" i="26"/>
  <c r="AB2234" i="26"/>
  <c r="AA2248" i="26"/>
  <c r="AB2248" i="26"/>
  <c r="AA2259" i="26"/>
  <c r="AB2259" i="26"/>
  <c r="AA2273" i="26"/>
  <c r="AB2273" i="26"/>
  <c r="AA2284" i="26"/>
  <c r="AB2284" i="26"/>
  <c r="AA2298" i="26"/>
  <c r="AB2298" i="26"/>
  <c r="AA2312" i="26"/>
  <c r="AB2312" i="26"/>
  <c r="AA2323" i="26"/>
  <c r="AB2323" i="26"/>
  <c r="AA2337" i="26"/>
  <c r="AB2337" i="26"/>
  <c r="AA2348" i="26"/>
  <c r="AB2348" i="26"/>
  <c r="AA2362" i="26"/>
  <c r="AB2362" i="26"/>
  <c r="AA2376" i="26"/>
  <c r="AB2376" i="26"/>
  <c r="AA2387" i="26"/>
  <c r="AB2387" i="26"/>
  <c r="AA2401" i="26"/>
  <c r="AB2401" i="26"/>
  <c r="AA2412" i="26"/>
  <c r="AB2412" i="26"/>
  <c r="AA2426" i="26"/>
  <c r="AB2426" i="26"/>
  <c r="AA2440" i="26"/>
  <c r="AB2440" i="26"/>
  <c r="AA2451" i="26"/>
  <c r="AB2451" i="26"/>
  <c r="AA2465" i="26"/>
  <c r="AB2465" i="26"/>
  <c r="AA2476" i="26"/>
  <c r="AB2476" i="26"/>
  <c r="AA2490" i="26"/>
  <c r="AB2490" i="26"/>
  <c r="AA2504" i="26"/>
  <c r="AB2504" i="26"/>
  <c r="AA2515" i="26"/>
  <c r="AB2515" i="26"/>
  <c r="AA2529" i="26"/>
  <c r="AB2529" i="26"/>
  <c r="AA2540" i="26"/>
  <c r="AB2540" i="26"/>
  <c r="AA2554" i="26"/>
  <c r="AB2554" i="26"/>
  <c r="AA2568" i="26"/>
  <c r="AB2568" i="26"/>
  <c r="AA2579" i="26"/>
  <c r="AB2579" i="26"/>
  <c r="AA2593" i="26"/>
  <c r="AB2593" i="26"/>
  <c r="AA2604" i="26"/>
  <c r="AB2604" i="26"/>
  <c r="AA2618" i="26"/>
  <c r="AB2618" i="26"/>
  <c r="AA2632" i="26"/>
  <c r="AB2632" i="26"/>
  <c r="AA2643" i="26"/>
  <c r="AB2643" i="26"/>
  <c r="AA2657" i="26"/>
  <c r="AB2657" i="26"/>
  <c r="AA2668" i="26"/>
  <c r="AB2668" i="26"/>
  <c r="AA2682" i="26"/>
  <c r="AB2682" i="26"/>
  <c r="AA2696" i="26"/>
  <c r="AB2696" i="26"/>
  <c r="AA2707" i="26"/>
  <c r="AB2707" i="26"/>
  <c r="AA2721" i="26"/>
  <c r="AB2721" i="26"/>
  <c r="AA2732" i="26"/>
  <c r="AB2732" i="26"/>
  <c r="AA2746" i="26"/>
  <c r="AB2746" i="26"/>
  <c r="AA2760" i="26"/>
  <c r="AB2760" i="26"/>
  <c r="AA2771" i="26"/>
  <c r="AB2771" i="26"/>
  <c r="AA2785" i="26"/>
  <c r="AB2785" i="26"/>
  <c r="AA2796" i="26"/>
  <c r="AB2796" i="26"/>
  <c r="AA2810" i="26"/>
  <c r="AB2810" i="26"/>
  <c r="AA2824" i="26"/>
  <c r="AB2824" i="26"/>
  <c r="AA2835" i="26"/>
  <c r="AB2835" i="26"/>
  <c r="AA2849" i="26"/>
  <c r="AB2849" i="26"/>
  <c r="AA2860" i="26"/>
  <c r="AB2860" i="26"/>
  <c r="AA2874" i="26"/>
  <c r="AB2874" i="26"/>
  <c r="AA2888" i="26"/>
  <c r="AB2888" i="26"/>
  <c r="AA2899" i="26"/>
  <c r="AB2899" i="26"/>
  <c r="AA2913" i="26"/>
  <c r="AB2913" i="26"/>
  <c r="AA2924" i="26"/>
  <c r="AB2924" i="26"/>
  <c r="AA2938" i="26"/>
  <c r="AB2938" i="26"/>
  <c r="AA2952" i="26"/>
  <c r="AB2952" i="26"/>
  <c r="AA2963" i="26"/>
  <c r="AB2963" i="26"/>
  <c r="AA2977" i="26"/>
  <c r="AB2977" i="26"/>
  <c r="AA2988" i="26"/>
  <c r="AB2988" i="26"/>
  <c r="AA3002" i="26"/>
  <c r="AB3002" i="26"/>
  <c r="AA3016" i="26"/>
  <c r="AB3016" i="26"/>
  <c r="AA3027" i="26"/>
  <c r="AB3027" i="26"/>
  <c r="AA3041" i="26"/>
  <c r="AB3041" i="26"/>
  <c r="AA3052" i="26"/>
  <c r="AB3052" i="26"/>
  <c r="AA3066" i="26"/>
  <c r="AB3066" i="26"/>
  <c r="AA3080" i="26"/>
  <c r="AB3080" i="26"/>
  <c r="AA3091" i="26"/>
  <c r="AB3091" i="26"/>
  <c r="AA3105" i="26"/>
  <c r="AB3105" i="26"/>
  <c r="AA3116" i="26"/>
  <c r="AB3116" i="26"/>
  <c r="AA3130" i="26"/>
  <c r="AB3130" i="26"/>
  <c r="AA3144" i="26"/>
  <c r="AB3144" i="26"/>
  <c r="AA3155" i="26"/>
  <c r="AB3155" i="26"/>
  <c r="AA3169" i="26"/>
  <c r="AB3169" i="26"/>
  <c r="AA3180" i="26"/>
  <c r="AB3180" i="26"/>
  <c r="AA3194" i="26"/>
  <c r="AB3194" i="26"/>
  <c r="AA3208" i="26"/>
  <c r="AB3208" i="26"/>
  <c r="AA3219" i="26"/>
  <c r="AB3219" i="26"/>
  <c r="AA3233" i="26"/>
  <c r="AB3233" i="26"/>
  <c r="AA3244" i="26"/>
  <c r="AB3244" i="26"/>
  <c r="AA3258" i="26"/>
  <c r="AB3258" i="26"/>
  <c r="AA3272" i="26"/>
  <c r="AB3272" i="26"/>
  <c r="AA3283" i="26"/>
  <c r="AB3283" i="26"/>
  <c r="AA3297" i="26"/>
  <c r="AB3297" i="26"/>
  <c r="AA3308" i="26"/>
  <c r="AB3308" i="26"/>
  <c r="AA3322" i="26"/>
  <c r="AB3322" i="26"/>
  <c r="AA3336" i="26"/>
  <c r="AB3336" i="26"/>
  <c r="AA3347" i="26"/>
  <c r="AB3347" i="26"/>
  <c r="AA3361" i="26"/>
  <c r="AB3361" i="26"/>
  <c r="AA3372" i="26"/>
  <c r="AB3372" i="26"/>
  <c r="AA3386" i="26"/>
  <c r="AB3386" i="26"/>
  <c r="AA3400" i="26"/>
  <c r="AB3400" i="26"/>
  <c r="AA3411" i="26"/>
  <c r="AB3411" i="26"/>
  <c r="AA3425" i="26"/>
  <c r="AB3425" i="26"/>
  <c r="AA3436" i="26"/>
  <c r="AB3436" i="26"/>
  <c r="AA3450" i="26"/>
  <c r="AB3450" i="26"/>
  <c r="AA3464" i="26"/>
  <c r="AB3464" i="26"/>
  <c r="AA3475" i="26"/>
  <c r="AB3475" i="26"/>
  <c r="AA3489" i="26"/>
  <c r="AB3489" i="26"/>
  <c r="AA3500" i="26"/>
  <c r="AB3500" i="26"/>
  <c r="AA3514" i="26"/>
  <c r="AB3514" i="26"/>
  <c r="AA3528" i="26"/>
  <c r="AB3528" i="26"/>
  <c r="AA3539" i="26"/>
  <c r="AB3539" i="26"/>
  <c r="AA2196" i="26"/>
  <c r="AB2196" i="26"/>
  <c r="AA3362" i="26"/>
  <c r="AB3362" i="26"/>
  <c r="AA434" i="26"/>
  <c r="AB434" i="26"/>
  <c r="AA770" i="26"/>
  <c r="AB770" i="26"/>
  <c r="AA978" i="26"/>
  <c r="AB978" i="26"/>
  <c r="AA1090" i="26"/>
  <c r="AB1090" i="26"/>
  <c r="AA1154" i="26"/>
  <c r="AB1154" i="26"/>
  <c r="AA1362" i="26"/>
  <c r="AB1362" i="26"/>
  <c r="AA1674" i="26"/>
  <c r="AB1674" i="26"/>
  <c r="AA1816" i="26"/>
  <c r="AB1816" i="26"/>
  <c r="AA1905" i="26"/>
  <c r="AB1905" i="26"/>
  <c r="AA1969" i="26"/>
  <c r="AB1969" i="26"/>
  <c r="AA2008" i="26"/>
  <c r="AB2008" i="26"/>
  <c r="AA2044" i="26"/>
  <c r="AB2044" i="26"/>
  <c r="AA2083" i="26"/>
  <c r="AB2083" i="26"/>
  <c r="AA2122" i="26"/>
  <c r="AB2122" i="26"/>
  <c r="AA2161" i="26"/>
  <c r="AB2161" i="26"/>
  <c r="AA2200" i="26"/>
  <c r="AB2200" i="26"/>
  <c r="AA2225" i="26"/>
  <c r="AB2225" i="26"/>
  <c r="AA2264" i="26"/>
  <c r="AB2264" i="26"/>
  <c r="AA2289" i="26"/>
  <c r="AB2289" i="26"/>
  <c r="AA2328" i="26"/>
  <c r="AB2328" i="26"/>
  <c r="AA2353" i="26"/>
  <c r="AB2353" i="26"/>
  <c r="AA2392" i="26"/>
  <c r="AB2392" i="26"/>
  <c r="AA2428" i="26"/>
  <c r="AB2428" i="26"/>
  <c r="AA2481" i="26"/>
  <c r="AB2481" i="26"/>
  <c r="AA2531" i="26"/>
  <c r="AB2531" i="26"/>
  <c r="AA2584" i="26"/>
  <c r="AB2584" i="26"/>
  <c r="AA2634" i="26"/>
  <c r="AB2634" i="26"/>
  <c r="AA2684" i="26"/>
  <c r="AB2684" i="26"/>
  <c r="AA2737" i="26"/>
  <c r="AB2737" i="26"/>
  <c r="AA2776" i="26"/>
  <c r="AB2776" i="26"/>
  <c r="AA2812" i="26"/>
  <c r="AB2812" i="26"/>
  <c r="AA2851" i="26"/>
  <c r="AB2851" i="26"/>
  <c r="AA2890" i="26"/>
  <c r="AB2890" i="26"/>
  <c r="AA2915" i="26"/>
  <c r="AB2915" i="26"/>
  <c r="AA2940" i="26"/>
  <c r="AB2940" i="26"/>
  <c r="AA2968" i="26"/>
  <c r="AB2968" i="26"/>
  <c r="AA3004" i="26"/>
  <c r="AB3004" i="26"/>
  <c r="AA3043" i="26"/>
  <c r="AB3043" i="26"/>
  <c r="AA3096" i="26"/>
  <c r="AB3096" i="26"/>
  <c r="AA3146" i="26"/>
  <c r="AB3146" i="26"/>
  <c r="AA3196" i="26"/>
  <c r="AB3196" i="26"/>
  <c r="AA3249" i="26"/>
  <c r="AB3249" i="26"/>
  <c r="AA3299" i="26"/>
  <c r="AB3299" i="26"/>
  <c r="AA3352" i="26"/>
  <c r="AB3352" i="26"/>
  <c r="AA3402" i="26"/>
  <c r="AB3402" i="26"/>
  <c r="AA3452" i="26"/>
  <c r="AB3452" i="26"/>
  <c r="AA3491" i="26"/>
  <c r="AB3491" i="26"/>
  <c r="AA17" i="26"/>
  <c r="AB17" i="26"/>
  <c r="AA33" i="26"/>
  <c r="AB33" i="26"/>
  <c r="AA49" i="26"/>
  <c r="AB49" i="26"/>
  <c r="AA65" i="26"/>
  <c r="AB65" i="26"/>
  <c r="AA81" i="26"/>
  <c r="AB81" i="26"/>
  <c r="AA97" i="26"/>
  <c r="AB97" i="26"/>
  <c r="AA113" i="26"/>
  <c r="AB113" i="26"/>
  <c r="AA129" i="26"/>
  <c r="AB129" i="26"/>
  <c r="AA145" i="26"/>
  <c r="AB145" i="26"/>
  <c r="AA161" i="26"/>
  <c r="AB161" i="26"/>
  <c r="AA177" i="26"/>
  <c r="AB177" i="26"/>
  <c r="AA193" i="26"/>
  <c r="AB193" i="26"/>
  <c r="AA209" i="26"/>
  <c r="AB209" i="26"/>
  <c r="AA225" i="26"/>
  <c r="AB225" i="26"/>
  <c r="AA241" i="26"/>
  <c r="AB241" i="26"/>
  <c r="AA257" i="26"/>
  <c r="AB257" i="26"/>
  <c r="AA273" i="26"/>
  <c r="AB273" i="26"/>
  <c r="AA289" i="26"/>
  <c r="AB289" i="26"/>
  <c r="AA305" i="26"/>
  <c r="AB305" i="26"/>
  <c r="AA321" i="26"/>
  <c r="AB321" i="26"/>
  <c r="AA337" i="26"/>
  <c r="AB337" i="26"/>
  <c r="AA353" i="26"/>
  <c r="AB353" i="26"/>
  <c r="AA369" i="26"/>
  <c r="AB369" i="26"/>
  <c r="AA385" i="26"/>
  <c r="AB385" i="26"/>
  <c r="AA401" i="26"/>
  <c r="AB401" i="26"/>
  <c r="AA417" i="26"/>
  <c r="AB417" i="26"/>
  <c r="AA433" i="26"/>
  <c r="AB433" i="26"/>
  <c r="AA449" i="26"/>
  <c r="AB449" i="26"/>
  <c r="AA465" i="26"/>
  <c r="AB465" i="26"/>
  <c r="AA481" i="26"/>
  <c r="AB481" i="26"/>
  <c r="AA497" i="26"/>
  <c r="AB497" i="26"/>
  <c r="AA513" i="26"/>
  <c r="AB513" i="26"/>
  <c r="AA529" i="26"/>
  <c r="AB529" i="26"/>
  <c r="AA545" i="26"/>
  <c r="AB545" i="26"/>
  <c r="AA561" i="26"/>
  <c r="AB561" i="26"/>
  <c r="AA577" i="26"/>
  <c r="AB577" i="26"/>
  <c r="AA593" i="26"/>
  <c r="AB593" i="26"/>
  <c r="AA609" i="26"/>
  <c r="AB609" i="26"/>
  <c r="AA625" i="26"/>
  <c r="AB625" i="26"/>
  <c r="AA641" i="26"/>
  <c r="AB641" i="26"/>
  <c r="AA657" i="26"/>
  <c r="AB657" i="26"/>
  <c r="AA673" i="26"/>
  <c r="AB673" i="26"/>
  <c r="AA689" i="26"/>
  <c r="AB689" i="26"/>
  <c r="AA705" i="26"/>
  <c r="AB705" i="26"/>
  <c r="AA721" i="26"/>
  <c r="AB721" i="26"/>
  <c r="AA737" i="26"/>
  <c r="AB737" i="26"/>
  <c r="AA753" i="26"/>
  <c r="AB753" i="26"/>
  <c r="AA769" i="26"/>
  <c r="AB769" i="26"/>
  <c r="AA785" i="26"/>
  <c r="AB785" i="26"/>
  <c r="AA801" i="26"/>
  <c r="AB801" i="26"/>
  <c r="AA817" i="26"/>
  <c r="AB817" i="26"/>
  <c r="AA833" i="26"/>
  <c r="AB833" i="26"/>
  <c r="AA849" i="26"/>
  <c r="AB849" i="26"/>
  <c r="AA865" i="26"/>
  <c r="AB865" i="26"/>
  <c r="AA881" i="26"/>
  <c r="AB881" i="26"/>
  <c r="AA897" i="26"/>
  <c r="AB897" i="26"/>
  <c r="AA913" i="26"/>
  <c r="AB913" i="26"/>
  <c r="AA929" i="26"/>
  <c r="AB929" i="26"/>
  <c r="AA945" i="26"/>
  <c r="AB945" i="26"/>
  <c r="AA961" i="26"/>
  <c r="AB961" i="26"/>
  <c r="AA977" i="26"/>
  <c r="AB977" i="26"/>
  <c r="AA993" i="26"/>
  <c r="AB993" i="26"/>
  <c r="AA1009" i="26"/>
  <c r="AB1009" i="26"/>
  <c r="AA1025" i="26"/>
  <c r="AB1025" i="26"/>
  <c r="AA1041" i="26"/>
  <c r="AB1041" i="26"/>
  <c r="AA1057" i="26"/>
  <c r="AB1057" i="26"/>
  <c r="AA1073" i="26"/>
  <c r="AB1073" i="26"/>
  <c r="AA1089" i="26"/>
  <c r="AB1089" i="26"/>
  <c r="AA1105" i="26"/>
  <c r="AB1105" i="26"/>
  <c r="AA1121" i="26"/>
  <c r="AB1121" i="26"/>
  <c r="AA1137" i="26"/>
  <c r="AB1137" i="26"/>
  <c r="AA1153" i="26"/>
  <c r="AB1153" i="26"/>
  <c r="AA1169" i="26"/>
  <c r="AB1169" i="26"/>
  <c r="AA1185" i="26"/>
  <c r="AB1185" i="26"/>
  <c r="AA1201" i="26"/>
  <c r="AB1201" i="26"/>
  <c r="AA1217" i="26"/>
  <c r="AB1217" i="26"/>
  <c r="AA1233" i="26"/>
  <c r="AB1233" i="26"/>
  <c r="AA1249" i="26"/>
  <c r="AB1249" i="26"/>
  <c r="AA1265" i="26"/>
  <c r="AB1265" i="26"/>
  <c r="AA1281" i="26"/>
  <c r="AB1281" i="26"/>
  <c r="AA1297" i="26"/>
  <c r="AB1297" i="26"/>
  <c r="AA1313" i="26"/>
  <c r="AB1313" i="26"/>
  <c r="AA1329" i="26"/>
  <c r="AB1329" i="26"/>
  <c r="AA1345" i="26"/>
  <c r="AB1345" i="26"/>
  <c r="AA1361" i="26"/>
  <c r="AB1361" i="26"/>
  <c r="AA1377" i="26"/>
  <c r="AB1377" i="26"/>
  <c r="AA1388" i="26"/>
  <c r="AB1388" i="26"/>
  <c r="AA1403" i="26"/>
  <c r="AB1403" i="26"/>
  <c r="AA1417" i="26"/>
  <c r="AB1417" i="26"/>
  <c r="AA1428" i="26"/>
  <c r="AB1428" i="26"/>
  <c r="AA1442" i="26"/>
  <c r="AB1442" i="26"/>
  <c r="AA1456" i="26"/>
  <c r="AB1456" i="26"/>
  <c r="AA1467" i="26"/>
  <c r="AB1467" i="26"/>
  <c r="AA1481" i="26"/>
  <c r="AB1481" i="26"/>
  <c r="AA1492" i="26"/>
  <c r="AB1492" i="26"/>
  <c r="AA1506" i="26"/>
  <c r="AB1506" i="26"/>
  <c r="AA1520" i="26"/>
  <c r="AB1520" i="26"/>
  <c r="AA1531" i="26"/>
  <c r="AB1531" i="26"/>
  <c r="AA1545" i="26"/>
  <c r="AB1545" i="26"/>
  <c r="AA1556" i="26"/>
  <c r="AB1556" i="26"/>
  <c r="AA1570" i="26"/>
  <c r="AB1570" i="26"/>
  <c r="AA1584" i="26"/>
  <c r="AB1584" i="26"/>
  <c r="AA1595" i="26"/>
  <c r="AB1595" i="26"/>
  <c r="AA1609" i="26"/>
  <c r="AB1609" i="26"/>
  <c r="AA1620" i="26"/>
  <c r="AB1620" i="26"/>
  <c r="AA1634" i="26"/>
  <c r="AB1634" i="26"/>
  <c r="AA1648" i="26"/>
  <c r="AB1648" i="26"/>
  <c r="AA1659" i="26"/>
  <c r="AB1659" i="26"/>
  <c r="AA1673" i="26"/>
  <c r="AB1673" i="26"/>
  <c r="AA1684" i="26"/>
  <c r="AB1684" i="26"/>
  <c r="AA1698" i="26"/>
  <c r="AB1698" i="26"/>
  <c r="AA1712" i="26"/>
  <c r="AB1712" i="26"/>
  <c r="AA1723" i="26"/>
  <c r="AB1723" i="26"/>
  <c r="AA1737" i="26"/>
  <c r="AB1737" i="26"/>
  <c r="AA1748" i="26"/>
  <c r="AB1748" i="26"/>
  <c r="AA1762" i="26"/>
  <c r="AB1762" i="26"/>
  <c r="AA1776" i="26"/>
  <c r="AB1776" i="26"/>
  <c r="AA1787" i="26"/>
  <c r="AB1787" i="26"/>
  <c r="AA1801" i="26"/>
  <c r="AB1801" i="26"/>
  <c r="AA1812" i="26"/>
  <c r="AB1812" i="26"/>
  <c r="AA1826" i="26"/>
  <c r="AB1826" i="26"/>
  <c r="AA1840" i="26"/>
  <c r="AB1840" i="26"/>
  <c r="AA1851" i="26"/>
  <c r="AB1851" i="26"/>
  <c r="AA1865" i="26"/>
  <c r="AB1865" i="26"/>
  <c r="AA1876" i="26"/>
  <c r="AB1876" i="26"/>
  <c r="AA1890" i="26"/>
  <c r="AB1890" i="26"/>
  <c r="AA1904" i="26"/>
  <c r="AB1904" i="26"/>
  <c r="AA1915" i="26"/>
  <c r="AB1915" i="26"/>
  <c r="AA1929" i="26"/>
  <c r="AB1929" i="26"/>
  <c r="AA1940" i="26"/>
  <c r="AB1940" i="26"/>
  <c r="AA1954" i="26"/>
  <c r="AB1954" i="26"/>
  <c r="AA1968" i="26"/>
  <c r="AB1968" i="26"/>
  <c r="AA1979" i="26"/>
  <c r="AB1979" i="26"/>
  <c r="AA1993" i="26"/>
  <c r="AB1993" i="26"/>
  <c r="AA2004" i="26"/>
  <c r="AB2004" i="26"/>
  <c r="AA2018" i="26"/>
  <c r="AB2018" i="26"/>
  <c r="AA2032" i="26"/>
  <c r="AB2032" i="26"/>
  <c r="AA2043" i="26"/>
  <c r="AB2043" i="26"/>
  <c r="AA2057" i="26"/>
  <c r="AB2057" i="26"/>
  <c r="AA2068" i="26"/>
  <c r="AB2068" i="26"/>
  <c r="AA2082" i="26"/>
  <c r="AB2082" i="26"/>
  <c r="AA2096" i="26"/>
  <c r="AB2096" i="26"/>
  <c r="AA2107" i="26"/>
  <c r="AB2107" i="26"/>
  <c r="AA2121" i="26"/>
  <c r="AB2121" i="26"/>
  <c r="AA2132" i="26"/>
  <c r="AB2132" i="26"/>
  <c r="AA2146" i="26"/>
  <c r="AB2146" i="26"/>
  <c r="AA2160" i="26"/>
  <c r="AB2160" i="26"/>
  <c r="AA2185" i="26"/>
  <c r="AB2185" i="26"/>
  <c r="AA2210" i="26"/>
  <c r="AB2210" i="26"/>
  <c r="AA2224" i="26"/>
  <c r="AB2224" i="26"/>
  <c r="AA2235" i="26"/>
  <c r="AB2235" i="26"/>
  <c r="AA2249" i="26"/>
  <c r="AB2249" i="26"/>
  <c r="AA2260" i="26"/>
  <c r="AB2260" i="26"/>
  <c r="AA2274" i="26"/>
  <c r="AB2274" i="26"/>
  <c r="AA2288" i="26"/>
  <c r="AB2288" i="26"/>
  <c r="AA2299" i="26"/>
  <c r="AB2299" i="26"/>
  <c r="AA2313" i="26"/>
  <c r="AB2313" i="26"/>
  <c r="AA2324" i="26"/>
  <c r="AB2324" i="26"/>
  <c r="AA2338" i="26"/>
  <c r="AB2338" i="26"/>
  <c r="AA2352" i="26"/>
  <c r="AB2352" i="26"/>
  <c r="AA2363" i="26"/>
  <c r="AB2363" i="26"/>
  <c r="AA2377" i="26"/>
  <c r="AB2377" i="26"/>
  <c r="AA2388" i="26"/>
  <c r="AB2388" i="26"/>
  <c r="AA2402" i="26"/>
  <c r="AB2402" i="26"/>
  <c r="AA2416" i="26"/>
  <c r="AB2416" i="26"/>
  <c r="AA2427" i="26"/>
  <c r="AB2427" i="26"/>
  <c r="AA2441" i="26"/>
  <c r="AB2441" i="26"/>
  <c r="AA2452" i="26"/>
  <c r="AB2452" i="26"/>
  <c r="AA2466" i="26"/>
  <c r="AB2466" i="26"/>
  <c r="AA2480" i="26"/>
  <c r="AB2480" i="26"/>
  <c r="AA2491" i="26"/>
  <c r="AB2491" i="26"/>
  <c r="AA2505" i="26"/>
  <c r="AB2505" i="26"/>
  <c r="AA2516" i="26"/>
  <c r="AB2516" i="26"/>
  <c r="AA2530" i="26"/>
  <c r="AB2530" i="26"/>
  <c r="AA2544" i="26"/>
  <c r="AB2544" i="26"/>
  <c r="AA2555" i="26"/>
  <c r="AB2555" i="26"/>
  <c r="AA2569" i="26"/>
  <c r="AB2569" i="26"/>
  <c r="AA2580" i="26"/>
  <c r="AB2580" i="26"/>
  <c r="AA2594" i="26"/>
  <c r="AB2594" i="26"/>
  <c r="AA2608" i="26"/>
  <c r="AB2608" i="26"/>
  <c r="AA2619" i="26"/>
  <c r="AB2619" i="26"/>
  <c r="AA2633" i="26"/>
  <c r="AB2633" i="26"/>
  <c r="AA2644" i="26"/>
  <c r="AB2644" i="26"/>
  <c r="AA2658" i="26"/>
  <c r="AB2658" i="26"/>
  <c r="AA2672" i="26"/>
  <c r="AB2672" i="26"/>
  <c r="AA2683" i="26"/>
  <c r="AB2683" i="26"/>
  <c r="AA2697" i="26"/>
  <c r="AB2697" i="26"/>
  <c r="AA2708" i="26"/>
  <c r="AB2708" i="26"/>
  <c r="AA2722" i="26"/>
  <c r="AB2722" i="26"/>
  <c r="AA2736" i="26"/>
  <c r="AB2736" i="26"/>
  <c r="AA2747" i="26"/>
  <c r="AB2747" i="26"/>
  <c r="AA2761" i="26"/>
  <c r="AB2761" i="26"/>
  <c r="AA2772" i="26"/>
  <c r="AB2772" i="26"/>
  <c r="AA2786" i="26"/>
  <c r="AB2786" i="26"/>
  <c r="AA2800" i="26"/>
  <c r="AB2800" i="26"/>
  <c r="AA2811" i="26"/>
  <c r="AB2811" i="26"/>
  <c r="AA2825" i="26"/>
  <c r="AB2825" i="26"/>
  <c r="AA2836" i="26"/>
  <c r="AB2836" i="26"/>
  <c r="AA2850" i="26"/>
  <c r="AB2850" i="26"/>
  <c r="AA2864" i="26"/>
  <c r="AB2864" i="26"/>
  <c r="AA2875" i="26"/>
  <c r="AB2875" i="26"/>
  <c r="AA2889" i="26"/>
  <c r="AB2889" i="26"/>
  <c r="AA2900" i="26"/>
  <c r="AB2900" i="26"/>
  <c r="AA2914" i="26"/>
  <c r="AB2914" i="26"/>
  <c r="AA2928" i="26"/>
  <c r="AB2928" i="26"/>
  <c r="AA2939" i="26"/>
  <c r="AB2939" i="26"/>
  <c r="AA2953" i="26"/>
  <c r="AB2953" i="26"/>
  <c r="AA2964" i="26"/>
  <c r="AB2964" i="26"/>
  <c r="AA2978" i="26"/>
  <c r="AB2978" i="26"/>
  <c r="AA2992" i="26"/>
  <c r="AB2992" i="26"/>
  <c r="AA3003" i="26"/>
  <c r="AB3003" i="26"/>
  <c r="AA3017" i="26"/>
  <c r="AB3017" i="26"/>
  <c r="AA3028" i="26"/>
  <c r="AB3028" i="26"/>
  <c r="AA3042" i="26"/>
  <c r="AB3042" i="26"/>
  <c r="AA3056" i="26"/>
  <c r="AB3056" i="26"/>
  <c r="AA3067" i="26"/>
  <c r="AB3067" i="26"/>
  <c r="AA3081" i="26"/>
  <c r="AB3081" i="26"/>
  <c r="AA3092" i="26"/>
  <c r="AB3092" i="26"/>
  <c r="AA3106" i="26"/>
  <c r="AB3106" i="26"/>
  <c r="AA3120" i="26"/>
  <c r="AB3120" i="26"/>
  <c r="AA3131" i="26"/>
  <c r="AB3131" i="26"/>
  <c r="AA3145" i="26"/>
  <c r="AB3145" i="26"/>
  <c r="AA3156" i="26"/>
  <c r="AB3156" i="26"/>
  <c r="AA3170" i="26"/>
  <c r="AB3170" i="26"/>
  <c r="AA3184" i="26"/>
  <c r="AB3184" i="26"/>
  <c r="AA3195" i="26"/>
  <c r="AB3195" i="26"/>
  <c r="AA3209" i="26"/>
  <c r="AB3209" i="26"/>
  <c r="AA3220" i="26"/>
  <c r="AB3220" i="26"/>
  <c r="AA3234" i="26"/>
  <c r="AB3234" i="26"/>
  <c r="AA3248" i="26"/>
  <c r="AB3248" i="26"/>
  <c r="AA3259" i="26"/>
  <c r="AB3259" i="26"/>
  <c r="AA3273" i="26"/>
  <c r="AB3273" i="26"/>
  <c r="AA3284" i="26"/>
  <c r="AB3284" i="26"/>
  <c r="AA3298" i="26"/>
  <c r="AB3298" i="26"/>
  <c r="AA3312" i="26"/>
  <c r="AB3312" i="26"/>
  <c r="AA3337" i="26"/>
  <c r="AB3337" i="26"/>
  <c r="AA3348" i="26"/>
  <c r="AB3348" i="26"/>
  <c r="AA3376" i="26"/>
  <c r="AB3376" i="26"/>
  <c r="AA3387" i="26"/>
  <c r="AB3387" i="26"/>
  <c r="AA3401" i="26"/>
  <c r="AB3401" i="26"/>
  <c r="AA3412" i="26"/>
  <c r="AB3412" i="26"/>
  <c r="AA3426" i="26"/>
  <c r="AB3426" i="26"/>
  <c r="AA3440" i="26"/>
  <c r="AB3440" i="26"/>
  <c r="AA3451" i="26"/>
  <c r="AB3451" i="26"/>
  <c r="AA3465" i="26"/>
  <c r="AB3465" i="26"/>
  <c r="AA3476" i="26"/>
  <c r="AB3476" i="26"/>
  <c r="AA3490" i="26"/>
  <c r="AB3490" i="26"/>
  <c r="AA3504" i="26"/>
  <c r="AB3504" i="26"/>
  <c r="AA3515" i="26"/>
  <c r="AB3515" i="26"/>
  <c r="AA3529" i="26"/>
  <c r="AB3529" i="26"/>
  <c r="AA3540" i="26"/>
  <c r="AB3540" i="26"/>
  <c r="AA146" i="26"/>
  <c r="AB146" i="26"/>
  <c r="AA834" i="26"/>
  <c r="AB834" i="26"/>
  <c r="AA1010" i="26"/>
  <c r="AB1010" i="26"/>
  <c r="AA1106" i="26"/>
  <c r="AB1106" i="26"/>
  <c r="AA1170" i="26"/>
  <c r="AB1170" i="26"/>
  <c r="AA1202" i="26"/>
  <c r="AB1202" i="26"/>
  <c r="AA1250" i="26"/>
  <c r="AB1250" i="26"/>
  <c r="AA1314" i="26"/>
  <c r="AB1314" i="26"/>
  <c r="AA1346" i="26"/>
  <c r="AB1346" i="26"/>
  <c r="AA1393" i="26"/>
  <c r="AB1393" i="26"/>
  <c r="AA1418" i="26"/>
  <c r="AB1418" i="26"/>
  <c r="AA1457" i="26"/>
  <c r="AB1457" i="26"/>
  <c r="AA1482" i="26"/>
  <c r="AB1482" i="26"/>
  <c r="AA1507" i="26"/>
  <c r="AB1507" i="26"/>
  <c r="AA1532" i="26"/>
  <c r="AB1532" i="26"/>
  <c r="AA1560" i="26"/>
  <c r="AB1560" i="26"/>
  <c r="AA1585" i="26"/>
  <c r="AB1585" i="26"/>
  <c r="AA1610" i="26"/>
  <c r="AB1610" i="26"/>
  <c r="AA1649" i="26"/>
  <c r="AB1649" i="26"/>
  <c r="AA1699" i="26"/>
  <c r="AB1699" i="26"/>
  <c r="AA1724" i="26"/>
  <c r="AB1724" i="26"/>
  <c r="AA1752" i="26"/>
  <c r="AB1752" i="26"/>
  <c r="AA1788" i="26"/>
  <c r="AB1788" i="26"/>
  <c r="AA1827" i="26"/>
  <c r="AB1827" i="26"/>
  <c r="AA1852" i="26"/>
  <c r="AB1852" i="26"/>
  <c r="AA1880" i="26"/>
  <c r="AB1880" i="26"/>
  <c r="AA1916" i="26"/>
  <c r="AB1916" i="26"/>
  <c r="AA1955" i="26"/>
  <c r="AB1955" i="26"/>
  <c r="AA1994" i="26"/>
  <c r="AB1994" i="26"/>
  <c r="AA2033" i="26"/>
  <c r="AB2033" i="26"/>
  <c r="AA2072" i="26"/>
  <c r="AB2072" i="26"/>
  <c r="AA2108" i="26"/>
  <c r="AB2108" i="26"/>
  <c r="AA2147" i="26"/>
  <c r="AB2147" i="26"/>
  <c r="AA2172" i="26"/>
  <c r="AB2172" i="26"/>
  <c r="AA2211" i="26"/>
  <c r="AB2211" i="26"/>
  <c r="AA2236" i="26"/>
  <c r="AB2236" i="26"/>
  <c r="AA2275" i="26"/>
  <c r="AB2275" i="26"/>
  <c r="AA2300" i="26"/>
  <c r="AB2300" i="26"/>
  <c r="AA2339" i="26"/>
  <c r="AB2339" i="26"/>
  <c r="AA2378" i="26"/>
  <c r="AB2378" i="26"/>
  <c r="AA2403" i="26"/>
  <c r="AB2403" i="26"/>
  <c r="AA2442" i="26"/>
  <c r="AB2442" i="26"/>
  <c r="AA2467" i="26"/>
  <c r="AB2467" i="26"/>
  <c r="AA2492" i="26"/>
  <c r="AB2492" i="26"/>
  <c r="AA2520" i="26"/>
  <c r="AB2520" i="26"/>
  <c r="AA2545" i="26"/>
  <c r="AB2545" i="26"/>
  <c r="AA2570" i="26"/>
  <c r="AB2570" i="26"/>
  <c r="AA2595" i="26"/>
  <c r="AB2595" i="26"/>
  <c r="AA2620" i="26"/>
  <c r="AB2620" i="26"/>
  <c r="AA2648" i="26"/>
  <c r="AB2648" i="26"/>
  <c r="AA2659" i="26"/>
  <c r="AB2659" i="26"/>
  <c r="AA2712" i="26"/>
  <c r="AB2712" i="26"/>
  <c r="AA2748" i="26"/>
  <c r="AB2748" i="26"/>
  <c r="AA2787" i="26"/>
  <c r="AB2787" i="26"/>
  <c r="AA2826" i="26"/>
  <c r="AB2826" i="26"/>
  <c r="AA2865" i="26"/>
  <c r="AB2865" i="26"/>
  <c r="AA2904" i="26"/>
  <c r="AB2904" i="26"/>
  <c r="AA2954" i="26"/>
  <c r="AB2954" i="26"/>
  <c r="AA2993" i="26"/>
  <c r="AB2993" i="26"/>
  <c r="AA3032" i="26"/>
  <c r="AB3032" i="26"/>
  <c r="AA3057" i="26"/>
  <c r="AB3057" i="26"/>
  <c r="AA3082" i="26"/>
  <c r="AB3082" i="26"/>
  <c r="AA3107" i="26"/>
  <c r="AB3107" i="26"/>
  <c r="AA3132" i="26"/>
  <c r="AB3132" i="26"/>
  <c r="AA3160" i="26"/>
  <c r="AB3160" i="26"/>
  <c r="AA3185" i="26"/>
  <c r="AB3185" i="26"/>
  <c r="AA3210" i="26"/>
  <c r="AB3210" i="26"/>
  <c r="AA3235" i="26"/>
  <c r="AB3235" i="26"/>
  <c r="AA3260" i="26"/>
  <c r="AB3260" i="26"/>
  <c r="AA3288" i="26"/>
  <c r="AB3288" i="26"/>
  <c r="AA3313" i="26"/>
  <c r="AB3313" i="26"/>
  <c r="AA3338" i="26"/>
  <c r="AB3338" i="26"/>
  <c r="AA3363" i="26"/>
  <c r="AB3363" i="26"/>
  <c r="AA3388" i="26"/>
  <c r="AB3388" i="26"/>
  <c r="AA3416" i="26"/>
  <c r="AB3416" i="26"/>
  <c r="AA3441" i="26"/>
  <c r="AB3441" i="26"/>
  <c r="AA3480" i="26"/>
  <c r="AB3480" i="26"/>
  <c r="AA3505" i="26"/>
  <c r="AB3505" i="26"/>
  <c r="AA3530" i="26"/>
  <c r="AB3530" i="26"/>
  <c r="AA18" i="26"/>
  <c r="AB18" i="26"/>
  <c r="AA50" i="26"/>
  <c r="AB50" i="26"/>
  <c r="AA66" i="26"/>
  <c r="AB66" i="26"/>
  <c r="AA82" i="26"/>
  <c r="AB82" i="26"/>
  <c r="AA98" i="26"/>
  <c r="AB98" i="26"/>
  <c r="AA114" i="26"/>
  <c r="AB114" i="26"/>
  <c r="AA130" i="26"/>
  <c r="AB130" i="26"/>
  <c r="AA162" i="26"/>
  <c r="AB162" i="26"/>
  <c r="AA178" i="26"/>
  <c r="AB178" i="26"/>
  <c r="AA194" i="26"/>
  <c r="AB194" i="26"/>
  <c r="AA210" i="26"/>
  <c r="AB210" i="26"/>
  <c r="AA226" i="26"/>
  <c r="AB226" i="26"/>
  <c r="AA242" i="26"/>
  <c r="AB242" i="26"/>
  <c r="AA258" i="26"/>
  <c r="AB258" i="26"/>
  <c r="AA274" i="26"/>
  <c r="AB274" i="26"/>
  <c r="AA290" i="26"/>
  <c r="AB290" i="26"/>
  <c r="AA306" i="26"/>
  <c r="AB306" i="26"/>
  <c r="AA322" i="26"/>
  <c r="AB322" i="26"/>
  <c r="AA338" i="26"/>
  <c r="AB338" i="26"/>
  <c r="AA354" i="26"/>
  <c r="AB354" i="26"/>
  <c r="AA370" i="26"/>
  <c r="AB370" i="26"/>
  <c r="AA386" i="26"/>
  <c r="AB386" i="26"/>
  <c r="AA402" i="26"/>
  <c r="AB402" i="26"/>
  <c r="AA418" i="26"/>
  <c r="AB418" i="26"/>
  <c r="AA450" i="26"/>
  <c r="AB450" i="26"/>
  <c r="AA466" i="26"/>
  <c r="AB466" i="26"/>
  <c r="AA482" i="26"/>
  <c r="AB482" i="26"/>
  <c r="AA498" i="26"/>
  <c r="AB498" i="26"/>
  <c r="AA514" i="26"/>
  <c r="AB514" i="26"/>
  <c r="AA530" i="26"/>
  <c r="AB530" i="26"/>
  <c r="AA546" i="26"/>
  <c r="AB546" i="26"/>
  <c r="AA562" i="26"/>
  <c r="AB562" i="26"/>
  <c r="AA578" i="26"/>
  <c r="AB578" i="26"/>
  <c r="AA594" i="26"/>
  <c r="AB594" i="26"/>
  <c r="AA610" i="26"/>
  <c r="AB610" i="26"/>
  <c r="AA626" i="26"/>
  <c r="AB626" i="26"/>
  <c r="AA642" i="26"/>
  <c r="AB642" i="26"/>
  <c r="AA658" i="26"/>
  <c r="AB658" i="26"/>
  <c r="AA674" i="26"/>
  <c r="AB674" i="26"/>
  <c r="AA690" i="26"/>
  <c r="AB690" i="26"/>
  <c r="AA706" i="26"/>
  <c r="AB706" i="26"/>
  <c r="AA722" i="26"/>
  <c r="AB722" i="26"/>
  <c r="AA754" i="26"/>
  <c r="AB754" i="26"/>
  <c r="AA786" i="26"/>
  <c r="AB786" i="26"/>
  <c r="AA802" i="26"/>
  <c r="AB802" i="26"/>
  <c r="AA818" i="26"/>
  <c r="AB818" i="26"/>
  <c r="AA850" i="26"/>
  <c r="AB850" i="26"/>
  <c r="AA866" i="26"/>
  <c r="AB866" i="26"/>
  <c r="AA882" i="26"/>
  <c r="AB882" i="26"/>
  <c r="AA898" i="26"/>
  <c r="AB898" i="26"/>
  <c r="AA914" i="26"/>
  <c r="AB914" i="26"/>
  <c r="AA930" i="26"/>
  <c r="AB930" i="26"/>
  <c r="AA962" i="26"/>
  <c r="AB962" i="26"/>
  <c r="AA994" i="26"/>
  <c r="AB994" i="26"/>
  <c r="AA1026" i="26"/>
  <c r="AB1026" i="26"/>
  <c r="AA1042" i="26"/>
  <c r="AB1042" i="26"/>
  <c r="AA1074" i="26"/>
  <c r="AB1074" i="26"/>
  <c r="AA1138" i="26"/>
  <c r="AB1138" i="26"/>
  <c r="AA1234" i="26"/>
  <c r="AB1234" i="26"/>
  <c r="AA1688" i="26"/>
  <c r="AB1688" i="26"/>
  <c r="AA19" i="26"/>
  <c r="AB19" i="26"/>
  <c r="AA35" i="26"/>
  <c r="AB35" i="26"/>
  <c r="AA51" i="26"/>
  <c r="AB51" i="26"/>
  <c r="AA67" i="26"/>
  <c r="AB67" i="26"/>
  <c r="AA83" i="26"/>
  <c r="AB83" i="26"/>
  <c r="AA99" i="26"/>
  <c r="AB99" i="26"/>
  <c r="AA115" i="26"/>
  <c r="AB115" i="26"/>
  <c r="AA131" i="26"/>
  <c r="AB131" i="26"/>
  <c r="AA147" i="26"/>
  <c r="AB147" i="26"/>
  <c r="AA163" i="26"/>
  <c r="AB163" i="26"/>
  <c r="AA179" i="26"/>
  <c r="AB179" i="26"/>
  <c r="AA195" i="26"/>
  <c r="AB195" i="26"/>
  <c r="AA211" i="26"/>
  <c r="AB211" i="26"/>
  <c r="AA227" i="26"/>
  <c r="AB227" i="26"/>
  <c r="AA243" i="26"/>
  <c r="AB243" i="26"/>
  <c r="AA259" i="26"/>
  <c r="AB259" i="26"/>
  <c r="AA275" i="26"/>
  <c r="AB275" i="26"/>
  <c r="AA291" i="26"/>
  <c r="AB291" i="26"/>
  <c r="AA307" i="26"/>
  <c r="AB307" i="26"/>
  <c r="AA323" i="26"/>
  <c r="AB323" i="26"/>
  <c r="AA339" i="26"/>
  <c r="AB339" i="26"/>
  <c r="AA355" i="26"/>
  <c r="AB355" i="26"/>
  <c r="AA371" i="26"/>
  <c r="AB371" i="26"/>
  <c r="AA387" i="26"/>
  <c r="AB387" i="26"/>
  <c r="AA403" i="26"/>
  <c r="AB403" i="26"/>
  <c r="AA419" i="26"/>
  <c r="AB419" i="26"/>
  <c r="AA435" i="26"/>
  <c r="AB435" i="26"/>
  <c r="AA451" i="26"/>
  <c r="AB451" i="26"/>
  <c r="AA467" i="26"/>
  <c r="AB467" i="26"/>
  <c r="AA483" i="26"/>
  <c r="AB483" i="26"/>
  <c r="AA499" i="26"/>
  <c r="AB499" i="26"/>
  <c r="AA515" i="26"/>
  <c r="AB515" i="26"/>
  <c r="AA531" i="26"/>
  <c r="AB531" i="26"/>
  <c r="AA547" i="26"/>
  <c r="AB547" i="26"/>
  <c r="AA563" i="26"/>
  <c r="AB563" i="26"/>
  <c r="AA579" i="26"/>
  <c r="AB579" i="26"/>
  <c r="AA595" i="26"/>
  <c r="AB595" i="26"/>
  <c r="AA611" i="26"/>
  <c r="AB611" i="26"/>
  <c r="AA627" i="26"/>
  <c r="AB627" i="26"/>
  <c r="AA643" i="26"/>
  <c r="AB643" i="26"/>
  <c r="AA659" i="26"/>
  <c r="AB659" i="26"/>
  <c r="AA675" i="26"/>
  <c r="AB675" i="26"/>
  <c r="AA691" i="26"/>
  <c r="AB691" i="26"/>
  <c r="AA707" i="26"/>
  <c r="AB707" i="26"/>
  <c r="AA723" i="26"/>
  <c r="AB723" i="26"/>
  <c r="AA739" i="26"/>
  <c r="AB739" i="26"/>
  <c r="AA755" i="26"/>
  <c r="AB755" i="26"/>
  <c r="AA771" i="26"/>
  <c r="AB771" i="26"/>
  <c r="AA787" i="26"/>
  <c r="AB787" i="26"/>
  <c r="AA803" i="26"/>
  <c r="AB803" i="26"/>
  <c r="AA819" i="26"/>
  <c r="AB819" i="26"/>
  <c r="AA835" i="26"/>
  <c r="AB835" i="26"/>
  <c r="AA851" i="26"/>
  <c r="AB851" i="26"/>
  <c r="AA867" i="26"/>
  <c r="AB867" i="26"/>
  <c r="AA883" i="26"/>
  <c r="AB883" i="26"/>
  <c r="AA899" i="26"/>
  <c r="AB899" i="26"/>
  <c r="AA915" i="26"/>
  <c r="AB915" i="26"/>
  <c r="AA931" i="26"/>
  <c r="AB931" i="26"/>
  <c r="AA947" i="26"/>
  <c r="AB947" i="26"/>
  <c r="AA963" i="26"/>
  <c r="AB963" i="26"/>
  <c r="AA979" i="26"/>
  <c r="AB979" i="26"/>
  <c r="AA995" i="26"/>
  <c r="AB995" i="26"/>
  <c r="AA1011" i="26"/>
  <c r="AB1011" i="26"/>
  <c r="AA1027" i="26"/>
  <c r="AB1027" i="26"/>
  <c r="AA1043" i="26"/>
  <c r="AB1043" i="26"/>
  <c r="AA1059" i="26"/>
  <c r="AB1059" i="26"/>
  <c r="AA1075" i="26"/>
  <c r="AB1075" i="26"/>
  <c r="AA1091" i="26"/>
  <c r="AB1091" i="26"/>
  <c r="AA1107" i="26"/>
  <c r="AB1107" i="26"/>
  <c r="AA1123" i="26"/>
  <c r="AB1123" i="26"/>
  <c r="AA1139" i="26"/>
  <c r="AB1139" i="26"/>
  <c r="AA1155" i="26"/>
  <c r="AB1155" i="26"/>
  <c r="AA1171" i="26"/>
  <c r="AB1171" i="26"/>
  <c r="AA1187" i="26"/>
  <c r="AB1187" i="26"/>
  <c r="AA1203" i="26"/>
  <c r="AB1203" i="26"/>
  <c r="AA1219" i="26"/>
  <c r="AB1219" i="26"/>
  <c r="AA1235" i="26"/>
  <c r="AB1235" i="26"/>
  <c r="AA1251" i="26"/>
  <c r="AB1251" i="26"/>
  <c r="AA1267" i="26"/>
  <c r="AB1267" i="26"/>
  <c r="AA1283" i="26"/>
  <c r="AB1283" i="26"/>
  <c r="AA1299" i="26"/>
  <c r="AB1299" i="26"/>
  <c r="AA1315" i="26"/>
  <c r="AB1315" i="26"/>
  <c r="AA1331" i="26"/>
  <c r="AB1331" i="26"/>
  <c r="AA1347" i="26"/>
  <c r="AB1347" i="26"/>
  <c r="AA1363" i="26"/>
  <c r="AB1363" i="26"/>
  <c r="AA1379" i="26"/>
  <c r="AB1379" i="26"/>
  <c r="AA1394" i="26"/>
  <c r="AB1394" i="26"/>
  <c r="AA1408" i="26"/>
  <c r="AB1408" i="26"/>
  <c r="AA1419" i="26"/>
  <c r="AB1419" i="26"/>
  <c r="AA1433" i="26"/>
  <c r="AB1433" i="26"/>
  <c r="AA1444" i="26"/>
  <c r="AB1444" i="26"/>
  <c r="AA1458" i="26"/>
  <c r="AB1458" i="26"/>
  <c r="AA1472" i="26"/>
  <c r="AB1472" i="26"/>
  <c r="AA1483" i="26"/>
  <c r="AB1483" i="26"/>
  <c r="AA1497" i="26"/>
  <c r="AB1497" i="26"/>
  <c r="AA1508" i="26"/>
  <c r="AB1508" i="26"/>
  <c r="AA1522" i="26"/>
  <c r="AB1522" i="26"/>
  <c r="AA1536" i="26"/>
  <c r="AB1536" i="26"/>
  <c r="AA1547" i="26"/>
  <c r="AB1547" i="26"/>
  <c r="AA1561" i="26"/>
  <c r="AB1561" i="26"/>
  <c r="AA1572" i="26"/>
  <c r="AB1572" i="26"/>
  <c r="AA1586" i="26"/>
  <c r="AB1586" i="26"/>
  <c r="AA1600" i="26"/>
  <c r="AB1600" i="26"/>
  <c r="AA1611" i="26"/>
  <c r="AB1611" i="26"/>
  <c r="AA1625" i="26"/>
  <c r="AB1625" i="26"/>
  <c r="AA1636" i="26"/>
  <c r="AB1636" i="26"/>
  <c r="AA1650" i="26"/>
  <c r="AB1650" i="26"/>
  <c r="AA1664" i="26"/>
  <c r="AB1664" i="26"/>
  <c r="AA1675" i="26"/>
  <c r="AB1675" i="26"/>
  <c r="AA1689" i="26"/>
  <c r="AB1689" i="26"/>
  <c r="AA1700" i="26"/>
  <c r="AB1700" i="26"/>
  <c r="AA1714" i="26"/>
  <c r="AB1714" i="26"/>
  <c r="AA1728" i="26"/>
  <c r="AB1728" i="26"/>
  <c r="AA1739" i="26"/>
  <c r="AB1739" i="26"/>
  <c r="AA1753" i="26"/>
  <c r="AB1753" i="26"/>
  <c r="AA1764" i="26"/>
  <c r="AB1764" i="26"/>
  <c r="AA1778" i="26"/>
  <c r="AB1778" i="26"/>
  <c r="AA1792" i="26"/>
  <c r="AB1792" i="26"/>
  <c r="AA1803" i="26"/>
  <c r="AB1803" i="26"/>
  <c r="AA1817" i="26"/>
  <c r="AB1817" i="26"/>
  <c r="AA1828" i="26"/>
  <c r="AB1828" i="26"/>
  <c r="AA1842" i="26"/>
  <c r="AB1842" i="26"/>
  <c r="AA1856" i="26"/>
  <c r="AB1856" i="26"/>
  <c r="AA1867" i="26"/>
  <c r="AB1867" i="26"/>
  <c r="AA1881" i="26"/>
  <c r="AB1881" i="26"/>
  <c r="AA1892" i="26"/>
  <c r="AB1892" i="26"/>
  <c r="AA1906" i="26"/>
  <c r="AB1906" i="26"/>
  <c r="AA1920" i="26"/>
  <c r="AB1920" i="26"/>
  <c r="AA1931" i="26"/>
  <c r="AB1931" i="26"/>
  <c r="AA1945" i="26"/>
  <c r="AB1945" i="26"/>
  <c r="AA1956" i="26"/>
  <c r="AB1956" i="26"/>
  <c r="AA1970" i="26"/>
  <c r="AB1970" i="26"/>
  <c r="AA1984" i="26"/>
  <c r="AB1984" i="26"/>
  <c r="AA1995" i="26"/>
  <c r="AB1995" i="26"/>
  <c r="AA2009" i="26"/>
  <c r="AB2009" i="26"/>
  <c r="AA2020" i="26"/>
  <c r="AB2020" i="26"/>
  <c r="AA2034" i="26"/>
  <c r="AB2034" i="26"/>
  <c r="AA2084" i="26"/>
  <c r="AB2084" i="26"/>
  <c r="AA2098" i="26"/>
  <c r="AB2098" i="26"/>
  <c r="AA2112" i="26"/>
  <c r="AB2112" i="26"/>
  <c r="AA2123" i="26"/>
  <c r="AB2123" i="26"/>
  <c r="AA2137" i="26"/>
  <c r="AB2137" i="26"/>
  <c r="AA2148" i="26"/>
  <c r="AB2148" i="26"/>
  <c r="AA2162" i="26"/>
  <c r="AB2162" i="26"/>
  <c r="AA2176" i="26"/>
  <c r="AB2176" i="26"/>
  <c r="AA2187" i="26"/>
  <c r="AB2187" i="26"/>
  <c r="AA2201" i="26"/>
  <c r="AB2201" i="26"/>
  <c r="AA2212" i="26"/>
  <c r="AB2212" i="26"/>
  <c r="AA20" i="26"/>
  <c r="AB20" i="26"/>
  <c r="AA36" i="26"/>
  <c r="AB36" i="26"/>
  <c r="AA52" i="26"/>
  <c r="AB52" i="26"/>
  <c r="AA68" i="26"/>
  <c r="AB68" i="26"/>
  <c r="AA84" i="26"/>
  <c r="AB84" i="26"/>
  <c r="AA100" i="26"/>
  <c r="AB100" i="26"/>
  <c r="AA116" i="26"/>
  <c r="AB116" i="26"/>
  <c r="AA132" i="26"/>
  <c r="AB132" i="26"/>
  <c r="AA148" i="26"/>
  <c r="AB148" i="26"/>
  <c r="AA164" i="26"/>
  <c r="AB164" i="26"/>
  <c r="AA180" i="26"/>
  <c r="AB180" i="26"/>
  <c r="AA196" i="26"/>
  <c r="AB196" i="26"/>
  <c r="AA212" i="26"/>
  <c r="AB212" i="26"/>
  <c r="AA228" i="26"/>
  <c r="AB228" i="26"/>
  <c r="AA244" i="26"/>
  <c r="AB244" i="26"/>
  <c r="AA260" i="26"/>
  <c r="AB260" i="26"/>
  <c r="AA276" i="26"/>
  <c r="AB276" i="26"/>
  <c r="AA292" i="26"/>
  <c r="AB292" i="26"/>
  <c r="AA308" i="26"/>
  <c r="AB308" i="26"/>
  <c r="AA324" i="26"/>
  <c r="AB324" i="26"/>
  <c r="AA340" i="26"/>
  <c r="AB340" i="26"/>
  <c r="AA356" i="26"/>
  <c r="AB356" i="26"/>
  <c r="AA372" i="26"/>
  <c r="AB372" i="26"/>
  <c r="AA388" i="26"/>
  <c r="AB388" i="26"/>
  <c r="AA404" i="26"/>
  <c r="AB404" i="26"/>
  <c r="AA420" i="26"/>
  <c r="AB420" i="26"/>
  <c r="AA436" i="26"/>
  <c r="AB436" i="26"/>
  <c r="AA452" i="26"/>
  <c r="AB452" i="26"/>
  <c r="AA468" i="26"/>
  <c r="AB468" i="26"/>
  <c r="AA484" i="26"/>
  <c r="AB484" i="26"/>
  <c r="AA500" i="26"/>
  <c r="AB500" i="26"/>
  <c r="AA516" i="26"/>
  <c r="AB516" i="26"/>
  <c r="AA532" i="26"/>
  <c r="AB532" i="26"/>
  <c r="AA548" i="26"/>
  <c r="AB548" i="26"/>
  <c r="AA564" i="26"/>
  <c r="AB564" i="26"/>
  <c r="AA580" i="26"/>
  <c r="AB580" i="26"/>
  <c r="AA596" i="26"/>
  <c r="AB596" i="26"/>
  <c r="AA612" i="26"/>
  <c r="AB612" i="26"/>
  <c r="AA628" i="26"/>
  <c r="AB628" i="26"/>
  <c r="AA644" i="26"/>
  <c r="AB644" i="26"/>
  <c r="AA660" i="26"/>
  <c r="AB660" i="26"/>
  <c r="AA676" i="26"/>
  <c r="AB676" i="26"/>
  <c r="AA692" i="26"/>
  <c r="AB692" i="26"/>
  <c r="AA708" i="26"/>
  <c r="AB708" i="26"/>
  <c r="AA724" i="26"/>
  <c r="AB724" i="26"/>
  <c r="AA740" i="26"/>
  <c r="AB740" i="26"/>
  <c r="AA756" i="26"/>
  <c r="AB756" i="26"/>
  <c r="AA772" i="26"/>
  <c r="AB772" i="26"/>
  <c r="AA788" i="26"/>
  <c r="AB788" i="26"/>
  <c r="AA804" i="26"/>
  <c r="AB804" i="26"/>
  <c r="AA820" i="26"/>
  <c r="AB820" i="26"/>
  <c r="AA836" i="26"/>
  <c r="AB836" i="26"/>
  <c r="AA852" i="26"/>
  <c r="AB852" i="26"/>
  <c r="AA868" i="26"/>
  <c r="AB868" i="26"/>
  <c r="AA884" i="26"/>
  <c r="AB884" i="26"/>
  <c r="AA900" i="26"/>
  <c r="AB900" i="26"/>
  <c r="AA916" i="26"/>
  <c r="AB916" i="26"/>
  <c r="AA932" i="26"/>
  <c r="AB932" i="26"/>
  <c r="AA948" i="26"/>
  <c r="AB948" i="26"/>
  <c r="AA964" i="26"/>
  <c r="AB964" i="26"/>
  <c r="AA980" i="26"/>
  <c r="AB980" i="26"/>
  <c r="AA996" i="26"/>
  <c r="AB996" i="26"/>
  <c r="AA1012" i="26"/>
  <c r="AB1012" i="26"/>
  <c r="AA1028" i="26"/>
  <c r="AB1028" i="26"/>
  <c r="AA1044" i="26"/>
  <c r="AB1044" i="26"/>
  <c r="AA1060" i="26"/>
  <c r="AB1060" i="26"/>
  <c r="AA1076" i="26"/>
  <c r="AB1076" i="26"/>
  <c r="AA1092" i="26"/>
  <c r="AB1092" i="26"/>
  <c r="AA1108" i="26"/>
  <c r="AB1108" i="26"/>
  <c r="AA1124" i="26"/>
  <c r="AB1124" i="26"/>
  <c r="AA1140" i="26"/>
  <c r="AB1140" i="26"/>
  <c r="AA1156" i="26"/>
  <c r="AB1156" i="26"/>
  <c r="AA1172" i="26"/>
  <c r="AB1172" i="26"/>
  <c r="AA1188" i="26"/>
  <c r="AB1188" i="26"/>
  <c r="AA1204" i="26"/>
  <c r="AB1204" i="26"/>
  <c r="AA1220" i="26"/>
  <c r="AB1220" i="26"/>
  <c r="AA1236" i="26"/>
  <c r="AB1236" i="26"/>
  <c r="AA1252" i="26"/>
  <c r="AB1252" i="26"/>
  <c r="AA1268" i="26"/>
  <c r="AB1268" i="26"/>
  <c r="AA1284" i="26"/>
  <c r="AB1284" i="26"/>
  <c r="AA1300" i="26"/>
  <c r="AB1300" i="26"/>
  <c r="AA1316" i="26"/>
  <c r="AB1316" i="26"/>
  <c r="AA1332" i="26"/>
  <c r="AB1332" i="26"/>
  <c r="AA1348" i="26"/>
  <c r="AB1348" i="26"/>
  <c r="AA1364" i="26"/>
  <c r="AB1364" i="26"/>
  <c r="AA73" i="26"/>
  <c r="AB73" i="26"/>
  <c r="AA137" i="26"/>
  <c r="AB137" i="26"/>
  <c r="AA201" i="26"/>
  <c r="AB201" i="26"/>
  <c r="AA265" i="26"/>
  <c r="AB265" i="26"/>
  <c r="AA329" i="26"/>
  <c r="AB329" i="26"/>
  <c r="AA393" i="26"/>
  <c r="AB393" i="26"/>
  <c r="AA457" i="26"/>
  <c r="AB457" i="26"/>
  <c r="AA521" i="26"/>
  <c r="AB521" i="26"/>
  <c r="AA585" i="26"/>
  <c r="AB585" i="26"/>
  <c r="AA649" i="26"/>
  <c r="AB649" i="26"/>
  <c r="AA713" i="26"/>
  <c r="AB713" i="26"/>
  <c r="AA777" i="26"/>
  <c r="AB777" i="26"/>
  <c r="AA841" i="26"/>
  <c r="AB841" i="26"/>
  <c r="AA905" i="26"/>
  <c r="AB905" i="26"/>
  <c r="AA969" i="26"/>
  <c r="AB969" i="26"/>
  <c r="AA1033" i="26"/>
  <c r="AB1033" i="26"/>
  <c r="AA1097" i="26"/>
  <c r="AB1097" i="26"/>
  <c r="AA1161" i="26"/>
  <c r="AB1161" i="26"/>
  <c r="AA1225" i="26"/>
  <c r="AB1225" i="26"/>
  <c r="AA1289" i="26"/>
  <c r="AB1289" i="26"/>
  <c r="AA1353" i="26"/>
  <c r="AB1353" i="26"/>
  <c r="AA1396" i="26"/>
  <c r="AB1396" i="26"/>
  <c r="AA1434" i="26"/>
  <c r="AB1434" i="26"/>
  <c r="AA1464" i="26"/>
  <c r="AB1464" i="26"/>
  <c r="AA1499" i="26"/>
  <c r="AB1499" i="26"/>
  <c r="AA1537" i="26"/>
  <c r="AB1537" i="26"/>
  <c r="AA1564" i="26"/>
  <c r="AB1564" i="26"/>
  <c r="AA1602" i="26"/>
  <c r="AB1602" i="26"/>
  <c r="AA1640" i="26"/>
  <c r="AB1640" i="26"/>
  <c r="AA1667" i="26"/>
  <c r="AB1667" i="26"/>
  <c r="AA1705" i="26"/>
  <c r="AB1705" i="26"/>
  <c r="AA1740" i="26"/>
  <c r="AB1740" i="26"/>
  <c r="AA1770" i="26"/>
  <c r="AB1770" i="26"/>
  <c r="AA1808" i="26"/>
  <c r="AB1808" i="26"/>
  <c r="AA1843" i="26"/>
  <c r="AB1843" i="26"/>
  <c r="AA1873" i="26"/>
  <c r="AB1873" i="26"/>
  <c r="AA1908" i="26"/>
  <c r="AB1908" i="26"/>
  <c r="AA1946" i="26"/>
  <c r="AB1946" i="26"/>
  <c r="AA1976" i="26"/>
  <c r="AB1976" i="26"/>
  <c r="AA2011" i="26"/>
  <c r="AB2011" i="26"/>
  <c r="AA2048" i="26"/>
  <c r="AB2048" i="26"/>
  <c r="AA2073" i="26"/>
  <c r="AB2073" i="26"/>
  <c r="AA2100" i="26"/>
  <c r="AB2100" i="26"/>
  <c r="AA2138" i="26"/>
  <c r="AB2138" i="26"/>
  <c r="AA2168" i="26"/>
  <c r="AB2168" i="26"/>
  <c r="AA2203" i="26"/>
  <c r="AB2203" i="26"/>
  <c r="AA2232" i="26"/>
  <c r="AB2232" i="26"/>
  <c r="AA2257" i="26"/>
  <c r="AB2257" i="26"/>
  <c r="AA2282" i="26"/>
  <c r="AB2282" i="26"/>
  <c r="AA2307" i="26"/>
  <c r="AB2307" i="26"/>
  <c r="AA2332" i="26"/>
  <c r="AB2332" i="26"/>
  <c r="AA2360" i="26"/>
  <c r="AB2360" i="26"/>
  <c r="AA2385" i="26"/>
  <c r="AB2385" i="26"/>
  <c r="AA2410" i="26"/>
  <c r="AB2410" i="26"/>
  <c r="AA2435" i="26"/>
  <c r="AB2435" i="26"/>
  <c r="AA2460" i="26"/>
  <c r="AB2460" i="26"/>
  <c r="AA2488" i="26"/>
  <c r="AB2488" i="26"/>
  <c r="AA2513" i="26"/>
  <c r="AB2513" i="26"/>
  <c r="AA2538" i="26"/>
  <c r="AB2538" i="26"/>
  <c r="AA2563" i="26"/>
  <c r="AB2563" i="26"/>
  <c r="AA2588" i="26"/>
  <c r="AB2588" i="26"/>
  <c r="AA2616" i="26"/>
  <c r="AB2616" i="26"/>
  <c r="AA2641" i="26"/>
  <c r="AB2641" i="26"/>
  <c r="AA2666" i="26"/>
  <c r="AB2666" i="26"/>
  <c r="AA2691" i="26"/>
  <c r="AB2691" i="26"/>
  <c r="AA2715" i="26"/>
  <c r="AB2715" i="26"/>
  <c r="AA2740" i="26"/>
  <c r="AB2740" i="26"/>
  <c r="AA2768" i="26"/>
  <c r="AB2768" i="26"/>
  <c r="AA2793" i="26"/>
  <c r="AB2793" i="26"/>
  <c r="AA2818" i="26"/>
  <c r="AB2818" i="26"/>
  <c r="AA2843" i="26"/>
  <c r="AB2843" i="26"/>
  <c r="AA2868" i="26"/>
  <c r="AB2868" i="26"/>
  <c r="AA2896" i="26"/>
  <c r="AB2896" i="26"/>
  <c r="AA2921" i="26"/>
  <c r="AB2921" i="26"/>
  <c r="AA2946" i="26"/>
  <c r="AB2946" i="26"/>
  <c r="AA2971" i="26"/>
  <c r="AB2971" i="26"/>
  <c r="AA2996" i="26"/>
  <c r="AB2996" i="26"/>
  <c r="AA3024" i="26"/>
  <c r="AB3024" i="26"/>
  <c r="AA3049" i="26"/>
  <c r="AB3049" i="26"/>
  <c r="AA3074" i="26"/>
  <c r="AB3074" i="26"/>
  <c r="AA3099" i="26"/>
  <c r="AB3099" i="26"/>
  <c r="AA3124" i="26"/>
  <c r="AB3124" i="26"/>
  <c r="AA3152" i="26"/>
  <c r="AB3152" i="26"/>
  <c r="AA3177" i="26"/>
  <c r="AB3177" i="26"/>
  <c r="AA3202" i="26"/>
  <c r="AB3202" i="26"/>
  <c r="AA3227" i="26"/>
  <c r="AB3227" i="26"/>
  <c r="AA3252" i="26"/>
  <c r="AB3252" i="26"/>
  <c r="AA3280" i="26"/>
  <c r="AB3280" i="26"/>
  <c r="AA3305" i="26"/>
  <c r="AB3305" i="26"/>
  <c r="AA3330" i="26"/>
  <c r="AB3330" i="26"/>
  <c r="AA3355" i="26"/>
  <c r="AB3355" i="26"/>
  <c r="AA3380" i="26"/>
  <c r="AB3380" i="26"/>
  <c r="AA3408" i="26"/>
  <c r="AB3408" i="26"/>
  <c r="AA3433" i="26"/>
  <c r="AB3433" i="26"/>
  <c r="AA3458" i="26"/>
  <c r="AB3458" i="26"/>
  <c r="AA3483" i="26"/>
  <c r="AB3483" i="26"/>
  <c r="AA3508" i="26"/>
  <c r="AB3508" i="26"/>
  <c r="AA3536" i="26"/>
  <c r="AB3536" i="26"/>
  <c r="AA3537" i="26"/>
  <c r="AB3537" i="26"/>
  <c r="AA1921" i="26"/>
  <c r="AB1921" i="26"/>
  <c r="AA26" i="26"/>
  <c r="AB26" i="26"/>
  <c r="AA282" i="26"/>
  <c r="AB282" i="26"/>
  <c r="AA538" i="26"/>
  <c r="AB538" i="26"/>
  <c r="AA666" i="26"/>
  <c r="AB666" i="26"/>
  <c r="AA730" i="26"/>
  <c r="AB730" i="26"/>
  <c r="AA794" i="26"/>
  <c r="AB794" i="26"/>
  <c r="AA858" i="26"/>
  <c r="AB858" i="26"/>
  <c r="AA922" i="26"/>
  <c r="AB922" i="26"/>
  <c r="AA1050" i="26"/>
  <c r="AB1050" i="26"/>
  <c r="AA1114" i="26"/>
  <c r="AB1114" i="26"/>
  <c r="AA1242" i="26"/>
  <c r="AB1242" i="26"/>
  <c r="AA1306" i="26"/>
  <c r="AB1306" i="26"/>
  <c r="AA1370" i="26"/>
  <c r="AB1370" i="26"/>
  <c r="AA1410" i="26"/>
  <c r="AB1410" i="26"/>
  <c r="AA1448" i="26"/>
  <c r="AB1448" i="26"/>
  <c r="AA1475" i="26"/>
  <c r="AB1475" i="26"/>
  <c r="AA1513" i="26"/>
  <c r="AB1513" i="26"/>
  <c r="AA1578" i="26"/>
  <c r="AB1578" i="26"/>
  <c r="AA1616" i="26"/>
  <c r="AB1616" i="26"/>
  <c r="AA1651" i="26"/>
  <c r="AB1651" i="26"/>
  <c r="AA1681" i="26"/>
  <c r="AB1681" i="26"/>
  <c r="AA1716" i="26"/>
  <c r="AB1716" i="26"/>
  <c r="AA1754" i="26"/>
  <c r="AB1754" i="26"/>
  <c r="AA1784" i="26"/>
  <c r="AB1784" i="26"/>
  <c r="AA1819" i="26"/>
  <c r="AB1819" i="26"/>
  <c r="AA1857" i="26"/>
  <c r="AB1857" i="26"/>
  <c r="AA1884" i="26"/>
  <c r="AB1884" i="26"/>
  <c r="AA1922" i="26"/>
  <c r="AB1922" i="26"/>
  <c r="AA1960" i="26"/>
  <c r="AB1960" i="26"/>
  <c r="AA1987" i="26"/>
  <c r="AB1987" i="26"/>
  <c r="AA2025" i="26"/>
  <c r="AB2025" i="26"/>
  <c r="AA2051" i="26"/>
  <c r="AB2051" i="26"/>
  <c r="AA2076" i="26"/>
  <c r="AB2076" i="26"/>
  <c r="AA2114" i="26"/>
  <c r="AB2114" i="26"/>
  <c r="AA2152" i="26"/>
  <c r="AB2152" i="26"/>
  <c r="AA2179" i="26"/>
  <c r="AB2179" i="26"/>
  <c r="AA2217" i="26"/>
  <c r="AB2217" i="26"/>
  <c r="AA2242" i="26"/>
  <c r="AB2242" i="26"/>
  <c r="AA2267" i="26"/>
  <c r="AB2267" i="26"/>
  <c r="AA2292" i="26"/>
  <c r="AB2292" i="26"/>
  <c r="AA2320" i="26"/>
  <c r="AB2320" i="26"/>
  <c r="AA2345" i="26"/>
  <c r="AB2345" i="26"/>
  <c r="AA2370" i="26"/>
  <c r="AB2370" i="26"/>
  <c r="AA2395" i="26"/>
  <c r="AB2395" i="26"/>
  <c r="AA2420" i="26"/>
  <c r="AB2420" i="26"/>
  <c r="AA2448" i="26"/>
  <c r="AB2448" i="26"/>
  <c r="AA2473" i="26"/>
  <c r="AB2473" i="26"/>
  <c r="AA2498" i="26"/>
  <c r="AB2498" i="26"/>
  <c r="AA2523" i="26"/>
  <c r="AB2523" i="26"/>
  <c r="AA2548" i="26"/>
  <c r="AB2548" i="26"/>
  <c r="AA2576" i="26"/>
  <c r="AB2576" i="26"/>
  <c r="AA2601" i="26"/>
  <c r="AB2601" i="26"/>
  <c r="AA2626" i="26"/>
  <c r="AB2626" i="26"/>
  <c r="AA2651" i="26"/>
  <c r="AB2651" i="26"/>
  <c r="AA2676" i="26"/>
  <c r="AB2676" i="26"/>
  <c r="AA2700" i="26"/>
  <c r="AB2700" i="26"/>
  <c r="AA2728" i="26"/>
  <c r="AB2728" i="26"/>
  <c r="AA2753" i="26"/>
  <c r="AB2753" i="26"/>
  <c r="AA2803" i="26"/>
  <c r="AB2803" i="26"/>
  <c r="AA2828" i="26"/>
  <c r="AB2828" i="26"/>
  <c r="AA2856" i="26"/>
  <c r="AB2856" i="26"/>
  <c r="AA2881" i="26"/>
  <c r="AB2881" i="26"/>
  <c r="AA2906" i="26"/>
  <c r="AB2906" i="26"/>
  <c r="AA2931" i="26"/>
  <c r="AB2931" i="26"/>
  <c r="AA2956" i="26"/>
  <c r="AB2956" i="26"/>
  <c r="AA2984" i="26"/>
  <c r="AB2984" i="26"/>
  <c r="AA3009" i="26"/>
  <c r="AB3009" i="26"/>
  <c r="AA3034" i="26"/>
  <c r="AB3034" i="26"/>
  <c r="AA3059" i="26"/>
  <c r="AB3059" i="26"/>
  <c r="AA3084" i="26"/>
  <c r="AB3084" i="26"/>
  <c r="AA3112" i="26"/>
  <c r="AB3112" i="26"/>
  <c r="AA3137" i="26"/>
  <c r="AB3137" i="26"/>
  <c r="AA3162" i="26"/>
  <c r="AB3162" i="26"/>
  <c r="AA3187" i="26"/>
  <c r="AB3187" i="26"/>
  <c r="AA3212" i="26"/>
  <c r="AB3212" i="26"/>
  <c r="AA3240" i="26"/>
  <c r="AB3240" i="26"/>
  <c r="AA3265" i="26"/>
  <c r="AB3265" i="26"/>
  <c r="AA3290" i="26"/>
  <c r="AB3290" i="26"/>
  <c r="AA3315" i="26"/>
  <c r="AB3315" i="26"/>
  <c r="AA3340" i="26"/>
  <c r="AB3340" i="26"/>
  <c r="AA3393" i="26"/>
  <c r="AB3393" i="26"/>
  <c r="AA3418" i="26"/>
  <c r="AB3418" i="26"/>
  <c r="AA3443" i="26"/>
  <c r="AB3443" i="26"/>
  <c r="AA3468" i="26"/>
  <c r="AB3468" i="26"/>
  <c r="AA3496" i="26"/>
  <c r="AB3496" i="26"/>
  <c r="AA3521" i="26"/>
  <c r="AB3521" i="26"/>
  <c r="AA1380" i="26"/>
  <c r="AB1380" i="26"/>
  <c r="AA1720" i="26"/>
  <c r="AB1720" i="26"/>
  <c r="AA1793" i="26"/>
  <c r="AB1793" i="26"/>
  <c r="AA1858" i="26"/>
  <c r="AB1858" i="26"/>
  <c r="AA1961" i="26"/>
  <c r="AB1961" i="26"/>
  <c r="AA2026" i="26"/>
  <c r="AB2026" i="26"/>
  <c r="AA2088" i="26"/>
  <c r="AB2088" i="26"/>
  <c r="AA2115" i="26"/>
  <c r="AB2115" i="26"/>
  <c r="AA2153" i="26"/>
  <c r="AB2153" i="26"/>
  <c r="AA2188" i="26"/>
  <c r="AB2188" i="26"/>
  <c r="AA2218" i="26"/>
  <c r="AB2218" i="26"/>
  <c r="AA2243" i="26"/>
  <c r="AB2243" i="26"/>
  <c r="AA2268" i="26"/>
  <c r="AB2268" i="26"/>
  <c r="AA2296" i="26"/>
  <c r="AB2296" i="26"/>
  <c r="AA2321" i="26"/>
  <c r="AB2321" i="26"/>
  <c r="AA2346" i="26"/>
  <c r="AB2346" i="26"/>
  <c r="AA2371" i="26"/>
  <c r="AB2371" i="26"/>
  <c r="AA2396" i="26"/>
  <c r="AB2396" i="26"/>
  <c r="AA2424" i="26"/>
  <c r="AB2424" i="26"/>
  <c r="AA2449" i="26"/>
  <c r="AB2449" i="26"/>
  <c r="AA2474" i="26"/>
  <c r="AB2474" i="26"/>
  <c r="AA2499" i="26"/>
  <c r="AB2499" i="26"/>
  <c r="AA2524" i="26"/>
  <c r="AB2524" i="26"/>
  <c r="AA2552" i="26"/>
  <c r="AB2552" i="26"/>
  <c r="AA2577" i="26"/>
  <c r="AB2577" i="26"/>
  <c r="AA2602" i="26"/>
  <c r="AB2602" i="26"/>
  <c r="AA2627" i="26"/>
  <c r="AB2627" i="26"/>
  <c r="AA2652" i="26"/>
  <c r="AB2652" i="26"/>
  <c r="AA2680" i="26"/>
  <c r="AB2680" i="26"/>
  <c r="AA2729" i="26"/>
  <c r="AB2729" i="26"/>
  <c r="AA2754" i="26"/>
  <c r="AB2754" i="26"/>
  <c r="AA2779" i="26"/>
  <c r="AB2779" i="26"/>
  <c r="AA2804" i="26"/>
  <c r="AB2804" i="26"/>
  <c r="AA2857" i="26"/>
  <c r="AB2857" i="26"/>
  <c r="AA2907" i="26"/>
  <c r="AB2907" i="26"/>
  <c r="AA2932" i="26"/>
  <c r="AB2932" i="26"/>
  <c r="AA2960" i="26"/>
  <c r="AB2960" i="26"/>
  <c r="AA2985" i="26"/>
  <c r="AB2985" i="26"/>
  <c r="AA3010" i="26"/>
  <c r="AB3010" i="26"/>
  <c r="AA3035" i="26"/>
  <c r="AB3035" i="26"/>
  <c r="AA3060" i="26"/>
  <c r="AB3060" i="26"/>
  <c r="AA3088" i="26"/>
  <c r="AB3088" i="26"/>
  <c r="AA3113" i="26"/>
  <c r="AB3113" i="26"/>
  <c r="AA3163" i="26"/>
  <c r="AB3163" i="26"/>
  <c r="AA3216" i="26"/>
  <c r="AB3216" i="26"/>
  <c r="AA3241" i="26"/>
  <c r="AB3241" i="26"/>
  <c r="AA3266" i="26"/>
  <c r="AB3266" i="26"/>
  <c r="AA3291" i="26"/>
  <c r="AB3291" i="26"/>
  <c r="AA3316" i="26"/>
  <c r="AB3316" i="26"/>
  <c r="AA3369" i="26"/>
  <c r="AB3369" i="26"/>
  <c r="AA3419" i="26"/>
  <c r="AB3419" i="26"/>
  <c r="AA3444" i="26"/>
  <c r="AB3444" i="26"/>
  <c r="AA3472" i="26"/>
  <c r="AB3472" i="26"/>
  <c r="AA3522" i="26"/>
  <c r="AB3522" i="26"/>
  <c r="AA1450" i="26"/>
  <c r="AB1450" i="26"/>
  <c r="AA3420" i="26"/>
  <c r="AB3420" i="26"/>
  <c r="AA74" i="26"/>
  <c r="AB74" i="26"/>
  <c r="AA138" i="26"/>
  <c r="AB138" i="26"/>
  <c r="AA202" i="26"/>
  <c r="AB202" i="26"/>
  <c r="AA266" i="26"/>
  <c r="AB266" i="26"/>
  <c r="AA330" i="26"/>
  <c r="AB330" i="26"/>
  <c r="AA394" i="26"/>
  <c r="AB394" i="26"/>
  <c r="AA458" i="26"/>
  <c r="AB458" i="26"/>
  <c r="AA522" i="26"/>
  <c r="AB522" i="26"/>
  <c r="AA586" i="26"/>
  <c r="AB586" i="26"/>
  <c r="AA650" i="26"/>
  <c r="AB650" i="26"/>
  <c r="AA714" i="26"/>
  <c r="AB714" i="26"/>
  <c r="AA778" i="26"/>
  <c r="AB778" i="26"/>
  <c r="AA842" i="26"/>
  <c r="AB842" i="26"/>
  <c r="AA906" i="26"/>
  <c r="AB906" i="26"/>
  <c r="AA970" i="26"/>
  <c r="AB970" i="26"/>
  <c r="AA1034" i="26"/>
  <c r="AB1034" i="26"/>
  <c r="AA1098" i="26"/>
  <c r="AB1098" i="26"/>
  <c r="AA1162" i="26"/>
  <c r="AB1162" i="26"/>
  <c r="AA1226" i="26"/>
  <c r="AB1226" i="26"/>
  <c r="AA1290" i="26"/>
  <c r="AB1290" i="26"/>
  <c r="AA1354" i="26"/>
  <c r="AB1354" i="26"/>
  <c r="AA1400" i="26"/>
  <c r="AB1400" i="26"/>
  <c r="AA1435" i="26"/>
  <c r="AB1435" i="26"/>
  <c r="AA1473" i="26"/>
  <c r="AB1473" i="26"/>
  <c r="AA1500" i="26"/>
  <c r="AB1500" i="26"/>
  <c r="AA1538" i="26"/>
  <c r="AB1538" i="26"/>
  <c r="AA1576" i="26"/>
  <c r="AB1576" i="26"/>
  <c r="AA1603" i="26"/>
  <c r="AB1603" i="26"/>
  <c r="AA1641" i="26"/>
  <c r="AB1641" i="26"/>
  <c r="AA1676" i="26"/>
  <c r="AB1676" i="26"/>
  <c r="AA1706" i="26"/>
  <c r="AB1706" i="26"/>
  <c r="AA1744" i="26"/>
  <c r="AB1744" i="26"/>
  <c r="AA1779" i="26"/>
  <c r="AB1779" i="26"/>
  <c r="AA1809" i="26"/>
  <c r="AB1809" i="26"/>
  <c r="AA1844" i="26"/>
  <c r="AB1844" i="26"/>
  <c r="AA1882" i="26"/>
  <c r="AB1882" i="26"/>
  <c r="AA1912" i="26"/>
  <c r="AB1912" i="26"/>
  <c r="AA1947" i="26"/>
  <c r="AB1947" i="26"/>
  <c r="AA1985" i="26"/>
  <c r="AB1985" i="26"/>
  <c r="AA2012" i="26"/>
  <c r="AB2012" i="26"/>
  <c r="AA2049" i="26"/>
  <c r="AB2049" i="26"/>
  <c r="AA2074" i="26"/>
  <c r="AB2074" i="26"/>
  <c r="AA2104" i="26"/>
  <c r="AB2104" i="26"/>
  <c r="AA2139" i="26"/>
  <c r="AB2139" i="26"/>
  <c r="AA2177" i="26"/>
  <c r="AB2177" i="26"/>
  <c r="AA2204" i="26"/>
  <c r="AB2204" i="26"/>
  <c r="AA2240" i="26"/>
  <c r="AB2240" i="26"/>
  <c r="AA2265" i="26"/>
  <c r="AB2265" i="26"/>
  <c r="AA2290" i="26"/>
  <c r="AB2290" i="26"/>
  <c r="AA2315" i="26"/>
  <c r="AB2315" i="26"/>
  <c r="AA2340" i="26"/>
  <c r="AB2340" i="26"/>
  <c r="AA2368" i="26"/>
  <c r="AB2368" i="26"/>
  <c r="AA2393" i="26"/>
  <c r="AB2393" i="26"/>
  <c r="AA2418" i="26"/>
  <c r="AB2418" i="26"/>
  <c r="AA2443" i="26"/>
  <c r="AB2443" i="26"/>
  <c r="AA2468" i="26"/>
  <c r="AB2468" i="26"/>
  <c r="AA2496" i="26"/>
  <c r="AB2496" i="26"/>
  <c r="AA2521" i="26"/>
  <c r="AB2521" i="26"/>
  <c r="AA2546" i="26"/>
  <c r="AB2546" i="26"/>
  <c r="AA2571" i="26"/>
  <c r="AB2571" i="26"/>
  <c r="AA2596" i="26"/>
  <c r="AB2596" i="26"/>
  <c r="AA2624" i="26"/>
  <c r="AB2624" i="26"/>
  <c r="AA2649" i="26"/>
  <c r="AB2649" i="26"/>
  <c r="AA2674" i="26"/>
  <c r="AB2674" i="26"/>
  <c r="AA2698" i="26"/>
  <c r="AB2698" i="26"/>
  <c r="AA2716" i="26"/>
  <c r="AB2716" i="26"/>
  <c r="AA2744" i="26"/>
  <c r="AB2744" i="26"/>
  <c r="AA2769" i="26"/>
  <c r="AB2769" i="26"/>
  <c r="AA2794" i="26"/>
  <c r="AB2794" i="26"/>
  <c r="AA2819" i="26"/>
  <c r="AB2819" i="26"/>
  <c r="AA2844" i="26"/>
  <c r="AB2844" i="26"/>
  <c r="AA2872" i="26"/>
  <c r="AB2872" i="26"/>
  <c r="AA2897" i="26"/>
  <c r="AB2897" i="26"/>
  <c r="AA2922" i="26"/>
  <c r="AB2922" i="26"/>
  <c r="AA2947" i="26"/>
  <c r="AB2947" i="26"/>
  <c r="AA2972" i="26"/>
  <c r="AB2972" i="26"/>
  <c r="AA3000" i="26"/>
  <c r="AB3000" i="26"/>
  <c r="AA3025" i="26"/>
  <c r="AB3025" i="26"/>
  <c r="AA3050" i="26"/>
  <c r="AB3050" i="26"/>
  <c r="AA3075" i="26"/>
  <c r="AB3075" i="26"/>
  <c r="AA3100" i="26"/>
  <c r="AB3100" i="26"/>
  <c r="AA3128" i="26"/>
  <c r="AB3128" i="26"/>
  <c r="AA3153" i="26"/>
  <c r="AB3153" i="26"/>
  <c r="AA3178" i="26"/>
  <c r="AB3178" i="26"/>
  <c r="AA3203" i="26"/>
  <c r="AB3203" i="26"/>
  <c r="AA3228" i="26"/>
  <c r="AB3228" i="26"/>
  <c r="AA3256" i="26"/>
  <c r="AB3256" i="26"/>
  <c r="AA3281" i="26"/>
  <c r="AB3281" i="26"/>
  <c r="AA3306" i="26"/>
  <c r="AB3306" i="26"/>
  <c r="AA3331" i="26"/>
  <c r="AB3331" i="26"/>
  <c r="AA3356" i="26"/>
  <c r="AB3356" i="26"/>
  <c r="AA3384" i="26"/>
  <c r="AB3384" i="26"/>
  <c r="AA3409" i="26"/>
  <c r="AB3409" i="26"/>
  <c r="AA3434" i="26"/>
  <c r="AB3434" i="26"/>
  <c r="AA3459" i="26"/>
  <c r="AB3459" i="26"/>
  <c r="AA3484" i="26"/>
  <c r="AB3484" i="26"/>
  <c r="AA3512" i="26"/>
  <c r="AB3512" i="26"/>
  <c r="AA1745" i="26"/>
  <c r="AB1745" i="26"/>
  <c r="AA90" i="26"/>
  <c r="AB90" i="26"/>
  <c r="AA346" i="26"/>
  <c r="AB346" i="26"/>
  <c r="AA602" i="26"/>
  <c r="AB602" i="26"/>
  <c r="AA1548" i="26"/>
  <c r="AB1548" i="26"/>
  <c r="AA1996" i="26"/>
  <c r="AB1996" i="26"/>
  <c r="AA2704" i="26"/>
  <c r="AB2704" i="26"/>
  <c r="AA3188" i="26"/>
  <c r="AB3188" i="26"/>
  <c r="AA3394" i="26"/>
  <c r="AB3394" i="26"/>
  <c r="AA1384" i="26"/>
  <c r="AB1384" i="26"/>
  <c r="AA3242" i="26"/>
  <c r="AB3242" i="26"/>
  <c r="AA25" i="26"/>
  <c r="AB25" i="26"/>
  <c r="AA89" i="26"/>
  <c r="AB89" i="26"/>
  <c r="AA153" i="26"/>
  <c r="AB153" i="26"/>
  <c r="AA217" i="26"/>
  <c r="AB217" i="26"/>
  <c r="AA281" i="26"/>
  <c r="AB281" i="26"/>
  <c r="AA345" i="26"/>
  <c r="AB345" i="26"/>
  <c r="AA409" i="26"/>
  <c r="AB409" i="26"/>
  <c r="AA473" i="26"/>
  <c r="AB473" i="26"/>
  <c r="AA537" i="26"/>
  <c r="AB537" i="26"/>
  <c r="AA601" i="26"/>
  <c r="AB601" i="26"/>
  <c r="AA665" i="26"/>
  <c r="AB665" i="26"/>
  <c r="AA729" i="26"/>
  <c r="AB729" i="26"/>
  <c r="AA793" i="26"/>
  <c r="AB793" i="26"/>
  <c r="AA857" i="26"/>
  <c r="AB857" i="26"/>
  <c r="AA921" i="26"/>
  <c r="AB921" i="26"/>
  <c r="AA985" i="26"/>
  <c r="AB985" i="26"/>
  <c r="AA1049" i="26"/>
  <c r="AB1049" i="26"/>
  <c r="AA1113" i="26"/>
  <c r="AB1113" i="26"/>
  <c r="AA1177" i="26"/>
  <c r="AB1177" i="26"/>
  <c r="AA1241" i="26"/>
  <c r="AB1241" i="26"/>
  <c r="AA1305" i="26"/>
  <c r="AB1305" i="26"/>
  <c r="AA1369" i="26"/>
  <c r="AB1369" i="26"/>
  <c r="AA1409" i="26"/>
  <c r="AB1409" i="26"/>
  <c r="AA1436" i="26"/>
  <c r="AB1436" i="26"/>
  <c r="AA1474" i="26"/>
  <c r="AB1474" i="26"/>
  <c r="AA1512" i="26"/>
  <c r="AB1512" i="26"/>
  <c r="AA1539" i="26"/>
  <c r="AB1539" i="26"/>
  <c r="AA1577" i="26"/>
  <c r="AB1577" i="26"/>
  <c r="AA1612" i="26"/>
  <c r="AB1612" i="26"/>
  <c r="AA1642" i="26"/>
  <c r="AB1642" i="26"/>
  <c r="AA1680" i="26"/>
  <c r="AB1680" i="26"/>
  <c r="AA1715" i="26"/>
  <c r="AB1715" i="26"/>
  <c r="AA1780" i="26"/>
  <c r="AB1780" i="26"/>
  <c r="AA1818" i="26"/>
  <c r="AB1818" i="26"/>
  <c r="AA1848" i="26"/>
  <c r="AB1848" i="26"/>
  <c r="AA1883" i="26"/>
  <c r="AB1883" i="26"/>
  <c r="AA1948" i="26"/>
  <c r="AB1948" i="26"/>
  <c r="AA1986" i="26"/>
  <c r="AB1986" i="26"/>
  <c r="AA2024" i="26"/>
  <c r="AB2024" i="26"/>
  <c r="AA2050" i="26"/>
  <c r="AB2050" i="26"/>
  <c r="AA2075" i="26"/>
  <c r="AB2075" i="26"/>
  <c r="AA2113" i="26"/>
  <c r="AB2113" i="26"/>
  <c r="AA2140" i="26"/>
  <c r="AB2140" i="26"/>
  <c r="AA2178" i="26"/>
  <c r="AB2178" i="26"/>
  <c r="AA2216" i="26"/>
  <c r="AB2216" i="26"/>
  <c r="AA2241" i="26"/>
  <c r="AB2241" i="26"/>
  <c r="AA2266" i="26"/>
  <c r="AB2266" i="26"/>
  <c r="AA2291" i="26"/>
  <c r="AB2291" i="26"/>
  <c r="AA2316" i="26"/>
  <c r="AB2316" i="26"/>
  <c r="AA2344" i="26"/>
  <c r="AB2344" i="26"/>
  <c r="AA2369" i="26"/>
  <c r="AB2369" i="26"/>
  <c r="AA2394" i="26"/>
  <c r="AB2394" i="26"/>
  <c r="AA2419" i="26"/>
  <c r="AB2419" i="26"/>
  <c r="AA2444" i="26"/>
  <c r="AB2444" i="26"/>
  <c r="AA2472" i="26"/>
  <c r="AB2472" i="26"/>
  <c r="AA2497" i="26"/>
  <c r="AB2497" i="26"/>
  <c r="AA2522" i="26"/>
  <c r="AB2522" i="26"/>
  <c r="AA2547" i="26"/>
  <c r="AB2547" i="26"/>
  <c r="AA2572" i="26"/>
  <c r="AB2572" i="26"/>
  <c r="AA2600" i="26"/>
  <c r="AB2600" i="26"/>
  <c r="AA2625" i="26"/>
  <c r="AB2625" i="26"/>
  <c r="AA2650" i="26"/>
  <c r="AB2650" i="26"/>
  <c r="AA2675" i="26"/>
  <c r="AB2675" i="26"/>
  <c r="AA2699" i="26"/>
  <c r="AB2699" i="26"/>
  <c r="AA2724" i="26"/>
  <c r="AB2724" i="26"/>
  <c r="AA2752" i="26"/>
  <c r="AB2752" i="26"/>
  <c r="AA2777" i="26"/>
  <c r="AB2777" i="26"/>
  <c r="AA2802" i="26"/>
  <c r="AB2802" i="26"/>
  <c r="AA2827" i="26"/>
  <c r="AB2827" i="26"/>
  <c r="AA2852" i="26"/>
  <c r="AB2852" i="26"/>
  <c r="AA2880" i="26"/>
  <c r="AB2880" i="26"/>
  <c r="AA2905" i="26"/>
  <c r="AB2905" i="26"/>
  <c r="AA2930" i="26"/>
  <c r="AB2930" i="26"/>
  <c r="AA2955" i="26"/>
  <c r="AB2955" i="26"/>
  <c r="AA2980" i="26"/>
  <c r="AB2980" i="26"/>
  <c r="AA3008" i="26"/>
  <c r="AB3008" i="26"/>
  <c r="AA3033" i="26"/>
  <c r="AB3033" i="26"/>
  <c r="AA3058" i="26"/>
  <c r="AB3058" i="26"/>
  <c r="AA3083" i="26"/>
  <c r="AB3083" i="26"/>
  <c r="AA3108" i="26"/>
  <c r="AB3108" i="26"/>
  <c r="AA3136" i="26"/>
  <c r="AB3136" i="26"/>
  <c r="AA3161" i="26"/>
  <c r="AB3161" i="26"/>
  <c r="AA3186" i="26"/>
  <c r="AB3186" i="26"/>
  <c r="AA3211" i="26"/>
  <c r="AB3211" i="26"/>
  <c r="AA3236" i="26"/>
  <c r="AB3236" i="26"/>
  <c r="AA3264" i="26"/>
  <c r="AB3264" i="26"/>
  <c r="AA3289" i="26"/>
  <c r="AB3289" i="26"/>
  <c r="AA3314" i="26"/>
  <c r="AB3314" i="26"/>
  <c r="AA3339" i="26"/>
  <c r="AB3339" i="26"/>
  <c r="AA3364" i="26"/>
  <c r="AB3364" i="26"/>
  <c r="AA3392" i="26"/>
  <c r="AB3392" i="26"/>
  <c r="AA3417" i="26"/>
  <c r="AB3417" i="26"/>
  <c r="AA3442" i="26"/>
  <c r="AB3442" i="26"/>
  <c r="AA3467" i="26"/>
  <c r="AB3467" i="26"/>
  <c r="AA3492" i="26"/>
  <c r="AB3492" i="26"/>
  <c r="AA3520" i="26"/>
  <c r="AB3520" i="26"/>
  <c r="AA218" i="26"/>
  <c r="AB218" i="26"/>
  <c r="AA474" i="26"/>
  <c r="AB474" i="26"/>
  <c r="AA1178" i="26"/>
  <c r="AB1178" i="26"/>
  <c r="AA3368" i="26"/>
  <c r="AB3368" i="26"/>
  <c r="AA1923" i="26"/>
  <c r="AB1923" i="26"/>
  <c r="AA2832" i="26"/>
  <c r="AB2832" i="26"/>
  <c r="AA3138" i="26"/>
  <c r="AB3138" i="26"/>
  <c r="AA3344" i="26"/>
  <c r="AB3344" i="26"/>
  <c r="AA3497" i="26"/>
  <c r="AB3497" i="26"/>
  <c r="AA1322" i="26"/>
  <c r="AB1322" i="26"/>
  <c r="AA3267" i="26"/>
  <c r="AB3267" i="26"/>
  <c r="AA154" i="26"/>
  <c r="AB154" i="26"/>
  <c r="AA410" i="26"/>
  <c r="AB410" i="26"/>
  <c r="AA986" i="26"/>
  <c r="AB986" i="26"/>
  <c r="AA2778" i="26"/>
  <c r="AB2778" i="26"/>
  <c r="AA1194" i="26"/>
  <c r="AB1194" i="26"/>
  <c r="AA2432" i="26"/>
  <c r="AB2432" i="26"/>
  <c r="AA2635" i="26"/>
  <c r="AB2635" i="26"/>
  <c r="AA2755" i="26"/>
  <c r="AB2755" i="26"/>
  <c r="AA2858" i="26"/>
  <c r="AB2858" i="26"/>
  <c r="AA2908" i="26"/>
  <c r="AB2908" i="26"/>
  <c r="AA2986" i="26"/>
  <c r="AB2986" i="26"/>
  <c r="AA3064" i="26"/>
  <c r="AB3064" i="26"/>
  <c r="AA3139" i="26"/>
  <c r="AB3139" i="26"/>
  <c r="AA3217" i="26"/>
  <c r="AB3217" i="26"/>
  <c r="AA3320" i="26"/>
  <c r="AB3320" i="26"/>
  <c r="AA3395" i="26"/>
  <c r="AB3395" i="26"/>
  <c r="AA3473" i="26"/>
  <c r="AB3473" i="26"/>
  <c r="AA41" i="26"/>
  <c r="AB41" i="26"/>
  <c r="AA105" i="26"/>
  <c r="AB105" i="26"/>
  <c r="AA169" i="26"/>
  <c r="AB169" i="26"/>
  <c r="AA233" i="26"/>
  <c r="AB233" i="26"/>
  <c r="AA297" i="26"/>
  <c r="AB297" i="26"/>
  <c r="AA361" i="26"/>
  <c r="AB361" i="26"/>
  <c r="AA425" i="26"/>
  <c r="AB425" i="26"/>
  <c r="AA489" i="26"/>
  <c r="AB489" i="26"/>
  <c r="AA553" i="26"/>
  <c r="AB553" i="26"/>
  <c r="AA617" i="26"/>
  <c r="AB617" i="26"/>
  <c r="AA681" i="26"/>
  <c r="AB681" i="26"/>
  <c r="AA745" i="26"/>
  <c r="AB745" i="26"/>
  <c r="AA809" i="26"/>
  <c r="AB809" i="26"/>
  <c r="AA873" i="26"/>
  <c r="AB873" i="26"/>
  <c r="AA937" i="26"/>
  <c r="AB937" i="26"/>
  <c r="AA1001" i="26"/>
  <c r="AB1001" i="26"/>
  <c r="AA1065" i="26"/>
  <c r="AB1065" i="26"/>
  <c r="AA1129" i="26"/>
  <c r="AB1129" i="26"/>
  <c r="AA1193" i="26"/>
  <c r="AB1193" i="26"/>
  <c r="AA1257" i="26"/>
  <c r="AB1257" i="26"/>
  <c r="AA1321" i="26"/>
  <c r="AB1321" i="26"/>
  <c r="AA1411" i="26"/>
  <c r="AB1411" i="26"/>
  <c r="AA1449" i="26"/>
  <c r="AB1449" i="26"/>
  <c r="AA1484" i="26"/>
  <c r="AB1484" i="26"/>
  <c r="AA1514" i="26"/>
  <c r="AB1514" i="26"/>
  <c r="AA1552" i="26"/>
  <c r="AB1552" i="26"/>
  <c r="AA1587" i="26"/>
  <c r="AB1587" i="26"/>
  <c r="AA1617" i="26"/>
  <c r="AB1617" i="26"/>
  <c r="AA1652" i="26"/>
  <c r="AB1652" i="26"/>
  <c r="AA1690" i="26"/>
  <c r="AB1690" i="26"/>
  <c r="AA1755" i="26"/>
  <c r="AB1755" i="26"/>
  <c r="AA1820" i="26"/>
  <c r="AB1820" i="26"/>
  <c r="AA1896" i="26"/>
  <c r="AB1896" i="26"/>
  <c r="AA2059" i="26"/>
  <c r="AB2059" i="26"/>
  <c r="AA2882" i="26"/>
  <c r="AB2882" i="26"/>
  <c r="AA1130" i="26"/>
  <c r="AB1130" i="26"/>
  <c r="AA2457" i="26"/>
  <c r="AB2457" i="26"/>
  <c r="AA2688" i="26"/>
  <c r="AB2688" i="26"/>
  <c r="AA2833" i="26"/>
  <c r="AB2833" i="26"/>
  <c r="AA2936" i="26"/>
  <c r="AB2936" i="26"/>
  <c r="AA3011" i="26"/>
  <c r="AB3011" i="26"/>
  <c r="AA3089" i="26"/>
  <c r="AB3089" i="26"/>
  <c r="AA3164" i="26"/>
  <c r="AB3164" i="26"/>
  <c r="AA3292" i="26"/>
  <c r="AB3292" i="26"/>
  <c r="AA3370" i="26"/>
  <c r="AB3370" i="26"/>
  <c r="AA3448" i="26"/>
  <c r="AB3448" i="26"/>
  <c r="AA3523" i="26"/>
  <c r="AB3523" i="26"/>
  <c r="AA42" i="26"/>
  <c r="AB42" i="26"/>
  <c r="AA106" i="26"/>
  <c r="AB106" i="26"/>
  <c r="AA170" i="26"/>
  <c r="AB170" i="26"/>
  <c r="AA234" i="26"/>
  <c r="AB234" i="26"/>
  <c r="AA298" i="26"/>
  <c r="AB298" i="26"/>
  <c r="AA362" i="26"/>
  <c r="AB362" i="26"/>
  <c r="AA426" i="26"/>
  <c r="AB426" i="26"/>
  <c r="AA490" i="26"/>
  <c r="AB490" i="26"/>
  <c r="AA554" i="26"/>
  <c r="AB554" i="26"/>
  <c r="AA618" i="26"/>
  <c r="AB618" i="26"/>
  <c r="AA682" i="26"/>
  <c r="AB682" i="26"/>
  <c r="AA746" i="26"/>
  <c r="AB746" i="26"/>
  <c r="AA810" i="26"/>
  <c r="AB810" i="26"/>
  <c r="AA874" i="26"/>
  <c r="AB874" i="26"/>
  <c r="AA938" i="26"/>
  <c r="AB938" i="26"/>
  <c r="AA1002" i="26"/>
  <c r="AB1002" i="26"/>
  <c r="AA1066" i="26"/>
  <c r="AB1066" i="26"/>
  <c r="AA1258" i="26"/>
  <c r="AB1258" i="26"/>
  <c r="AA1420" i="26"/>
  <c r="AB1420" i="26"/>
  <c r="AA1488" i="26"/>
  <c r="AB1488" i="26"/>
  <c r="AA1523" i="26"/>
  <c r="AB1523" i="26"/>
  <c r="AA1553" i="26"/>
  <c r="AB1553" i="26"/>
  <c r="AA1588" i="26"/>
  <c r="AB1588" i="26"/>
  <c r="AA1626" i="26"/>
  <c r="AB1626" i="26"/>
  <c r="AA1656" i="26"/>
  <c r="AB1656" i="26"/>
  <c r="AA1691" i="26"/>
  <c r="AB1691" i="26"/>
  <c r="AA1729" i="26"/>
  <c r="AB1729" i="26"/>
  <c r="AA1756" i="26"/>
  <c r="AB1756" i="26"/>
  <c r="AA1794" i="26"/>
  <c r="AB1794" i="26"/>
  <c r="AA1832" i="26"/>
  <c r="AB1832" i="26"/>
  <c r="AA1859" i="26"/>
  <c r="AB1859" i="26"/>
  <c r="AA1897" i="26"/>
  <c r="AB1897" i="26"/>
  <c r="AA1932" i="26"/>
  <c r="AB1932" i="26"/>
  <c r="AA1962" i="26"/>
  <c r="AB1962" i="26"/>
  <c r="AA2000" i="26"/>
  <c r="AB2000" i="26"/>
  <c r="AA2035" i="26"/>
  <c r="AB2035" i="26"/>
  <c r="AA2060" i="26"/>
  <c r="AB2060" i="26"/>
  <c r="AA2089" i="26"/>
  <c r="AB2089" i="26"/>
  <c r="AA2124" i="26"/>
  <c r="AB2124" i="26"/>
  <c r="AA2154" i="26"/>
  <c r="AB2154" i="26"/>
  <c r="AA2192" i="26"/>
  <c r="AB2192" i="26"/>
  <c r="AA2226" i="26"/>
  <c r="AB2226" i="26"/>
  <c r="AA2251" i="26"/>
  <c r="AB2251" i="26"/>
  <c r="AA2276" i="26"/>
  <c r="AB2276" i="26"/>
  <c r="AA2304" i="26"/>
  <c r="AB2304" i="26"/>
  <c r="AA2329" i="26"/>
  <c r="AB2329" i="26"/>
  <c r="AA2354" i="26"/>
  <c r="AB2354" i="26"/>
  <c r="AA2379" i="26"/>
  <c r="AB2379" i="26"/>
  <c r="AA2404" i="26"/>
  <c r="AB2404" i="26"/>
  <c r="AA2482" i="26"/>
  <c r="AB2482" i="26"/>
  <c r="AA2507" i="26"/>
  <c r="AB2507" i="26"/>
  <c r="AA2532" i="26"/>
  <c r="AB2532" i="26"/>
  <c r="AA2560" i="26"/>
  <c r="AB2560" i="26"/>
  <c r="AA2585" i="26"/>
  <c r="AB2585" i="26"/>
  <c r="AA2610" i="26"/>
  <c r="AB2610" i="26"/>
  <c r="AA2660" i="26"/>
  <c r="AB2660" i="26"/>
  <c r="AA2705" i="26"/>
  <c r="AB2705" i="26"/>
  <c r="AA2730" i="26"/>
  <c r="AB2730" i="26"/>
  <c r="AA2780" i="26"/>
  <c r="AB2780" i="26"/>
  <c r="AA2808" i="26"/>
  <c r="AB2808" i="26"/>
  <c r="AA2883" i="26"/>
  <c r="AB2883" i="26"/>
  <c r="AA2961" i="26"/>
  <c r="AB2961" i="26"/>
  <c r="AA3036" i="26"/>
  <c r="AB3036" i="26"/>
  <c r="AA3114" i="26"/>
  <c r="AB3114" i="26"/>
  <c r="AA3192" i="26"/>
  <c r="AB3192" i="26"/>
  <c r="AA3345" i="26"/>
  <c r="AB3345" i="26"/>
  <c r="AA3498" i="26"/>
  <c r="AB3498" i="26"/>
  <c r="AA58" i="26"/>
  <c r="AB58" i="26"/>
  <c r="AA122" i="26"/>
  <c r="AB122" i="26"/>
  <c r="AA186" i="26"/>
  <c r="AB186" i="26"/>
  <c r="AA250" i="26"/>
  <c r="AB250" i="26"/>
  <c r="AA314" i="26"/>
  <c r="AB314" i="26"/>
  <c r="AA378" i="26"/>
  <c r="AB378" i="26"/>
  <c r="AA442" i="26"/>
  <c r="AB442" i="26"/>
  <c r="AA506" i="26"/>
  <c r="AB506" i="26"/>
  <c r="AA570" i="26"/>
  <c r="AB570" i="26"/>
  <c r="AA634" i="26"/>
  <c r="AB634" i="26"/>
  <c r="AA698" i="26"/>
  <c r="AB698" i="26"/>
  <c r="AA762" i="26"/>
  <c r="AB762" i="26"/>
  <c r="AA826" i="26"/>
  <c r="AB826" i="26"/>
  <c r="AA890" i="26"/>
  <c r="AB890" i="26"/>
  <c r="AA954" i="26"/>
  <c r="AB954" i="26"/>
  <c r="AA1018" i="26"/>
  <c r="AB1018" i="26"/>
  <c r="AA1082" i="26"/>
  <c r="AB1082" i="26"/>
  <c r="AA1146" i="26"/>
  <c r="AB1146" i="26"/>
  <c r="AA1210" i="26"/>
  <c r="AB1210" i="26"/>
  <c r="AA1274" i="26"/>
  <c r="AB1274" i="26"/>
  <c r="AA1338" i="26"/>
  <c r="AB1338" i="26"/>
  <c r="AA1395" i="26"/>
  <c r="AB1395" i="26"/>
  <c r="AA1425" i="26"/>
  <c r="AB1425" i="26"/>
  <c r="AA1460" i="26"/>
  <c r="AB1460" i="26"/>
  <c r="AA1498" i="26"/>
  <c r="AB1498" i="26"/>
  <c r="AA1528" i="26"/>
  <c r="AB1528" i="26"/>
  <c r="AA1563" i="26"/>
  <c r="AB1563" i="26"/>
  <c r="AA1601" i="26"/>
  <c r="AB1601" i="26"/>
  <c r="AA1628" i="26"/>
  <c r="AB1628" i="26"/>
  <c r="AA1666" i="26"/>
  <c r="AB1666" i="26"/>
  <c r="AA1704" i="26"/>
  <c r="AB1704" i="26"/>
  <c r="AA1731" i="26"/>
  <c r="AB1731" i="26"/>
  <c r="AA1769" i="26"/>
  <c r="AB1769" i="26"/>
  <c r="AA1804" i="26"/>
  <c r="AB1804" i="26"/>
  <c r="AA1834" i="26"/>
  <c r="AB1834" i="26"/>
  <c r="AA1872" i="26"/>
  <c r="AB1872" i="26"/>
  <c r="AA1907" i="26"/>
  <c r="AB1907" i="26"/>
  <c r="AA1937" i="26"/>
  <c r="AB1937" i="26"/>
  <c r="AA1972" i="26"/>
  <c r="AB1972" i="26"/>
  <c r="AA2010" i="26"/>
  <c r="AB2010" i="26"/>
  <c r="AA2040" i="26"/>
  <c r="AB2040" i="26"/>
  <c r="AA2065" i="26"/>
  <c r="AB2065" i="26"/>
  <c r="AA2099" i="26"/>
  <c r="AB2099" i="26"/>
  <c r="AA2129" i="26"/>
  <c r="AB2129" i="26"/>
  <c r="AA2164" i="26"/>
  <c r="AB2164" i="26"/>
  <c r="AA2202" i="26"/>
  <c r="AB2202" i="26"/>
  <c r="AA2228" i="26"/>
  <c r="AB2228" i="26"/>
  <c r="AA2256" i="26"/>
  <c r="AB2256" i="26"/>
  <c r="AA2281" i="26"/>
  <c r="AB2281" i="26"/>
  <c r="AA2306" i="26"/>
  <c r="AB2306" i="26"/>
  <c r="AA2331" i="26"/>
  <c r="AB2331" i="26"/>
  <c r="AA2356" i="26"/>
  <c r="AB2356" i="26"/>
  <c r="AA2384" i="26"/>
  <c r="AB2384" i="26"/>
  <c r="AA2409" i="26"/>
  <c r="AB2409" i="26"/>
  <c r="AA2434" i="26"/>
  <c r="AB2434" i="26"/>
  <c r="AA2459" i="26"/>
  <c r="AB2459" i="26"/>
  <c r="AA2484" i="26"/>
  <c r="AB2484" i="26"/>
  <c r="AA2512" i="26"/>
  <c r="AB2512" i="26"/>
  <c r="AA2537" i="26"/>
  <c r="AB2537" i="26"/>
  <c r="AA2562" i="26"/>
  <c r="AB2562" i="26"/>
  <c r="AA2587" i="26"/>
  <c r="AB2587" i="26"/>
  <c r="AA2612" i="26"/>
  <c r="AB2612" i="26"/>
  <c r="AA2640" i="26"/>
  <c r="AB2640" i="26"/>
  <c r="AA2665" i="26"/>
  <c r="AB2665" i="26"/>
  <c r="AA2690" i="26"/>
  <c r="AB2690" i="26"/>
  <c r="AA2714" i="26"/>
  <c r="AB2714" i="26"/>
  <c r="AA2739" i="26"/>
  <c r="AB2739" i="26"/>
  <c r="AA2764" i="26"/>
  <c r="AB2764" i="26"/>
  <c r="AA2792" i="26"/>
  <c r="AB2792" i="26"/>
  <c r="AA2817" i="26"/>
  <c r="AB2817" i="26"/>
  <c r="AA2842" i="26"/>
  <c r="AB2842" i="26"/>
  <c r="AA2867" i="26"/>
  <c r="AB2867" i="26"/>
  <c r="AA2892" i="26"/>
  <c r="AB2892" i="26"/>
  <c r="AA2920" i="26"/>
  <c r="AB2920" i="26"/>
  <c r="AA2945" i="26"/>
  <c r="AB2945" i="26"/>
  <c r="AA2970" i="26"/>
  <c r="AB2970" i="26"/>
  <c r="AA2995" i="26"/>
  <c r="AB2995" i="26"/>
  <c r="AA3020" i="26"/>
  <c r="AB3020" i="26"/>
  <c r="AA3048" i="26"/>
  <c r="AB3048" i="26"/>
  <c r="AA3073" i="26"/>
  <c r="AB3073" i="26"/>
  <c r="AA3098" i="26"/>
  <c r="AB3098" i="26"/>
  <c r="AA3123" i="26"/>
  <c r="AB3123" i="26"/>
  <c r="AA3148" i="26"/>
  <c r="AB3148" i="26"/>
  <c r="AA3176" i="26"/>
  <c r="AB3176" i="26"/>
  <c r="AA3201" i="26"/>
  <c r="AB3201" i="26"/>
  <c r="AA313" i="26"/>
  <c r="AB313" i="26"/>
  <c r="AA825" i="26"/>
  <c r="AB825" i="26"/>
  <c r="AA1337" i="26"/>
  <c r="AB1337" i="26"/>
  <c r="AA1627" i="26"/>
  <c r="AB1627" i="26"/>
  <c r="AA1898" i="26"/>
  <c r="AB1898" i="26"/>
  <c r="AA2163" i="26"/>
  <c r="AB2163" i="26"/>
  <c r="AA2380" i="26"/>
  <c r="AB2380" i="26"/>
  <c r="AA2586" i="26"/>
  <c r="AB2586" i="26"/>
  <c r="AA2788" i="26"/>
  <c r="AB2788" i="26"/>
  <c r="AA2994" i="26"/>
  <c r="AB2994" i="26"/>
  <c r="AA3200" i="26"/>
  <c r="AB3200" i="26"/>
  <c r="AA3304" i="26"/>
  <c r="AB3304" i="26"/>
  <c r="AA3404" i="26"/>
  <c r="AB3404" i="26"/>
  <c r="AA3507" i="26"/>
  <c r="AB3507" i="26"/>
  <c r="AA953" i="26"/>
  <c r="AB953" i="26"/>
  <c r="AA2001" i="26"/>
  <c r="AB2001" i="26"/>
  <c r="AA377" i="26"/>
  <c r="AB377" i="26"/>
  <c r="AA889" i="26"/>
  <c r="AB889" i="26"/>
  <c r="AA1385" i="26"/>
  <c r="AB1385" i="26"/>
  <c r="AA1665" i="26"/>
  <c r="AB1665" i="26"/>
  <c r="AA1936" i="26"/>
  <c r="AB1936" i="26"/>
  <c r="AA2193" i="26"/>
  <c r="AB2193" i="26"/>
  <c r="AA2408" i="26"/>
  <c r="AB2408" i="26"/>
  <c r="AA2611" i="26"/>
  <c r="AB2611" i="26"/>
  <c r="AA2816" i="26"/>
  <c r="AB2816" i="26"/>
  <c r="AA3019" i="26"/>
  <c r="AB3019" i="26"/>
  <c r="AA3225" i="26"/>
  <c r="AB3225" i="26"/>
  <c r="AA3328" i="26"/>
  <c r="AB3328" i="26"/>
  <c r="AA3428" i="26"/>
  <c r="AB3428" i="26"/>
  <c r="AA3531" i="26"/>
  <c r="AB3531" i="26"/>
  <c r="AA1730" i="26"/>
  <c r="AB1730" i="26"/>
  <c r="AA3353" i="26"/>
  <c r="AB3353" i="26"/>
  <c r="AA441" i="26"/>
  <c r="AB441" i="26"/>
  <c r="AA1424" i="26"/>
  <c r="AB1424" i="26"/>
  <c r="AA1692" i="26"/>
  <c r="AB1692" i="26"/>
  <c r="AA1971" i="26"/>
  <c r="AB1971" i="26"/>
  <c r="AA2227" i="26"/>
  <c r="AB2227" i="26"/>
  <c r="AA2433" i="26"/>
  <c r="AB2433" i="26"/>
  <c r="AA2636" i="26"/>
  <c r="AB2636" i="26"/>
  <c r="AA2841" i="26"/>
  <c r="AB2841" i="26"/>
  <c r="AA3044" i="26"/>
  <c r="AB3044" i="26"/>
  <c r="AA3226" i="26"/>
  <c r="AB3226" i="26"/>
  <c r="AA3329" i="26"/>
  <c r="AB3329" i="26"/>
  <c r="AA3432" i="26"/>
  <c r="AB3432" i="26"/>
  <c r="AA3532" i="26"/>
  <c r="AB3532" i="26"/>
  <c r="AA1017" i="26"/>
  <c r="AB1017" i="26"/>
  <c r="AA2458" i="26"/>
  <c r="AB2458" i="26"/>
  <c r="AA2866" i="26"/>
  <c r="AB2866" i="26"/>
  <c r="AA3250" i="26"/>
  <c r="AB3250" i="26"/>
  <c r="AA3456" i="26"/>
  <c r="AB3456" i="26"/>
  <c r="AA505" i="26"/>
  <c r="AB505" i="26"/>
  <c r="AA1459" i="26"/>
  <c r="AB1459" i="26"/>
  <c r="AA2252" i="26"/>
  <c r="AB2252" i="26"/>
  <c r="AA2664" i="26"/>
  <c r="AB2664" i="26"/>
  <c r="AA3072" i="26"/>
  <c r="AB3072" i="26"/>
  <c r="AA2944" i="26"/>
  <c r="AB2944" i="26"/>
  <c r="AA57" i="26"/>
  <c r="AB57" i="26"/>
  <c r="AA569" i="26"/>
  <c r="AB569" i="26"/>
  <c r="AA1081" i="26"/>
  <c r="AB1081" i="26"/>
  <c r="AA1489" i="26"/>
  <c r="AB1489" i="26"/>
  <c r="AA1768" i="26"/>
  <c r="AB1768" i="26"/>
  <c r="AA2036" i="26"/>
  <c r="AB2036" i="26"/>
  <c r="AA2280" i="26"/>
  <c r="AB2280" i="26"/>
  <c r="AA2483" i="26"/>
  <c r="AB2483" i="26"/>
  <c r="AA2689" i="26"/>
  <c r="AB2689" i="26"/>
  <c r="AA2891" i="26"/>
  <c r="AB2891" i="26"/>
  <c r="AA3097" i="26"/>
  <c r="AB3097" i="26"/>
  <c r="AA3251" i="26"/>
  <c r="AB3251" i="26"/>
  <c r="AA3354" i="26"/>
  <c r="AB3354" i="26"/>
  <c r="AA3457" i="26"/>
  <c r="AB3457" i="26"/>
  <c r="AA2916" i="26"/>
  <c r="AB2916" i="26"/>
  <c r="AA121" i="26"/>
  <c r="AB121" i="26"/>
  <c r="AA633" i="26"/>
  <c r="AB633" i="26"/>
  <c r="AA1145" i="26"/>
  <c r="AB1145" i="26"/>
  <c r="AA1524" i="26"/>
  <c r="AB1524" i="26"/>
  <c r="AA1795" i="26"/>
  <c r="AB1795" i="26"/>
  <c r="AA2064" i="26"/>
  <c r="AB2064" i="26"/>
  <c r="AA2305" i="26"/>
  <c r="AB2305" i="26"/>
  <c r="AA2508" i="26"/>
  <c r="AB2508" i="26"/>
  <c r="AA2713" i="26"/>
  <c r="AB2713" i="26"/>
  <c r="AA3122" i="26"/>
  <c r="AB3122" i="26"/>
  <c r="AA3275" i="26"/>
  <c r="AB3275" i="26"/>
  <c r="AA3378" i="26"/>
  <c r="AB3378" i="26"/>
  <c r="AA3481" i="26"/>
  <c r="AB3481" i="26"/>
  <c r="AA2536" i="26"/>
  <c r="AB2536" i="26"/>
  <c r="AA249" i="26"/>
  <c r="AB249" i="26"/>
  <c r="AA761" i="26"/>
  <c r="AB761" i="26"/>
  <c r="AA1273" i="26"/>
  <c r="AB1273" i="26"/>
  <c r="AA1592" i="26"/>
  <c r="AB1592" i="26"/>
  <c r="AA1868" i="26"/>
  <c r="AB1868" i="26"/>
  <c r="AA2128" i="26"/>
  <c r="AB2128" i="26"/>
  <c r="AA2355" i="26"/>
  <c r="AB2355" i="26"/>
  <c r="AA2561" i="26"/>
  <c r="AB2561" i="26"/>
  <c r="AA2763" i="26"/>
  <c r="AB2763" i="26"/>
  <c r="AA2969" i="26"/>
  <c r="AB2969" i="26"/>
  <c r="AA3172" i="26"/>
  <c r="AB3172" i="26"/>
  <c r="AA3300" i="26"/>
  <c r="AB3300" i="26"/>
  <c r="AA3403" i="26"/>
  <c r="AB3403" i="26"/>
  <c r="AA3506" i="26"/>
  <c r="AB3506" i="26"/>
  <c r="AA185" i="26"/>
  <c r="AB185" i="26"/>
  <c r="AA697" i="26"/>
  <c r="AB697" i="26"/>
  <c r="AA1209" i="26"/>
  <c r="AB1209" i="26"/>
  <c r="AA1562" i="26"/>
  <c r="AB1562" i="26"/>
  <c r="AA1833" i="26"/>
  <c r="AB1833" i="26"/>
  <c r="AA2090" i="26"/>
  <c r="AB2090" i="26"/>
  <c r="AA2330" i="26"/>
  <c r="AB2330" i="26"/>
  <c r="AA2738" i="26"/>
  <c r="AB2738" i="26"/>
  <c r="AA3147" i="26"/>
  <c r="AB3147" i="26"/>
  <c r="AA3276" i="26"/>
  <c r="AB3276" i="26"/>
  <c r="AA3379" i="26"/>
  <c r="AB3379" i="26"/>
  <c r="AA3482" i="26"/>
  <c r="AB3482" i="26"/>
  <c r="C25" i="6"/>
  <c r="D25" i="6"/>
  <c r="C24" i="6"/>
  <c r="D24" i="6"/>
  <c r="D15" i="6"/>
  <c r="J8" i="26"/>
  <c r="G8" i="26" s="1"/>
  <c r="K6" i="26"/>
  <c r="J5" i="26"/>
  <c r="G5" i="26" s="1"/>
  <c r="J7" i="26"/>
  <c r="G7" i="26" s="1"/>
  <c r="K3" i="26"/>
  <c r="K4" i="26"/>
  <c r="K5" i="26"/>
  <c r="J4" i="26"/>
  <c r="G4" i="26" s="1"/>
  <c r="J6" i="26"/>
  <c r="G6" i="26" s="1"/>
  <c r="J9" i="26"/>
  <c r="G9" i="26" s="1"/>
  <c r="AA3544" i="26"/>
  <c r="AB3544" i="26"/>
  <c r="K7" i="26"/>
  <c r="K9" i="26"/>
  <c r="K8" i="26"/>
  <c r="J3" i="26"/>
  <c r="G3" i="26" s="1"/>
  <c r="J15" i="26"/>
  <c r="S44" i="26"/>
  <c r="T44" i="26"/>
  <c r="P44" i="26"/>
  <c r="H7" i="26" l="1"/>
  <c r="I7" i="26" s="1"/>
  <c r="H8" i="26"/>
  <c r="I8" i="26"/>
  <c r="H3" i="26"/>
  <c r="I3" i="26"/>
  <c r="H9" i="26"/>
  <c r="I9" i="26"/>
  <c r="H4" i="26"/>
  <c r="I4" i="26" s="1"/>
  <c r="H6" i="26"/>
  <c r="I6" i="26"/>
  <c r="H5" i="26"/>
  <c r="I5" i="26"/>
  <c r="U44" i="26"/>
  <c r="S38" i="26"/>
  <c r="T38" i="26"/>
  <c r="P38" i="26"/>
  <c r="U38" i="26"/>
  <c r="S33" i="26"/>
  <c r="T33" i="26"/>
  <c r="P33" i="26"/>
  <c r="U33" i="26"/>
  <c r="S32" i="26"/>
  <c r="T32" i="26"/>
  <c r="P32" i="26"/>
  <c r="U32" i="26"/>
  <c r="S28" i="26"/>
  <c r="T28" i="26"/>
  <c r="P28" i="26"/>
  <c r="U28" i="26"/>
  <c r="S26" i="26"/>
  <c r="T26" i="26"/>
  <c r="P26" i="26"/>
  <c r="U26" i="26"/>
  <c r="S22" i="26"/>
  <c r="T22" i="26"/>
  <c r="P22" i="26"/>
  <c r="U22" i="26"/>
  <c r="S21" i="26"/>
  <c r="T21" i="26"/>
  <c r="P21" i="26"/>
  <c r="U21" i="26"/>
  <c r="S11" i="26"/>
  <c r="T11" i="26"/>
  <c r="P11" i="26"/>
  <c r="U11" i="26"/>
  <c r="S17" i="26"/>
  <c r="T17" i="26"/>
  <c r="P17" i="26"/>
  <c r="U17" i="26"/>
  <c r="S34" i="26"/>
  <c r="T34" i="26"/>
  <c r="P34" i="26"/>
  <c r="U34" i="26"/>
  <c r="S18" i="26"/>
  <c r="T18" i="26"/>
  <c r="P18" i="26"/>
  <c r="U18" i="26"/>
  <c r="S37" i="26"/>
  <c r="T37" i="26"/>
  <c r="P37" i="26"/>
  <c r="U37" i="26"/>
  <c r="S36" i="26"/>
  <c r="T36" i="26"/>
  <c r="P36" i="26"/>
  <c r="U36" i="26"/>
  <c r="S27" i="26"/>
  <c r="T27" i="26"/>
  <c r="P27" i="26"/>
  <c r="U27" i="26"/>
  <c r="S31" i="26"/>
  <c r="T31" i="26"/>
  <c r="P31" i="26"/>
  <c r="U31" i="26"/>
  <c r="S24" i="26"/>
  <c r="T24" i="26"/>
  <c r="P24" i="26"/>
  <c r="U24" i="26"/>
  <c r="S46" i="26"/>
  <c r="T46" i="26"/>
  <c r="P46" i="26"/>
  <c r="U46" i="26"/>
  <c r="S40" i="26"/>
  <c r="T40" i="26"/>
  <c r="P40" i="26"/>
  <c r="U40" i="26"/>
  <c r="S42" i="26"/>
  <c r="T42" i="26"/>
  <c r="P42" i="26"/>
  <c r="U42" i="26"/>
  <c r="S39" i="26"/>
  <c r="T39" i="26"/>
  <c r="P39" i="26"/>
  <c r="U39" i="26"/>
  <c r="S20" i="26"/>
  <c r="T20" i="26"/>
  <c r="P20" i="26"/>
  <c r="U20" i="26"/>
  <c r="S19" i="26"/>
  <c r="T19" i="26"/>
  <c r="P19" i="26"/>
  <c r="U19" i="26"/>
  <c r="S43" i="26"/>
  <c r="T43" i="26"/>
  <c r="P43" i="26"/>
  <c r="U43" i="26"/>
  <c r="S25" i="26"/>
  <c r="T25" i="26"/>
  <c r="P25" i="26"/>
  <c r="U25" i="26"/>
  <c r="S30" i="26"/>
  <c r="T30" i="26"/>
  <c r="P30" i="26"/>
  <c r="U30" i="26"/>
  <c r="S35" i="26"/>
  <c r="T35" i="26"/>
  <c r="P35" i="26"/>
  <c r="U35" i="26"/>
  <c r="S13" i="26"/>
  <c r="T13" i="26"/>
  <c r="P13" i="26"/>
  <c r="U13" i="26"/>
  <c r="S16" i="26"/>
  <c r="T16" i="26"/>
  <c r="P16" i="26"/>
  <c r="U16" i="26"/>
  <c r="S12" i="26"/>
  <c r="T12" i="26"/>
  <c r="P12" i="26"/>
  <c r="U12" i="26"/>
  <c r="S41" i="26"/>
  <c r="T41" i="26"/>
  <c r="P41" i="26"/>
  <c r="U41" i="26"/>
  <c r="S29" i="26"/>
  <c r="T29" i="26"/>
  <c r="P29" i="26"/>
  <c r="U29" i="26"/>
  <c r="S23" i="26"/>
  <c r="T23" i="26"/>
  <c r="P23" i="26"/>
  <c r="U23" i="26"/>
  <c r="S45" i="26"/>
  <c r="T45" i="26"/>
  <c r="P45" i="26"/>
  <c r="U45" i="26"/>
  <c r="S15" i="26"/>
  <c r="T15" i="26"/>
  <c r="P15" i="26"/>
  <c r="U15" i="26"/>
  <c r="S14" i="26"/>
  <c r="T14" i="26"/>
  <c r="P14" i="26"/>
  <c r="U14" i="26"/>
  <c r="V11" i="26"/>
  <c r="D27" i="6"/>
  <c r="D26" i="6"/>
  <c r="J3" i="4" a="1"/>
  <c r="J19" i="4"/>
  <c r="J36" i="4"/>
  <c r="J53" i="4"/>
  <c r="J15" i="4"/>
  <c r="J10" i="4"/>
  <c r="J39" i="4"/>
  <c r="J26" i="4"/>
  <c r="J34" i="4"/>
  <c r="J46" i="4"/>
  <c r="J41" i="4"/>
  <c r="J12" i="4"/>
  <c r="J55" i="4"/>
  <c r="J38" i="4"/>
  <c r="J43" i="4"/>
  <c r="J48" i="4"/>
  <c r="J42" i="4"/>
  <c r="J23" i="4"/>
  <c r="J44" i="4"/>
  <c r="J3" i="4"/>
  <c r="J28" i="4"/>
  <c r="J45" i="4"/>
  <c r="J7" i="4"/>
  <c r="J32" i="4"/>
  <c r="J4" i="4"/>
  <c r="J11" i="4"/>
  <c r="J29" i="4"/>
  <c r="J47" i="4"/>
  <c r="J16" i="4"/>
  <c r="J22" i="4"/>
  <c r="J8" i="4"/>
  <c r="J5" i="4"/>
  <c r="J9" i="4"/>
  <c r="J50" i="4"/>
  <c r="J20" i="4"/>
  <c r="J35" i="4"/>
  <c r="J18" i="4"/>
  <c r="J6" i="4"/>
  <c r="J21" i="4"/>
  <c r="J37" i="4"/>
  <c r="J54" i="4"/>
  <c r="J24" i="4"/>
  <c r="J49" i="4"/>
  <c r="J13" i="4"/>
  <c r="J51" i="4"/>
  <c r="J30" i="4"/>
  <c r="J33" i="4"/>
  <c r="J31" i="4"/>
  <c r="J25" i="4"/>
  <c r="J14" i="4"/>
  <c r="J52" i="4"/>
  <c r="J17" i="4"/>
  <c r="J27" i="4"/>
  <c r="J40" i="4"/>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E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E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3" authorId="0">
      <text>
        <r>
          <rPr>
            <sz val="8"/>
            <color indexed="81"/>
            <rFont val="Tahoma"/>
            <family val="2"/>
          </rPr>
          <t>max number of Futures to be included</t>
        </r>
      </text>
    </comment>
    <comment ref="B4" authorId="0">
      <text>
        <r>
          <rPr>
            <sz val="8"/>
            <color indexed="81"/>
            <rFont val="Tahoma"/>
            <family val="2"/>
          </rPr>
          <t>max number of Futures to be included</t>
        </r>
      </text>
    </comment>
    <comment ref="B5" authorId="0">
      <text>
        <r>
          <rPr>
            <sz val="8"/>
            <color indexed="81"/>
            <rFont val="Tahoma"/>
            <family val="2"/>
          </rPr>
          <t>discard the front Futures the given number of days before its expiry (e.g zero implies the use of the front Futures during its expiry day)</t>
        </r>
      </text>
    </comment>
    <comment ref="B6"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<sst xmlns="http://schemas.openxmlformats.org/spreadsheetml/2006/main" count="229" uniqueCount="154">
  <si>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</si>
  <si>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</si>
  <si>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</si>
  <si>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</si>
  <si>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</si>
  <si>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</si>
  <si>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</si>
  <si>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</si>
  <si>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</si>
  <si>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</si>
  <si>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</si>
  <si>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</si>
  <si>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</si>
  <si>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</si>
  <si>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30Y</t>
  </si>
  <si>
    <t>25Y</t>
  </si>
  <si>
    <t>20Y</t>
  </si>
  <si>
    <t>15Y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</si>
  <si>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</si>
  <si>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</si>
  <si>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</si>
  <si>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</si>
  <si>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</si>
  <si>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</si>
  <si>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</si>
  <si>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</si>
  <si>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</si>
  <si>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</si>
  <si>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</si>
  <si>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</si>
  <si>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</si>
  <si>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</si>
  <si>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</si>
  <si>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</si>
  <si>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</si>
  <si>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</si>
  <si>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</si>
  <si>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</si>
  <si>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</si>
  <si>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</si>
  <si>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</si>
  <si>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</si>
  <si>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</si>
  <si>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</si>
  <si>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</si>
  <si>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</si>
  <si>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</si>
  <si>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Min Distance</t>
  </si>
  <si>
    <t>Priority</t>
  </si>
  <si>
    <t>Include Flag</t>
  </si>
  <si>
    <t>Quote Value</t>
  </si>
  <si>
    <t>InterpolatorID</t>
  </si>
  <si>
    <t>Discount</t>
  </si>
  <si>
    <t>TraitsID</t>
  </si>
  <si>
    <t>Accuracy</t>
  </si>
  <si>
    <t>Day Counter</t>
  </si>
  <si>
    <t>Target</t>
  </si>
  <si>
    <t>Calendar</t>
  </si>
  <si>
    <t>NDays</t>
  </si>
  <si>
    <t>ObjectID</t>
  </si>
  <si>
    <t>PiecewiseYieldCurve</t>
  </si>
  <si>
    <t>ObjectOverwrite</t>
  </si>
  <si>
    <t>Trigger</t>
  </si>
  <si>
    <t>Permanent</t>
  </si>
  <si>
    <t>RateHelperPrefix</t>
  </si>
  <si>
    <t/>
  </si>
  <si>
    <t>SwapFixedFreq</t>
  </si>
  <si>
    <t>EON</t>
  </si>
  <si>
    <t>IborType</t>
  </si>
  <si>
    <t>ON</t>
  </si>
  <si>
    <t>IndexTenor</t>
  </si>
  <si>
    <t>EUR</t>
  </si>
  <si>
    <t>Months</t>
  </si>
  <si>
    <t>Currency</t>
  </si>
  <si>
    <t>General Settings</t>
  </si>
  <si>
    <t>Eonia</t>
  </si>
  <si>
    <t>Quote Object ID</t>
  </si>
  <si>
    <t>Index</t>
  </si>
  <si>
    <t>_Quote</t>
  </si>
  <si>
    <t>QuoteSuffix</t>
  </si>
  <si>
    <t>ibor</t>
  </si>
  <si>
    <t>FamilyName</t>
  </si>
  <si>
    <t>ADDITIONAL SETTINGS</t>
  </si>
  <si>
    <t>FileOverwrite</t>
  </si>
  <si>
    <t>SerializationPath</t>
  </si>
  <si>
    <t>Serialize</t>
  </si>
  <si>
    <t>GENERAL SETTINGS</t>
  </si>
  <si>
    <t>SN</t>
  </si>
  <si>
    <t>2D</t>
  </si>
  <si>
    <t>TN</t>
  </si>
  <si>
    <t>1D</t>
  </si>
  <si>
    <t>1W</t>
  </si>
  <si>
    <t>Length</t>
  </si>
  <si>
    <t>Actual/360</t>
  </si>
  <si>
    <t>Discounting2</t>
  </si>
  <si>
    <t>Discounting</t>
  </si>
  <si>
    <t>MoneyMarketDayCounter</t>
  </si>
  <si>
    <t>Recalc trigger</t>
  </si>
  <si>
    <t>Years</t>
  </si>
  <si>
    <t>Min</t>
  </si>
  <si>
    <t>Max</t>
  </si>
  <si>
    <t>Major unit</t>
  </si>
  <si>
    <t>IborIndex</t>
  </si>
  <si>
    <t>Value Date</t>
  </si>
  <si>
    <t>Sampling Frequency</t>
  </si>
  <si>
    <t>Fixing Date</t>
  </si>
  <si>
    <t>Mkt Swaps</t>
  </si>
  <si>
    <t>Tenor</t>
  </si>
  <si>
    <t>Swap Index</t>
  </si>
  <si>
    <t>Repricing error</t>
  </si>
  <si>
    <t>Max error</t>
  </si>
  <si>
    <t>1w</t>
  </si>
  <si>
    <t>Time Axis</t>
  </si>
  <si>
    <t>Rate Axis</t>
  </si>
  <si>
    <t>Major unit (Months)</t>
  </si>
  <si>
    <t>ON Fwd</t>
  </si>
  <si>
    <t>Extrapolation</t>
  </si>
  <si>
    <t>Selected Instruments</t>
  </si>
  <si>
    <t>Rate Helper</t>
  </si>
  <si>
    <t>Instruments Name</t>
  </si>
  <si>
    <t>Fair Rate</t>
  </si>
  <si>
    <t>EUR_YCONRH_Swaps.xml</t>
  </si>
  <si>
    <t>Min value</t>
  </si>
  <si>
    <t>Max value</t>
  </si>
  <si>
    <t>ECBOIS</t>
  </si>
  <si>
    <t>Dates</t>
  </si>
  <si>
    <t>value</t>
  </si>
  <si>
    <t>Evaluation Date</t>
  </si>
  <si>
    <t>Last day in the previous month</t>
  </si>
  <si>
    <t>#</t>
  </si>
  <si>
    <t>quote</t>
  </si>
  <si>
    <t xml:space="preserve"> Curve Length</t>
  </si>
  <si>
    <t>MonotonicLogCubicNaturalSpline</t>
  </si>
  <si>
    <t>overwrite</t>
  </si>
  <si>
    <t>used</t>
  </si>
  <si>
    <t>Main Cycle</t>
  </si>
  <si>
    <t>Future Code</t>
  </si>
  <si>
    <t>ConvAdj Quote Object ID</t>
  </si>
  <si>
    <t>Futures Type</t>
  </si>
  <si>
    <t>Futures Date</t>
  </si>
  <si>
    <t>IMM</t>
  </si>
  <si>
    <t>Settl Days</t>
  </si>
  <si>
    <t>0D</t>
  </si>
  <si>
    <t>LogLinear</t>
  </si>
  <si>
    <t>First Curve</t>
  </si>
  <si>
    <t>Second Curve</t>
  </si>
  <si>
    <t>Fwd Start</t>
  </si>
  <si>
    <t>First Rate Helpers</t>
  </si>
  <si>
    <t>Second Rate Helpers</t>
  </si>
  <si>
    <t>Include Flag 1st Curve</t>
  </si>
  <si>
    <t>Composite</t>
  </si>
  <si>
    <t>Composite Curve Selection</t>
  </si>
  <si>
    <t>first</t>
  </si>
  <si>
    <t>second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</si>
</sst>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_-* #,##0.00_-;\-* #,##0.00_-;_-* &quot;-&quot;??_-;_-@_-"/>
    <numFmt numFmtId="177" formatCode="0.00000%"/>
    <numFmt numFmtId="178" formatCode="_-* #,##0.0000_-;\-* #,##0.0000_-;_-* &quot;-&quot;??_-;_-@_-"/>
    <numFmt numFmtId="179" formatCode="dd\-mmm\-yy"/>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
      <sz val="8"/>
      <color indexed="9"/>
      <name val="Courier New"/>
      <family val="3"/>
    </font>
    <font>
      <sz val="10"/>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
      <patternFill patternType="solid">
        <fgColor theme="8" tint="0.59999389629810485"/>
        <bgColor indexed="64"/>
      </patternFill>
    </fill>
  </fills>
  <borders count="48">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style="medium">
        <color indexed="64"/>
      </top>
      <bottom/>
      <diagonal/>
    </border>
  </borders>
  <cellStyleXfs count="18">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2" fillId="0" borderId="0" applyFont="0" applyFill="0" applyBorder="0" applyAlignment="0" applyProtection="0"/>
    <xf numFmtId="0" fontId="22" fillId="0" borderId="0"/>
    <xf numFmtId="9" fontId="22" fillId="0" borderId="0" applyFont="0" applyFill="0" applyBorder="0" applyAlignment="0" applyProtection="0"/>
    <xf numFmtId="9" fontId="1" fillId="0" borderId="0" applyFont="0" applyFill="0" applyBorder="0" applyAlignment="0" applyProtection="0"/>
    <xf numFmtId="176" fontId="22" fillId="0" borderId="0" applyFont="0" applyFill="0" applyBorder="0" applyAlignment="0" applyProtection="0"/>
  </cellStyleXfs>
  <cellXfs count="364">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9" xfId="1" applyFont="1" applyFill="1" applyBorder="1" applyAlignment="1">
      <alignment horizontal="right"/>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2" fillId="2" borderId="18" xfId="1" applyFont="1" applyFill="1" applyBorder="1" applyAlignment="1">
      <alignment horizontal="center"/>
    </xf>
    <xf numFmtId="0" fontId="2" fillId="2" borderId="0" xfId="1" applyFont="1" applyFill="1" applyBorder="1" applyAlignment="1">
      <alignment horizontal="center"/>
    </xf>
    <xf numFmtId="165" fontId="2" fillId="2" borderId="18" xfId="2" applyNumberFormat="1" applyFont="1" applyFill="1" applyBorder="1" applyAlignment="1">
      <alignment horizontal="right"/>
    </xf>
    <xf numFmtId="0" fontId="2" fillId="2" borderId="18" xfId="1" applyFont="1" applyFill="1" applyBorder="1" applyAlignment="1">
      <alignment horizontal="lef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22" xfId="1" applyFont="1" applyFill="1" applyBorder="1" applyAlignment="1">
      <alignment horizontal="center"/>
    </xf>
    <xf numFmtId="165" fontId="2" fillId="2" borderId="22" xfId="2" applyNumberFormat="1" applyFont="1" applyFill="1" applyBorder="1" applyAlignment="1">
      <alignment horizontal="right"/>
    </xf>
    <xf numFmtId="0" fontId="2" fillId="2" borderId="22" xfId="1" applyFont="1" applyFill="1" applyBorder="1" applyAlignment="1">
      <alignment horizontal="left"/>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9" xfId="1" applyFont="1" applyFill="1" applyBorder="1" applyAlignment="1">
      <alignment horizontal="center"/>
    </xf>
    <xf numFmtId="166" fontId="8" fillId="2" borderId="28" xfId="1" applyNumberFormat="1" applyFont="1" applyFill="1" applyBorder="1" applyAlignment="1">
      <alignment horizontal="right"/>
    </xf>
    <xf numFmtId="167" fontId="8" fillId="2" borderId="21" xfId="1" applyNumberFormat="1" applyFont="1" applyFill="1" applyBorder="1" applyAlignment="1">
      <alignment horizontal="center"/>
    </xf>
    <xf numFmtId="166" fontId="8" fillId="2" borderId="29"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7" xfId="1" applyFont="1" applyFill="1" applyBorder="1" applyAlignment="1">
      <alignment horizontal="right"/>
    </xf>
    <xf numFmtId="0" fontId="8" fillId="5" borderId="19" xfId="1" applyFont="1" applyFill="1" applyBorder="1" applyAlignment="1">
      <alignment horizontal="center"/>
    </xf>
    <xf numFmtId="0" fontId="9" fillId="4" borderId="28" xfId="1" applyFont="1" applyFill="1" applyBorder="1" applyAlignment="1">
      <alignment horizontal="right"/>
    </xf>
    <xf numFmtId="11" fontId="8" fillId="5" borderId="19" xfId="1" applyNumberFormat="1" applyFont="1" applyFill="1" applyBorder="1" applyAlignment="1">
      <alignment horizontal="center"/>
    </xf>
    <xf numFmtId="0" fontId="8" fillId="2" borderId="21" xfId="3" applyFont="1" applyFill="1" applyBorder="1" applyAlignment="1">
      <alignment horizontal="center"/>
    </xf>
    <xf numFmtId="0" fontId="8" fillId="2" borderId="19" xfId="3" applyFont="1" applyFill="1" applyBorder="1" applyAlignment="1">
      <alignment horizontal="center"/>
    </xf>
    <xf numFmtId="3" fontId="8" fillId="5" borderId="19" xfId="1" applyNumberFormat="1" applyFont="1" applyFill="1" applyBorder="1" applyAlignment="1">
      <alignment horizontal="center"/>
    </xf>
    <xf numFmtId="169" fontId="8" fillId="5" borderId="21" xfId="1" applyNumberFormat="1" applyFont="1" applyFill="1" applyBorder="1" applyAlignment="1">
      <alignment horizontal="center"/>
    </xf>
    <xf numFmtId="0" fontId="9" fillId="4" borderId="29" xfId="1" applyFont="1" applyFill="1" applyBorder="1" applyAlignment="1">
      <alignment horizontal="right"/>
    </xf>
    <xf numFmtId="1" fontId="10" fillId="3" borderId="17" xfId="1" applyNumberFormat="1" applyFont="1" applyFill="1" applyBorder="1" applyAlignment="1">
      <alignment horizontal="left"/>
    </xf>
    <xf numFmtId="169" fontId="8" fillId="3" borderId="21" xfId="1" quotePrefix="1" applyNumberFormat="1" applyFont="1" applyFill="1" applyBorder="1" applyAlignment="1">
      <alignment horizontal="center"/>
    </xf>
    <xf numFmtId="0" fontId="8" fillId="4" borderId="27" xfId="1" applyFont="1" applyFill="1" applyBorder="1"/>
    <xf numFmtId="170" fontId="8" fillId="2" borderId="19" xfId="1" applyNumberFormat="1" applyFont="1" applyFill="1" applyBorder="1" applyAlignment="1">
      <alignment horizontal="center"/>
    </xf>
    <xf numFmtId="0" fontId="8" fillId="4" borderId="28" xfId="1" applyFont="1" applyFill="1" applyBorder="1"/>
    <xf numFmtId="0" fontId="8" fillId="4" borderId="28" xfId="3" applyFont="1" applyFill="1" applyBorder="1"/>
    <xf numFmtId="0" fontId="8" fillId="2" borderId="19" xfId="1" quotePrefix="1" applyFont="1" applyFill="1" applyBorder="1" applyAlignment="1">
      <alignment horizontal="center"/>
    </xf>
    <xf numFmtId="0" fontId="8" fillId="4" borderId="29" xfId="3" applyFont="1" applyFill="1" applyBorder="1"/>
    <xf numFmtId="0" fontId="9" fillId="2" borderId="0" xfId="3" applyFont="1" applyFill="1" applyBorder="1"/>
    <xf numFmtId="0" fontId="12" fillId="0" borderId="0" xfId="1" applyFont="1"/>
    <xf numFmtId="0" fontId="2" fillId="0" borderId="0" xfId="4" applyFont="1"/>
    <xf numFmtId="0" fontId="2" fillId="0" borderId="0" xfId="4" applyFont="1" applyAlignment="1">
      <alignment horizontal="left"/>
    </xf>
    <xf numFmtId="0" fontId="2" fillId="2" borderId="5" xfId="4" applyFont="1" applyFill="1" applyBorder="1" applyAlignment="1">
      <alignment horizontal="center"/>
    </xf>
    <xf numFmtId="0" fontId="3" fillId="3" borderId="23" xfId="4" applyNumberFormat="1" applyFont="1" applyFill="1" applyBorder="1" applyAlignment="1" applyProtection="1">
      <alignment horizontal="left" vertical="center"/>
    </xf>
    <xf numFmtId="0" fontId="4" fillId="2" borderId="23" xfId="4" applyFont="1" applyFill="1" applyBorder="1" applyAlignment="1">
      <alignment horizontal="center" vertical="center" wrapText="1"/>
    </xf>
    <xf numFmtId="0" fontId="2" fillId="2" borderId="0" xfId="4" applyFont="1" applyFill="1" applyBorder="1"/>
    <xf numFmtId="0" fontId="13" fillId="2" borderId="1" xfId="4" applyFill="1" applyBorder="1"/>
    <xf numFmtId="0" fontId="13" fillId="2" borderId="2" xfId="4" applyFill="1" applyBorder="1"/>
    <xf numFmtId="0" fontId="13" fillId="2" borderId="3" xfId="4" applyFill="1" applyBorder="1"/>
    <xf numFmtId="0" fontId="19" fillId="2" borderId="4" xfId="4" applyFont="1" applyFill="1" applyBorder="1"/>
    <xf numFmtId="170" fontId="18" fillId="3" borderId="24" xfId="4" quotePrefix="1" applyNumberFormat="1" applyFont="1" applyFill="1" applyBorder="1" applyAlignment="1" applyProtection="1">
      <alignment horizontal="center"/>
    </xf>
    <xf numFmtId="0" fontId="20" fillId="4" borderId="23" xfId="4" applyFont="1" applyFill="1" applyBorder="1"/>
    <xf numFmtId="0" fontId="19" fillId="2" borderId="5" xfId="4" applyFont="1" applyFill="1" applyBorder="1"/>
    <xf numFmtId="170" fontId="18" fillId="3" borderId="24" xfId="4" applyNumberFormat="1" applyFont="1" applyFill="1" applyBorder="1" applyAlignment="1" applyProtection="1">
      <alignment horizontal="center"/>
    </xf>
    <xf numFmtId="0" fontId="19" fillId="2" borderId="0" xfId="4" applyFont="1" applyFill="1" applyBorder="1"/>
    <xf numFmtId="0" fontId="18" fillId="2" borderId="1" xfId="4" applyFont="1" applyFill="1" applyBorder="1"/>
    <xf numFmtId="0" fontId="18" fillId="2" borderId="2" xfId="4" applyFont="1" applyFill="1" applyBorder="1"/>
    <xf numFmtId="0" fontId="18" fillId="2" borderId="3" xfId="4" applyFont="1" applyFill="1" applyBorder="1"/>
    <xf numFmtId="15" fontId="18" fillId="2" borderId="4" xfId="4" applyNumberFormat="1" applyFont="1" applyFill="1" applyBorder="1"/>
    <xf numFmtId="0" fontId="18" fillId="4" borderId="23" xfId="4" applyNumberFormat="1" applyFont="1" applyFill="1" applyBorder="1"/>
    <xf numFmtId="0" fontId="18" fillId="2" borderId="5" xfId="4" applyFont="1" applyFill="1" applyBorder="1"/>
    <xf numFmtId="170" fontId="18" fillId="3" borderId="24" xfId="4" quotePrefix="1" applyNumberFormat="1" applyFont="1" applyFill="1" applyBorder="1" applyAlignment="1" applyProtection="1">
      <alignment horizontal="left"/>
    </xf>
    <xf numFmtId="0" fontId="18" fillId="2" borderId="4" xfId="4" applyFont="1" applyFill="1" applyBorder="1"/>
    <xf numFmtId="0" fontId="18" fillId="2" borderId="0" xfId="4" applyFont="1" applyFill="1" applyBorder="1"/>
    <xf numFmtId="164" fontId="2" fillId="0" borderId="0" xfId="4" applyNumberFormat="1" applyFont="1"/>
    <xf numFmtId="171" fontId="3" fillId="3" borderId="23" xfId="4" applyNumberFormat="1" applyFont="1" applyFill="1" applyBorder="1" applyAlignment="1" applyProtection="1">
      <alignment horizontal="left"/>
    </xf>
    <xf numFmtId="0" fontId="2" fillId="2" borderId="23" xfId="4" applyFont="1" applyFill="1" applyBorder="1"/>
    <xf numFmtId="0" fontId="2" fillId="3" borderId="23" xfId="4" applyNumberFormat="1" applyFont="1" applyFill="1" applyBorder="1" applyAlignment="1" applyProtection="1">
      <alignment horizontal="center" vertical="center"/>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8" xfId="1" applyNumberFormat="1" applyFont="1" applyFill="1" applyBorder="1" applyAlignment="1">
      <alignment horizontal="right"/>
    </xf>
    <xf numFmtId="0" fontId="8" fillId="2" borderId="19" xfId="1" applyFont="1" applyFill="1" applyBorder="1" applyAlignment="1">
      <alignment horizontal="left"/>
    </xf>
    <xf numFmtId="0" fontId="8" fillId="2" borderId="17" xfId="3" applyFont="1" applyFill="1" applyBorder="1" applyAlignment="1">
      <alignment horizontal="center" vertical="center"/>
    </xf>
    <xf numFmtId="0" fontId="24" fillId="0" borderId="0" xfId="0" applyFont="1"/>
    <xf numFmtId="0" fontId="4" fillId="11"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1" borderId="31" xfId="1" applyFont="1" applyFill="1" applyBorder="1" applyAlignment="1">
      <alignment horizontal="centerContinuous"/>
    </xf>
    <xf numFmtId="0" fontId="4" fillId="11" borderId="32" xfId="1" applyFont="1" applyFill="1" applyBorder="1" applyAlignment="1">
      <alignment horizontal="centerContinuous"/>
    </xf>
    <xf numFmtId="0" fontId="4" fillId="11" borderId="30" xfId="1" applyFont="1" applyFill="1" applyBorder="1" applyAlignment="1">
      <alignment horizontal="centerContinuous"/>
    </xf>
    <xf numFmtId="0" fontId="4" fillId="11" borderId="16" xfId="1" applyFont="1" applyFill="1" applyBorder="1" applyAlignment="1">
      <alignment horizontal="centerContinuous"/>
    </xf>
    <xf numFmtId="0" fontId="4" fillId="11" borderId="35" xfId="1" applyFont="1" applyFill="1" applyBorder="1" applyAlignment="1">
      <alignment horizontal="centerContinuous"/>
    </xf>
    <xf numFmtId="0" fontId="4" fillId="12" borderId="0" xfId="1" applyFont="1" applyFill="1" applyBorder="1" applyAlignment="1">
      <alignment horizontal="center" vertical="center"/>
    </xf>
    <xf numFmtId="0" fontId="4" fillId="11" borderId="31" xfId="1" applyFont="1" applyFill="1" applyBorder="1" applyAlignment="1">
      <alignment horizontal="center"/>
    </xf>
    <xf numFmtId="0" fontId="2" fillId="0" borderId="0" xfId="1" applyFont="1" applyAlignment="1"/>
    <xf numFmtId="0" fontId="2" fillId="0" borderId="22" xfId="1" applyFont="1" applyBorder="1" applyAlignment="1">
      <alignment horizontal="center" vertical="center"/>
    </xf>
    <xf numFmtId="164" fontId="2" fillId="0" borderId="0" xfId="1" applyNumberFormat="1" applyFont="1" applyBorder="1"/>
    <xf numFmtId="0" fontId="2" fillId="0" borderId="5" xfId="1" applyFont="1" applyBorder="1"/>
    <xf numFmtId="164" fontId="2" fillId="0" borderId="0" xfId="1" applyNumberFormat="1" applyFont="1" applyBorder="1" applyAlignment="1"/>
    <xf numFmtId="165" fontId="2" fillId="0" borderId="0" xfId="2" quotePrefix="1" applyNumberFormat="1" applyFont="1" applyBorder="1" applyAlignment="1"/>
    <xf numFmtId="165" fontId="2" fillId="0" borderId="2" xfId="2" quotePrefix="1" applyNumberFormat="1" applyFont="1" applyBorder="1" applyAlignment="1"/>
    <xf numFmtId="164" fontId="2" fillId="0" borderId="2" xfId="1" applyNumberFormat="1" applyFont="1" applyBorder="1"/>
    <xf numFmtId="165" fontId="2" fillId="0" borderId="0" xfId="2" applyNumberFormat="1" applyFont="1" applyBorder="1"/>
    <xf numFmtId="0" fontId="2" fillId="0" borderId="0" xfId="1" applyFont="1" applyBorder="1"/>
    <xf numFmtId="165" fontId="2" fillId="0" borderId="0" xfId="13" applyNumberFormat="1" applyFont="1" applyBorder="1"/>
    <xf numFmtId="165" fontId="2" fillId="0" borderId="4" xfId="1" applyNumberFormat="1" applyFont="1" applyBorder="1"/>
    <xf numFmtId="0" fontId="2" fillId="0" borderId="0" xfId="1" applyFont="1" applyBorder="1" applyAlignment="1">
      <alignment horizontal="right"/>
    </xf>
    <xf numFmtId="165" fontId="2" fillId="0" borderId="0" xfId="2" applyNumberFormat="1" applyFont="1"/>
    <xf numFmtId="165" fontId="25" fillId="0" borderId="5" xfId="2" applyNumberFormat="1" applyFont="1" applyBorder="1"/>
    <xf numFmtId="0" fontId="2" fillId="0" borderId="3" xfId="1" applyFont="1" applyBorder="1"/>
    <xf numFmtId="0" fontId="2" fillId="0" borderId="2" xfId="1" applyFont="1" applyBorder="1"/>
    <xf numFmtId="164" fontId="2" fillId="14" borderId="36" xfId="1" applyNumberFormat="1" applyFont="1" applyFill="1" applyBorder="1"/>
    <xf numFmtId="164" fontId="2" fillId="14" borderId="38" xfId="1" applyNumberFormat="1" applyFont="1" applyFill="1" applyBorder="1"/>
    <xf numFmtId="0" fontId="4" fillId="12" borderId="40" xfId="1" applyFont="1" applyFill="1" applyBorder="1" applyAlignment="1">
      <alignment horizontal="center"/>
    </xf>
    <xf numFmtId="164" fontId="2" fillId="14" borderId="28" xfId="1" applyNumberFormat="1" applyFont="1" applyFill="1" applyBorder="1"/>
    <xf numFmtId="0" fontId="2" fillId="13" borderId="28" xfId="1" applyNumberFormat="1" applyFont="1" applyFill="1" applyBorder="1"/>
    <xf numFmtId="164" fontId="2" fillId="14" borderId="43" xfId="1" applyNumberFormat="1" applyFont="1" applyFill="1" applyBorder="1"/>
    <xf numFmtId="0" fontId="2" fillId="13" borderId="43" xfId="1" applyNumberFormat="1" applyFont="1" applyFill="1" applyBorder="1"/>
    <xf numFmtId="0" fontId="6" fillId="2" borderId="17" xfId="1" applyFont="1" applyFill="1" applyBorder="1" applyAlignment="1">
      <alignment horizontal="center"/>
    </xf>
    <xf numFmtId="15" fontId="8" fillId="2" borderId="28" xfId="3" applyNumberFormat="1" applyFont="1" applyFill="1" applyBorder="1" applyAlignment="1">
      <alignment horizontal="right" vertical="center"/>
    </xf>
    <xf numFmtId="0" fontId="8" fillId="2" borderId="19" xfId="3" applyFont="1" applyFill="1" applyBorder="1" applyAlignment="1">
      <alignment horizontal="center" vertical="center"/>
    </xf>
    <xf numFmtId="15" fontId="6" fillId="2" borderId="27" xfId="3" applyNumberFormat="1" applyFont="1" applyFill="1" applyBorder="1" applyAlignment="1">
      <alignment horizontal="right" vertical="center"/>
    </xf>
    <xf numFmtId="0" fontId="4" fillId="4" borderId="7" xfId="1" applyFont="1" applyFill="1" applyBorder="1" applyAlignment="1">
      <alignment horizontal="right"/>
    </xf>
    <xf numFmtId="0" fontId="2" fillId="5" borderId="6" xfId="1" applyFont="1" applyFill="1" applyBorder="1" applyAlignment="1">
      <alignment horizontal="center"/>
    </xf>
    <xf numFmtId="0" fontId="4" fillId="11" borderId="31" xfId="1" applyFont="1" applyFill="1" applyBorder="1" applyAlignment="1">
      <alignment horizontal="center" vertical="center" wrapText="1"/>
    </xf>
    <xf numFmtId="0" fontId="4" fillId="11" borderId="32" xfId="1" applyFont="1" applyFill="1" applyBorder="1" applyAlignment="1">
      <alignment horizontal="center" vertical="center" wrapText="1"/>
    </xf>
    <xf numFmtId="0" fontId="4" fillId="11" borderId="30" xfId="1" applyFont="1" applyFill="1" applyBorder="1" applyAlignment="1">
      <alignment horizontal="center" vertical="center" wrapText="1"/>
    </xf>
    <xf numFmtId="0" fontId="2" fillId="0" borderId="32" xfId="1" applyFont="1" applyBorder="1"/>
    <xf numFmtId="164" fontId="2" fillId="0" borderId="32" xfId="1" applyNumberFormat="1" applyFont="1" applyBorder="1"/>
    <xf numFmtId="165" fontId="2" fillId="0" borderId="32" xfId="2" applyNumberFormat="1" applyFont="1" applyBorder="1"/>
    <xf numFmtId="0" fontId="2" fillId="0" borderId="32" xfId="1" applyFont="1" applyBorder="1" applyAlignment="1">
      <alignment horizontal="right"/>
    </xf>
    <xf numFmtId="0" fontId="4" fillId="11" borderId="25" xfId="1" applyFont="1" applyFill="1" applyBorder="1" applyAlignment="1">
      <alignment horizontal="center" vertical="center" wrapText="1"/>
    </xf>
    <xf numFmtId="0" fontId="2" fillId="0" borderId="20" xfId="1" applyFont="1" applyBorder="1"/>
    <xf numFmtId="165" fontId="2" fillId="0" borderId="20" xfId="2" quotePrefix="1" applyNumberFormat="1" applyFont="1" applyBorder="1" applyAlignment="1"/>
    <xf numFmtId="0" fontId="2" fillId="0" borderId="19" xfId="1" applyFont="1" applyBorder="1"/>
    <xf numFmtId="165" fontId="24" fillId="0" borderId="0" xfId="0" applyNumberFormat="1" applyFont="1"/>
    <xf numFmtId="10" fontId="2" fillId="0" borderId="0" xfId="13" applyNumberFormat="1" applyFont="1"/>
    <xf numFmtId="0" fontId="2" fillId="0" borderId="0" xfId="1" applyNumberFormat="1" applyFont="1"/>
    <xf numFmtId="0" fontId="4" fillId="11" borderId="15" xfId="1" applyFont="1" applyFill="1" applyBorder="1" applyAlignment="1">
      <alignment horizontal="centerContinuous"/>
    </xf>
    <xf numFmtId="0" fontId="4" fillId="12" borderId="40" xfId="1" applyFont="1" applyFill="1" applyBorder="1" applyAlignment="1">
      <alignment horizontal="center" vertical="center"/>
    </xf>
    <xf numFmtId="0" fontId="4" fillId="12" borderId="41" xfId="1" applyFont="1" applyFill="1" applyBorder="1" applyAlignment="1">
      <alignment horizontal="center" vertical="center"/>
    </xf>
    <xf numFmtId="0" fontId="4" fillId="12" borderId="42" xfId="1" applyFont="1" applyFill="1" applyBorder="1" applyAlignment="1">
      <alignment horizontal="center" vertical="center"/>
    </xf>
    <xf numFmtId="10" fontId="2" fillId="14" borderId="5" xfId="1" applyNumberFormat="1" applyFont="1" applyFill="1" applyBorder="1"/>
    <xf numFmtId="10" fontId="2" fillId="14" borderId="28" xfId="1" applyNumberFormat="1" applyFont="1" applyFill="1" applyBorder="1"/>
    <xf numFmtId="10" fontId="2" fillId="14" borderId="37" xfId="1" applyNumberFormat="1" applyFont="1" applyFill="1" applyBorder="1"/>
    <xf numFmtId="10" fontId="2" fillId="14" borderId="36" xfId="1" applyNumberFormat="1" applyFont="1" applyFill="1" applyBorder="1"/>
    <xf numFmtId="10" fontId="2" fillId="14" borderId="19" xfId="1" applyNumberFormat="1" applyFont="1" applyFill="1" applyBorder="1"/>
    <xf numFmtId="10" fontId="2" fillId="14" borderId="38" xfId="1" applyNumberFormat="1" applyFont="1" applyFill="1" applyBorder="1"/>
    <xf numFmtId="10" fontId="2" fillId="14" borderId="43" xfId="1" applyNumberFormat="1" applyFont="1" applyFill="1" applyBorder="1"/>
    <xf numFmtId="10" fontId="2" fillId="14" borderId="39" xfId="1" applyNumberFormat="1" applyFont="1" applyFill="1" applyBorder="1"/>
    <xf numFmtId="0" fontId="24" fillId="0" borderId="32" xfId="0" applyFont="1" applyBorder="1"/>
    <xf numFmtId="0" fontId="2" fillId="14" borderId="37" xfId="1" applyNumberFormat="1" applyFont="1" applyFill="1" applyBorder="1"/>
    <xf numFmtId="0" fontId="2" fillId="14" borderId="39" xfId="1" applyNumberFormat="1" applyFont="1" applyFill="1" applyBorder="1"/>
    <xf numFmtId="0" fontId="2" fillId="0" borderId="34" xfId="1" applyFont="1" applyBorder="1" applyAlignment="1">
      <alignment horizontal="center"/>
    </xf>
    <xf numFmtId="0" fontId="4" fillId="11" borderId="35" xfId="1" applyFont="1" applyFill="1" applyBorder="1" applyAlignment="1">
      <alignment horizontal="center" wrapText="1"/>
    </xf>
    <xf numFmtId="164" fontId="2" fillId="2" borderId="0" xfId="1" applyNumberFormat="1" applyFont="1" applyFill="1" applyBorder="1" applyAlignment="1">
      <alignment horizontal="right"/>
    </xf>
    <xf numFmtId="164" fontId="2" fillId="2" borderId="19" xfId="1" applyNumberFormat="1" applyFont="1" applyFill="1" applyBorder="1" applyAlignment="1">
      <alignment horizontal="right"/>
    </xf>
    <xf numFmtId="164" fontId="2" fillId="2" borderId="18" xfId="1" applyNumberFormat="1" applyFont="1" applyFill="1" applyBorder="1" applyAlignment="1">
      <alignment horizontal="right"/>
    </xf>
    <xf numFmtId="164" fontId="2" fillId="2" borderId="17" xfId="1" applyNumberFormat="1" applyFont="1" applyFill="1" applyBorder="1" applyAlignment="1">
      <alignment horizontal="right"/>
    </xf>
    <xf numFmtId="164" fontId="2" fillId="2" borderId="22" xfId="1" applyNumberFormat="1" applyFont="1" applyFill="1" applyBorder="1" applyAlignment="1">
      <alignment horizontal="right"/>
    </xf>
    <xf numFmtId="164" fontId="2" fillId="2" borderId="21" xfId="1" applyNumberFormat="1" applyFont="1" applyFill="1" applyBorder="1" applyAlignment="1">
      <alignment horizontal="right"/>
    </xf>
    <xf numFmtId="177" fontId="24" fillId="14" borderId="29" xfId="0" applyNumberFormat="1" applyFont="1" applyFill="1" applyBorder="1"/>
    <xf numFmtId="177" fontId="24" fillId="13" borderId="29" xfId="0" applyNumberFormat="1" applyFont="1" applyFill="1" applyBorder="1"/>
    <xf numFmtId="177" fontId="24" fillId="14" borderId="28" xfId="0" applyNumberFormat="1" applyFont="1" applyFill="1" applyBorder="1"/>
    <xf numFmtId="177" fontId="24" fillId="13" borderId="28" xfId="0" applyNumberFormat="1" applyFont="1" applyFill="1" applyBorder="1"/>
    <xf numFmtId="177" fontId="24" fillId="14" borderId="27" xfId="0" applyNumberFormat="1" applyFont="1" applyFill="1" applyBorder="1"/>
    <xf numFmtId="177" fontId="24" fillId="13" borderId="27" xfId="0" applyNumberFormat="1" applyFont="1" applyFill="1" applyBorder="1"/>
    <xf numFmtId="0" fontId="24" fillId="13" borderId="0" xfId="0" applyFont="1" applyFill="1" applyBorder="1"/>
    <xf numFmtId="0" fontId="24" fillId="13" borderId="4" xfId="0" applyFont="1" applyFill="1" applyBorder="1"/>
    <xf numFmtId="0" fontId="24" fillId="13" borderId="2" xfId="0" applyFont="1" applyFill="1" applyBorder="1"/>
    <xf numFmtId="0" fontId="24" fillId="13" borderId="1" xfId="0" applyFont="1" applyFill="1" applyBorder="1"/>
    <xf numFmtId="0" fontId="24" fillId="13" borderId="29" xfId="0" applyFont="1" applyFill="1" applyBorder="1"/>
    <xf numFmtId="164" fontId="24" fillId="13" borderId="29" xfId="0" applyNumberFormat="1" applyFont="1" applyFill="1" applyBorder="1"/>
    <xf numFmtId="0" fontId="24" fillId="13" borderId="28" xfId="0" applyFont="1" applyFill="1" applyBorder="1"/>
    <xf numFmtId="164" fontId="24" fillId="13" borderId="28" xfId="0" applyNumberFormat="1" applyFont="1" applyFill="1" applyBorder="1"/>
    <xf numFmtId="0" fontId="24" fillId="13" borderId="27" xfId="0" applyFont="1" applyFill="1" applyBorder="1"/>
    <xf numFmtId="164" fontId="24" fillId="13" borderId="27" xfId="0" applyNumberFormat="1" applyFont="1" applyFill="1" applyBorder="1"/>
    <xf numFmtId="0" fontId="2" fillId="2" borderId="29" xfId="4" applyFont="1" applyFill="1" applyBorder="1" applyAlignment="1">
      <alignment horizontal="center"/>
    </xf>
    <xf numFmtId="0" fontId="3" fillId="3" borderId="29" xfId="4" applyNumberFormat="1" applyFont="1" applyFill="1" applyBorder="1" applyAlignment="1" applyProtection="1">
      <alignment horizontal="left" vertical="center"/>
    </xf>
    <xf numFmtId="0" fontId="2" fillId="2" borderId="28" xfId="4" applyFont="1" applyFill="1" applyBorder="1" applyAlignment="1">
      <alignment horizontal="center"/>
    </xf>
    <xf numFmtId="0" fontId="3" fillId="3" borderId="28" xfId="4" applyNumberFormat="1" applyFont="1" applyFill="1" applyBorder="1" applyAlignment="1" applyProtection="1">
      <alignment horizontal="left" vertical="center"/>
    </xf>
    <xf numFmtId="0" fontId="2" fillId="2" borderId="27" xfId="4" applyFont="1" applyFill="1" applyBorder="1" applyAlignment="1">
      <alignment horizontal="center"/>
    </xf>
    <xf numFmtId="0" fontId="3" fillId="3" borderId="27" xfId="4" applyNumberFormat="1" applyFont="1" applyFill="1" applyBorder="1" applyAlignment="1" applyProtection="1">
      <alignment horizontal="left" vertical="center"/>
    </xf>
    <xf numFmtId="164" fontId="2" fillId="13" borderId="29" xfId="4" applyNumberFormat="1" applyFont="1" applyFill="1" applyBorder="1"/>
    <xf numFmtId="0" fontId="2" fillId="13" borderId="29" xfId="4" applyFont="1" applyFill="1" applyBorder="1"/>
    <xf numFmtId="0" fontId="2" fillId="13" borderId="29" xfId="4" applyFont="1" applyFill="1" applyBorder="1" applyAlignment="1">
      <alignment horizontal="right"/>
    </xf>
    <xf numFmtId="0" fontId="2" fillId="13" borderId="29" xfId="4" applyFont="1" applyFill="1" applyBorder="1" applyAlignment="1">
      <alignment horizontal="left"/>
    </xf>
    <xf numFmtId="164" fontId="2" fillId="13" borderId="28" xfId="4" applyNumberFormat="1" applyFont="1" applyFill="1" applyBorder="1"/>
    <xf numFmtId="0" fontId="2" fillId="13" borderId="28" xfId="4" applyFont="1" applyFill="1" applyBorder="1"/>
    <xf numFmtId="0" fontId="2" fillId="13" borderId="28" xfId="4" applyFont="1" applyFill="1" applyBorder="1" applyAlignment="1">
      <alignment horizontal="right"/>
    </xf>
    <xf numFmtId="0" fontId="2" fillId="13" borderId="28" xfId="4" applyFont="1" applyFill="1" applyBorder="1" applyAlignment="1">
      <alignment horizontal="left"/>
    </xf>
    <xf numFmtId="164" fontId="2" fillId="13" borderId="27" xfId="4" applyNumberFormat="1" applyFont="1" applyFill="1" applyBorder="1"/>
    <xf numFmtId="0" fontId="2" fillId="13" borderId="27" xfId="4" applyFont="1" applyFill="1" applyBorder="1"/>
    <xf numFmtId="0" fontId="2" fillId="13" borderId="27" xfId="4" applyFont="1" applyFill="1" applyBorder="1" applyAlignment="1">
      <alignment horizontal="right"/>
    </xf>
    <xf numFmtId="0" fontId="2" fillId="13" borderId="27" xfId="4" applyFont="1" applyFill="1" applyBorder="1" applyAlignment="1">
      <alignment horizontal="left"/>
    </xf>
    <xf numFmtId="0" fontId="2" fillId="2" borderId="5" xfId="1" applyFont="1" applyFill="1" applyBorder="1"/>
    <xf numFmtId="0" fontId="2" fillId="2" borderId="4"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4" fillId="2" borderId="24"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26" fillId="2" borderId="5" xfId="1" applyFont="1" applyFill="1" applyBorder="1"/>
    <xf numFmtId="0" fontId="4" fillId="2" borderId="29" xfId="1" applyFont="1" applyFill="1" applyBorder="1" applyAlignment="1">
      <alignment horizontal="center"/>
    </xf>
    <xf numFmtId="0" fontId="2" fillId="2" borderId="29" xfId="1" applyFont="1" applyFill="1" applyBorder="1" applyAlignment="1">
      <alignment horizontal="center"/>
    </xf>
    <xf numFmtId="0" fontId="2" fillId="2" borderId="29" xfId="1" quotePrefix="1" applyFont="1" applyFill="1" applyBorder="1" applyAlignment="1">
      <alignment horizontal="center"/>
    </xf>
    <xf numFmtId="0" fontId="2" fillId="2" borderId="29" xfId="2" applyNumberFormat="1" applyFont="1" applyFill="1" applyBorder="1" applyAlignment="1">
      <alignment horizontal="left"/>
    </xf>
    <xf numFmtId="172" fontId="2" fillId="2" borderId="29" xfId="2" applyNumberFormat="1" applyFont="1" applyFill="1" applyBorder="1" applyAlignment="1"/>
    <xf numFmtId="171" fontId="3" fillId="3" borderId="29" xfId="1" applyNumberFormat="1" applyFont="1" applyFill="1" applyBorder="1" applyAlignment="1" applyProtection="1">
      <alignment horizontal="left"/>
    </xf>
    <xf numFmtId="0" fontId="4" fillId="2" borderId="28" xfId="1" applyFont="1" applyFill="1" applyBorder="1" applyAlignment="1">
      <alignment horizontal="center"/>
    </xf>
    <xf numFmtId="0" fontId="2" fillId="2" borderId="28" xfId="1" applyFont="1" applyFill="1" applyBorder="1" applyAlignment="1">
      <alignment horizontal="center"/>
    </xf>
    <xf numFmtId="0" fontId="2" fillId="2" borderId="28" xfId="1" quotePrefix="1" applyFont="1" applyFill="1" applyBorder="1" applyAlignment="1">
      <alignment horizontal="center"/>
    </xf>
    <xf numFmtId="0" fontId="2" fillId="2" borderId="28" xfId="2" applyNumberFormat="1" applyFont="1" applyFill="1" applyBorder="1" applyAlignment="1">
      <alignment horizontal="left"/>
    </xf>
    <xf numFmtId="172" fontId="2" fillId="2" borderId="28" xfId="2" applyNumberFormat="1" applyFont="1" applyFill="1" applyBorder="1" applyAlignment="1"/>
    <xf numFmtId="171" fontId="3" fillId="3" borderId="28" xfId="1" applyNumberFormat="1" applyFont="1" applyFill="1" applyBorder="1" applyAlignment="1" applyProtection="1">
      <alignment horizontal="left"/>
    </xf>
    <xf numFmtId="0" fontId="4" fillId="2" borderId="27" xfId="1" applyFont="1" applyFill="1" applyBorder="1" applyAlignment="1">
      <alignment horizontal="center"/>
    </xf>
    <xf numFmtId="0" fontId="2" fillId="2" borderId="27" xfId="1" applyFont="1" applyFill="1" applyBorder="1" applyAlignment="1">
      <alignment horizontal="center"/>
    </xf>
    <xf numFmtId="0" fontId="2" fillId="2" borderId="27" xfId="1" quotePrefix="1" applyFont="1" applyFill="1" applyBorder="1" applyAlignment="1">
      <alignment horizontal="center"/>
    </xf>
    <xf numFmtId="0" fontId="2" fillId="2" borderId="27" xfId="2" applyNumberFormat="1" applyFont="1" applyFill="1" applyBorder="1" applyAlignment="1">
      <alignment horizontal="left"/>
    </xf>
    <xf numFmtId="172" fontId="2" fillId="2" borderId="27" xfId="2" applyNumberFormat="1" applyFont="1" applyFill="1" applyBorder="1" applyAlignment="1"/>
    <xf numFmtId="171" fontId="3" fillId="3" borderId="27" xfId="1" applyNumberFormat="1" applyFont="1" applyFill="1" applyBorder="1" applyAlignment="1" applyProtection="1">
      <alignment horizontal="left"/>
    </xf>
    <xf numFmtId="171" fontId="2" fillId="0" borderId="0" xfId="1" applyNumberFormat="1" applyFont="1"/>
    <xf numFmtId="165" fontId="2" fillId="2" borderId="29" xfId="2" applyNumberFormat="1" applyFont="1" applyFill="1" applyBorder="1" applyAlignment="1"/>
    <xf numFmtId="165" fontId="2" fillId="2" borderId="28" xfId="2" applyNumberFormat="1" applyFont="1" applyFill="1" applyBorder="1" applyAlignment="1"/>
    <xf numFmtId="165" fontId="2" fillId="2" borderId="27" xfId="2" applyNumberFormat="1" applyFont="1" applyFill="1" applyBorder="1" applyAlignment="1"/>
    <xf numFmtId="178" fontId="2" fillId="2" borderId="0" xfId="2" applyNumberFormat="1" applyFont="1" applyFill="1" applyBorder="1" applyAlignment="1">
      <alignment horizontal="right"/>
    </xf>
    <xf numFmtId="165" fontId="2" fillId="0" borderId="0" xfId="1" applyNumberFormat="1" applyFont="1"/>
    <xf numFmtId="0" fontId="2" fillId="2" borderId="4" xfId="4" applyFont="1" applyFill="1" applyBorder="1"/>
    <xf numFmtId="0" fontId="2" fillId="2" borderId="29" xfId="4" applyNumberFormat="1" applyFont="1" applyFill="1" applyBorder="1" applyAlignment="1">
      <alignment horizontal="left"/>
    </xf>
    <xf numFmtId="0" fontId="2" fillId="2" borderId="27" xfId="4" applyNumberFormat="1" applyFont="1" applyFill="1" applyBorder="1" applyAlignment="1">
      <alignment horizontal="left"/>
    </xf>
    <xf numFmtId="179" fontId="2" fillId="2" borderId="29" xfId="1" quotePrefix="1" applyNumberFormat="1" applyFont="1" applyFill="1" applyBorder="1" applyAlignment="1">
      <alignment horizontal="center"/>
    </xf>
    <xf numFmtId="179" fontId="2" fillId="2" borderId="28" xfId="1" quotePrefix="1" applyNumberFormat="1" applyFont="1" applyFill="1" applyBorder="1" applyAlignment="1">
      <alignment horizontal="center"/>
    </xf>
    <xf numFmtId="179" fontId="2" fillId="2" borderId="27" xfId="1" quotePrefix="1" applyNumberFormat="1" applyFont="1" applyFill="1" applyBorder="1" applyAlignment="1">
      <alignment horizontal="center"/>
    </xf>
    <xf numFmtId="0" fontId="4" fillId="6" borderId="16" xfId="1" applyFont="1" applyFill="1" applyBorder="1" applyAlignment="1">
      <alignment horizontal="center" vertical="center" wrapText="1"/>
    </xf>
    <xf numFmtId="179" fontId="2" fillId="13" borderId="29" xfId="4" applyNumberFormat="1" applyFont="1" applyFill="1" applyBorder="1"/>
    <xf numFmtId="179" fontId="2" fillId="13" borderId="28" xfId="4" applyNumberFormat="1" applyFont="1" applyFill="1" applyBorder="1"/>
    <xf numFmtId="179" fontId="2" fillId="13" borderId="27" xfId="4" applyNumberFormat="1" applyFont="1" applyFill="1" applyBorder="1"/>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4" fontId="24" fillId="0" borderId="23" xfId="0" applyNumberFormat="1" applyFont="1" applyBorder="1" applyAlignment="1">
      <alignment vertical="center"/>
    </xf>
    <xf numFmtId="0" fontId="27" fillId="0" borderId="0" xfId="4" applyFont="1"/>
    <xf numFmtId="0" fontId="2" fillId="2" borderId="23" xfId="4" applyFont="1" applyFill="1" applyBorder="1" applyAlignment="1">
      <alignment horizontal="center" vertical="center" wrapText="1"/>
    </xf>
    <xf numFmtId="172" fontId="2" fillId="8" borderId="29" xfId="4" applyNumberFormat="1" applyFont="1" applyFill="1" applyBorder="1" applyAlignment="1"/>
    <xf numFmtId="172" fontId="2" fillId="2" borderId="29" xfId="4" applyNumberFormat="1" applyFont="1" applyFill="1" applyBorder="1" applyAlignment="1">
      <alignment horizontal="left"/>
    </xf>
    <xf numFmtId="171" fontId="3" fillId="3" borderId="29" xfId="4" applyNumberFormat="1" applyFont="1" applyFill="1" applyBorder="1" applyAlignment="1" applyProtection="1">
      <alignment horizontal="left"/>
    </xf>
    <xf numFmtId="172" fontId="2" fillId="8" borderId="27" xfId="4" applyNumberFormat="1" applyFont="1" applyFill="1" applyBorder="1" applyAlignment="1"/>
    <xf numFmtId="171" fontId="3" fillId="3" borderId="27" xfId="4" applyNumberFormat="1" applyFont="1" applyFill="1" applyBorder="1" applyAlignment="1" applyProtection="1">
      <alignment horizontal="left"/>
    </xf>
    <xf numFmtId="0" fontId="11" fillId="7" borderId="16" xfId="3" applyFont="1" applyFill="1" applyBorder="1" applyAlignment="1">
      <alignment horizontal="center"/>
    </xf>
    <xf numFmtId="0" fontId="11" fillId="7" borderId="33"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0" fontId="2" fillId="2" borderId="31" xfId="1" applyFont="1" applyFill="1" applyBorder="1"/>
    <xf numFmtId="0" fontId="21" fillId="2" borderId="32" xfId="1" applyFont="1" applyFill="1" applyBorder="1"/>
    <xf numFmtId="0" fontId="2" fillId="2" borderId="32" xfId="1" applyFont="1" applyFill="1" applyBorder="1" applyAlignment="1">
      <alignment horizontal="center"/>
    </xf>
    <xf numFmtId="0" fontId="2" fillId="2" borderId="32" xfId="1" applyFont="1" applyFill="1" applyBorder="1" applyAlignment="1">
      <alignment horizontal="center" vertical="center"/>
    </xf>
    <xf numFmtId="0" fontId="2" fillId="2" borderId="30" xfId="1" applyFont="1" applyFill="1" applyBorder="1"/>
    <xf numFmtId="0" fontId="2" fillId="0" borderId="4" xfId="1" applyFont="1" applyBorder="1"/>
    <xf numFmtId="0" fontId="2" fillId="0" borderId="1" xfId="1" applyFont="1" applyBorder="1"/>
    <xf numFmtId="0" fontId="26" fillId="13" borderId="5" xfId="1" applyFont="1" applyFill="1" applyBorder="1"/>
    <xf numFmtId="0" fontId="2" fillId="13" borderId="3" xfId="1" applyFont="1" applyFill="1" applyBorder="1"/>
    <xf numFmtId="0" fontId="2" fillId="13" borderId="2" xfId="1" applyFont="1" applyFill="1" applyBorder="1"/>
    <xf numFmtId="0" fontId="2" fillId="13" borderId="1" xfId="1" applyFont="1" applyFill="1" applyBorder="1"/>
    <xf numFmtId="0" fontId="2" fillId="2" borderId="32" xfId="4" applyFont="1" applyFill="1" applyBorder="1"/>
    <xf numFmtId="0" fontId="2" fillId="2" borderId="32" xfId="4" applyFont="1" applyFill="1" applyBorder="1" applyAlignment="1">
      <alignment horizontal="center"/>
    </xf>
    <xf numFmtId="0" fontId="14" fillId="2" borderId="44" xfId="4" applyFont="1" applyFill="1" applyBorder="1" applyAlignment="1">
      <alignment horizontal="left" vertical="center"/>
    </xf>
    <xf numFmtId="0" fontId="2" fillId="2" borderId="30" xfId="4" applyFont="1" applyFill="1" applyBorder="1"/>
    <xf numFmtId="0" fontId="27" fillId="13" borderId="3" xfId="4" applyFont="1" applyFill="1" applyBorder="1"/>
    <xf numFmtId="0" fontId="27" fillId="13" borderId="2" xfId="4" applyFont="1" applyFill="1" applyBorder="1"/>
    <xf numFmtId="0" fontId="27" fillId="13" borderId="1" xfId="4" applyFont="1" applyFill="1" applyBorder="1"/>
    <xf numFmtId="0" fontId="2" fillId="13" borderId="5" xfId="4" applyFont="1" applyFill="1" applyBorder="1" applyAlignment="1">
      <alignment horizontal="center"/>
    </xf>
    <xf numFmtId="0" fontId="2" fillId="13" borderId="5" xfId="4" applyFont="1" applyFill="1" applyBorder="1"/>
    <xf numFmtId="0" fontId="2" fillId="13" borderId="31" xfId="4" applyFont="1" applyFill="1" applyBorder="1" applyAlignment="1">
      <alignment horizontal="center"/>
    </xf>
    <xf numFmtId="0" fontId="21" fillId="13" borderId="30" xfId="4" applyFont="1" applyFill="1" applyBorder="1"/>
    <xf numFmtId="0" fontId="21" fillId="13" borderId="4" xfId="4" applyFont="1" applyFill="1" applyBorder="1"/>
    <xf numFmtId="0" fontId="2" fillId="13" borderId="4" xfId="4" applyFont="1" applyFill="1" applyBorder="1"/>
    <xf numFmtId="0" fontId="2" fillId="13" borderId="3" xfId="4" applyFont="1" applyFill="1" applyBorder="1"/>
    <xf numFmtId="0" fontId="2" fillId="13" borderId="2" xfId="4" applyFont="1" applyFill="1" applyBorder="1"/>
    <xf numFmtId="0" fontId="2" fillId="13" borderId="2" xfId="4" applyFont="1" applyFill="1" applyBorder="1" applyAlignment="1">
      <alignment horizontal="left"/>
    </xf>
    <xf numFmtId="0" fontId="2" fillId="13" borderId="1" xfId="4" applyFont="1" applyFill="1" applyBorder="1"/>
    <xf numFmtId="0" fontId="2" fillId="2" borderId="45" xfId="1" applyFont="1" applyFill="1" applyBorder="1" applyAlignment="1">
      <alignment horizontal="left"/>
    </xf>
    <xf numFmtId="0" fontId="2" fillId="2" borderId="20" xfId="1" applyFont="1" applyFill="1" applyBorder="1" applyAlignment="1">
      <alignment horizontal="left"/>
    </xf>
    <xf numFmtId="0" fontId="2" fillId="2" borderId="46" xfId="1" applyFont="1" applyFill="1" applyBorder="1" applyAlignment="1">
      <alignment horizontal="left"/>
    </xf>
    <xf numFmtId="0" fontId="4" fillId="6" borderId="29" xfId="1" applyFont="1" applyFill="1" applyBorder="1" applyAlignment="1">
      <alignment horizontal="center" vertical="center" wrapText="1"/>
    </xf>
    <xf numFmtId="0" fontId="2" fillId="13" borderId="0" xfId="1" applyFont="1" applyFill="1" applyBorder="1"/>
    <xf numFmtId="0" fontId="2" fillId="13" borderId="0" xfId="1" applyFont="1" applyFill="1" applyBorder="1" applyAlignment="1">
      <alignment horizontal="left"/>
    </xf>
    <xf numFmtId="178" fontId="2" fillId="2" borderId="22" xfId="2" applyNumberFormat="1" applyFont="1" applyFill="1" applyBorder="1" applyAlignment="1">
      <alignment horizontal="right"/>
    </xf>
    <xf numFmtId="178" fontId="2" fillId="2" borderId="18" xfId="2" applyNumberFormat="1" applyFont="1" applyFill="1" applyBorder="1" applyAlignment="1">
      <alignment horizontal="right"/>
    </xf>
    <xf numFmtId="0" fontId="2" fillId="13" borderId="29" xfId="4" applyNumberFormat="1" applyFont="1" applyFill="1" applyBorder="1" applyAlignment="1">
      <alignment horizontal="right"/>
    </xf>
    <xf numFmtId="0" fontId="2" fillId="13" borderId="29" xfId="4" applyNumberFormat="1" applyFont="1" applyFill="1" applyBorder="1" applyAlignment="1">
      <alignment horizontal="center"/>
    </xf>
    <xf numFmtId="0" fontId="2" fillId="13" borderId="29" xfId="4" applyNumberFormat="1" applyFont="1" applyFill="1" applyBorder="1" applyAlignment="1"/>
    <xf numFmtId="0" fontId="2" fillId="13" borderId="28" xfId="4" applyNumberFormat="1" applyFont="1" applyFill="1" applyBorder="1" applyAlignment="1">
      <alignment horizontal="right"/>
    </xf>
    <xf numFmtId="0" fontId="2" fillId="13" borderId="28" xfId="4" applyNumberFormat="1" applyFont="1" applyFill="1" applyBorder="1" applyAlignment="1">
      <alignment horizontal="center"/>
    </xf>
    <xf numFmtId="0" fontId="2" fillId="13" borderId="28" xfId="4" applyNumberFormat="1" applyFont="1" applyFill="1" applyBorder="1" applyAlignment="1"/>
    <xf numFmtId="0" fontId="2" fillId="13" borderId="27" xfId="4" applyNumberFormat="1" applyFont="1" applyFill="1" applyBorder="1" applyAlignment="1">
      <alignment horizontal="right"/>
    </xf>
    <xf numFmtId="0" fontId="2" fillId="13" borderId="28" xfId="4" applyFont="1" applyFill="1" applyBorder="1" applyAlignment="1">
      <alignment horizontal="center"/>
    </xf>
    <xf numFmtId="0" fontId="2" fillId="13" borderId="27" xfId="4" applyFont="1" applyFill="1" applyBorder="1" applyAlignment="1">
      <alignment horizontal="center"/>
    </xf>
    <xf numFmtId="172" fontId="2" fillId="2" borderId="45" xfId="4" applyNumberFormat="1" applyFont="1" applyFill="1" applyBorder="1" applyAlignment="1">
      <alignment horizontal="left"/>
    </xf>
    <xf numFmtId="172" fontId="2" fillId="2" borderId="46" xfId="4" applyNumberFormat="1" applyFont="1" applyFill="1" applyBorder="1" applyAlignment="1">
      <alignment horizontal="left"/>
    </xf>
    <xf numFmtId="0" fontId="2" fillId="2" borderId="21" xfId="4" applyNumberFormat="1" applyFont="1" applyFill="1" applyBorder="1" applyAlignment="1">
      <alignment horizontal="left"/>
    </xf>
    <xf numFmtId="0" fontId="2" fillId="2" borderId="17" xfId="4" applyNumberFormat="1" applyFont="1" applyFill="1" applyBorder="1" applyAlignment="1">
      <alignment horizontal="left"/>
    </xf>
    <xf numFmtId="0" fontId="2" fillId="0" borderId="32" xfId="4" applyFont="1" applyBorder="1" applyAlignment="1">
      <alignment horizontal="left"/>
    </xf>
    <xf numFmtId="0" fontId="2" fillId="13" borderId="31" xfId="4" applyFont="1" applyFill="1" applyBorder="1"/>
    <xf numFmtId="0" fontId="2" fillId="13" borderId="32" xfId="4" applyFont="1" applyFill="1" applyBorder="1"/>
    <xf numFmtId="0" fontId="2" fillId="13" borderId="32" xfId="4" applyFont="1" applyFill="1" applyBorder="1" applyAlignment="1">
      <alignment horizontal="center"/>
    </xf>
    <xf numFmtId="0" fontId="27" fillId="13" borderId="0" xfId="4" applyFont="1" applyFill="1"/>
    <xf numFmtId="0" fontId="14" fillId="13" borderId="44" xfId="4" applyFont="1" applyFill="1" applyBorder="1" applyAlignment="1">
      <alignment horizontal="left" vertical="center"/>
    </xf>
    <xf numFmtId="0" fontId="2" fillId="2" borderId="29" xfId="1" applyFont="1" applyFill="1" applyBorder="1" applyAlignment="1">
      <alignment horizontal="left"/>
    </xf>
    <xf numFmtId="0" fontId="2" fillId="2" borderId="28" xfId="1" applyFont="1" applyFill="1" applyBorder="1" applyAlignment="1">
      <alignment horizontal="left"/>
    </xf>
    <xf numFmtId="0" fontId="2" fillId="2" borderId="27" xfId="1" applyFont="1" applyFill="1" applyBorder="1" applyAlignment="1">
      <alignment horizontal="left"/>
    </xf>
    <xf numFmtId="0" fontId="2" fillId="13" borderId="29" xfId="1" applyFont="1" applyFill="1" applyBorder="1"/>
    <xf numFmtId="0" fontId="2" fillId="13" borderId="28" xfId="1" applyFont="1" applyFill="1" applyBorder="1"/>
    <xf numFmtId="0" fontId="2" fillId="13" borderId="27" xfId="1" applyFont="1" applyFill="1" applyBorder="1"/>
    <xf numFmtId="0" fontId="2" fillId="13" borderId="29" xfId="1" applyFont="1" applyFill="1" applyBorder="1" applyAlignment="1">
      <alignment horizontal="left"/>
    </xf>
    <xf numFmtId="0" fontId="2" fillId="13" borderId="28" xfId="1" applyFont="1" applyFill="1" applyBorder="1" applyAlignment="1">
      <alignment horizontal="left"/>
    </xf>
    <xf numFmtId="0" fontId="2" fillId="13" borderId="27" xfId="1" applyFont="1" applyFill="1" applyBorder="1" applyAlignment="1">
      <alignment horizontal="left"/>
    </xf>
    <xf numFmtId="0" fontId="2" fillId="0" borderId="0" xfId="1" applyFont="1" applyFill="1" applyBorder="1" applyAlignment="1">
      <alignment horizontal="left"/>
    </xf>
    <xf numFmtId="0" fontId="2" fillId="0" borderId="0" xfId="1" applyFont="1" applyFill="1" applyBorder="1"/>
    <xf numFmtId="0" fontId="2" fillId="0" borderId="0" xfId="1" applyFont="1" applyFill="1"/>
    <xf numFmtId="0" fontId="2" fillId="0" borderId="0" xfId="1" applyFont="1" applyFill="1" applyAlignment="1">
      <alignment horizontal="left"/>
    </xf>
    <xf numFmtId="0" fontId="2" fillId="2" borderId="47" xfId="4" applyFont="1" applyFill="1" applyBorder="1"/>
    <xf numFmtId="164" fontId="2" fillId="2" borderId="46" xfId="4" applyNumberFormat="1" applyFont="1" applyFill="1" applyBorder="1"/>
    <xf numFmtId="165" fontId="2" fillId="2" borderId="22" xfId="2" applyNumberFormat="1" applyFont="1" applyFill="1" applyBorder="1" applyAlignment="1">
      <alignment horizontal="center"/>
    </xf>
    <xf numFmtId="165" fontId="2" fillId="2" borderId="0" xfId="2" applyNumberFormat="1" applyFont="1" applyFill="1" applyBorder="1" applyAlignment="1">
      <alignment horizontal="center"/>
    </xf>
    <xf numFmtId="165" fontId="2" fillId="2" borderId="18" xfId="2" applyNumberFormat="1" applyFont="1" applyFill="1" applyBorder="1" applyAlignment="1">
      <alignment horizontal="center"/>
    </xf>
    <xf numFmtId="178" fontId="2" fillId="2" borderId="22" xfId="2" applyNumberFormat="1" applyFont="1" applyFill="1" applyBorder="1" applyAlignment="1">
      <alignment horizontal="center"/>
    </xf>
    <xf numFmtId="178" fontId="2" fillId="2" borderId="0" xfId="2" applyNumberFormat="1" applyFont="1" applyFill="1" applyBorder="1" applyAlignment="1">
      <alignment horizontal="center"/>
    </xf>
    <xf numFmtId="178" fontId="2" fillId="2" borderId="18" xfId="2" applyNumberFormat="1" applyFont="1" applyFill="1" applyBorder="1" applyAlignment="1">
      <alignment horizontal="center"/>
    </xf>
    <xf numFmtId="167" fontId="2" fillId="0" borderId="5" xfId="2" applyNumberFormat="1" applyFont="1" applyBorder="1"/>
    <xf numFmtId="167" fontId="2" fillId="0" borderId="0" xfId="2" applyNumberFormat="1" applyFont="1" applyFill="1" applyBorder="1"/>
    <xf numFmtId="0" fontId="2" fillId="0" borderId="0" xfId="1" applyFont="1" applyFill="1" applyBorder="1" applyAlignment="1"/>
    <xf numFmtId="0" fontId="4" fillId="6" borderId="33" xfId="1" applyFont="1" applyFill="1" applyBorder="1" applyAlignment="1">
      <alignment horizontal="centerContinuous" vertical="center" wrapText="1"/>
    </xf>
    <xf numFmtId="0" fontId="4" fillId="6" borderId="15" xfId="1" applyFont="1" applyFill="1" applyBorder="1" applyAlignment="1">
      <alignment horizontal="centerContinuous" vertical="center" wrapText="1"/>
    </xf>
    <xf numFmtId="0" fontId="4" fillId="6" borderId="16" xfId="1" applyFont="1" applyFill="1" applyBorder="1" applyAlignment="1">
      <alignment horizontal="centerContinuous" vertical="center" wrapText="1"/>
    </xf>
    <xf numFmtId="0" fontId="4" fillId="6" borderId="34" xfId="1" applyFont="1" applyFill="1" applyBorder="1" applyAlignment="1">
      <alignment horizontal="center" vertical="center" wrapText="1"/>
    </xf>
    <xf numFmtId="0" fontId="4" fillId="6" borderId="34" xfId="1" applyFont="1" applyFill="1" applyBorder="1" applyAlignment="1">
      <alignment horizontal="centerContinuous" vertical="center" wrapText="1"/>
    </xf>
    <xf numFmtId="167" fontId="2" fillId="0" borderId="0" xfId="1" applyNumberFormat="1" applyFont="1"/>
    <xf numFmtId="167" fontId="2" fillId="0" borderId="5" xfId="1" applyNumberFormat="1" applyFont="1" applyBorder="1"/>
    <xf numFmtId="0" fontId="6" fillId="5" borderId="17" xfId="1" applyFont="1" applyFill="1" applyBorder="1" applyAlignment="1">
      <alignment horizontal="center"/>
    </xf>
    <xf numFmtId="165" fontId="2" fillId="0" borderId="0" xfId="1" applyNumberFormat="1" applyFont="1" applyFill="1" applyBorder="1" applyAlignment="1"/>
    <xf numFmtId="164" fontId="2" fillId="0" borderId="0" xfId="1" applyNumberFormat="1" applyFont="1" applyFill="1" applyBorder="1" applyAlignment="1"/>
    <xf numFmtId="167" fontId="2" fillId="0" borderId="31" xfId="2" applyNumberFormat="1" applyFont="1" applyFill="1" applyBorder="1"/>
    <xf numFmtId="0" fontId="2" fillId="0" borderId="32" xfId="1" applyFont="1" applyFill="1" applyBorder="1"/>
    <xf numFmtId="167" fontId="2" fillId="0" borderId="32" xfId="2" applyNumberFormat="1" applyFont="1" applyFill="1" applyBorder="1"/>
    <xf numFmtId="167" fontId="2" fillId="0" borderId="30" xfId="2" applyNumberFormat="1" applyFont="1" applyFill="1" applyBorder="1"/>
    <xf numFmtId="167" fontId="2" fillId="0" borderId="4" xfId="2" applyNumberFormat="1" applyFont="1" applyFill="1" applyBorder="1"/>
    <xf numFmtId="0" fontId="2" fillId="0" borderId="4" xfId="1" applyFont="1" applyFill="1" applyBorder="1"/>
    <xf numFmtId="167" fontId="2" fillId="0" borderId="3" xfId="1" applyNumberFormat="1" applyFont="1" applyBorder="1"/>
    <xf numFmtId="0" fontId="2" fillId="2" borderId="31" xfId="1" applyFont="1" applyFill="1" applyBorder="1" applyAlignment="1"/>
    <xf numFmtId="165" fontId="2" fillId="2" borderId="32" xfId="1" applyNumberFormat="1" applyFont="1" applyFill="1" applyBorder="1" applyAlignment="1"/>
    <xf numFmtId="164" fontId="2" fillId="2" borderId="32" xfId="1" applyNumberFormat="1" applyFont="1" applyFill="1" applyBorder="1" applyAlignment="1"/>
    <xf numFmtId="164" fontId="2" fillId="2" borderId="30" xfId="1" applyNumberFormat="1" applyFont="1" applyFill="1" applyBorder="1" applyAlignment="1"/>
    <xf numFmtId="165" fontId="2" fillId="0" borderId="20" xfId="1" applyNumberFormat="1" applyFont="1" applyBorder="1"/>
  </cellXfs>
  <cellStyles count="18">
    <cellStyle name="Comma 2" xfId="17"/>
    <cellStyle name="Migliaia (0)_AZIONI" xfId="7"/>
    <cellStyle name="Migliaia_AZIONI" xfId="8"/>
    <cellStyle name="Normal" xfId="0" builtinId="0"/>
    <cellStyle name="Normal 2" xfId="1"/>
    <cellStyle name="Normal 3" xfId="4"/>
    <cellStyle name="Normal 3 2" xfId="14"/>
    <cellStyle name="Normal_SwaptionATMVols" xfId="3"/>
    <cellStyle name="Normal_SwaptionATMVols 2" xfId="5"/>
    <cellStyle name="Normale_AZIONI" xfId="9"/>
    <cellStyle name="Percent" xfId="13" builtinId="5"/>
    <cellStyle name="Percent 2" xfId="2"/>
    <cellStyle name="Percent 2 2" xfId="15"/>
    <cellStyle name="Percent 2 2 2" xfId="16"/>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a:noFill/>
            </a:ln>
          </c:spPr>
          <c:marker>
            <c:symbol val="square"/>
            <c:size val="2"/>
          </c:marker>
          <c:cat>
            <c:numRef>
              <c:f>Monitor!$Z$11:$Z$3544</c:f>
              <c:numCache>
                <c:formatCode>ddd\,\ dd\-mmm\-yyyy</c:formatCode>
                <c:ptCount val="3534"/>
                <c:pt idx="0">
                  <c:v>42152</c:v>
                </c:pt>
                <c:pt idx="1">
                  <c:v>42153</c:v>
                </c:pt>
                <c:pt idx="2">
                  <c:v>42156</c:v>
                </c:pt>
                <c:pt idx="3">
                  <c:v>42157</c:v>
                </c:pt>
                <c:pt idx="4">
                  <c:v>42158</c:v>
                </c:pt>
                <c:pt idx="5">
                  <c:v>42159</c:v>
                </c:pt>
                <c:pt idx="6">
                  <c:v>42160</c:v>
                </c:pt>
                <c:pt idx="7">
                  <c:v>42163</c:v>
                </c:pt>
                <c:pt idx="8">
                  <c:v>42164</c:v>
                </c:pt>
                <c:pt idx="9">
                  <c:v>42165</c:v>
                </c:pt>
                <c:pt idx="10">
                  <c:v>42166</c:v>
                </c:pt>
                <c:pt idx="11">
                  <c:v>42167</c:v>
                </c:pt>
                <c:pt idx="12">
                  <c:v>42170</c:v>
                </c:pt>
                <c:pt idx="13">
                  <c:v>42171</c:v>
                </c:pt>
                <c:pt idx="14">
                  <c:v>42172</c:v>
                </c:pt>
                <c:pt idx="15">
                  <c:v>42173</c:v>
                </c:pt>
                <c:pt idx="16">
                  <c:v>42174</c:v>
                </c:pt>
                <c:pt idx="17">
                  <c:v>42177</c:v>
                </c:pt>
                <c:pt idx="18">
                  <c:v>42178</c:v>
                </c:pt>
                <c:pt idx="19">
                  <c:v>42179</c:v>
                </c:pt>
                <c:pt idx="20">
                  <c:v>42180</c:v>
                </c:pt>
                <c:pt idx="21">
                  <c:v>42181</c:v>
                </c:pt>
                <c:pt idx="22">
                  <c:v>42184</c:v>
                </c:pt>
                <c:pt idx="23">
                  <c:v>42185</c:v>
                </c:pt>
                <c:pt idx="24">
                  <c:v>42186</c:v>
                </c:pt>
                <c:pt idx="25">
                  <c:v>42187</c:v>
                </c:pt>
                <c:pt idx="26">
                  <c:v>42188</c:v>
                </c:pt>
                <c:pt idx="27">
                  <c:v>42191</c:v>
                </c:pt>
                <c:pt idx="28">
                  <c:v>42192</c:v>
                </c:pt>
                <c:pt idx="29">
                  <c:v>42193</c:v>
                </c:pt>
                <c:pt idx="30">
                  <c:v>42194</c:v>
                </c:pt>
                <c:pt idx="31">
                  <c:v>42195</c:v>
                </c:pt>
                <c:pt idx="32">
                  <c:v>42198</c:v>
                </c:pt>
                <c:pt idx="33">
                  <c:v>42199</c:v>
                </c:pt>
                <c:pt idx="34">
                  <c:v>42200</c:v>
                </c:pt>
                <c:pt idx="35">
                  <c:v>42201</c:v>
                </c:pt>
                <c:pt idx="36">
                  <c:v>42202</c:v>
                </c:pt>
                <c:pt idx="37">
                  <c:v>42205</c:v>
                </c:pt>
                <c:pt idx="38">
                  <c:v>42206</c:v>
                </c:pt>
                <c:pt idx="39">
                  <c:v>42207</c:v>
                </c:pt>
                <c:pt idx="40">
                  <c:v>42208</c:v>
                </c:pt>
                <c:pt idx="41">
                  <c:v>42209</c:v>
                </c:pt>
                <c:pt idx="42">
                  <c:v>42212</c:v>
                </c:pt>
                <c:pt idx="43">
                  <c:v>42213</c:v>
                </c:pt>
                <c:pt idx="44">
                  <c:v>42214</c:v>
                </c:pt>
                <c:pt idx="45">
                  <c:v>42215</c:v>
                </c:pt>
                <c:pt idx="46">
                  <c:v>42216</c:v>
                </c:pt>
                <c:pt idx="47">
                  <c:v>42219</c:v>
                </c:pt>
                <c:pt idx="48">
                  <c:v>42220</c:v>
                </c:pt>
                <c:pt idx="49">
                  <c:v>42221</c:v>
                </c:pt>
                <c:pt idx="50">
                  <c:v>42222</c:v>
                </c:pt>
                <c:pt idx="51">
                  <c:v>42223</c:v>
                </c:pt>
                <c:pt idx="52">
                  <c:v>42226</c:v>
                </c:pt>
                <c:pt idx="53">
                  <c:v>42227</c:v>
                </c:pt>
                <c:pt idx="54">
                  <c:v>42228</c:v>
                </c:pt>
                <c:pt idx="55">
                  <c:v>42229</c:v>
                </c:pt>
                <c:pt idx="56">
                  <c:v>42230</c:v>
                </c:pt>
                <c:pt idx="57">
                  <c:v>42233</c:v>
                </c:pt>
                <c:pt idx="58">
                  <c:v>42234</c:v>
                </c:pt>
                <c:pt idx="59">
                  <c:v>42235</c:v>
                </c:pt>
                <c:pt idx="60">
                  <c:v>42236</c:v>
                </c:pt>
                <c:pt idx="61">
                  <c:v>42237</c:v>
                </c:pt>
                <c:pt idx="62">
                  <c:v>42240</c:v>
                </c:pt>
                <c:pt idx="63">
                  <c:v>42241</c:v>
                </c:pt>
                <c:pt idx="64">
                  <c:v>42242</c:v>
                </c:pt>
                <c:pt idx="65">
                  <c:v>42243</c:v>
                </c:pt>
                <c:pt idx="66">
                  <c:v>42244</c:v>
                </c:pt>
                <c:pt idx="67">
                  <c:v>42247</c:v>
                </c:pt>
                <c:pt idx="68">
                  <c:v>42248</c:v>
                </c:pt>
                <c:pt idx="69">
                  <c:v>42249</c:v>
                </c:pt>
                <c:pt idx="70">
                  <c:v>42250</c:v>
                </c:pt>
                <c:pt idx="71">
                  <c:v>42251</c:v>
                </c:pt>
                <c:pt idx="72">
                  <c:v>42254</c:v>
                </c:pt>
                <c:pt idx="73">
                  <c:v>42255</c:v>
                </c:pt>
                <c:pt idx="74">
                  <c:v>42256</c:v>
                </c:pt>
                <c:pt idx="75">
                  <c:v>42257</c:v>
                </c:pt>
                <c:pt idx="76">
                  <c:v>42258</c:v>
                </c:pt>
                <c:pt idx="77">
                  <c:v>42261</c:v>
                </c:pt>
                <c:pt idx="78">
                  <c:v>42262</c:v>
                </c:pt>
                <c:pt idx="79">
                  <c:v>42263</c:v>
                </c:pt>
                <c:pt idx="80">
                  <c:v>42264</c:v>
                </c:pt>
                <c:pt idx="81">
                  <c:v>42265</c:v>
                </c:pt>
                <c:pt idx="82">
                  <c:v>42268</c:v>
                </c:pt>
                <c:pt idx="83">
                  <c:v>42269</c:v>
                </c:pt>
                <c:pt idx="84">
                  <c:v>42270</c:v>
                </c:pt>
                <c:pt idx="85">
                  <c:v>42271</c:v>
                </c:pt>
                <c:pt idx="86">
                  <c:v>42272</c:v>
                </c:pt>
                <c:pt idx="87">
                  <c:v>42275</c:v>
                </c:pt>
                <c:pt idx="88">
                  <c:v>42276</c:v>
                </c:pt>
                <c:pt idx="89">
                  <c:v>42277</c:v>
                </c:pt>
                <c:pt idx="90">
                  <c:v>42278</c:v>
                </c:pt>
                <c:pt idx="91">
                  <c:v>42279</c:v>
                </c:pt>
                <c:pt idx="92">
                  <c:v>42282</c:v>
                </c:pt>
                <c:pt idx="93">
                  <c:v>42283</c:v>
                </c:pt>
                <c:pt idx="94">
                  <c:v>42284</c:v>
                </c:pt>
                <c:pt idx="95">
                  <c:v>42285</c:v>
                </c:pt>
                <c:pt idx="96">
                  <c:v>42286</c:v>
                </c:pt>
                <c:pt idx="97">
                  <c:v>42289</c:v>
                </c:pt>
                <c:pt idx="98">
                  <c:v>42290</c:v>
                </c:pt>
                <c:pt idx="99">
                  <c:v>42291</c:v>
                </c:pt>
                <c:pt idx="100">
                  <c:v>42292</c:v>
                </c:pt>
                <c:pt idx="101">
                  <c:v>42293</c:v>
                </c:pt>
                <c:pt idx="102">
                  <c:v>42296</c:v>
                </c:pt>
                <c:pt idx="103">
                  <c:v>42297</c:v>
                </c:pt>
                <c:pt idx="104">
                  <c:v>42298</c:v>
                </c:pt>
                <c:pt idx="105">
                  <c:v>42299</c:v>
                </c:pt>
                <c:pt idx="106">
                  <c:v>42300</c:v>
                </c:pt>
                <c:pt idx="107">
                  <c:v>42303</c:v>
                </c:pt>
                <c:pt idx="108">
                  <c:v>42304</c:v>
                </c:pt>
                <c:pt idx="109">
                  <c:v>42305</c:v>
                </c:pt>
                <c:pt idx="110">
                  <c:v>42306</c:v>
                </c:pt>
                <c:pt idx="111">
                  <c:v>42307</c:v>
                </c:pt>
                <c:pt idx="112">
                  <c:v>42310</c:v>
                </c:pt>
                <c:pt idx="113">
                  <c:v>42311</c:v>
                </c:pt>
                <c:pt idx="114">
                  <c:v>42312</c:v>
                </c:pt>
                <c:pt idx="115">
                  <c:v>42313</c:v>
                </c:pt>
                <c:pt idx="116">
                  <c:v>42314</c:v>
                </c:pt>
                <c:pt idx="117">
                  <c:v>42317</c:v>
                </c:pt>
                <c:pt idx="118">
                  <c:v>42318</c:v>
                </c:pt>
                <c:pt idx="119">
                  <c:v>42319</c:v>
                </c:pt>
                <c:pt idx="120">
                  <c:v>42320</c:v>
                </c:pt>
                <c:pt idx="121">
                  <c:v>42321</c:v>
                </c:pt>
                <c:pt idx="122">
                  <c:v>42324</c:v>
                </c:pt>
                <c:pt idx="123">
                  <c:v>42325</c:v>
                </c:pt>
                <c:pt idx="124">
                  <c:v>42326</c:v>
                </c:pt>
                <c:pt idx="125">
                  <c:v>42327</c:v>
                </c:pt>
                <c:pt idx="126">
                  <c:v>42328</c:v>
                </c:pt>
                <c:pt idx="127">
                  <c:v>42331</c:v>
                </c:pt>
                <c:pt idx="128">
                  <c:v>42332</c:v>
                </c:pt>
                <c:pt idx="129">
                  <c:v>42333</c:v>
                </c:pt>
                <c:pt idx="130">
                  <c:v>42334</c:v>
                </c:pt>
                <c:pt idx="131">
                  <c:v>42335</c:v>
                </c:pt>
                <c:pt idx="132">
                  <c:v>42338</c:v>
                </c:pt>
                <c:pt idx="133">
                  <c:v>42339</c:v>
                </c:pt>
                <c:pt idx="134">
                  <c:v>42340</c:v>
                </c:pt>
                <c:pt idx="135">
                  <c:v>42341</c:v>
                </c:pt>
                <c:pt idx="136">
                  <c:v>42342</c:v>
                </c:pt>
                <c:pt idx="137">
                  <c:v>42345</c:v>
                </c:pt>
                <c:pt idx="138">
                  <c:v>42346</c:v>
                </c:pt>
                <c:pt idx="139">
                  <c:v>42347</c:v>
                </c:pt>
                <c:pt idx="140">
                  <c:v>42348</c:v>
                </c:pt>
                <c:pt idx="141">
                  <c:v>42349</c:v>
                </c:pt>
                <c:pt idx="142">
                  <c:v>42352</c:v>
                </c:pt>
                <c:pt idx="143">
                  <c:v>42353</c:v>
                </c:pt>
                <c:pt idx="144">
                  <c:v>42354</c:v>
                </c:pt>
                <c:pt idx="145">
                  <c:v>42355</c:v>
                </c:pt>
                <c:pt idx="146">
                  <c:v>42356</c:v>
                </c:pt>
                <c:pt idx="147">
                  <c:v>42359</c:v>
                </c:pt>
                <c:pt idx="148">
                  <c:v>42360</c:v>
                </c:pt>
                <c:pt idx="149">
                  <c:v>42361</c:v>
                </c:pt>
                <c:pt idx="150">
                  <c:v>42362</c:v>
                </c:pt>
                <c:pt idx="151">
                  <c:v>42366</c:v>
                </c:pt>
                <c:pt idx="152">
                  <c:v>42367</c:v>
                </c:pt>
                <c:pt idx="153">
                  <c:v>42368</c:v>
                </c:pt>
                <c:pt idx="154">
                  <c:v>42369</c:v>
                </c:pt>
                <c:pt idx="155">
                  <c:v>42373</c:v>
                </c:pt>
                <c:pt idx="156">
                  <c:v>42374</c:v>
                </c:pt>
                <c:pt idx="157">
                  <c:v>42375</c:v>
                </c:pt>
                <c:pt idx="158">
                  <c:v>42376</c:v>
                </c:pt>
                <c:pt idx="159">
                  <c:v>42377</c:v>
                </c:pt>
                <c:pt idx="160">
                  <c:v>42380</c:v>
                </c:pt>
                <c:pt idx="161">
                  <c:v>42381</c:v>
                </c:pt>
                <c:pt idx="162">
                  <c:v>42382</c:v>
                </c:pt>
                <c:pt idx="163">
                  <c:v>42383</c:v>
                </c:pt>
                <c:pt idx="164">
                  <c:v>42384</c:v>
                </c:pt>
                <c:pt idx="165">
                  <c:v>42387</c:v>
                </c:pt>
                <c:pt idx="166">
                  <c:v>42388</c:v>
                </c:pt>
                <c:pt idx="167">
                  <c:v>42389</c:v>
                </c:pt>
                <c:pt idx="168">
                  <c:v>42390</c:v>
                </c:pt>
                <c:pt idx="169">
                  <c:v>42391</c:v>
                </c:pt>
                <c:pt idx="170">
                  <c:v>42394</c:v>
                </c:pt>
                <c:pt idx="171">
                  <c:v>42395</c:v>
                </c:pt>
                <c:pt idx="172">
                  <c:v>42396</c:v>
                </c:pt>
                <c:pt idx="173">
                  <c:v>42397</c:v>
                </c:pt>
                <c:pt idx="174">
                  <c:v>42398</c:v>
                </c:pt>
                <c:pt idx="175">
                  <c:v>42401</c:v>
                </c:pt>
                <c:pt idx="176">
                  <c:v>42402</c:v>
                </c:pt>
                <c:pt idx="177">
                  <c:v>42403</c:v>
                </c:pt>
                <c:pt idx="178">
                  <c:v>42404</c:v>
                </c:pt>
                <c:pt idx="179">
                  <c:v>42405</c:v>
                </c:pt>
                <c:pt idx="180">
                  <c:v>42408</c:v>
                </c:pt>
                <c:pt idx="181">
                  <c:v>42409</c:v>
                </c:pt>
                <c:pt idx="182">
                  <c:v>42410</c:v>
                </c:pt>
                <c:pt idx="183">
                  <c:v>42411</c:v>
                </c:pt>
                <c:pt idx="184">
                  <c:v>42412</c:v>
                </c:pt>
                <c:pt idx="185">
                  <c:v>42415</c:v>
                </c:pt>
                <c:pt idx="186">
                  <c:v>42416</c:v>
                </c:pt>
                <c:pt idx="187">
                  <c:v>42417</c:v>
                </c:pt>
                <c:pt idx="188">
                  <c:v>42418</c:v>
                </c:pt>
                <c:pt idx="189">
                  <c:v>42419</c:v>
                </c:pt>
                <c:pt idx="190">
                  <c:v>42422</c:v>
                </c:pt>
                <c:pt idx="191">
                  <c:v>42423</c:v>
                </c:pt>
                <c:pt idx="192">
                  <c:v>42424</c:v>
                </c:pt>
                <c:pt idx="193">
                  <c:v>42425</c:v>
                </c:pt>
                <c:pt idx="194">
                  <c:v>42426</c:v>
                </c:pt>
                <c:pt idx="195">
                  <c:v>42429</c:v>
                </c:pt>
                <c:pt idx="196">
                  <c:v>42430</c:v>
                </c:pt>
                <c:pt idx="197">
                  <c:v>42431</c:v>
                </c:pt>
                <c:pt idx="198">
                  <c:v>42432</c:v>
                </c:pt>
                <c:pt idx="199">
                  <c:v>42433</c:v>
                </c:pt>
                <c:pt idx="200">
                  <c:v>42436</c:v>
                </c:pt>
                <c:pt idx="201">
                  <c:v>42437</c:v>
                </c:pt>
                <c:pt idx="202">
                  <c:v>42438</c:v>
                </c:pt>
                <c:pt idx="203">
                  <c:v>42439</c:v>
                </c:pt>
                <c:pt idx="204">
                  <c:v>42440</c:v>
                </c:pt>
                <c:pt idx="205">
                  <c:v>42443</c:v>
                </c:pt>
                <c:pt idx="206">
                  <c:v>42444</c:v>
                </c:pt>
                <c:pt idx="207">
                  <c:v>42445</c:v>
                </c:pt>
                <c:pt idx="208">
                  <c:v>42446</c:v>
                </c:pt>
                <c:pt idx="209">
                  <c:v>42447</c:v>
                </c:pt>
                <c:pt idx="210">
                  <c:v>42450</c:v>
                </c:pt>
                <c:pt idx="211">
                  <c:v>42451</c:v>
                </c:pt>
                <c:pt idx="212">
                  <c:v>42452</c:v>
                </c:pt>
                <c:pt idx="213">
                  <c:v>42453</c:v>
                </c:pt>
                <c:pt idx="214">
                  <c:v>42458</c:v>
                </c:pt>
                <c:pt idx="215">
                  <c:v>42459</c:v>
                </c:pt>
                <c:pt idx="216">
                  <c:v>42460</c:v>
                </c:pt>
                <c:pt idx="217">
                  <c:v>42461</c:v>
                </c:pt>
                <c:pt idx="218">
                  <c:v>42464</c:v>
                </c:pt>
                <c:pt idx="219">
                  <c:v>42465</c:v>
                </c:pt>
                <c:pt idx="220">
                  <c:v>42466</c:v>
                </c:pt>
                <c:pt idx="221">
                  <c:v>42467</c:v>
                </c:pt>
                <c:pt idx="222">
                  <c:v>42468</c:v>
                </c:pt>
                <c:pt idx="223">
                  <c:v>42471</c:v>
                </c:pt>
                <c:pt idx="224">
                  <c:v>42472</c:v>
                </c:pt>
                <c:pt idx="225">
                  <c:v>42473</c:v>
                </c:pt>
                <c:pt idx="226">
                  <c:v>42474</c:v>
                </c:pt>
                <c:pt idx="227">
                  <c:v>42475</c:v>
                </c:pt>
                <c:pt idx="228">
                  <c:v>42478</c:v>
                </c:pt>
                <c:pt idx="229">
                  <c:v>42479</c:v>
                </c:pt>
                <c:pt idx="230">
                  <c:v>42480</c:v>
                </c:pt>
                <c:pt idx="231">
                  <c:v>42481</c:v>
                </c:pt>
                <c:pt idx="232">
                  <c:v>42482</c:v>
                </c:pt>
                <c:pt idx="233">
                  <c:v>42485</c:v>
                </c:pt>
                <c:pt idx="234">
                  <c:v>42486</c:v>
                </c:pt>
                <c:pt idx="235">
                  <c:v>42487</c:v>
                </c:pt>
                <c:pt idx="236">
                  <c:v>42488</c:v>
                </c:pt>
                <c:pt idx="237">
                  <c:v>42489</c:v>
                </c:pt>
                <c:pt idx="238">
                  <c:v>42492</c:v>
                </c:pt>
                <c:pt idx="239">
                  <c:v>42493</c:v>
                </c:pt>
                <c:pt idx="240">
                  <c:v>42494</c:v>
                </c:pt>
                <c:pt idx="241">
                  <c:v>42495</c:v>
                </c:pt>
                <c:pt idx="242">
                  <c:v>42496</c:v>
                </c:pt>
                <c:pt idx="243">
                  <c:v>42499</c:v>
                </c:pt>
                <c:pt idx="244">
                  <c:v>42500</c:v>
                </c:pt>
                <c:pt idx="245">
                  <c:v>42501</c:v>
                </c:pt>
                <c:pt idx="246">
                  <c:v>42502</c:v>
                </c:pt>
                <c:pt idx="247">
                  <c:v>42503</c:v>
                </c:pt>
                <c:pt idx="248">
                  <c:v>42506</c:v>
                </c:pt>
                <c:pt idx="249">
                  <c:v>42507</c:v>
                </c:pt>
                <c:pt idx="250">
                  <c:v>42508</c:v>
                </c:pt>
                <c:pt idx="251">
                  <c:v>42509</c:v>
                </c:pt>
                <c:pt idx="252">
                  <c:v>42510</c:v>
                </c:pt>
                <c:pt idx="253">
                  <c:v>42513</c:v>
                </c:pt>
                <c:pt idx="254">
                  <c:v>42514</c:v>
                </c:pt>
                <c:pt idx="255">
                  <c:v>42515</c:v>
                </c:pt>
                <c:pt idx="256">
                  <c:v>42516</c:v>
                </c:pt>
                <c:pt idx="257">
                  <c:v>42517</c:v>
                </c:pt>
                <c:pt idx="258">
                  <c:v>42520</c:v>
                </c:pt>
                <c:pt idx="259">
                  <c:v>42521</c:v>
                </c:pt>
                <c:pt idx="260">
                  <c:v>42522</c:v>
                </c:pt>
                <c:pt idx="261">
                  <c:v>42523</c:v>
                </c:pt>
                <c:pt idx="262">
                  <c:v>42524</c:v>
                </c:pt>
                <c:pt idx="263">
                  <c:v>42527</c:v>
                </c:pt>
                <c:pt idx="264">
                  <c:v>42528</c:v>
                </c:pt>
                <c:pt idx="265">
                  <c:v>42529</c:v>
                </c:pt>
                <c:pt idx="266">
                  <c:v>42530</c:v>
                </c:pt>
                <c:pt idx="267">
                  <c:v>42531</c:v>
                </c:pt>
                <c:pt idx="268">
                  <c:v>42534</c:v>
                </c:pt>
                <c:pt idx="269">
                  <c:v>42535</c:v>
                </c:pt>
                <c:pt idx="270">
                  <c:v>42536</c:v>
                </c:pt>
                <c:pt idx="271">
                  <c:v>42537</c:v>
                </c:pt>
                <c:pt idx="272">
                  <c:v>42538</c:v>
                </c:pt>
                <c:pt idx="273">
                  <c:v>42541</c:v>
                </c:pt>
                <c:pt idx="274">
                  <c:v>42542</c:v>
                </c:pt>
                <c:pt idx="275">
                  <c:v>42543</c:v>
                </c:pt>
                <c:pt idx="276">
                  <c:v>42544</c:v>
                </c:pt>
                <c:pt idx="277">
                  <c:v>42545</c:v>
                </c:pt>
                <c:pt idx="278">
                  <c:v>42548</c:v>
                </c:pt>
                <c:pt idx="279">
                  <c:v>42549</c:v>
                </c:pt>
                <c:pt idx="280">
                  <c:v>42550</c:v>
                </c:pt>
                <c:pt idx="281">
                  <c:v>42551</c:v>
                </c:pt>
                <c:pt idx="282">
                  <c:v>42552</c:v>
                </c:pt>
                <c:pt idx="283">
                  <c:v>42555</c:v>
                </c:pt>
                <c:pt idx="284">
                  <c:v>42556</c:v>
                </c:pt>
                <c:pt idx="285">
                  <c:v>42557</c:v>
                </c:pt>
                <c:pt idx="286">
                  <c:v>42558</c:v>
                </c:pt>
                <c:pt idx="287">
                  <c:v>42559</c:v>
                </c:pt>
                <c:pt idx="288">
                  <c:v>42562</c:v>
                </c:pt>
                <c:pt idx="289">
                  <c:v>42563</c:v>
                </c:pt>
                <c:pt idx="290">
                  <c:v>42564</c:v>
                </c:pt>
                <c:pt idx="291">
                  <c:v>42565</c:v>
                </c:pt>
                <c:pt idx="292">
                  <c:v>42566</c:v>
                </c:pt>
                <c:pt idx="293">
                  <c:v>42569</c:v>
                </c:pt>
                <c:pt idx="294">
                  <c:v>42570</c:v>
                </c:pt>
                <c:pt idx="295">
                  <c:v>42571</c:v>
                </c:pt>
                <c:pt idx="296">
                  <c:v>42572</c:v>
                </c:pt>
                <c:pt idx="297">
                  <c:v>42573</c:v>
                </c:pt>
                <c:pt idx="298">
                  <c:v>42576</c:v>
                </c:pt>
                <c:pt idx="299">
                  <c:v>42577</c:v>
                </c:pt>
                <c:pt idx="300">
                  <c:v>42578</c:v>
                </c:pt>
                <c:pt idx="301">
                  <c:v>42579</c:v>
                </c:pt>
                <c:pt idx="302">
                  <c:v>42580</c:v>
                </c:pt>
                <c:pt idx="303">
                  <c:v>42583</c:v>
                </c:pt>
                <c:pt idx="304">
                  <c:v>42584</c:v>
                </c:pt>
                <c:pt idx="305">
                  <c:v>42585</c:v>
                </c:pt>
                <c:pt idx="306">
                  <c:v>42586</c:v>
                </c:pt>
                <c:pt idx="307">
                  <c:v>42587</c:v>
                </c:pt>
                <c:pt idx="308">
                  <c:v>42590</c:v>
                </c:pt>
                <c:pt idx="309">
                  <c:v>42591</c:v>
                </c:pt>
                <c:pt idx="310">
                  <c:v>42592</c:v>
                </c:pt>
                <c:pt idx="311">
                  <c:v>42593</c:v>
                </c:pt>
                <c:pt idx="312">
                  <c:v>42594</c:v>
                </c:pt>
                <c:pt idx="313">
                  <c:v>42597</c:v>
                </c:pt>
                <c:pt idx="314">
                  <c:v>42598</c:v>
                </c:pt>
                <c:pt idx="315">
                  <c:v>42599</c:v>
                </c:pt>
                <c:pt idx="316">
                  <c:v>42600</c:v>
                </c:pt>
                <c:pt idx="317">
                  <c:v>42601</c:v>
                </c:pt>
                <c:pt idx="318">
                  <c:v>42604</c:v>
                </c:pt>
                <c:pt idx="319">
                  <c:v>42605</c:v>
                </c:pt>
                <c:pt idx="320">
                  <c:v>42606</c:v>
                </c:pt>
                <c:pt idx="321">
                  <c:v>42607</c:v>
                </c:pt>
                <c:pt idx="322">
                  <c:v>42608</c:v>
                </c:pt>
                <c:pt idx="323">
                  <c:v>42611</c:v>
                </c:pt>
                <c:pt idx="324">
                  <c:v>42612</c:v>
                </c:pt>
                <c:pt idx="325">
                  <c:v>42613</c:v>
                </c:pt>
                <c:pt idx="326">
                  <c:v>42614</c:v>
                </c:pt>
                <c:pt idx="327">
                  <c:v>42615</c:v>
                </c:pt>
                <c:pt idx="328">
                  <c:v>42618</c:v>
                </c:pt>
                <c:pt idx="329">
                  <c:v>42619</c:v>
                </c:pt>
                <c:pt idx="330">
                  <c:v>42620</c:v>
                </c:pt>
                <c:pt idx="331">
                  <c:v>42621</c:v>
                </c:pt>
                <c:pt idx="332">
                  <c:v>42622</c:v>
                </c:pt>
                <c:pt idx="333">
                  <c:v>42625</c:v>
                </c:pt>
                <c:pt idx="334">
                  <c:v>42626</c:v>
                </c:pt>
                <c:pt idx="335">
                  <c:v>42627</c:v>
                </c:pt>
                <c:pt idx="336">
                  <c:v>42628</c:v>
                </c:pt>
                <c:pt idx="337">
                  <c:v>42629</c:v>
                </c:pt>
                <c:pt idx="338">
                  <c:v>42632</c:v>
                </c:pt>
                <c:pt idx="339">
                  <c:v>42633</c:v>
                </c:pt>
                <c:pt idx="340">
                  <c:v>42634</c:v>
                </c:pt>
                <c:pt idx="341">
                  <c:v>42635</c:v>
                </c:pt>
                <c:pt idx="342">
                  <c:v>42636</c:v>
                </c:pt>
                <c:pt idx="343">
                  <c:v>42639</c:v>
                </c:pt>
                <c:pt idx="344">
                  <c:v>42640</c:v>
                </c:pt>
                <c:pt idx="345">
                  <c:v>42641</c:v>
                </c:pt>
                <c:pt idx="346">
                  <c:v>42642</c:v>
                </c:pt>
                <c:pt idx="347">
                  <c:v>42643</c:v>
                </c:pt>
                <c:pt idx="348">
                  <c:v>42646</c:v>
                </c:pt>
                <c:pt idx="349">
                  <c:v>42647</c:v>
                </c:pt>
                <c:pt idx="350">
                  <c:v>42648</c:v>
                </c:pt>
                <c:pt idx="351">
                  <c:v>42649</c:v>
                </c:pt>
                <c:pt idx="352">
                  <c:v>42650</c:v>
                </c:pt>
                <c:pt idx="353">
                  <c:v>42653</c:v>
                </c:pt>
                <c:pt idx="354">
                  <c:v>42654</c:v>
                </c:pt>
                <c:pt idx="355">
                  <c:v>42655</c:v>
                </c:pt>
                <c:pt idx="356">
                  <c:v>42656</c:v>
                </c:pt>
                <c:pt idx="357">
                  <c:v>42657</c:v>
                </c:pt>
                <c:pt idx="358">
                  <c:v>42660</c:v>
                </c:pt>
                <c:pt idx="359">
                  <c:v>42661</c:v>
                </c:pt>
                <c:pt idx="360">
                  <c:v>42662</c:v>
                </c:pt>
                <c:pt idx="361">
                  <c:v>42663</c:v>
                </c:pt>
                <c:pt idx="362">
                  <c:v>42664</c:v>
                </c:pt>
                <c:pt idx="363">
                  <c:v>42667</c:v>
                </c:pt>
                <c:pt idx="364">
                  <c:v>42668</c:v>
                </c:pt>
                <c:pt idx="365">
                  <c:v>42669</c:v>
                </c:pt>
                <c:pt idx="366">
                  <c:v>42670</c:v>
                </c:pt>
                <c:pt idx="367">
                  <c:v>42671</c:v>
                </c:pt>
                <c:pt idx="368">
                  <c:v>42674</c:v>
                </c:pt>
                <c:pt idx="369">
                  <c:v>42675</c:v>
                </c:pt>
                <c:pt idx="370">
                  <c:v>42676</c:v>
                </c:pt>
                <c:pt idx="371">
                  <c:v>42677</c:v>
                </c:pt>
                <c:pt idx="372">
                  <c:v>42678</c:v>
                </c:pt>
                <c:pt idx="373">
                  <c:v>42681</c:v>
                </c:pt>
                <c:pt idx="374">
                  <c:v>42682</c:v>
                </c:pt>
                <c:pt idx="375">
                  <c:v>42683</c:v>
                </c:pt>
                <c:pt idx="376">
                  <c:v>42684</c:v>
                </c:pt>
                <c:pt idx="377">
                  <c:v>42685</c:v>
                </c:pt>
                <c:pt idx="378">
                  <c:v>42688</c:v>
                </c:pt>
                <c:pt idx="379">
                  <c:v>42689</c:v>
                </c:pt>
                <c:pt idx="380">
                  <c:v>42690</c:v>
                </c:pt>
                <c:pt idx="381">
                  <c:v>42691</c:v>
                </c:pt>
                <c:pt idx="382">
                  <c:v>42692</c:v>
                </c:pt>
                <c:pt idx="383">
                  <c:v>42695</c:v>
                </c:pt>
                <c:pt idx="384">
                  <c:v>42696</c:v>
                </c:pt>
                <c:pt idx="385">
                  <c:v>42697</c:v>
                </c:pt>
                <c:pt idx="386">
                  <c:v>42698</c:v>
                </c:pt>
                <c:pt idx="387">
                  <c:v>42699</c:v>
                </c:pt>
                <c:pt idx="388">
                  <c:v>42702</c:v>
                </c:pt>
                <c:pt idx="389">
                  <c:v>42703</c:v>
                </c:pt>
                <c:pt idx="390">
                  <c:v>42704</c:v>
                </c:pt>
                <c:pt idx="391">
                  <c:v>42705</c:v>
                </c:pt>
                <c:pt idx="392">
                  <c:v>42706</c:v>
                </c:pt>
                <c:pt idx="393">
                  <c:v>42709</c:v>
                </c:pt>
                <c:pt idx="394">
                  <c:v>42710</c:v>
                </c:pt>
                <c:pt idx="395">
                  <c:v>42711</c:v>
                </c:pt>
                <c:pt idx="396">
                  <c:v>42712</c:v>
                </c:pt>
                <c:pt idx="397">
                  <c:v>42713</c:v>
                </c:pt>
                <c:pt idx="398">
                  <c:v>42716</c:v>
                </c:pt>
                <c:pt idx="399">
                  <c:v>42717</c:v>
                </c:pt>
                <c:pt idx="400">
                  <c:v>42718</c:v>
                </c:pt>
                <c:pt idx="401">
                  <c:v>42719</c:v>
                </c:pt>
                <c:pt idx="402">
                  <c:v>42720</c:v>
                </c:pt>
                <c:pt idx="403">
                  <c:v>42723</c:v>
                </c:pt>
                <c:pt idx="404">
                  <c:v>42724</c:v>
                </c:pt>
                <c:pt idx="405">
                  <c:v>42725</c:v>
                </c:pt>
                <c:pt idx="406">
                  <c:v>42726</c:v>
                </c:pt>
                <c:pt idx="407">
                  <c:v>42727</c:v>
                </c:pt>
                <c:pt idx="408">
                  <c:v>42731</c:v>
                </c:pt>
                <c:pt idx="409">
                  <c:v>42732</c:v>
                </c:pt>
                <c:pt idx="410">
                  <c:v>42733</c:v>
                </c:pt>
                <c:pt idx="411">
                  <c:v>42734</c:v>
                </c:pt>
                <c:pt idx="412">
                  <c:v>42737</c:v>
                </c:pt>
                <c:pt idx="413">
                  <c:v>42738</c:v>
                </c:pt>
                <c:pt idx="414">
                  <c:v>42739</c:v>
                </c:pt>
                <c:pt idx="415">
                  <c:v>42740</c:v>
                </c:pt>
                <c:pt idx="416">
                  <c:v>42741</c:v>
                </c:pt>
                <c:pt idx="417">
                  <c:v>42744</c:v>
                </c:pt>
                <c:pt idx="418">
                  <c:v>42745</c:v>
                </c:pt>
                <c:pt idx="419">
                  <c:v>42746</c:v>
                </c:pt>
                <c:pt idx="420">
                  <c:v>42747</c:v>
                </c:pt>
                <c:pt idx="421">
                  <c:v>42748</c:v>
                </c:pt>
                <c:pt idx="422">
                  <c:v>42751</c:v>
                </c:pt>
                <c:pt idx="423">
                  <c:v>42752</c:v>
                </c:pt>
                <c:pt idx="424">
                  <c:v>42753</c:v>
                </c:pt>
                <c:pt idx="425">
                  <c:v>42754</c:v>
                </c:pt>
                <c:pt idx="426">
                  <c:v>42755</c:v>
                </c:pt>
                <c:pt idx="427">
                  <c:v>42758</c:v>
                </c:pt>
                <c:pt idx="428">
                  <c:v>42759</c:v>
                </c:pt>
                <c:pt idx="429">
                  <c:v>42760</c:v>
                </c:pt>
                <c:pt idx="430">
                  <c:v>42761</c:v>
                </c:pt>
                <c:pt idx="431">
                  <c:v>42762</c:v>
                </c:pt>
                <c:pt idx="432">
                  <c:v>42765</c:v>
                </c:pt>
                <c:pt idx="433">
                  <c:v>42766</c:v>
                </c:pt>
                <c:pt idx="434">
                  <c:v>42767</c:v>
                </c:pt>
                <c:pt idx="435">
                  <c:v>42768</c:v>
                </c:pt>
                <c:pt idx="436">
                  <c:v>42769</c:v>
                </c:pt>
                <c:pt idx="437">
                  <c:v>42772</c:v>
                </c:pt>
                <c:pt idx="438">
                  <c:v>42773</c:v>
                </c:pt>
                <c:pt idx="439">
                  <c:v>42774</c:v>
                </c:pt>
                <c:pt idx="440">
                  <c:v>42775</c:v>
                </c:pt>
                <c:pt idx="441">
                  <c:v>42776</c:v>
                </c:pt>
                <c:pt idx="442">
                  <c:v>42779</c:v>
                </c:pt>
                <c:pt idx="443">
                  <c:v>42780</c:v>
                </c:pt>
                <c:pt idx="444">
                  <c:v>42781</c:v>
                </c:pt>
                <c:pt idx="445">
                  <c:v>42782</c:v>
                </c:pt>
                <c:pt idx="446">
                  <c:v>42783</c:v>
                </c:pt>
                <c:pt idx="447">
                  <c:v>42786</c:v>
                </c:pt>
                <c:pt idx="448">
                  <c:v>42787</c:v>
                </c:pt>
                <c:pt idx="449">
                  <c:v>42788</c:v>
                </c:pt>
                <c:pt idx="450">
                  <c:v>42789</c:v>
                </c:pt>
                <c:pt idx="451">
                  <c:v>42790</c:v>
                </c:pt>
                <c:pt idx="452">
                  <c:v>42793</c:v>
                </c:pt>
                <c:pt idx="453">
                  <c:v>42794</c:v>
                </c:pt>
                <c:pt idx="454">
                  <c:v>42795</c:v>
                </c:pt>
                <c:pt idx="455">
                  <c:v>42796</c:v>
                </c:pt>
                <c:pt idx="456">
                  <c:v>42797</c:v>
                </c:pt>
                <c:pt idx="457">
                  <c:v>42800</c:v>
                </c:pt>
                <c:pt idx="458">
                  <c:v>42801</c:v>
                </c:pt>
                <c:pt idx="459">
                  <c:v>42802</c:v>
                </c:pt>
                <c:pt idx="460">
                  <c:v>42803</c:v>
                </c:pt>
                <c:pt idx="461">
                  <c:v>42804</c:v>
                </c:pt>
                <c:pt idx="462">
                  <c:v>42807</c:v>
                </c:pt>
                <c:pt idx="463">
                  <c:v>42808</c:v>
                </c:pt>
                <c:pt idx="464">
                  <c:v>42809</c:v>
                </c:pt>
                <c:pt idx="465">
                  <c:v>42810</c:v>
                </c:pt>
                <c:pt idx="466">
                  <c:v>42811</c:v>
                </c:pt>
                <c:pt idx="467">
                  <c:v>42814</c:v>
                </c:pt>
                <c:pt idx="468">
                  <c:v>42815</c:v>
                </c:pt>
                <c:pt idx="469">
                  <c:v>42816</c:v>
                </c:pt>
                <c:pt idx="470">
                  <c:v>42817</c:v>
                </c:pt>
                <c:pt idx="471">
                  <c:v>42818</c:v>
                </c:pt>
                <c:pt idx="472">
                  <c:v>42821</c:v>
                </c:pt>
                <c:pt idx="473">
                  <c:v>42822</c:v>
                </c:pt>
                <c:pt idx="474">
                  <c:v>42823</c:v>
                </c:pt>
                <c:pt idx="475">
                  <c:v>42824</c:v>
                </c:pt>
                <c:pt idx="476">
                  <c:v>42825</c:v>
                </c:pt>
                <c:pt idx="477">
                  <c:v>42828</c:v>
                </c:pt>
                <c:pt idx="478">
                  <c:v>42829</c:v>
                </c:pt>
                <c:pt idx="479">
                  <c:v>42830</c:v>
                </c:pt>
                <c:pt idx="480">
                  <c:v>42831</c:v>
                </c:pt>
                <c:pt idx="481">
                  <c:v>42832</c:v>
                </c:pt>
                <c:pt idx="482">
                  <c:v>42835</c:v>
                </c:pt>
                <c:pt idx="483">
                  <c:v>42836</c:v>
                </c:pt>
                <c:pt idx="484">
                  <c:v>42837</c:v>
                </c:pt>
                <c:pt idx="485">
                  <c:v>42838</c:v>
                </c:pt>
                <c:pt idx="486">
                  <c:v>42843</c:v>
                </c:pt>
                <c:pt idx="487">
                  <c:v>42844</c:v>
                </c:pt>
                <c:pt idx="488">
                  <c:v>42845</c:v>
                </c:pt>
                <c:pt idx="489">
                  <c:v>42846</c:v>
                </c:pt>
                <c:pt idx="490">
                  <c:v>42849</c:v>
                </c:pt>
                <c:pt idx="491">
                  <c:v>42850</c:v>
                </c:pt>
                <c:pt idx="492">
                  <c:v>42851</c:v>
                </c:pt>
                <c:pt idx="493">
                  <c:v>42852</c:v>
                </c:pt>
                <c:pt idx="494">
                  <c:v>42853</c:v>
                </c:pt>
                <c:pt idx="495">
                  <c:v>42857</c:v>
                </c:pt>
                <c:pt idx="496">
                  <c:v>42858</c:v>
                </c:pt>
                <c:pt idx="497">
                  <c:v>42859</c:v>
                </c:pt>
                <c:pt idx="498">
                  <c:v>42860</c:v>
                </c:pt>
                <c:pt idx="499">
                  <c:v>42863</c:v>
                </c:pt>
                <c:pt idx="500">
                  <c:v>42864</c:v>
                </c:pt>
                <c:pt idx="501">
                  <c:v>42865</c:v>
                </c:pt>
                <c:pt idx="502">
                  <c:v>42866</c:v>
                </c:pt>
                <c:pt idx="503">
                  <c:v>42867</c:v>
                </c:pt>
                <c:pt idx="504">
                  <c:v>42870</c:v>
                </c:pt>
                <c:pt idx="505">
                  <c:v>42871</c:v>
                </c:pt>
                <c:pt idx="506">
                  <c:v>42872</c:v>
                </c:pt>
                <c:pt idx="507">
                  <c:v>42873</c:v>
                </c:pt>
                <c:pt idx="508">
                  <c:v>42874</c:v>
                </c:pt>
                <c:pt idx="509">
                  <c:v>42877</c:v>
                </c:pt>
                <c:pt idx="510">
                  <c:v>42878</c:v>
                </c:pt>
                <c:pt idx="511">
                  <c:v>42879</c:v>
                </c:pt>
                <c:pt idx="512">
                  <c:v>42880</c:v>
                </c:pt>
                <c:pt idx="513">
                  <c:v>42881</c:v>
                </c:pt>
                <c:pt idx="514">
                  <c:v>42884</c:v>
                </c:pt>
                <c:pt idx="515">
                  <c:v>42885</c:v>
                </c:pt>
                <c:pt idx="516">
                  <c:v>42886</c:v>
                </c:pt>
                <c:pt idx="517">
                  <c:v>42887</c:v>
                </c:pt>
                <c:pt idx="518">
                  <c:v>42894</c:v>
                </c:pt>
                <c:pt idx="519">
                  <c:v>42901</c:v>
                </c:pt>
                <c:pt idx="520">
                  <c:v>42908</c:v>
                </c:pt>
                <c:pt idx="521">
                  <c:v>42915</c:v>
                </c:pt>
                <c:pt idx="522">
                  <c:v>42922</c:v>
                </c:pt>
                <c:pt idx="523">
                  <c:v>42929</c:v>
                </c:pt>
                <c:pt idx="524">
                  <c:v>42936</c:v>
                </c:pt>
                <c:pt idx="525">
                  <c:v>42943</c:v>
                </c:pt>
                <c:pt idx="526">
                  <c:v>42950</c:v>
                </c:pt>
                <c:pt idx="527">
                  <c:v>42957</c:v>
                </c:pt>
                <c:pt idx="528">
                  <c:v>42964</c:v>
                </c:pt>
                <c:pt idx="529">
                  <c:v>42971</c:v>
                </c:pt>
                <c:pt idx="530">
                  <c:v>42978</c:v>
                </c:pt>
                <c:pt idx="531">
                  <c:v>42985</c:v>
                </c:pt>
                <c:pt idx="532">
                  <c:v>42992</c:v>
                </c:pt>
                <c:pt idx="533">
                  <c:v>42999</c:v>
                </c:pt>
                <c:pt idx="534">
                  <c:v>43006</c:v>
                </c:pt>
                <c:pt idx="535">
                  <c:v>43013</c:v>
                </c:pt>
                <c:pt idx="536">
                  <c:v>43020</c:v>
                </c:pt>
                <c:pt idx="537">
                  <c:v>43027</c:v>
                </c:pt>
                <c:pt idx="538">
                  <c:v>43034</c:v>
                </c:pt>
                <c:pt idx="539">
                  <c:v>43041</c:v>
                </c:pt>
                <c:pt idx="540">
                  <c:v>43048</c:v>
                </c:pt>
                <c:pt idx="541">
                  <c:v>43055</c:v>
                </c:pt>
                <c:pt idx="542">
                  <c:v>43062</c:v>
                </c:pt>
                <c:pt idx="543">
                  <c:v>43069</c:v>
                </c:pt>
                <c:pt idx="544">
                  <c:v>43076</c:v>
                </c:pt>
                <c:pt idx="545">
                  <c:v>43083</c:v>
                </c:pt>
                <c:pt idx="546">
                  <c:v>43090</c:v>
                </c:pt>
                <c:pt idx="547">
                  <c:v>43097</c:v>
                </c:pt>
                <c:pt idx="548">
                  <c:v>43104</c:v>
                </c:pt>
                <c:pt idx="549">
                  <c:v>43111</c:v>
                </c:pt>
                <c:pt idx="550">
                  <c:v>43118</c:v>
                </c:pt>
                <c:pt idx="551">
                  <c:v>43125</c:v>
                </c:pt>
                <c:pt idx="552">
                  <c:v>43132</c:v>
                </c:pt>
                <c:pt idx="553">
                  <c:v>43139</c:v>
                </c:pt>
                <c:pt idx="554">
                  <c:v>43146</c:v>
                </c:pt>
                <c:pt idx="555">
                  <c:v>43153</c:v>
                </c:pt>
                <c:pt idx="556">
                  <c:v>43160</c:v>
                </c:pt>
                <c:pt idx="557">
                  <c:v>43167</c:v>
                </c:pt>
                <c:pt idx="558">
                  <c:v>43174</c:v>
                </c:pt>
                <c:pt idx="559">
                  <c:v>43181</c:v>
                </c:pt>
                <c:pt idx="560">
                  <c:v>43188</c:v>
                </c:pt>
                <c:pt idx="561">
                  <c:v>43195</c:v>
                </c:pt>
                <c:pt idx="562">
                  <c:v>43202</c:v>
                </c:pt>
                <c:pt idx="563">
                  <c:v>43209</c:v>
                </c:pt>
                <c:pt idx="564">
                  <c:v>43216</c:v>
                </c:pt>
                <c:pt idx="565">
                  <c:v>43223</c:v>
                </c:pt>
                <c:pt idx="566">
                  <c:v>43230</c:v>
                </c:pt>
                <c:pt idx="567">
                  <c:v>43237</c:v>
                </c:pt>
                <c:pt idx="568">
                  <c:v>43244</c:v>
                </c:pt>
                <c:pt idx="569">
                  <c:v>43251</c:v>
                </c:pt>
                <c:pt idx="570">
                  <c:v>43258</c:v>
                </c:pt>
                <c:pt idx="571">
                  <c:v>43265</c:v>
                </c:pt>
                <c:pt idx="572">
                  <c:v>43272</c:v>
                </c:pt>
                <c:pt idx="573">
                  <c:v>43279</c:v>
                </c:pt>
                <c:pt idx="574">
                  <c:v>43286</c:v>
                </c:pt>
                <c:pt idx="575">
                  <c:v>43293</c:v>
                </c:pt>
                <c:pt idx="576">
                  <c:v>43300</c:v>
                </c:pt>
                <c:pt idx="577">
                  <c:v>43307</c:v>
                </c:pt>
                <c:pt idx="578">
                  <c:v>43314</c:v>
                </c:pt>
                <c:pt idx="579">
                  <c:v>43321</c:v>
                </c:pt>
                <c:pt idx="580">
                  <c:v>43328</c:v>
                </c:pt>
                <c:pt idx="581">
                  <c:v>43335</c:v>
                </c:pt>
                <c:pt idx="582">
                  <c:v>43342</c:v>
                </c:pt>
                <c:pt idx="583">
                  <c:v>43349</c:v>
                </c:pt>
                <c:pt idx="584">
                  <c:v>43356</c:v>
                </c:pt>
                <c:pt idx="585">
                  <c:v>43363</c:v>
                </c:pt>
                <c:pt idx="586">
                  <c:v>43370</c:v>
                </c:pt>
                <c:pt idx="587">
                  <c:v>43377</c:v>
                </c:pt>
                <c:pt idx="588">
                  <c:v>43384</c:v>
                </c:pt>
                <c:pt idx="589">
                  <c:v>43391</c:v>
                </c:pt>
                <c:pt idx="590">
                  <c:v>43398</c:v>
                </c:pt>
                <c:pt idx="591">
                  <c:v>43405</c:v>
                </c:pt>
                <c:pt idx="592">
                  <c:v>43412</c:v>
                </c:pt>
                <c:pt idx="593">
                  <c:v>43419</c:v>
                </c:pt>
                <c:pt idx="594">
                  <c:v>43426</c:v>
                </c:pt>
                <c:pt idx="595">
                  <c:v>43433</c:v>
                </c:pt>
                <c:pt idx="596">
                  <c:v>43440</c:v>
                </c:pt>
                <c:pt idx="597">
                  <c:v>43447</c:v>
                </c:pt>
                <c:pt idx="598">
                  <c:v>43454</c:v>
                </c:pt>
                <c:pt idx="599">
                  <c:v>43461</c:v>
                </c:pt>
                <c:pt idx="600">
                  <c:v>43468</c:v>
                </c:pt>
                <c:pt idx="601">
                  <c:v>43475</c:v>
                </c:pt>
                <c:pt idx="602">
                  <c:v>43482</c:v>
                </c:pt>
                <c:pt idx="603">
                  <c:v>43489</c:v>
                </c:pt>
                <c:pt idx="604">
                  <c:v>43496</c:v>
                </c:pt>
                <c:pt idx="605">
                  <c:v>43503</c:v>
                </c:pt>
                <c:pt idx="606">
                  <c:v>43510</c:v>
                </c:pt>
                <c:pt idx="607">
                  <c:v>43517</c:v>
                </c:pt>
                <c:pt idx="608">
                  <c:v>43524</c:v>
                </c:pt>
                <c:pt idx="609">
                  <c:v>43531</c:v>
                </c:pt>
                <c:pt idx="610">
                  <c:v>43538</c:v>
                </c:pt>
                <c:pt idx="611">
                  <c:v>43545</c:v>
                </c:pt>
                <c:pt idx="612">
                  <c:v>43552</c:v>
                </c:pt>
                <c:pt idx="613">
                  <c:v>43559</c:v>
                </c:pt>
                <c:pt idx="614">
                  <c:v>43566</c:v>
                </c:pt>
                <c:pt idx="615">
                  <c:v>43573</c:v>
                </c:pt>
                <c:pt idx="616">
                  <c:v>43580</c:v>
                </c:pt>
                <c:pt idx="617">
                  <c:v>43587</c:v>
                </c:pt>
                <c:pt idx="618">
                  <c:v>43594</c:v>
                </c:pt>
                <c:pt idx="619">
                  <c:v>43601</c:v>
                </c:pt>
                <c:pt idx="620">
                  <c:v>43608</c:v>
                </c:pt>
                <c:pt idx="621">
                  <c:v>43615</c:v>
                </c:pt>
                <c:pt idx="622">
                  <c:v>43622</c:v>
                </c:pt>
                <c:pt idx="623">
                  <c:v>43629</c:v>
                </c:pt>
                <c:pt idx="624">
                  <c:v>43636</c:v>
                </c:pt>
                <c:pt idx="625">
                  <c:v>43643</c:v>
                </c:pt>
                <c:pt idx="626">
                  <c:v>43650</c:v>
                </c:pt>
                <c:pt idx="627">
                  <c:v>43657</c:v>
                </c:pt>
                <c:pt idx="628">
                  <c:v>43664</c:v>
                </c:pt>
                <c:pt idx="629">
                  <c:v>43671</c:v>
                </c:pt>
                <c:pt idx="630">
                  <c:v>43678</c:v>
                </c:pt>
                <c:pt idx="631">
                  <c:v>43685</c:v>
                </c:pt>
                <c:pt idx="632">
                  <c:v>43692</c:v>
                </c:pt>
                <c:pt idx="633">
                  <c:v>43699</c:v>
                </c:pt>
                <c:pt idx="634">
                  <c:v>43706</c:v>
                </c:pt>
                <c:pt idx="635">
                  <c:v>43713</c:v>
                </c:pt>
                <c:pt idx="636">
                  <c:v>43720</c:v>
                </c:pt>
                <c:pt idx="637">
                  <c:v>43727</c:v>
                </c:pt>
                <c:pt idx="638">
                  <c:v>43734</c:v>
                </c:pt>
                <c:pt idx="639">
                  <c:v>43741</c:v>
                </c:pt>
                <c:pt idx="640">
                  <c:v>43748</c:v>
                </c:pt>
                <c:pt idx="641">
                  <c:v>43755</c:v>
                </c:pt>
                <c:pt idx="642">
                  <c:v>43762</c:v>
                </c:pt>
                <c:pt idx="643">
                  <c:v>43769</c:v>
                </c:pt>
                <c:pt idx="644">
                  <c:v>43776</c:v>
                </c:pt>
                <c:pt idx="645">
                  <c:v>43783</c:v>
                </c:pt>
                <c:pt idx="646">
                  <c:v>43790</c:v>
                </c:pt>
                <c:pt idx="647">
                  <c:v>43797</c:v>
                </c:pt>
                <c:pt idx="648">
                  <c:v>43804</c:v>
                </c:pt>
                <c:pt idx="649">
                  <c:v>43811</c:v>
                </c:pt>
                <c:pt idx="650">
                  <c:v>43818</c:v>
                </c:pt>
                <c:pt idx="651">
                  <c:v>43826</c:v>
                </c:pt>
                <c:pt idx="652">
                  <c:v>43833</c:v>
                </c:pt>
                <c:pt idx="653">
                  <c:v>43840</c:v>
                </c:pt>
                <c:pt idx="654">
                  <c:v>43847</c:v>
                </c:pt>
                <c:pt idx="655">
                  <c:v>43854</c:v>
                </c:pt>
                <c:pt idx="656">
                  <c:v>43861</c:v>
                </c:pt>
                <c:pt idx="657">
                  <c:v>43868</c:v>
                </c:pt>
                <c:pt idx="658">
                  <c:v>43875</c:v>
                </c:pt>
                <c:pt idx="659">
                  <c:v>43882</c:v>
                </c:pt>
                <c:pt idx="660">
                  <c:v>43889</c:v>
                </c:pt>
                <c:pt idx="661">
                  <c:v>43896</c:v>
                </c:pt>
                <c:pt idx="662">
                  <c:v>43903</c:v>
                </c:pt>
                <c:pt idx="663">
                  <c:v>43910</c:v>
                </c:pt>
                <c:pt idx="664">
                  <c:v>43917</c:v>
                </c:pt>
                <c:pt idx="665">
                  <c:v>43924</c:v>
                </c:pt>
                <c:pt idx="666">
                  <c:v>43935</c:v>
                </c:pt>
                <c:pt idx="667">
                  <c:v>43942</c:v>
                </c:pt>
                <c:pt idx="668">
                  <c:v>43949</c:v>
                </c:pt>
                <c:pt idx="669">
                  <c:v>43956</c:v>
                </c:pt>
                <c:pt idx="670">
                  <c:v>43963</c:v>
                </c:pt>
                <c:pt idx="671">
                  <c:v>43970</c:v>
                </c:pt>
                <c:pt idx="672">
                  <c:v>43977</c:v>
                </c:pt>
                <c:pt idx="673">
                  <c:v>43984</c:v>
                </c:pt>
                <c:pt idx="674">
                  <c:v>43991</c:v>
                </c:pt>
                <c:pt idx="675">
                  <c:v>43998</c:v>
                </c:pt>
                <c:pt idx="676">
                  <c:v>44005</c:v>
                </c:pt>
                <c:pt idx="677">
                  <c:v>44012</c:v>
                </c:pt>
                <c:pt idx="678">
                  <c:v>44019</c:v>
                </c:pt>
                <c:pt idx="679">
                  <c:v>44026</c:v>
                </c:pt>
                <c:pt idx="680">
                  <c:v>44033</c:v>
                </c:pt>
                <c:pt idx="681">
                  <c:v>44040</c:v>
                </c:pt>
                <c:pt idx="682">
                  <c:v>44047</c:v>
                </c:pt>
                <c:pt idx="683">
                  <c:v>44054</c:v>
                </c:pt>
                <c:pt idx="684">
                  <c:v>44061</c:v>
                </c:pt>
                <c:pt idx="685">
                  <c:v>44068</c:v>
                </c:pt>
                <c:pt idx="686">
                  <c:v>44075</c:v>
                </c:pt>
                <c:pt idx="687">
                  <c:v>44082</c:v>
                </c:pt>
                <c:pt idx="688">
                  <c:v>44089</c:v>
                </c:pt>
                <c:pt idx="689">
                  <c:v>44096</c:v>
                </c:pt>
                <c:pt idx="690">
                  <c:v>44103</c:v>
                </c:pt>
                <c:pt idx="691">
                  <c:v>44110</c:v>
                </c:pt>
                <c:pt idx="692">
                  <c:v>44117</c:v>
                </c:pt>
                <c:pt idx="693">
                  <c:v>44124</c:v>
                </c:pt>
                <c:pt idx="694">
                  <c:v>44131</c:v>
                </c:pt>
                <c:pt idx="695">
                  <c:v>44138</c:v>
                </c:pt>
                <c:pt idx="696">
                  <c:v>44145</c:v>
                </c:pt>
                <c:pt idx="697">
                  <c:v>44152</c:v>
                </c:pt>
                <c:pt idx="698">
                  <c:v>44159</c:v>
                </c:pt>
                <c:pt idx="699">
                  <c:v>44166</c:v>
                </c:pt>
                <c:pt idx="700">
                  <c:v>44173</c:v>
                </c:pt>
                <c:pt idx="701">
                  <c:v>44180</c:v>
                </c:pt>
                <c:pt idx="702">
                  <c:v>44187</c:v>
                </c:pt>
                <c:pt idx="703">
                  <c:v>44194</c:v>
                </c:pt>
                <c:pt idx="704">
                  <c:v>44201</c:v>
                </c:pt>
                <c:pt idx="705">
                  <c:v>44208</c:v>
                </c:pt>
                <c:pt idx="706">
                  <c:v>44215</c:v>
                </c:pt>
                <c:pt idx="707">
                  <c:v>44222</c:v>
                </c:pt>
                <c:pt idx="708">
                  <c:v>44229</c:v>
                </c:pt>
                <c:pt idx="709">
                  <c:v>44236</c:v>
                </c:pt>
                <c:pt idx="710">
                  <c:v>44243</c:v>
                </c:pt>
                <c:pt idx="711">
                  <c:v>44250</c:v>
                </c:pt>
                <c:pt idx="712">
                  <c:v>44257</c:v>
                </c:pt>
                <c:pt idx="713">
                  <c:v>44264</c:v>
                </c:pt>
                <c:pt idx="714">
                  <c:v>44271</c:v>
                </c:pt>
                <c:pt idx="715">
                  <c:v>44278</c:v>
                </c:pt>
                <c:pt idx="716">
                  <c:v>44285</c:v>
                </c:pt>
                <c:pt idx="717">
                  <c:v>44292</c:v>
                </c:pt>
                <c:pt idx="718">
                  <c:v>44299</c:v>
                </c:pt>
                <c:pt idx="719">
                  <c:v>44306</c:v>
                </c:pt>
                <c:pt idx="720">
                  <c:v>44313</c:v>
                </c:pt>
                <c:pt idx="721">
                  <c:v>44320</c:v>
                </c:pt>
                <c:pt idx="722">
                  <c:v>44327</c:v>
                </c:pt>
                <c:pt idx="723">
                  <c:v>44334</c:v>
                </c:pt>
                <c:pt idx="724">
                  <c:v>44341</c:v>
                </c:pt>
                <c:pt idx="725">
                  <c:v>44348</c:v>
                </c:pt>
                <c:pt idx="726">
                  <c:v>44355</c:v>
                </c:pt>
                <c:pt idx="727">
                  <c:v>44362</c:v>
                </c:pt>
                <c:pt idx="728">
                  <c:v>44369</c:v>
                </c:pt>
                <c:pt idx="729">
                  <c:v>44376</c:v>
                </c:pt>
                <c:pt idx="730">
                  <c:v>44383</c:v>
                </c:pt>
                <c:pt idx="731">
                  <c:v>44390</c:v>
                </c:pt>
                <c:pt idx="732">
                  <c:v>44397</c:v>
                </c:pt>
                <c:pt idx="733">
                  <c:v>44404</c:v>
                </c:pt>
                <c:pt idx="734">
                  <c:v>44411</c:v>
                </c:pt>
                <c:pt idx="735">
                  <c:v>44418</c:v>
                </c:pt>
                <c:pt idx="736">
                  <c:v>44425</c:v>
                </c:pt>
                <c:pt idx="737">
                  <c:v>44432</c:v>
                </c:pt>
                <c:pt idx="738">
                  <c:v>44439</c:v>
                </c:pt>
                <c:pt idx="739">
                  <c:v>44446</c:v>
                </c:pt>
                <c:pt idx="740">
                  <c:v>44453</c:v>
                </c:pt>
                <c:pt idx="741">
                  <c:v>44460</c:v>
                </c:pt>
                <c:pt idx="742">
                  <c:v>44467</c:v>
                </c:pt>
                <c:pt idx="743">
                  <c:v>44474</c:v>
                </c:pt>
                <c:pt idx="744">
                  <c:v>44481</c:v>
                </c:pt>
                <c:pt idx="745">
                  <c:v>44488</c:v>
                </c:pt>
                <c:pt idx="746">
                  <c:v>44495</c:v>
                </c:pt>
                <c:pt idx="747">
                  <c:v>44502</c:v>
                </c:pt>
                <c:pt idx="748">
                  <c:v>44509</c:v>
                </c:pt>
                <c:pt idx="749">
                  <c:v>44516</c:v>
                </c:pt>
                <c:pt idx="750">
                  <c:v>44523</c:v>
                </c:pt>
                <c:pt idx="751">
                  <c:v>44530</c:v>
                </c:pt>
                <c:pt idx="752">
                  <c:v>44537</c:v>
                </c:pt>
                <c:pt idx="753">
                  <c:v>44544</c:v>
                </c:pt>
                <c:pt idx="754">
                  <c:v>44551</c:v>
                </c:pt>
                <c:pt idx="755">
                  <c:v>44558</c:v>
                </c:pt>
                <c:pt idx="756">
                  <c:v>44565</c:v>
                </c:pt>
                <c:pt idx="757">
                  <c:v>44572</c:v>
                </c:pt>
                <c:pt idx="758">
                  <c:v>44579</c:v>
                </c:pt>
                <c:pt idx="759">
                  <c:v>44586</c:v>
                </c:pt>
                <c:pt idx="760">
                  <c:v>44593</c:v>
                </c:pt>
                <c:pt idx="761">
                  <c:v>44600</c:v>
                </c:pt>
                <c:pt idx="762">
                  <c:v>44607</c:v>
                </c:pt>
                <c:pt idx="763">
                  <c:v>44614</c:v>
                </c:pt>
                <c:pt idx="764">
                  <c:v>44621</c:v>
                </c:pt>
                <c:pt idx="765">
                  <c:v>44628</c:v>
                </c:pt>
                <c:pt idx="766">
                  <c:v>44635</c:v>
                </c:pt>
                <c:pt idx="767">
                  <c:v>44642</c:v>
                </c:pt>
                <c:pt idx="768">
                  <c:v>44649</c:v>
                </c:pt>
                <c:pt idx="769">
                  <c:v>44656</c:v>
                </c:pt>
                <c:pt idx="770">
                  <c:v>44663</c:v>
                </c:pt>
                <c:pt idx="771">
                  <c:v>44670</c:v>
                </c:pt>
                <c:pt idx="772">
                  <c:v>44677</c:v>
                </c:pt>
                <c:pt idx="773">
                  <c:v>44684</c:v>
                </c:pt>
                <c:pt idx="774">
                  <c:v>44691</c:v>
                </c:pt>
                <c:pt idx="775">
                  <c:v>44698</c:v>
                </c:pt>
                <c:pt idx="776">
                  <c:v>44705</c:v>
                </c:pt>
                <c:pt idx="777">
                  <c:v>44712</c:v>
                </c:pt>
                <c:pt idx="778">
                  <c:v>44719</c:v>
                </c:pt>
                <c:pt idx="779">
                  <c:v>44726</c:v>
                </c:pt>
                <c:pt idx="780">
                  <c:v>44733</c:v>
                </c:pt>
                <c:pt idx="781">
                  <c:v>44740</c:v>
                </c:pt>
                <c:pt idx="782">
                  <c:v>44747</c:v>
                </c:pt>
                <c:pt idx="783">
                  <c:v>44754</c:v>
                </c:pt>
                <c:pt idx="784">
                  <c:v>44761</c:v>
                </c:pt>
                <c:pt idx="785">
                  <c:v>44768</c:v>
                </c:pt>
                <c:pt idx="786">
                  <c:v>44775</c:v>
                </c:pt>
                <c:pt idx="787">
                  <c:v>44782</c:v>
                </c:pt>
                <c:pt idx="788">
                  <c:v>44789</c:v>
                </c:pt>
                <c:pt idx="789">
                  <c:v>44796</c:v>
                </c:pt>
                <c:pt idx="790">
                  <c:v>44803</c:v>
                </c:pt>
                <c:pt idx="791">
                  <c:v>44810</c:v>
                </c:pt>
                <c:pt idx="792">
                  <c:v>44817</c:v>
                </c:pt>
                <c:pt idx="793">
                  <c:v>44824</c:v>
                </c:pt>
                <c:pt idx="794">
                  <c:v>44831</c:v>
                </c:pt>
                <c:pt idx="795">
                  <c:v>44838</c:v>
                </c:pt>
                <c:pt idx="796">
                  <c:v>44845</c:v>
                </c:pt>
                <c:pt idx="797">
                  <c:v>44852</c:v>
                </c:pt>
                <c:pt idx="798">
                  <c:v>44859</c:v>
                </c:pt>
                <c:pt idx="799">
                  <c:v>44866</c:v>
                </c:pt>
                <c:pt idx="800">
                  <c:v>44873</c:v>
                </c:pt>
                <c:pt idx="801">
                  <c:v>44880</c:v>
                </c:pt>
                <c:pt idx="802">
                  <c:v>44887</c:v>
                </c:pt>
                <c:pt idx="803">
                  <c:v>44894</c:v>
                </c:pt>
                <c:pt idx="804">
                  <c:v>44901</c:v>
                </c:pt>
                <c:pt idx="805">
                  <c:v>44908</c:v>
                </c:pt>
                <c:pt idx="806">
                  <c:v>44915</c:v>
                </c:pt>
                <c:pt idx="807">
                  <c:v>44922</c:v>
                </c:pt>
                <c:pt idx="808">
                  <c:v>44929</c:v>
                </c:pt>
                <c:pt idx="809">
                  <c:v>44936</c:v>
                </c:pt>
                <c:pt idx="810">
                  <c:v>44943</c:v>
                </c:pt>
                <c:pt idx="811">
                  <c:v>44950</c:v>
                </c:pt>
                <c:pt idx="812">
                  <c:v>44957</c:v>
                </c:pt>
                <c:pt idx="813">
                  <c:v>44964</c:v>
                </c:pt>
                <c:pt idx="814">
                  <c:v>44971</c:v>
                </c:pt>
                <c:pt idx="815">
                  <c:v>44978</c:v>
                </c:pt>
                <c:pt idx="816">
                  <c:v>44985</c:v>
                </c:pt>
                <c:pt idx="817">
                  <c:v>44992</c:v>
                </c:pt>
                <c:pt idx="818">
                  <c:v>44999</c:v>
                </c:pt>
                <c:pt idx="819">
                  <c:v>45006</c:v>
                </c:pt>
                <c:pt idx="820">
                  <c:v>45013</c:v>
                </c:pt>
                <c:pt idx="821">
                  <c:v>45020</c:v>
                </c:pt>
                <c:pt idx="822">
                  <c:v>45027</c:v>
                </c:pt>
                <c:pt idx="823">
                  <c:v>45034</c:v>
                </c:pt>
                <c:pt idx="824">
                  <c:v>45041</c:v>
                </c:pt>
                <c:pt idx="825">
                  <c:v>45048</c:v>
                </c:pt>
                <c:pt idx="826">
                  <c:v>45055</c:v>
                </c:pt>
                <c:pt idx="827">
                  <c:v>45062</c:v>
                </c:pt>
                <c:pt idx="828">
                  <c:v>45069</c:v>
                </c:pt>
                <c:pt idx="829">
                  <c:v>45076</c:v>
                </c:pt>
                <c:pt idx="830">
                  <c:v>45083</c:v>
                </c:pt>
                <c:pt idx="831">
                  <c:v>45090</c:v>
                </c:pt>
                <c:pt idx="832">
                  <c:v>45097</c:v>
                </c:pt>
                <c:pt idx="833">
                  <c:v>45104</c:v>
                </c:pt>
                <c:pt idx="834">
                  <c:v>45111</c:v>
                </c:pt>
                <c:pt idx="835">
                  <c:v>45118</c:v>
                </c:pt>
                <c:pt idx="836">
                  <c:v>45125</c:v>
                </c:pt>
                <c:pt idx="837">
                  <c:v>45132</c:v>
                </c:pt>
                <c:pt idx="838">
                  <c:v>45139</c:v>
                </c:pt>
                <c:pt idx="839">
                  <c:v>45146</c:v>
                </c:pt>
                <c:pt idx="840">
                  <c:v>45153</c:v>
                </c:pt>
                <c:pt idx="841">
                  <c:v>45160</c:v>
                </c:pt>
                <c:pt idx="842">
                  <c:v>45167</c:v>
                </c:pt>
                <c:pt idx="843">
                  <c:v>45174</c:v>
                </c:pt>
                <c:pt idx="844">
                  <c:v>45181</c:v>
                </c:pt>
                <c:pt idx="845">
                  <c:v>45188</c:v>
                </c:pt>
                <c:pt idx="846">
                  <c:v>45195</c:v>
                </c:pt>
                <c:pt idx="847">
                  <c:v>45202</c:v>
                </c:pt>
                <c:pt idx="848">
                  <c:v>45209</c:v>
                </c:pt>
                <c:pt idx="849">
                  <c:v>45216</c:v>
                </c:pt>
                <c:pt idx="850">
                  <c:v>45223</c:v>
                </c:pt>
                <c:pt idx="851">
                  <c:v>45230</c:v>
                </c:pt>
                <c:pt idx="852">
                  <c:v>45237</c:v>
                </c:pt>
                <c:pt idx="853">
                  <c:v>45244</c:v>
                </c:pt>
                <c:pt idx="854">
                  <c:v>45251</c:v>
                </c:pt>
                <c:pt idx="855">
                  <c:v>45258</c:v>
                </c:pt>
                <c:pt idx="856">
                  <c:v>45265</c:v>
                </c:pt>
                <c:pt idx="857">
                  <c:v>45272</c:v>
                </c:pt>
                <c:pt idx="858">
                  <c:v>45279</c:v>
                </c:pt>
                <c:pt idx="859">
                  <c:v>45287</c:v>
                </c:pt>
                <c:pt idx="860">
                  <c:v>45294</c:v>
                </c:pt>
                <c:pt idx="861">
                  <c:v>45301</c:v>
                </c:pt>
                <c:pt idx="862">
                  <c:v>45308</c:v>
                </c:pt>
                <c:pt idx="863">
                  <c:v>45315</c:v>
                </c:pt>
                <c:pt idx="864">
                  <c:v>45322</c:v>
                </c:pt>
                <c:pt idx="865">
                  <c:v>45329</c:v>
                </c:pt>
                <c:pt idx="866">
                  <c:v>45336</c:v>
                </c:pt>
                <c:pt idx="867">
                  <c:v>45343</c:v>
                </c:pt>
                <c:pt idx="868">
                  <c:v>45350</c:v>
                </c:pt>
                <c:pt idx="869">
                  <c:v>45357</c:v>
                </c:pt>
                <c:pt idx="870">
                  <c:v>45364</c:v>
                </c:pt>
                <c:pt idx="871">
                  <c:v>45371</c:v>
                </c:pt>
                <c:pt idx="872">
                  <c:v>45378</c:v>
                </c:pt>
                <c:pt idx="873">
                  <c:v>45385</c:v>
                </c:pt>
                <c:pt idx="874">
                  <c:v>45392</c:v>
                </c:pt>
                <c:pt idx="875">
                  <c:v>45399</c:v>
                </c:pt>
                <c:pt idx="876">
                  <c:v>45406</c:v>
                </c:pt>
                <c:pt idx="877">
                  <c:v>45414</c:v>
                </c:pt>
                <c:pt idx="878">
                  <c:v>45421</c:v>
                </c:pt>
                <c:pt idx="879">
                  <c:v>45428</c:v>
                </c:pt>
                <c:pt idx="880">
                  <c:v>45435</c:v>
                </c:pt>
                <c:pt idx="881">
                  <c:v>45442</c:v>
                </c:pt>
                <c:pt idx="882">
                  <c:v>45449</c:v>
                </c:pt>
                <c:pt idx="883">
                  <c:v>45456</c:v>
                </c:pt>
                <c:pt idx="884">
                  <c:v>45463</c:v>
                </c:pt>
                <c:pt idx="885">
                  <c:v>45470</c:v>
                </c:pt>
                <c:pt idx="886">
                  <c:v>45477</c:v>
                </c:pt>
                <c:pt idx="887">
                  <c:v>45484</c:v>
                </c:pt>
                <c:pt idx="888">
                  <c:v>45491</c:v>
                </c:pt>
                <c:pt idx="889">
                  <c:v>45498</c:v>
                </c:pt>
                <c:pt idx="890">
                  <c:v>45505</c:v>
                </c:pt>
                <c:pt idx="891">
                  <c:v>45512</c:v>
                </c:pt>
                <c:pt idx="892">
                  <c:v>45519</c:v>
                </c:pt>
                <c:pt idx="893">
                  <c:v>45526</c:v>
                </c:pt>
                <c:pt idx="894">
                  <c:v>45533</c:v>
                </c:pt>
                <c:pt idx="895">
                  <c:v>45540</c:v>
                </c:pt>
                <c:pt idx="896">
                  <c:v>45547</c:v>
                </c:pt>
                <c:pt idx="897">
                  <c:v>45554</c:v>
                </c:pt>
                <c:pt idx="898">
                  <c:v>45561</c:v>
                </c:pt>
                <c:pt idx="899">
                  <c:v>45568</c:v>
                </c:pt>
                <c:pt idx="900">
                  <c:v>45575</c:v>
                </c:pt>
                <c:pt idx="901">
                  <c:v>45582</c:v>
                </c:pt>
                <c:pt idx="902">
                  <c:v>45589</c:v>
                </c:pt>
                <c:pt idx="903">
                  <c:v>45596</c:v>
                </c:pt>
                <c:pt idx="904">
                  <c:v>45603</c:v>
                </c:pt>
                <c:pt idx="905">
                  <c:v>45610</c:v>
                </c:pt>
                <c:pt idx="906">
                  <c:v>45617</c:v>
                </c:pt>
                <c:pt idx="907">
                  <c:v>45624</c:v>
                </c:pt>
                <c:pt idx="908">
                  <c:v>45631</c:v>
                </c:pt>
                <c:pt idx="909">
                  <c:v>45638</c:v>
                </c:pt>
                <c:pt idx="910">
                  <c:v>45645</c:v>
                </c:pt>
                <c:pt idx="911">
                  <c:v>45653</c:v>
                </c:pt>
                <c:pt idx="912">
                  <c:v>45660</c:v>
                </c:pt>
                <c:pt idx="913">
                  <c:v>45667</c:v>
                </c:pt>
                <c:pt idx="914">
                  <c:v>45674</c:v>
                </c:pt>
                <c:pt idx="915">
                  <c:v>45681</c:v>
                </c:pt>
                <c:pt idx="916">
                  <c:v>45688</c:v>
                </c:pt>
                <c:pt idx="917">
                  <c:v>45695</c:v>
                </c:pt>
                <c:pt idx="918">
                  <c:v>45702</c:v>
                </c:pt>
                <c:pt idx="919">
                  <c:v>45709</c:v>
                </c:pt>
                <c:pt idx="920">
                  <c:v>45716</c:v>
                </c:pt>
                <c:pt idx="921">
                  <c:v>45723</c:v>
                </c:pt>
                <c:pt idx="922">
                  <c:v>45730</c:v>
                </c:pt>
                <c:pt idx="923">
                  <c:v>45737</c:v>
                </c:pt>
                <c:pt idx="924">
                  <c:v>45744</c:v>
                </c:pt>
                <c:pt idx="925">
                  <c:v>45751</c:v>
                </c:pt>
                <c:pt idx="926">
                  <c:v>45758</c:v>
                </c:pt>
                <c:pt idx="927">
                  <c:v>45769</c:v>
                </c:pt>
                <c:pt idx="928">
                  <c:v>45776</c:v>
                </c:pt>
                <c:pt idx="929">
                  <c:v>45783</c:v>
                </c:pt>
                <c:pt idx="930">
                  <c:v>45790</c:v>
                </c:pt>
                <c:pt idx="931">
                  <c:v>45797</c:v>
                </c:pt>
                <c:pt idx="932">
                  <c:v>45804</c:v>
                </c:pt>
                <c:pt idx="933">
                  <c:v>45811</c:v>
                </c:pt>
                <c:pt idx="934">
                  <c:v>45818</c:v>
                </c:pt>
                <c:pt idx="935">
                  <c:v>45825</c:v>
                </c:pt>
                <c:pt idx="936">
                  <c:v>45832</c:v>
                </c:pt>
                <c:pt idx="937">
                  <c:v>45839</c:v>
                </c:pt>
                <c:pt idx="938">
                  <c:v>45846</c:v>
                </c:pt>
                <c:pt idx="939">
                  <c:v>45853</c:v>
                </c:pt>
                <c:pt idx="940">
                  <c:v>45860</c:v>
                </c:pt>
                <c:pt idx="941">
                  <c:v>45867</c:v>
                </c:pt>
                <c:pt idx="942">
                  <c:v>45874</c:v>
                </c:pt>
                <c:pt idx="943">
                  <c:v>45881</c:v>
                </c:pt>
                <c:pt idx="944">
                  <c:v>45888</c:v>
                </c:pt>
                <c:pt idx="945">
                  <c:v>45895</c:v>
                </c:pt>
                <c:pt idx="946">
                  <c:v>45902</c:v>
                </c:pt>
                <c:pt idx="947">
                  <c:v>45909</c:v>
                </c:pt>
                <c:pt idx="948">
                  <c:v>45916</c:v>
                </c:pt>
                <c:pt idx="949">
                  <c:v>45923</c:v>
                </c:pt>
                <c:pt idx="950">
                  <c:v>45930</c:v>
                </c:pt>
                <c:pt idx="951">
                  <c:v>45937</c:v>
                </c:pt>
                <c:pt idx="952">
                  <c:v>45944</c:v>
                </c:pt>
                <c:pt idx="953">
                  <c:v>45951</c:v>
                </c:pt>
                <c:pt idx="954">
                  <c:v>45958</c:v>
                </c:pt>
                <c:pt idx="955">
                  <c:v>45965</c:v>
                </c:pt>
                <c:pt idx="956">
                  <c:v>45972</c:v>
                </c:pt>
                <c:pt idx="957">
                  <c:v>45979</c:v>
                </c:pt>
                <c:pt idx="958">
                  <c:v>45986</c:v>
                </c:pt>
                <c:pt idx="959">
                  <c:v>45993</c:v>
                </c:pt>
                <c:pt idx="960">
                  <c:v>46000</c:v>
                </c:pt>
                <c:pt idx="961">
                  <c:v>46007</c:v>
                </c:pt>
                <c:pt idx="962">
                  <c:v>46014</c:v>
                </c:pt>
                <c:pt idx="963">
                  <c:v>46021</c:v>
                </c:pt>
                <c:pt idx="964">
                  <c:v>46028</c:v>
                </c:pt>
                <c:pt idx="965">
                  <c:v>46035</c:v>
                </c:pt>
                <c:pt idx="966">
                  <c:v>46042</c:v>
                </c:pt>
                <c:pt idx="967">
                  <c:v>46049</c:v>
                </c:pt>
                <c:pt idx="968">
                  <c:v>46056</c:v>
                </c:pt>
                <c:pt idx="969">
                  <c:v>46063</c:v>
                </c:pt>
                <c:pt idx="970">
                  <c:v>46070</c:v>
                </c:pt>
                <c:pt idx="971">
                  <c:v>46077</c:v>
                </c:pt>
                <c:pt idx="972">
                  <c:v>46084</c:v>
                </c:pt>
                <c:pt idx="973">
                  <c:v>46091</c:v>
                </c:pt>
                <c:pt idx="974">
                  <c:v>46098</c:v>
                </c:pt>
                <c:pt idx="975">
                  <c:v>46105</c:v>
                </c:pt>
                <c:pt idx="976">
                  <c:v>46112</c:v>
                </c:pt>
                <c:pt idx="977">
                  <c:v>46119</c:v>
                </c:pt>
                <c:pt idx="978">
                  <c:v>46126</c:v>
                </c:pt>
                <c:pt idx="979">
                  <c:v>46133</c:v>
                </c:pt>
                <c:pt idx="980">
                  <c:v>46140</c:v>
                </c:pt>
                <c:pt idx="981">
                  <c:v>46147</c:v>
                </c:pt>
                <c:pt idx="982">
                  <c:v>46154</c:v>
                </c:pt>
                <c:pt idx="983">
                  <c:v>46161</c:v>
                </c:pt>
                <c:pt idx="984">
                  <c:v>46168</c:v>
                </c:pt>
                <c:pt idx="985">
                  <c:v>46175</c:v>
                </c:pt>
                <c:pt idx="986">
                  <c:v>46182</c:v>
                </c:pt>
                <c:pt idx="987">
                  <c:v>46189</c:v>
                </c:pt>
                <c:pt idx="988">
                  <c:v>46196</c:v>
                </c:pt>
                <c:pt idx="989">
                  <c:v>46203</c:v>
                </c:pt>
                <c:pt idx="990">
                  <c:v>46210</c:v>
                </c:pt>
                <c:pt idx="991">
                  <c:v>46217</c:v>
                </c:pt>
                <c:pt idx="992">
                  <c:v>46224</c:v>
                </c:pt>
                <c:pt idx="993">
                  <c:v>46231</c:v>
                </c:pt>
                <c:pt idx="994">
                  <c:v>46238</c:v>
                </c:pt>
                <c:pt idx="995">
                  <c:v>46245</c:v>
                </c:pt>
                <c:pt idx="996">
                  <c:v>46252</c:v>
                </c:pt>
                <c:pt idx="997">
                  <c:v>46259</c:v>
                </c:pt>
                <c:pt idx="998">
                  <c:v>46266</c:v>
                </c:pt>
                <c:pt idx="999">
                  <c:v>46273</c:v>
                </c:pt>
                <c:pt idx="1000">
                  <c:v>46280</c:v>
                </c:pt>
                <c:pt idx="1001">
                  <c:v>46287</c:v>
                </c:pt>
                <c:pt idx="1002">
                  <c:v>46294</c:v>
                </c:pt>
                <c:pt idx="1003">
                  <c:v>46301</c:v>
                </c:pt>
                <c:pt idx="1004">
                  <c:v>46308</c:v>
                </c:pt>
                <c:pt idx="1005">
                  <c:v>46315</c:v>
                </c:pt>
                <c:pt idx="1006">
                  <c:v>46322</c:v>
                </c:pt>
                <c:pt idx="1007">
                  <c:v>46329</c:v>
                </c:pt>
                <c:pt idx="1008">
                  <c:v>46336</c:v>
                </c:pt>
                <c:pt idx="1009">
                  <c:v>46343</c:v>
                </c:pt>
                <c:pt idx="1010">
                  <c:v>46350</c:v>
                </c:pt>
                <c:pt idx="1011">
                  <c:v>46357</c:v>
                </c:pt>
                <c:pt idx="1012">
                  <c:v>46364</c:v>
                </c:pt>
                <c:pt idx="1013">
                  <c:v>46371</c:v>
                </c:pt>
                <c:pt idx="1014">
                  <c:v>46378</c:v>
                </c:pt>
                <c:pt idx="1015">
                  <c:v>46385</c:v>
                </c:pt>
                <c:pt idx="1016">
                  <c:v>46392</c:v>
                </c:pt>
                <c:pt idx="1017">
                  <c:v>46399</c:v>
                </c:pt>
                <c:pt idx="1018">
                  <c:v>46406</c:v>
                </c:pt>
                <c:pt idx="1019">
                  <c:v>46413</c:v>
                </c:pt>
                <c:pt idx="1020">
                  <c:v>46420</c:v>
                </c:pt>
                <c:pt idx="1021">
                  <c:v>46427</c:v>
                </c:pt>
                <c:pt idx="1022">
                  <c:v>46434</c:v>
                </c:pt>
                <c:pt idx="1023">
                  <c:v>46441</c:v>
                </c:pt>
                <c:pt idx="1024">
                  <c:v>46448</c:v>
                </c:pt>
                <c:pt idx="1025">
                  <c:v>46455</c:v>
                </c:pt>
                <c:pt idx="1026">
                  <c:v>46462</c:v>
                </c:pt>
                <c:pt idx="1027">
                  <c:v>46469</c:v>
                </c:pt>
                <c:pt idx="1028">
                  <c:v>46476</c:v>
                </c:pt>
                <c:pt idx="1029">
                  <c:v>46483</c:v>
                </c:pt>
                <c:pt idx="1030">
                  <c:v>46490</c:v>
                </c:pt>
                <c:pt idx="1031">
                  <c:v>46497</c:v>
                </c:pt>
                <c:pt idx="1032">
                  <c:v>46504</c:v>
                </c:pt>
                <c:pt idx="1033">
                  <c:v>46511</c:v>
                </c:pt>
                <c:pt idx="1034">
                  <c:v>46518</c:v>
                </c:pt>
                <c:pt idx="1035">
                  <c:v>46525</c:v>
                </c:pt>
                <c:pt idx="1036">
                  <c:v>46532</c:v>
                </c:pt>
                <c:pt idx="1037">
                  <c:v>46539</c:v>
                </c:pt>
                <c:pt idx="1038">
                  <c:v>46546</c:v>
                </c:pt>
                <c:pt idx="1039">
                  <c:v>46553</c:v>
                </c:pt>
                <c:pt idx="1040">
                  <c:v>46560</c:v>
                </c:pt>
                <c:pt idx="1041">
                  <c:v>46567</c:v>
                </c:pt>
                <c:pt idx="1042">
                  <c:v>46574</c:v>
                </c:pt>
                <c:pt idx="1043">
                  <c:v>46581</c:v>
                </c:pt>
                <c:pt idx="1044">
                  <c:v>46588</c:v>
                </c:pt>
                <c:pt idx="1045">
                  <c:v>46595</c:v>
                </c:pt>
                <c:pt idx="1046">
                  <c:v>46602</c:v>
                </c:pt>
                <c:pt idx="1047">
                  <c:v>46609</c:v>
                </c:pt>
                <c:pt idx="1048">
                  <c:v>46616</c:v>
                </c:pt>
                <c:pt idx="1049">
                  <c:v>46623</c:v>
                </c:pt>
                <c:pt idx="1050">
                  <c:v>46630</c:v>
                </c:pt>
                <c:pt idx="1051">
                  <c:v>46637</c:v>
                </c:pt>
                <c:pt idx="1052">
                  <c:v>46644</c:v>
                </c:pt>
                <c:pt idx="1053">
                  <c:v>46651</c:v>
                </c:pt>
                <c:pt idx="1054">
                  <c:v>46658</c:v>
                </c:pt>
                <c:pt idx="1055">
                  <c:v>46665</c:v>
                </c:pt>
                <c:pt idx="1056">
                  <c:v>46672</c:v>
                </c:pt>
                <c:pt idx="1057">
                  <c:v>46679</c:v>
                </c:pt>
                <c:pt idx="1058">
                  <c:v>46686</c:v>
                </c:pt>
                <c:pt idx="1059">
                  <c:v>46693</c:v>
                </c:pt>
                <c:pt idx="1060">
                  <c:v>46700</c:v>
                </c:pt>
                <c:pt idx="1061">
                  <c:v>46707</c:v>
                </c:pt>
                <c:pt idx="1062">
                  <c:v>46714</c:v>
                </c:pt>
                <c:pt idx="1063">
                  <c:v>46721</c:v>
                </c:pt>
                <c:pt idx="1064">
                  <c:v>46728</c:v>
                </c:pt>
                <c:pt idx="1065">
                  <c:v>46735</c:v>
                </c:pt>
                <c:pt idx="1066">
                  <c:v>46742</c:v>
                </c:pt>
                <c:pt idx="1067">
                  <c:v>46749</c:v>
                </c:pt>
                <c:pt idx="1068">
                  <c:v>46756</c:v>
                </c:pt>
                <c:pt idx="1069">
                  <c:v>46763</c:v>
                </c:pt>
                <c:pt idx="1070">
                  <c:v>46770</c:v>
                </c:pt>
                <c:pt idx="1071">
                  <c:v>46777</c:v>
                </c:pt>
                <c:pt idx="1072">
                  <c:v>46784</c:v>
                </c:pt>
                <c:pt idx="1073">
                  <c:v>46791</c:v>
                </c:pt>
                <c:pt idx="1074">
                  <c:v>46798</c:v>
                </c:pt>
                <c:pt idx="1075">
                  <c:v>46805</c:v>
                </c:pt>
                <c:pt idx="1076">
                  <c:v>46812</c:v>
                </c:pt>
                <c:pt idx="1077">
                  <c:v>46819</c:v>
                </c:pt>
                <c:pt idx="1078">
                  <c:v>46826</c:v>
                </c:pt>
                <c:pt idx="1079">
                  <c:v>46833</c:v>
                </c:pt>
                <c:pt idx="1080">
                  <c:v>46840</c:v>
                </c:pt>
                <c:pt idx="1081">
                  <c:v>46847</c:v>
                </c:pt>
                <c:pt idx="1082">
                  <c:v>46854</c:v>
                </c:pt>
                <c:pt idx="1083">
                  <c:v>46861</c:v>
                </c:pt>
                <c:pt idx="1084">
                  <c:v>46868</c:v>
                </c:pt>
                <c:pt idx="1085">
                  <c:v>46875</c:v>
                </c:pt>
                <c:pt idx="1086">
                  <c:v>46882</c:v>
                </c:pt>
                <c:pt idx="1087">
                  <c:v>46889</c:v>
                </c:pt>
                <c:pt idx="1088">
                  <c:v>46896</c:v>
                </c:pt>
                <c:pt idx="1089">
                  <c:v>46903</c:v>
                </c:pt>
                <c:pt idx="1090">
                  <c:v>46910</c:v>
                </c:pt>
                <c:pt idx="1091">
                  <c:v>46917</c:v>
                </c:pt>
                <c:pt idx="1092">
                  <c:v>46924</c:v>
                </c:pt>
                <c:pt idx="1093">
                  <c:v>46931</c:v>
                </c:pt>
                <c:pt idx="1094">
                  <c:v>46938</c:v>
                </c:pt>
                <c:pt idx="1095">
                  <c:v>46945</c:v>
                </c:pt>
                <c:pt idx="1096">
                  <c:v>46952</c:v>
                </c:pt>
                <c:pt idx="1097">
                  <c:v>46959</c:v>
                </c:pt>
                <c:pt idx="1098">
                  <c:v>46966</c:v>
                </c:pt>
                <c:pt idx="1099">
                  <c:v>46973</c:v>
                </c:pt>
                <c:pt idx="1100">
                  <c:v>46980</c:v>
                </c:pt>
                <c:pt idx="1101">
                  <c:v>46987</c:v>
                </c:pt>
                <c:pt idx="1102">
                  <c:v>46994</c:v>
                </c:pt>
                <c:pt idx="1103">
                  <c:v>47001</c:v>
                </c:pt>
                <c:pt idx="1104">
                  <c:v>47008</c:v>
                </c:pt>
                <c:pt idx="1105">
                  <c:v>47015</c:v>
                </c:pt>
                <c:pt idx="1106">
                  <c:v>47022</c:v>
                </c:pt>
                <c:pt idx="1107">
                  <c:v>47029</c:v>
                </c:pt>
                <c:pt idx="1108">
                  <c:v>47036</c:v>
                </c:pt>
                <c:pt idx="1109">
                  <c:v>47043</c:v>
                </c:pt>
                <c:pt idx="1110">
                  <c:v>47050</c:v>
                </c:pt>
                <c:pt idx="1111">
                  <c:v>47057</c:v>
                </c:pt>
                <c:pt idx="1112">
                  <c:v>47064</c:v>
                </c:pt>
                <c:pt idx="1113">
                  <c:v>47071</c:v>
                </c:pt>
                <c:pt idx="1114">
                  <c:v>47078</c:v>
                </c:pt>
                <c:pt idx="1115">
                  <c:v>47085</c:v>
                </c:pt>
                <c:pt idx="1116">
                  <c:v>47092</c:v>
                </c:pt>
                <c:pt idx="1117">
                  <c:v>47099</c:v>
                </c:pt>
                <c:pt idx="1118">
                  <c:v>47106</c:v>
                </c:pt>
                <c:pt idx="1119">
                  <c:v>47114</c:v>
                </c:pt>
                <c:pt idx="1120">
                  <c:v>47121</c:v>
                </c:pt>
                <c:pt idx="1121">
                  <c:v>47128</c:v>
                </c:pt>
                <c:pt idx="1122">
                  <c:v>47135</c:v>
                </c:pt>
                <c:pt idx="1123">
                  <c:v>47142</c:v>
                </c:pt>
                <c:pt idx="1124">
                  <c:v>47149</c:v>
                </c:pt>
                <c:pt idx="1125">
                  <c:v>47156</c:v>
                </c:pt>
                <c:pt idx="1126">
                  <c:v>47163</c:v>
                </c:pt>
                <c:pt idx="1127">
                  <c:v>47170</c:v>
                </c:pt>
                <c:pt idx="1128">
                  <c:v>47177</c:v>
                </c:pt>
                <c:pt idx="1129">
                  <c:v>47184</c:v>
                </c:pt>
                <c:pt idx="1130">
                  <c:v>47191</c:v>
                </c:pt>
                <c:pt idx="1131">
                  <c:v>47198</c:v>
                </c:pt>
                <c:pt idx="1132">
                  <c:v>47205</c:v>
                </c:pt>
                <c:pt idx="1133">
                  <c:v>47212</c:v>
                </c:pt>
                <c:pt idx="1134">
                  <c:v>47219</c:v>
                </c:pt>
                <c:pt idx="1135">
                  <c:v>47226</c:v>
                </c:pt>
                <c:pt idx="1136">
                  <c:v>47233</c:v>
                </c:pt>
                <c:pt idx="1137">
                  <c:v>47240</c:v>
                </c:pt>
                <c:pt idx="1138">
                  <c:v>47247</c:v>
                </c:pt>
                <c:pt idx="1139">
                  <c:v>47254</c:v>
                </c:pt>
                <c:pt idx="1140">
                  <c:v>47261</c:v>
                </c:pt>
                <c:pt idx="1141">
                  <c:v>47268</c:v>
                </c:pt>
                <c:pt idx="1142">
                  <c:v>47275</c:v>
                </c:pt>
                <c:pt idx="1143">
                  <c:v>47282</c:v>
                </c:pt>
                <c:pt idx="1144">
                  <c:v>47289</c:v>
                </c:pt>
                <c:pt idx="1145">
                  <c:v>47296</c:v>
                </c:pt>
                <c:pt idx="1146">
                  <c:v>47303</c:v>
                </c:pt>
                <c:pt idx="1147">
                  <c:v>47310</c:v>
                </c:pt>
                <c:pt idx="1148">
                  <c:v>47317</c:v>
                </c:pt>
                <c:pt idx="1149">
                  <c:v>47324</c:v>
                </c:pt>
                <c:pt idx="1150">
                  <c:v>47331</c:v>
                </c:pt>
                <c:pt idx="1151">
                  <c:v>47338</c:v>
                </c:pt>
                <c:pt idx="1152">
                  <c:v>47345</c:v>
                </c:pt>
                <c:pt idx="1153">
                  <c:v>47352</c:v>
                </c:pt>
                <c:pt idx="1154">
                  <c:v>47359</c:v>
                </c:pt>
                <c:pt idx="1155">
                  <c:v>47366</c:v>
                </c:pt>
                <c:pt idx="1156">
                  <c:v>47373</c:v>
                </c:pt>
                <c:pt idx="1157">
                  <c:v>47380</c:v>
                </c:pt>
                <c:pt idx="1158">
                  <c:v>47387</c:v>
                </c:pt>
                <c:pt idx="1159">
                  <c:v>47394</c:v>
                </c:pt>
                <c:pt idx="1160">
                  <c:v>47401</c:v>
                </c:pt>
                <c:pt idx="1161">
                  <c:v>47408</c:v>
                </c:pt>
                <c:pt idx="1162">
                  <c:v>47415</c:v>
                </c:pt>
                <c:pt idx="1163">
                  <c:v>47422</c:v>
                </c:pt>
                <c:pt idx="1164">
                  <c:v>47429</c:v>
                </c:pt>
                <c:pt idx="1165">
                  <c:v>47436</c:v>
                </c:pt>
                <c:pt idx="1166">
                  <c:v>47443</c:v>
                </c:pt>
                <c:pt idx="1167">
                  <c:v>47450</c:v>
                </c:pt>
                <c:pt idx="1168">
                  <c:v>47457</c:v>
                </c:pt>
                <c:pt idx="1169">
                  <c:v>47464</c:v>
                </c:pt>
                <c:pt idx="1170">
                  <c:v>47471</c:v>
                </c:pt>
                <c:pt idx="1171">
                  <c:v>47479</c:v>
                </c:pt>
                <c:pt idx="1172">
                  <c:v>47486</c:v>
                </c:pt>
                <c:pt idx="1173">
                  <c:v>47493</c:v>
                </c:pt>
                <c:pt idx="1174">
                  <c:v>47500</c:v>
                </c:pt>
                <c:pt idx="1175">
                  <c:v>47507</c:v>
                </c:pt>
                <c:pt idx="1176">
                  <c:v>47514</c:v>
                </c:pt>
                <c:pt idx="1177">
                  <c:v>47521</c:v>
                </c:pt>
                <c:pt idx="1178">
                  <c:v>47528</c:v>
                </c:pt>
                <c:pt idx="1179">
                  <c:v>47535</c:v>
                </c:pt>
                <c:pt idx="1180">
                  <c:v>47542</c:v>
                </c:pt>
                <c:pt idx="1181">
                  <c:v>47549</c:v>
                </c:pt>
                <c:pt idx="1182">
                  <c:v>47556</c:v>
                </c:pt>
                <c:pt idx="1183">
                  <c:v>47563</c:v>
                </c:pt>
                <c:pt idx="1184">
                  <c:v>47570</c:v>
                </c:pt>
                <c:pt idx="1185">
                  <c:v>47577</c:v>
                </c:pt>
                <c:pt idx="1186">
                  <c:v>47584</c:v>
                </c:pt>
                <c:pt idx="1187">
                  <c:v>47591</c:v>
                </c:pt>
                <c:pt idx="1188">
                  <c:v>47598</c:v>
                </c:pt>
                <c:pt idx="1189">
                  <c:v>47605</c:v>
                </c:pt>
                <c:pt idx="1190">
                  <c:v>47612</c:v>
                </c:pt>
                <c:pt idx="1191">
                  <c:v>47619</c:v>
                </c:pt>
                <c:pt idx="1192">
                  <c:v>47626</c:v>
                </c:pt>
                <c:pt idx="1193">
                  <c:v>47633</c:v>
                </c:pt>
                <c:pt idx="1194">
                  <c:v>47640</c:v>
                </c:pt>
                <c:pt idx="1195">
                  <c:v>47647</c:v>
                </c:pt>
                <c:pt idx="1196">
                  <c:v>47654</c:v>
                </c:pt>
                <c:pt idx="1197">
                  <c:v>47661</c:v>
                </c:pt>
                <c:pt idx="1198">
                  <c:v>47668</c:v>
                </c:pt>
                <c:pt idx="1199">
                  <c:v>47675</c:v>
                </c:pt>
                <c:pt idx="1200">
                  <c:v>47682</c:v>
                </c:pt>
                <c:pt idx="1201">
                  <c:v>47689</c:v>
                </c:pt>
                <c:pt idx="1202">
                  <c:v>47696</c:v>
                </c:pt>
                <c:pt idx="1203">
                  <c:v>47703</c:v>
                </c:pt>
                <c:pt idx="1204">
                  <c:v>47710</c:v>
                </c:pt>
                <c:pt idx="1205">
                  <c:v>47717</c:v>
                </c:pt>
                <c:pt idx="1206">
                  <c:v>47724</c:v>
                </c:pt>
                <c:pt idx="1207">
                  <c:v>47731</c:v>
                </c:pt>
                <c:pt idx="1208">
                  <c:v>47738</c:v>
                </c:pt>
                <c:pt idx="1209">
                  <c:v>47745</c:v>
                </c:pt>
                <c:pt idx="1210">
                  <c:v>47752</c:v>
                </c:pt>
                <c:pt idx="1211">
                  <c:v>47759</c:v>
                </c:pt>
                <c:pt idx="1212">
                  <c:v>47766</c:v>
                </c:pt>
                <c:pt idx="1213">
                  <c:v>47773</c:v>
                </c:pt>
                <c:pt idx="1214">
                  <c:v>47780</c:v>
                </c:pt>
                <c:pt idx="1215">
                  <c:v>47787</c:v>
                </c:pt>
                <c:pt idx="1216">
                  <c:v>47794</c:v>
                </c:pt>
                <c:pt idx="1217">
                  <c:v>47801</c:v>
                </c:pt>
                <c:pt idx="1218">
                  <c:v>47808</c:v>
                </c:pt>
                <c:pt idx="1219">
                  <c:v>47815</c:v>
                </c:pt>
                <c:pt idx="1220">
                  <c:v>47822</c:v>
                </c:pt>
                <c:pt idx="1221">
                  <c:v>47829</c:v>
                </c:pt>
                <c:pt idx="1222">
                  <c:v>47836</c:v>
                </c:pt>
                <c:pt idx="1223">
                  <c:v>47844</c:v>
                </c:pt>
                <c:pt idx="1224">
                  <c:v>47851</c:v>
                </c:pt>
                <c:pt idx="1225">
                  <c:v>47858</c:v>
                </c:pt>
                <c:pt idx="1226">
                  <c:v>47865</c:v>
                </c:pt>
                <c:pt idx="1227">
                  <c:v>47872</c:v>
                </c:pt>
                <c:pt idx="1228">
                  <c:v>47879</c:v>
                </c:pt>
                <c:pt idx="1229">
                  <c:v>47886</c:v>
                </c:pt>
                <c:pt idx="1230">
                  <c:v>47893</c:v>
                </c:pt>
                <c:pt idx="1231">
                  <c:v>47900</c:v>
                </c:pt>
                <c:pt idx="1232">
                  <c:v>47907</c:v>
                </c:pt>
                <c:pt idx="1233">
                  <c:v>47914</c:v>
                </c:pt>
                <c:pt idx="1234">
                  <c:v>47921</c:v>
                </c:pt>
                <c:pt idx="1235">
                  <c:v>47928</c:v>
                </c:pt>
                <c:pt idx="1236">
                  <c:v>47935</c:v>
                </c:pt>
                <c:pt idx="1237">
                  <c:v>47942</c:v>
                </c:pt>
                <c:pt idx="1238">
                  <c:v>47953</c:v>
                </c:pt>
                <c:pt idx="1239">
                  <c:v>47960</c:v>
                </c:pt>
                <c:pt idx="1240">
                  <c:v>47967</c:v>
                </c:pt>
                <c:pt idx="1241">
                  <c:v>47974</c:v>
                </c:pt>
                <c:pt idx="1242">
                  <c:v>47981</c:v>
                </c:pt>
                <c:pt idx="1243">
                  <c:v>47988</c:v>
                </c:pt>
                <c:pt idx="1244">
                  <c:v>47995</c:v>
                </c:pt>
                <c:pt idx="1245">
                  <c:v>48002</c:v>
                </c:pt>
                <c:pt idx="1246">
                  <c:v>48009</c:v>
                </c:pt>
                <c:pt idx="1247">
                  <c:v>48016</c:v>
                </c:pt>
                <c:pt idx="1248">
                  <c:v>48023</c:v>
                </c:pt>
                <c:pt idx="1249">
                  <c:v>48030</c:v>
                </c:pt>
                <c:pt idx="1250">
                  <c:v>48037</c:v>
                </c:pt>
                <c:pt idx="1251">
                  <c:v>48044</c:v>
                </c:pt>
                <c:pt idx="1252">
                  <c:v>48051</c:v>
                </c:pt>
                <c:pt idx="1253">
                  <c:v>48058</c:v>
                </c:pt>
                <c:pt idx="1254">
                  <c:v>48065</c:v>
                </c:pt>
                <c:pt idx="1255">
                  <c:v>48072</c:v>
                </c:pt>
                <c:pt idx="1256">
                  <c:v>48079</c:v>
                </c:pt>
                <c:pt idx="1257">
                  <c:v>48086</c:v>
                </c:pt>
                <c:pt idx="1258">
                  <c:v>48093</c:v>
                </c:pt>
                <c:pt idx="1259">
                  <c:v>48100</c:v>
                </c:pt>
                <c:pt idx="1260">
                  <c:v>48107</c:v>
                </c:pt>
                <c:pt idx="1261">
                  <c:v>48114</c:v>
                </c:pt>
                <c:pt idx="1262">
                  <c:v>48121</c:v>
                </c:pt>
                <c:pt idx="1263">
                  <c:v>48128</c:v>
                </c:pt>
                <c:pt idx="1264">
                  <c:v>48135</c:v>
                </c:pt>
                <c:pt idx="1265">
                  <c:v>48142</c:v>
                </c:pt>
                <c:pt idx="1266">
                  <c:v>48149</c:v>
                </c:pt>
                <c:pt idx="1267">
                  <c:v>48156</c:v>
                </c:pt>
                <c:pt idx="1268">
                  <c:v>48163</c:v>
                </c:pt>
                <c:pt idx="1269">
                  <c:v>48170</c:v>
                </c:pt>
                <c:pt idx="1270">
                  <c:v>48177</c:v>
                </c:pt>
                <c:pt idx="1271">
                  <c:v>48184</c:v>
                </c:pt>
                <c:pt idx="1272">
                  <c:v>48191</c:v>
                </c:pt>
                <c:pt idx="1273">
                  <c:v>48198</c:v>
                </c:pt>
                <c:pt idx="1274">
                  <c:v>48205</c:v>
                </c:pt>
                <c:pt idx="1275">
                  <c:v>48212</c:v>
                </c:pt>
                <c:pt idx="1276">
                  <c:v>48219</c:v>
                </c:pt>
                <c:pt idx="1277">
                  <c:v>48226</c:v>
                </c:pt>
                <c:pt idx="1278">
                  <c:v>48233</c:v>
                </c:pt>
                <c:pt idx="1279">
                  <c:v>48240</c:v>
                </c:pt>
                <c:pt idx="1280">
                  <c:v>48247</c:v>
                </c:pt>
                <c:pt idx="1281">
                  <c:v>48254</c:v>
                </c:pt>
                <c:pt idx="1282">
                  <c:v>48261</c:v>
                </c:pt>
                <c:pt idx="1283">
                  <c:v>48268</c:v>
                </c:pt>
                <c:pt idx="1284">
                  <c:v>48275</c:v>
                </c:pt>
                <c:pt idx="1285">
                  <c:v>48282</c:v>
                </c:pt>
                <c:pt idx="1286">
                  <c:v>48289</c:v>
                </c:pt>
                <c:pt idx="1287">
                  <c:v>48296</c:v>
                </c:pt>
                <c:pt idx="1288">
                  <c:v>48303</c:v>
                </c:pt>
                <c:pt idx="1289">
                  <c:v>48310</c:v>
                </c:pt>
                <c:pt idx="1290">
                  <c:v>48317</c:v>
                </c:pt>
                <c:pt idx="1291">
                  <c:v>48324</c:v>
                </c:pt>
                <c:pt idx="1292">
                  <c:v>48331</c:v>
                </c:pt>
                <c:pt idx="1293">
                  <c:v>48338</c:v>
                </c:pt>
                <c:pt idx="1294">
                  <c:v>48345</c:v>
                </c:pt>
                <c:pt idx="1295">
                  <c:v>48352</c:v>
                </c:pt>
                <c:pt idx="1296">
                  <c:v>48359</c:v>
                </c:pt>
                <c:pt idx="1297">
                  <c:v>48366</c:v>
                </c:pt>
                <c:pt idx="1298">
                  <c:v>48373</c:v>
                </c:pt>
                <c:pt idx="1299">
                  <c:v>48380</c:v>
                </c:pt>
                <c:pt idx="1300">
                  <c:v>48387</c:v>
                </c:pt>
                <c:pt idx="1301">
                  <c:v>48394</c:v>
                </c:pt>
                <c:pt idx="1302">
                  <c:v>48401</c:v>
                </c:pt>
                <c:pt idx="1303">
                  <c:v>48408</c:v>
                </c:pt>
                <c:pt idx="1304">
                  <c:v>48415</c:v>
                </c:pt>
                <c:pt idx="1305">
                  <c:v>48422</c:v>
                </c:pt>
                <c:pt idx="1306">
                  <c:v>48429</c:v>
                </c:pt>
                <c:pt idx="1307">
                  <c:v>48436</c:v>
                </c:pt>
                <c:pt idx="1308">
                  <c:v>48443</c:v>
                </c:pt>
                <c:pt idx="1309">
                  <c:v>48450</c:v>
                </c:pt>
                <c:pt idx="1310">
                  <c:v>48457</c:v>
                </c:pt>
                <c:pt idx="1311">
                  <c:v>48464</c:v>
                </c:pt>
                <c:pt idx="1312">
                  <c:v>48471</c:v>
                </c:pt>
                <c:pt idx="1313">
                  <c:v>48478</c:v>
                </c:pt>
                <c:pt idx="1314">
                  <c:v>48485</c:v>
                </c:pt>
                <c:pt idx="1315">
                  <c:v>48492</c:v>
                </c:pt>
                <c:pt idx="1316">
                  <c:v>48499</c:v>
                </c:pt>
                <c:pt idx="1317">
                  <c:v>48506</c:v>
                </c:pt>
                <c:pt idx="1318">
                  <c:v>48513</c:v>
                </c:pt>
                <c:pt idx="1319">
                  <c:v>48520</c:v>
                </c:pt>
                <c:pt idx="1320">
                  <c:v>48527</c:v>
                </c:pt>
                <c:pt idx="1321">
                  <c:v>48534</c:v>
                </c:pt>
                <c:pt idx="1322">
                  <c:v>48541</c:v>
                </c:pt>
                <c:pt idx="1323">
                  <c:v>48548</c:v>
                </c:pt>
                <c:pt idx="1324">
                  <c:v>48555</c:v>
                </c:pt>
                <c:pt idx="1325">
                  <c:v>48562</c:v>
                </c:pt>
                <c:pt idx="1326">
                  <c:v>48569</c:v>
                </c:pt>
                <c:pt idx="1327">
                  <c:v>48576</c:v>
                </c:pt>
                <c:pt idx="1328">
                  <c:v>48583</c:v>
                </c:pt>
                <c:pt idx="1329">
                  <c:v>48590</c:v>
                </c:pt>
                <c:pt idx="1330">
                  <c:v>48597</c:v>
                </c:pt>
                <c:pt idx="1331">
                  <c:v>48604</c:v>
                </c:pt>
                <c:pt idx="1332">
                  <c:v>48611</c:v>
                </c:pt>
                <c:pt idx="1333">
                  <c:v>48618</c:v>
                </c:pt>
                <c:pt idx="1334">
                  <c:v>48625</c:v>
                </c:pt>
                <c:pt idx="1335">
                  <c:v>48632</c:v>
                </c:pt>
                <c:pt idx="1336">
                  <c:v>48639</c:v>
                </c:pt>
                <c:pt idx="1337">
                  <c:v>48646</c:v>
                </c:pt>
                <c:pt idx="1338">
                  <c:v>48653</c:v>
                </c:pt>
                <c:pt idx="1339">
                  <c:v>48660</c:v>
                </c:pt>
                <c:pt idx="1340">
                  <c:v>48667</c:v>
                </c:pt>
                <c:pt idx="1341">
                  <c:v>48674</c:v>
                </c:pt>
                <c:pt idx="1342">
                  <c:v>48681</c:v>
                </c:pt>
                <c:pt idx="1343">
                  <c:v>48688</c:v>
                </c:pt>
                <c:pt idx="1344">
                  <c:v>48695</c:v>
                </c:pt>
                <c:pt idx="1345">
                  <c:v>48702</c:v>
                </c:pt>
                <c:pt idx="1346">
                  <c:v>48709</c:v>
                </c:pt>
                <c:pt idx="1347">
                  <c:v>48716</c:v>
                </c:pt>
                <c:pt idx="1348">
                  <c:v>48723</c:v>
                </c:pt>
                <c:pt idx="1349">
                  <c:v>48730</c:v>
                </c:pt>
                <c:pt idx="1350">
                  <c:v>48737</c:v>
                </c:pt>
                <c:pt idx="1351">
                  <c:v>48744</c:v>
                </c:pt>
                <c:pt idx="1352">
                  <c:v>48751</c:v>
                </c:pt>
                <c:pt idx="1353">
                  <c:v>48758</c:v>
                </c:pt>
                <c:pt idx="1354">
                  <c:v>48765</c:v>
                </c:pt>
                <c:pt idx="1355">
                  <c:v>48772</c:v>
                </c:pt>
                <c:pt idx="1356">
                  <c:v>48779</c:v>
                </c:pt>
                <c:pt idx="1357">
                  <c:v>48786</c:v>
                </c:pt>
                <c:pt idx="1358">
                  <c:v>48793</c:v>
                </c:pt>
                <c:pt idx="1359">
                  <c:v>48800</c:v>
                </c:pt>
                <c:pt idx="1360">
                  <c:v>48807</c:v>
                </c:pt>
                <c:pt idx="1361">
                  <c:v>48814</c:v>
                </c:pt>
                <c:pt idx="1362">
                  <c:v>48821</c:v>
                </c:pt>
                <c:pt idx="1363">
                  <c:v>48828</c:v>
                </c:pt>
                <c:pt idx="1364">
                  <c:v>48835</c:v>
                </c:pt>
                <c:pt idx="1365">
                  <c:v>48842</c:v>
                </c:pt>
                <c:pt idx="1366">
                  <c:v>48849</c:v>
                </c:pt>
                <c:pt idx="1367">
                  <c:v>48856</c:v>
                </c:pt>
                <c:pt idx="1368">
                  <c:v>48863</c:v>
                </c:pt>
                <c:pt idx="1369">
                  <c:v>48870</c:v>
                </c:pt>
                <c:pt idx="1370">
                  <c:v>48877</c:v>
                </c:pt>
                <c:pt idx="1371">
                  <c:v>48884</c:v>
                </c:pt>
                <c:pt idx="1372">
                  <c:v>48891</c:v>
                </c:pt>
                <c:pt idx="1373">
                  <c:v>48898</c:v>
                </c:pt>
                <c:pt idx="1374">
                  <c:v>48905</c:v>
                </c:pt>
                <c:pt idx="1375">
                  <c:v>48912</c:v>
                </c:pt>
                <c:pt idx="1376">
                  <c:v>48919</c:v>
                </c:pt>
                <c:pt idx="1377">
                  <c:v>48926</c:v>
                </c:pt>
                <c:pt idx="1378">
                  <c:v>48933</c:v>
                </c:pt>
                <c:pt idx="1379">
                  <c:v>48940</c:v>
                </c:pt>
                <c:pt idx="1380">
                  <c:v>48947</c:v>
                </c:pt>
                <c:pt idx="1381">
                  <c:v>48954</c:v>
                </c:pt>
                <c:pt idx="1382">
                  <c:v>48961</c:v>
                </c:pt>
                <c:pt idx="1383">
                  <c:v>48968</c:v>
                </c:pt>
                <c:pt idx="1384">
                  <c:v>48975</c:v>
                </c:pt>
                <c:pt idx="1385">
                  <c:v>48982</c:v>
                </c:pt>
                <c:pt idx="1386">
                  <c:v>48989</c:v>
                </c:pt>
                <c:pt idx="1387">
                  <c:v>48996</c:v>
                </c:pt>
                <c:pt idx="1388">
                  <c:v>49003</c:v>
                </c:pt>
                <c:pt idx="1389">
                  <c:v>49010</c:v>
                </c:pt>
                <c:pt idx="1390">
                  <c:v>49017</c:v>
                </c:pt>
                <c:pt idx="1391">
                  <c:v>49024</c:v>
                </c:pt>
                <c:pt idx="1392">
                  <c:v>49031</c:v>
                </c:pt>
                <c:pt idx="1393">
                  <c:v>49038</c:v>
                </c:pt>
                <c:pt idx="1394">
                  <c:v>49045</c:v>
                </c:pt>
                <c:pt idx="1395">
                  <c:v>49052</c:v>
                </c:pt>
                <c:pt idx="1396">
                  <c:v>49059</c:v>
                </c:pt>
                <c:pt idx="1397">
                  <c:v>49066</c:v>
                </c:pt>
                <c:pt idx="1398">
                  <c:v>49073</c:v>
                </c:pt>
                <c:pt idx="1399">
                  <c:v>49080</c:v>
                </c:pt>
                <c:pt idx="1400">
                  <c:v>49087</c:v>
                </c:pt>
                <c:pt idx="1401">
                  <c:v>49094</c:v>
                </c:pt>
                <c:pt idx="1402">
                  <c:v>49101</c:v>
                </c:pt>
                <c:pt idx="1403">
                  <c:v>49108</c:v>
                </c:pt>
                <c:pt idx="1404">
                  <c:v>49115</c:v>
                </c:pt>
                <c:pt idx="1405">
                  <c:v>49122</c:v>
                </c:pt>
                <c:pt idx="1406">
                  <c:v>49129</c:v>
                </c:pt>
                <c:pt idx="1407">
                  <c:v>49136</c:v>
                </c:pt>
                <c:pt idx="1408">
                  <c:v>49143</c:v>
                </c:pt>
                <c:pt idx="1409">
                  <c:v>49150</c:v>
                </c:pt>
                <c:pt idx="1410">
                  <c:v>49157</c:v>
                </c:pt>
                <c:pt idx="1411">
                  <c:v>49164</c:v>
                </c:pt>
                <c:pt idx="1412">
                  <c:v>49171</c:v>
                </c:pt>
                <c:pt idx="1413">
                  <c:v>49178</c:v>
                </c:pt>
                <c:pt idx="1414">
                  <c:v>49185</c:v>
                </c:pt>
                <c:pt idx="1415">
                  <c:v>49192</c:v>
                </c:pt>
                <c:pt idx="1416">
                  <c:v>49199</c:v>
                </c:pt>
                <c:pt idx="1417">
                  <c:v>49206</c:v>
                </c:pt>
                <c:pt idx="1418">
                  <c:v>49213</c:v>
                </c:pt>
                <c:pt idx="1419">
                  <c:v>49220</c:v>
                </c:pt>
                <c:pt idx="1420">
                  <c:v>49227</c:v>
                </c:pt>
                <c:pt idx="1421">
                  <c:v>49234</c:v>
                </c:pt>
                <c:pt idx="1422">
                  <c:v>49241</c:v>
                </c:pt>
                <c:pt idx="1423">
                  <c:v>49248</c:v>
                </c:pt>
                <c:pt idx="1424">
                  <c:v>49255</c:v>
                </c:pt>
                <c:pt idx="1425">
                  <c:v>49262</c:v>
                </c:pt>
                <c:pt idx="1426">
                  <c:v>49269</c:v>
                </c:pt>
                <c:pt idx="1427">
                  <c:v>49276</c:v>
                </c:pt>
                <c:pt idx="1428">
                  <c:v>49283</c:v>
                </c:pt>
                <c:pt idx="1429">
                  <c:v>49290</c:v>
                </c:pt>
                <c:pt idx="1430">
                  <c:v>49297</c:v>
                </c:pt>
                <c:pt idx="1431">
                  <c:v>49305</c:v>
                </c:pt>
                <c:pt idx="1432">
                  <c:v>49312</c:v>
                </c:pt>
                <c:pt idx="1433">
                  <c:v>49319</c:v>
                </c:pt>
                <c:pt idx="1434">
                  <c:v>49326</c:v>
                </c:pt>
                <c:pt idx="1435">
                  <c:v>49333</c:v>
                </c:pt>
                <c:pt idx="1436">
                  <c:v>49340</c:v>
                </c:pt>
                <c:pt idx="1437">
                  <c:v>49347</c:v>
                </c:pt>
                <c:pt idx="1438">
                  <c:v>49354</c:v>
                </c:pt>
                <c:pt idx="1439">
                  <c:v>49361</c:v>
                </c:pt>
                <c:pt idx="1440">
                  <c:v>49368</c:v>
                </c:pt>
                <c:pt idx="1441">
                  <c:v>49375</c:v>
                </c:pt>
                <c:pt idx="1442">
                  <c:v>49382</c:v>
                </c:pt>
                <c:pt idx="1443">
                  <c:v>49389</c:v>
                </c:pt>
                <c:pt idx="1444">
                  <c:v>49396</c:v>
                </c:pt>
                <c:pt idx="1445">
                  <c:v>49403</c:v>
                </c:pt>
                <c:pt idx="1446">
                  <c:v>49410</c:v>
                </c:pt>
                <c:pt idx="1447">
                  <c:v>49417</c:v>
                </c:pt>
                <c:pt idx="1448">
                  <c:v>49424</c:v>
                </c:pt>
                <c:pt idx="1449">
                  <c:v>49431</c:v>
                </c:pt>
                <c:pt idx="1450">
                  <c:v>49438</c:v>
                </c:pt>
                <c:pt idx="1451">
                  <c:v>49445</c:v>
                </c:pt>
                <c:pt idx="1452">
                  <c:v>49452</c:v>
                </c:pt>
                <c:pt idx="1453">
                  <c:v>49459</c:v>
                </c:pt>
                <c:pt idx="1454">
                  <c:v>49466</c:v>
                </c:pt>
                <c:pt idx="1455">
                  <c:v>49473</c:v>
                </c:pt>
                <c:pt idx="1456">
                  <c:v>49480</c:v>
                </c:pt>
                <c:pt idx="1457">
                  <c:v>49487</c:v>
                </c:pt>
                <c:pt idx="1458">
                  <c:v>49494</c:v>
                </c:pt>
                <c:pt idx="1459">
                  <c:v>49501</c:v>
                </c:pt>
                <c:pt idx="1460">
                  <c:v>49508</c:v>
                </c:pt>
                <c:pt idx="1461">
                  <c:v>49515</c:v>
                </c:pt>
                <c:pt idx="1462">
                  <c:v>49522</c:v>
                </c:pt>
                <c:pt idx="1463">
                  <c:v>49529</c:v>
                </c:pt>
                <c:pt idx="1464">
                  <c:v>49536</c:v>
                </c:pt>
                <c:pt idx="1465">
                  <c:v>49543</c:v>
                </c:pt>
                <c:pt idx="1466">
                  <c:v>49550</c:v>
                </c:pt>
                <c:pt idx="1467">
                  <c:v>49557</c:v>
                </c:pt>
                <c:pt idx="1468">
                  <c:v>49564</c:v>
                </c:pt>
                <c:pt idx="1469">
                  <c:v>49571</c:v>
                </c:pt>
                <c:pt idx="1470">
                  <c:v>49578</c:v>
                </c:pt>
                <c:pt idx="1471">
                  <c:v>49585</c:v>
                </c:pt>
                <c:pt idx="1472">
                  <c:v>49592</c:v>
                </c:pt>
                <c:pt idx="1473">
                  <c:v>49599</c:v>
                </c:pt>
                <c:pt idx="1474">
                  <c:v>49606</c:v>
                </c:pt>
                <c:pt idx="1475">
                  <c:v>49613</c:v>
                </c:pt>
                <c:pt idx="1476">
                  <c:v>49620</c:v>
                </c:pt>
                <c:pt idx="1477">
                  <c:v>49627</c:v>
                </c:pt>
                <c:pt idx="1478">
                  <c:v>49634</c:v>
                </c:pt>
                <c:pt idx="1479">
                  <c:v>49641</c:v>
                </c:pt>
                <c:pt idx="1480">
                  <c:v>49648</c:v>
                </c:pt>
                <c:pt idx="1481">
                  <c:v>49655</c:v>
                </c:pt>
                <c:pt idx="1482">
                  <c:v>49662</c:v>
                </c:pt>
                <c:pt idx="1483">
                  <c:v>49670</c:v>
                </c:pt>
                <c:pt idx="1484">
                  <c:v>49677</c:v>
                </c:pt>
                <c:pt idx="1485">
                  <c:v>49684</c:v>
                </c:pt>
                <c:pt idx="1486">
                  <c:v>49691</c:v>
                </c:pt>
                <c:pt idx="1487">
                  <c:v>49698</c:v>
                </c:pt>
                <c:pt idx="1488">
                  <c:v>49705</c:v>
                </c:pt>
                <c:pt idx="1489">
                  <c:v>49712</c:v>
                </c:pt>
                <c:pt idx="1490">
                  <c:v>49719</c:v>
                </c:pt>
                <c:pt idx="1491">
                  <c:v>49726</c:v>
                </c:pt>
                <c:pt idx="1492">
                  <c:v>49733</c:v>
                </c:pt>
                <c:pt idx="1493">
                  <c:v>49740</c:v>
                </c:pt>
                <c:pt idx="1494">
                  <c:v>49747</c:v>
                </c:pt>
                <c:pt idx="1495">
                  <c:v>49754</c:v>
                </c:pt>
                <c:pt idx="1496">
                  <c:v>49761</c:v>
                </c:pt>
                <c:pt idx="1497">
                  <c:v>49768</c:v>
                </c:pt>
                <c:pt idx="1498">
                  <c:v>49775</c:v>
                </c:pt>
                <c:pt idx="1499">
                  <c:v>49782</c:v>
                </c:pt>
                <c:pt idx="1500">
                  <c:v>49789</c:v>
                </c:pt>
                <c:pt idx="1501">
                  <c:v>49797</c:v>
                </c:pt>
                <c:pt idx="1502">
                  <c:v>49804</c:v>
                </c:pt>
                <c:pt idx="1503">
                  <c:v>49811</c:v>
                </c:pt>
                <c:pt idx="1504">
                  <c:v>49818</c:v>
                </c:pt>
                <c:pt idx="1505">
                  <c:v>49825</c:v>
                </c:pt>
                <c:pt idx="1506">
                  <c:v>49832</c:v>
                </c:pt>
                <c:pt idx="1507">
                  <c:v>49839</c:v>
                </c:pt>
                <c:pt idx="1508">
                  <c:v>49846</c:v>
                </c:pt>
                <c:pt idx="1509">
                  <c:v>49853</c:v>
                </c:pt>
                <c:pt idx="1510">
                  <c:v>49860</c:v>
                </c:pt>
                <c:pt idx="1511">
                  <c:v>49867</c:v>
                </c:pt>
                <c:pt idx="1512">
                  <c:v>49874</c:v>
                </c:pt>
                <c:pt idx="1513">
                  <c:v>49881</c:v>
                </c:pt>
                <c:pt idx="1514">
                  <c:v>49888</c:v>
                </c:pt>
                <c:pt idx="1515">
                  <c:v>49895</c:v>
                </c:pt>
                <c:pt idx="1516">
                  <c:v>49902</c:v>
                </c:pt>
                <c:pt idx="1517">
                  <c:v>49909</c:v>
                </c:pt>
                <c:pt idx="1518">
                  <c:v>49916</c:v>
                </c:pt>
                <c:pt idx="1519">
                  <c:v>49923</c:v>
                </c:pt>
                <c:pt idx="1520">
                  <c:v>49930</c:v>
                </c:pt>
                <c:pt idx="1521">
                  <c:v>49937</c:v>
                </c:pt>
                <c:pt idx="1522">
                  <c:v>49944</c:v>
                </c:pt>
                <c:pt idx="1523">
                  <c:v>49951</c:v>
                </c:pt>
                <c:pt idx="1524">
                  <c:v>49958</c:v>
                </c:pt>
                <c:pt idx="1525">
                  <c:v>49965</c:v>
                </c:pt>
                <c:pt idx="1526">
                  <c:v>49972</c:v>
                </c:pt>
                <c:pt idx="1527">
                  <c:v>49979</c:v>
                </c:pt>
                <c:pt idx="1528">
                  <c:v>49986</c:v>
                </c:pt>
                <c:pt idx="1529">
                  <c:v>49993</c:v>
                </c:pt>
                <c:pt idx="1530">
                  <c:v>50000</c:v>
                </c:pt>
                <c:pt idx="1531">
                  <c:v>50007</c:v>
                </c:pt>
                <c:pt idx="1532">
                  <c:v>50014</c:v>
                </c:pt>
                <c:pt idx="1533">
                  <c:v>50021</c:v>
                </c:pt>
                <c:pt idx="1534">
                  <c:v>50028</c:v>
                </c:pt>
                <c:pt idx="1535">
                  <c:v>50038</c:v>
                </c:pt>
                <c:pt idx="1536">
                  <c:v>50045</c:v>
                </c:pt>
                <c:pt idx="1537">
                  <c:v>50052</c:v>
                </c:pt>
                <c:pt idx="1538">
                  <c:v>50059</c:v>
                </c:pt>
                <c:pt idx="1539">
                  <c:v>50066</c:v>
                </c:pt>
                <c:pt idx="1540">
                  <c:v>50073</c:v>
                </c:pt>
                <c:pt idx="1541">
                  <c:v>50080</c:v>
                </c:pt>
                <c:pt idx="1542">
                  <c:v>50087</c:v>
                </c:pt>
                <c:pt idx="1543">
                  <c:v>50094</c:v>
                </c:pt>
                <c:pt idx="1544">
                  <c:v>50101</c:v>
                </c:pt>
                <c:pt idx="1545">
                  <c:v>50108</c:v>
                </c:pt>
                <c:pt idx="1546">
                  <c:v>50115</c:v>
                </c:pt>
                <c:pt idx="1547">
                  <c:v>50122</c:v>
                </c:pt>
                <c:pt idx="1548">
                  <c:v>50129</c:v>
                </c:pt>
                <c:pt idx="1549">
                  <c:v>50137</c:v>
                </c:pt>
                <c:pt idx="1550">
                  <c:v>50144</c:v>
                </c:pt>
                <c:pt idx="1551">
                  <c:v>50151</c:v>
                </c:pt>
                <c:pt idx="1552">
                  <c:v>50158</c:v>
                </c:pt>
                <c:pt idx="1553">
                  <c:v>50165</c:v>
                </c:pt>
                <c:pt idx="1554">
                  <c:v>50172</c:v>
                </c:pt>
                <c:pt idx="1555">
                  <c:v>50179</c:v>
                </c:pt>
                <c:pt idx="1556">
                  <c:v>50186</c:v>
                </c:pt>
                <c:pt idx="1557">
                  <c:v>50193</c:v>
                </c:pt>
                <c:pt idx="1558">
                  <c:v>50200</c:v>
                </c:pt>
                <c:pt idx="1559">
                  <c:v>50207</c:v>
                </c:pt>
                <c:pt idx="1560">
                  <c:v>50214</c:v>
                </c:pt>
                <c:pt idx="1561">
                  <c:v>50221</c:v>
                </c:pt>
                <c:pt idx="1562">
                  <c:v>50228</c:v>
                </c:pt>
                <c:pt idx="1563">
                  <c:v>50235</c:v>
                </c:pt>
                <c:pt idx="1564">
                  <c:v>50242</c:v>
                </c:pt>
                <c:pt idx="1565">
                  <c:v>50249</c:v>
                </c:pt>
                <c:pt idx="1566">
                  <c:v>50256</c:v>
                </c:pt>
                <c:pt idx="1567">
                  <c:v>50263</c:v>
                </c:pt>
                <c:pt idx="1568">
                  <c:v>50270</c:v>
                </c:pt>
                <c:pt idx="1569">
                  <c:v>50277</c:v>
                </c:pt>
                <c:pt idx="1570">
                  <c:v>50284</c:v>
                </c:pt>
                <c:pt idx="1571">
                  <c:v>50291</c:v>
                </c:pt>
                <c:pt idx="1572">
                  <c:v>50298</c:v>
                </c:pt>
                <c:pt idx="1573">
                  <c:v>50305</c:v>
                </c:pt>
                <c:pt idx="1574">
                  <c:v>50312</c:v>
                </c:pt>
                <c:pt idx="1575">
                  <c:v>50319</c:v>
                </c:pt>
                <c:pt idx="1576">
                  <c:v>50326</c:v>
                </c:pt>
                <c:pt idx="1577">
                  <c:v>50333</c:v>
                </c:pt>
                <c:pt idx="1578">
                  <c:v>50340</c:v>
                </c:pt>
                <c:pt idx="1579">
                  <c:v>50347</c:v>
                </c:pt>
                <c:pt idx="1580">
                  <c:v>50354</c:v>
                </c:pt>
                <c:pt idx="1581">
                  <c:v>50361</c:v>
                </c:pt>
                <c:pt idx="1582">
                  <c:v>50368</c:v>
                </c:pt>
                <c:pt idx="1583">
                  <c:v>50375</c:v>
                </c:pt>
                <c:pt idx="1584">
                  <c:v>50382</c:v>
                </c:pt>
                <c:pt idx="1585">
                  <c:v>50389</c:v>
                </c:pt>
                <c:pt idx="1586">
                  <c:v>50396</c:v>
                </c:pt>
                <c:pt idx="1587">
                  <c:v>50403</c:v>
                </c:pt>
                <c:pt idx="1588">
                  <c:v>50410</c:v>
                </c:pt>
                <c:pt idx="1589">
                  <c:v>50417</c:v>
                </c:pt>
                <c:pt idx="1590">
                  <c:v>50424</c:v>
                </c:pt>
                <c:pt idx="1591">
                  <c:v>50431</c:v>
                </c:pt>
                <c:pt idx="1592">
                  <c:v>50438</c:v>
                </c:pt>
                <c:pt idx="1593">
                  <c:v>50445</c:v>
                </c:pt>
                <c:pt idx="1594">
                  <c:v>50452</c:v>
                </c:pt>
                <c:pt idx="1595">
                  <c:v>50459</c:v>
                </c:pt>
                <c:pt idx="1596">
                  <c:v>50466</c:v>
                </c:pt>
                <c:pt idx="1597">
                  <c:v>50473</c:v>
                </c:pt>
                <c:pt idx="1598">
                  <c:v>50480</c:v>
                </c:pt>
                <c:pt idx="1599">
                  <c:v>50487</c:v>
                </c:pt>
                <c:pt idx="1600">
                  <c:v>50494</c:v>
                </c:pt>
                <c:pt idx="1601">
                  <c:v>50501</c:v>
                </c:pt>
                <c:pt idx="1602">
                  <c:v>50508</c:v>
                </c:pt>
                <c:pt idx="1603">
                  <c:v>50515</c:v>
                </c:pt>
                <c:pt idx="1604">
                  <c:v>50522</c:v>
                </c:pt>
                <c:pt idx="1605">
                  <c:v>50529</c:v>
                </c:pt>
                <c:pt idx="1606">
                  <c:v>50536</c:v>
                </c:pt>
                <c:pt idx="1607">
                  <c:v>50543</c:v>
                </c:pt>
                <c:pt idx="1608">
                  <c:v>50550</c:v>
                </c:pt>
                <c:pt idx="1609">
                  <c:v>50557</c:v>
                </c:pt>
                <c:pt idx="1610">
                  <c:v>50564</c:v>
                </c:pt>
                <c:pt idx="1611">
                  <c:v>50571</c:v>
                </c:pt>
                <c:pt idx="1612">
                  <c:v>50578</c:v>
                </c:pt>
                <c:pt idx="1613">
                  <c:v>50585</c:v>
                </c:pt>
                <c:pt idx="1614">
                  <c:v>50592</c:v>
                </c:pt>
                <c:pt idx="1615">
                  <c:v>50599</c:v>
                </c:pt>
                <c:pt idx="1616">
                  <c:v>50606</c:v>
                </c:pt>
                <c:pt idx="1617">
                  <c:v>50613</c:v>
                </c:pt>
                <c:pt idx="1618">
                  <c:v>50620</c:v>
                </c:pt>
                <c:pt idx="1619">
                  <c:v>50627</c:v>
                </c:pt>
                <c:pt idx="1620">
                  <c:v>50634</c:v>
                </c:pt>
                <c:pt idx="1621">
                  <c:v>50641</c:v>
                </c:pt>
                <c:pt idx="1622">
                  <c:v>50648</c:v>
                </c:pt>
                <c:pt idx="1623">
                  <c:v>50655</c:v>
                </c:pt>
                <c:pt idx="1624">
                  <c:v>50662</c:v>
                </c:pt>
                <c:pt idx="1625">
                  <c:v>50669</c:v>
                </c:pt>
                <c:pt idx="1626">
                  <c:v>50676</c:v>
                </c:pt>
                <c:pt idx="1627">
                  <c:v>50683</c:v>
                </c:pt>
                <c:pt idx="1628">
                  <c:v>50690</c:v>
                </c:pt>
                <c:pt idx="1629">
                  <c:v>50697</c:v>
                </c:pt>
                <c:pt idx="1630">
                  <c:v>50704</c:v>
                </c:pt>
                <c:pt idx="1631">
                  <c:v>50711</c:v>
                </c:pt>
                <c:pt idx="1632">
                  <c:v>50718</c:v>
                </c:pt>
                <c:pt idx="1633">
                  <c:v>50725</c:v>
                </c:pt>
                <c:pt idx="1634">
                  <c:v>50732</c:v>
                </c:pt>
                <c:pt idx="1635">
                  <c:v>50739</c:v>
                </c:pt>
                <c:pt idx="1636">
                  <c:v>50746</c:v>
                </c:pt>
                <c:pt idx="1637">
                  <c:v>50753</c:v>
                </c:pt>
                <c:pt idx="1638">
                  <c:v>50760</c:v>
                </c:pt>
                <c:pt idx="1639">
                  <c:v>50767</c:v>
                </c:pt>
                <c:pt idx="1640">
                  <c:v>50774</c:v>
                </c:pt>
                <c:pt idx="1641">
                  <c:v>50781</c:v>
                </c:pt>
                <c:pt idx="1642">
                  <c:v>50788</c:v>
                </c:pt>
                <c:pt idx="1643">
                  <c:v>50795</c:v>
                </c:pt>
                <c:pt idx="1644">
                  <c:v>50802</c:v>
                </c:pt>
                <c:pt idx="1645">
                  <c:v>50809</c:v>
                </c:pt>
                <c:pt idx="1646">
                  <c:v>50816</c:v>
                </c:pt>
                <c:pt idx="1647">
                  <c:v>50823</c:v>
                </c:pt>
                <c:pt idx="1648">
                  <c:v>50830</c:v>
                </c:pt>
                <c:pt idx="1649">
                  <c:v>50837</c:v>
                </c:pt>
                <c:pt idx="1650">
                  <c:v>50844</c:v>
                </c:pt>
                <c:pt idx="1651">
                  <c:v>50851</c:v>
                </c:pt>
                <c:pt idx="1652">
                  <c:v>50858</c:v>
                </c:pt>
                <c:pt idx="1653">
                  <c:v>50865</c:v>
                </c:pt>
                <c:pt idx="1654">
                  <c:v>50872</c:v>
                </c:pt>
                <c:pt idx="1655">
                  <c:v>50879</c:v>
                </c:pt>
                <c:pt idx="1656">
                  <c:v>50886</c:v>
                </c:pt>
                <c:pt idx="1657">
                  <c:v>50893</c:v>
                </c:pt>
                <c:pt idx="1658">
                  <c:v>50900</c:v>
                </c:pt>
                <c:pt idx="1659">
                  <c:v>50907</c:v>
                </c:pt>
                <c:pt idx="1660">
                  <c:v>50914</c:v>
                </c:pt>
                <c:pt idx="1661">
                  <c:v>50921</c:v>
                </c:pt>
                <c:pt idx="1662">
                  <c:v>50928</c:v>
                </c:pt>
                <c:pt idx="1663">
                  <c:v>50935</c:v>
                </c:pt>
                <c:pt idx="1664">
                  <c:v>50942</c:v>
                </c:pt>
                <c:pt idx="1665">
                  <c:v>50949</c:v>
                </c:pt>
                <c:pt idx="1666">
                  <c:v>50956</c:v>
                </c:pt>
                <c:pt idx="1667">
                  <c:v>50963</c:v>
                </c:pt>
                <c:pt idx="1668">
                  <c:v>50970</c:v>
                </c:pt>
                <c:pt idx="1669">
                  <c:v>50977</c:v>
                </c:pt>
                <c:pt idx="1670">
                  <c:v>50984</c:v>
                </c:pt>
                <c:pt idx="1671">
                  <c:v>50991</c:v>
                </c:pt>
                <c:pt idx="1672">
                  <c:v>50998</c:v>
                </c:pt>
                <c:pt idx="1673">
                  <c:v>51005</c:v>
                </c:pt>
                <c:pt idx="1674">
                  <c:v>51012</c:v>
                </c:pt>
                <c:pt idx="1675">
                  <c:v>51019</c:v>
                </c:pt>
                <c:pt idx="1676">
                  <c:v>51026</c:v>
                </c:pt>
                <c:pt idx="1677">
                  <c:v>51033</c:v>
                </c:pt>
                <c:pt idx="1678">
                  <c:v>51040</c:v>
                </c:pt>
                <c:pt idx="1679">
                  <c:v>51047</c:v>
                </c:pt>
                <c:pt idx="1680">
                  <c:v>51054</c:v>
                </c:pt>
                <c:pt idx="1681">
                  <c:v>51061</c:v>
                </c:pt>
                <c:pt idx="1682">
                  <c:v>51068</c:v>
                </c:pt>
                <c:pt idx="1683">
                  <c:v>51075</c:v>
                </c:pt>
                <c:pt idx="1684">
                  <c:v>51082</c:v>
                </c:pt>
                <c:pt idx="1685">
                  <c:v>51089</c:v>
                </c:pt>
                <c:pt idx="1686">
                  <c:v>51096</c:v>
                </c:pt>
                <c:pt idx="1687">
                  <c:v>51103</c:v>
                </c:pt>
                <c:pt idx="1688">
                  <c:v>51110</c:v>
                </c:pt>
                <c:pt idx="1689">
                  <c:v>51117</c:v>
                </c:pt>
                <c:pt idx="1690">
                  <c:v>51124</c:v>
                </c:pt>
                <c:pt idx="1691">
                  <c:v>51131</c:v>
                </c:pt>
                <c:pt idx="1692">
                  <c:v>51138</c:v>
                </c:pt>
                <c:pt idx="1693">
                  <c:v>51145</c:v>
                </c:pt>
                <c:pt idx="1694">
                  <c:v>51152</c:v>
                </c:pt>
                <c:pt idx="1695">
                  <c:v>51159</c:v>
                </c:pt>
                <c:pt idx="1696">
                  <c:v>51166</c:v>
                </c:pt>
                <c:pt idx="1697">
                  <c:v>51173</c:v>
                </c:pt>
                <c:pt idx="1698">
                  <c:v>51180</c:v>
                </c:pt>
                <c:pt idx="1699">
                  <c:v>51187</c:v>
                </c:pt>
                <c:pt idx="1700">
                  <c:v>51194</c:v>
                </c:pt>
                <c:pt idx="1701">
                  <c:v>51201</c:v>
                </c:pt>
                <c:pt idx="1702">
                  <c:v>51208</c:v>
                </c:pt>
                <c:pt idx="1703">
                  <c:v>51215</c:v>
                </c:pt>
                <c:pt idx="1704">
                  <c:v>51222</c:v>
                </c:pt>
                <c:pt idx="1705">
                  <c:v>51229</c:v>
                </c:pt>
                <c:pt idx="1706">
                  <c:v>51236</c:v>
                </c:pt>
                <c:pt idx="1707">
                  <c:v>51243</c:v>
                </c:pt>
                <c:pt idx="1708">
                  <c:v>51250</c:v>
                </c:pt>
                <c:pt idx="1709">
                  <c:v>51258</c:v>
                </c:pt>
                <c:pt idx="1710">
                  <c:v>51265</c:v>
                </c:pt>
                <c:pt idx="1711">
                  <c:v>51272</c:v>
                </c:pt>
                <c:pt idx="1712">
                  <c:v>51279</c:v>
                </c:pt>
                <c:pt idx="1713">
                  <c:v>51286</c:v>
                </c:pt>
                <c:pt idx="1714">
                  <c:v>51293</c:v>
                </c:pt>
                <c:pt idx="1715">
                  <c:v>51300</c:v>
                </c:pt>
                <c:pt idx="1716">
                  <c:v>51307</c:v>
                </c:pt>
                <c:pt idx="1717">
                  <c:v>51314</c:v>
                </c:pt>
                <c:pt idx="1718">
                  <c:v>51321</c:v>
                </c:pt>
                <c:pt idx="1719">
                  <c:v>51328</c:v>
                </c:pt>
                <c:pt idx="1720">
                  <c:v>51335</c:v>
                </c:pt>
                <c:pt idx="1721">
                  <c:v>51342</c:v>
                </c:pt>
                <c:pt idx="1722">
                  <c:v>51349</c:v>
                </c:pt>
                <c:pt idx="1723">
                  <c:v>51356</c:v>
                </c:pt>
                <c:pt idx="1724">
                  <c:v>51363</c:v>
                </c:pt>
                <c:pt idx="1725">
                  <c:v>51370</c:v>
                </c:pt>
                <c:pt idx="1726">
                  <c:v>51377</c:v>
                </c:pt>
                <c:pt idx="1727">
                  <c:v>51384</c:v>
                </c:pt>
                <c:pt idx="1728">
                  <c:v>51391</c:v>
                </c:pt>
                <c:pt idx="1729">
                  <c:v>51398</c:v>
                </c:pt>
                <c:pt idx="1730">
                  <c:v>51405</c:v>
                </c:pt>
                <c:pt idx="1731">
                  <c:v>51412</c:v>
                </c:pt>
                <c:pt idx="1732">
                  <c:v>51419</c:v>
                </c:pt>
                <c:pt idx="1733">
                  <c:v>51426</c:v>
                </c:pt>
                <c:pt idx="1734">
                  <c:v>51433</c:v>
                </c:pt>
                <c:pt idx="1735">
                  <c:v>51440</c:v>
                </c:pt>
                <c:pt idx="1736">
                  <c:v>51447</c:v>
                </c:pt>
                <c:pt idx="1737">
                  <c:v>51454</c:v>
                </c:pt>
                <c:pt idx="1738">
                  <c:v>51461</c:v>
                </c:pt>
                <c:pt idx="1739">
                  <c:v>51468</c:v>
                </c:pt>
                <c:pt idx="1740">
                  <c:v>51475</c:v>
                </c:pt>
                <c:pt idx="1741">
                  <c:v>51482</c:v>
                </c:pt>
                <c:pt idx="1742">
                  <c:v>51489</c:v>
                </c:pt>
                <c:pt idx="1743">
                  <c:v>51497</c:v>
                </c:pt>
                <c:pt idx="1744">
                  <c:v>51504</c:v>
                </c:pt>
                <c:pt idx="1745">
                  <c:v>51511</c:v>
                </c:pt>
                <c:pt idx="1746">
                  <c:v>51518</c:v>
                </c:pt>
                <c:pt idx="1747">
                  <c:v>51525</c:v>
                </c:pt>
                <c:pt idx="1748">
                  <c:v>51532</c:v>
                </c:pt>
                <c:pt idx="1749">
                  <c:v>51539</c:v>
                </c:pt>
                <c:pt idx="1750">
                  <c:v>51546</c:v>
                </c:pt>
                <c:pt idx="1751">
                  <c:v>51553</c:v>
                </c:pt>
                <c:pt idx="1752">
                  <c:v>51560</c:v>
                </c:pt>
                <c:pt idx="1753">
                  <c:v>51567</c:v>
                </c:pt>
                <c:pt idx="1754">
                  <c:v>51574</c:v>
                </c:pt>
                <c:pt idx="1755">
                  <c:v>51581</c:v>
                </c:pt>
                <c:pt idx="1756">
                  <c:v>51588</c:v>
                </c:pt>
                <c:pt idx="1757">
                  <c:v>51595</c:v>
                </c:pt>
                <c:pt idx="1758">
                  <c:v>51602</c:v>
                </c:pt>
                <c:pt idx="1759">
                  <c:v>51609</c:v>
                </c:pt>
                <c:pt idx="1760">
                  <c:v>51616</c:v>
                </c:pt>
                <c:pt idx="1761">
                  <c:v>51623</c:v>
                </c:pt>
                <c:pt idx="1762">
                  <c:v>51630</c:v>
                </c:pt>
                <c:pt idx="1763">
                  <c:v>51637</c:v>
                </c:pt>
                <c:pt idx="1764">
                  <c:v>51644</c:v>
                </c:pt>
                <c:pt idx="1765">
                  <c:v>51651</c:v>
                </c:pt>
                <c:pt idx="1766">
                  <c:v>51658</c:v>
                </c:pt>
                <c:pt idx="1767">
                  <c:v>51665</c:v>
                </c:pt>
                <c:pt idx="1768">
                  <c:v>51672</c:v>
                </c:pt>
                <c:pt idx="1769">
                  <c:v>51679</c:v>
                </c:pt>
                <c:pt idx="1770">
                  <c:v>51686</c:v>
                </c:pt>
                <c:pt idx="1771">
                  <c:v>51693</c:v>
                </c:pt>
                <c:pt idx="1772">
                  <c:v>51700</c:v>
                </c:pt>
                <c:pt idx="1773">
                  <c:v>51707</c:v>
                </c:pt>
                <c:pt idx="1774">
                  <c:v>51714</c:v>
                </c:pt>
                <c:pt idx="1775">
                  <c:v>51721</c:v>
                </c:pt>
                <c:pt idx="1776">
                  <c:v>51728</c:v>
                </c:pt>
                <c:pt idx="1777">
                  <c:v>51735</c:v>
                </c:pt>
                <c:pt idx="1778">
                  <c:v>51742</c:v>
                </c:pt>
                <c:pt idx="1779">
                  <c:v>51749</c:v>
                </c:pt>
                <c:pt idx="1780">
                  <c:v>51756</c:v>
                </c:pt>
                <c:pt idx="1781">
                  <c:v>51763</c:v>
                </c:pt>
                <c:pt idx="1782">
                  <c:v>51770</c:v>
                </c:pt>
                <c:pt idx="1783">
                  <c:v>51777</c:v>
                </c:pt>
                <c:pt idx="1784">
                  <c:v>51784</c:v>
                </c:pt>
                <c:pt idx="1785">
                  <c:v>51791</c:v>
                </c:pt>
                <c:pt idx="1786">
                  <c:v>51798</c:v>
                </c:pt>
                <c:pt idx="1787">
                  <c:v>51805</c:v>
                </c:pt>
                <c:pt idx="1788">
                  <c:v>51812</c:v>
                </c:pt>
                <c:pt idx="1789">
                  <c:v>51819</c:v>
                </c:pt>
                <c:pt idx="1790">
                  <c:v>51826</c:v>
                </c:pt>
                <c:pt idx="1791">
                  <c:v>51833</c:v>
                </c:pt>
                <c:pt idx="1792">
                  <c:v>51840</c:v>
                </c:pt>
                <c:pt idx="1793">
                  <c:v>51847</c:v>
                </c:pt>
                <c:pt idx="1794">
                  <c:v>51854</c:v>
                </c:pt>
                <c:pt idx="1795">
                  <c:v>51862</c:v>
                </c:pt>
                <c:pt idx="1796">
                  <c:v>51869</c:v>
                </c:pt>
                <c:pt idx="1797">
                  <c:v>51876</c:v>
                </c:pt>
                <c:pt idx="1798">
                  <c:v>51883</c:v>
                </c:pt>
                <c:pt idx="1799">
                  <c:v>51890</c:v>
                </c:pt>
                <c:pt idx="1800">
                  <c:v>51897</c:v>
                </c:pt>
                <c:pt idx="1801">
                  <c:v>51904</c:v>
                </c:pt>
                <c:pt idx="1802">
                  <c:v>51911</c:v>
                </c:pt>
                <c:pt idx="1803">
                  <c:v>51918</c:v>
                </c:pt>
                <c:pt idx="1804">
                  <c:v>51925</c:v>
                </c:pt>
                <c:pt idx="1805">
                  <c:v>51932</c:v>
                </c:pt>
                <c:pt idx="1806">
                  <c:v>51939</c:v>
                </c:pt>
                <c:pt idx="1807">
                  <c:v>51946</c:v>
                </c:pt>
                <c:pt idx="1808">
                  <c:v>51953</c:v>
                </c:pt>
                <c:pt idx="1809">
                  <c:v>51964</c:v>
                </c:pt>
                <c:pt idx="1810">
                  <c:v>51971</c:v>
                </c:pt>
                <c:pt idx="1811">
                  <c:v>51978</c:v>
                </c:pt>
                <c:pt idx="1812">
                  <c:v>51985</c:v>
                </c:pt>
                <c:pt idx="1813">
                  <c:v>51992</c:v>
                </c:pt>
                <c:pt idx="1814">
                  <c:v>51999</c:v>
                </c:pt>
                <c:pt idx="1815">
                  <c:v>52006</c:v>
                </c:pt>
                <c:pt idx="1816">
                  <c:v>52013</c:v>
                </c:pt>
                <c:pt idx="1817">
                  <c:v>52020</c:v>
                </c:pt>
                <c:pt idx="1818">
                  <c:v>52027</c:v>
                </c:pt>
                <c:pt idx="1819">
                  <c:v>52034</c:v>
                </c:pt>
                <c:pt idx="1820">
                  <c:v>52041</c:v>
                </c:pt>
                <c:pt idx="1821">
                  <c:v>52048</c:v>
                </c:pt>
                <c:pt idx="1822">
                  <c:v>52055</c:v>
                </c:pt>
                <c:pt idx="1823">
                  <c:v>52062</c:v>
                </c:pt>
                <c:pt idx="1824">
                  <c:v>52069</c:v>
                </c:pt>
                <c:pt idx="1825">
                  <c:v>52076</c:v>
                </c:pt>
                <c:pt idx="1826">
                  <c:v>52083</c:v>
                </c:pt>
                <c:pt idx="1827">
                  <c:v>52090</c:v>
                </c:pt>
                <c:pt idx="1828">
                  <c:v>52097</c:v>
                </c:pt>
                <c:pt idx="1829">
                  <c:v>52104</c:v>
                </c:pt>
                <c:pt idx="1830">
                  <c:v>52111</c:v>
                </c:pt>
                <c:pt idx="1831">
                  <c:v>52118</c:v>
                </c:pt>
                <c:pt idx="1832">
                  <c:v>52125</c:v>
                </c:pt>
                <c:pt idx="1833">
                  <c:v>52132</c:v>
                </c:pt>
                <c:pt idx="1834">
                  <c:v>52139</c:v>
                </c:pt>
                <c:pt idx="1835">
                  <c:v>52146</c:v>
                </c:pt>
                <c:pt idx="1836">
                  <c:v>52153</c:v>
                </c:pt>
                <c:pt idx="1837">
                  <c:v>52160</c:v>
                </c:pt>
                <c:pt idx="1838">
                  <c:v>52167</c:v>
                </c:pt>
                <c:pt idx="1839">
                  <c:v>52174</c:v>
                </c:pt>
                <c:pt idx="1840">
                  <c:v>52181</c:v>
                </c:pt>
                <c:pt idx="1841">
                  <c:v>52188</c:v>
                </c:pt>
                <c:pt idx="1842">
                  <c:v>52195</c:v>
                </c:pt>
                <c:pt idx="1843">
                  <c:v>52202</c:v>
                </c:pt>
                <c:pt idx="1844">
                  <c:v>52209</c:v>
                </c:pt>
                <c:pt idx="1845">
                  <c:v>52216</c:v>
                </c:pt>
                <c:pt idx="1846">
                  <c:v>52223</c:v>
                </c:pt>
                <c:pt idx="1847">
                  <c:v>52230</c:v>
                </c:pt>
                <c:pt idx="1848">
                  <c:v>52237</c:v>
                </c:pt>
                <c:pt idx="1849">
                  <c:v>52244</c:v>
                </c:pt>
                <c:pt idx="1850">
                  <c:v>52251</c:v>
                </c:pt>
                <c:pt idx="1851">
                  <c:v>52258</c:v>
                </c:pt>
                <c:pt idx="1852">
                  <c:v>52265</c:v>
                </c:pt>
                <c:pt idx="1853">
                  <c:v>52272</c:v>
                </c:pt>
                <c:pt idx="1854">
                  <c:v>52279</c:v>
                </c:pt>
                <c:pt idx="1855">
                  <c:v>52286</c:v>
                </c:pt>
                <c:pt idx="1856">
                  <c:v>52293</c:v>
                </c:pt>
                <c:pt idx="1857">
                  <c:v>52300</c:v>
                </c:pt>
                <c:pt idx="1858">
                  <c:v>52307</c:v>
                </c:pt>
                <c:pt idx="1859">
                  <c:v>52314</c:v>
                </c:pt>
                <c:pt idx="1860">
                  <c:v>52321</c:v>
                </c:pt>
                <c:pt idx="1861">
                  <c:v>52328</c:v>
                </c:pt>
                <c:pt idx="1862">
                  <c:v>52335</c:v>
                </c:pt>
                <c:pt idx="1863">
                  <c:v>52342</c:v>
                </c:pt>
                <c:pt idx="1864">
                  <c:v>52349</c:v>
                </c:pt>
                <c:pt idx="1865">
                  <c:v>52356</c:v>
                </c:pt>
                <c:pt idx="1866">
                  <c:v>52363</c:v>
                </c:pt>
                <c:pt idx="1867">
                  <c:v>52370</c:v>
                </c:pt>
                <c:pt idx="1868">
                  <c:v>52377</c:v>
                </c:pt>
                <c:pt idx="1869">
                  <c:v>52384</c:v>
                </c:pt>
                <c:pt idx="1870">
                  <c:v>52391</c:v>
                </c:pt>
                <c:pt idx="1871">
                  <c:v>52398</c:v>
                </c:pt>
                <c:pt idx="1872">
                  <c:v>52405</c:v>
                </c:pt>
                <c:pt idx="1873">
                  <c:v>52412</c:v>
                </c:pt>
                <c:pt idx="1874">
                  <c:v>52419</c:v>
                </c:pt>
                <c:pt idx="1875">
                  <c:v>52426</c:v>
                </c:pt>
                <c:pt idx="1876">
                  <c:v>52433</c:v>
                </c:pt>
                <c:pt idx="1877">
                  <c:v>52440</c:v>
                </c:pt>
                <c:pt idx="1878">
                  <c:v>52447</c:v>
                </c:pt>
                <c:pt idx="1879">
                  <c:v>52454</c:v>
                </c:pt>
                <c:pt idx="1880">
                  <c:v>52461</c:v>
                </c:pt>
                <c:pt idx="1881">
                  <c:v>52468</c:v>
                </c:pt>
                <c:pt idx="1882">
                  <c:v>52475</c:v>
                </c:pt>
                <c:pt idx="1883">
                  <c:v>52482</c:v>
                </c:pt>
                <c:pt idx="1884">
                  <c:v>52489</c:v>
                </c:pt>
                <c:pt idx="1885">
                  <c:v>52496</c:v>
                </c:pt>
                <c:pt idx="1886">
                  <c:v>52503</c:v>
                </c:pt>
                <c:pt idx="1887">
                  <c:v>52510</c:v>
                </c:pt>
                <c:pt idx="1888">
                  <c:v>52517</c:v>
                </c:pt>
                <c:pt idx="1889">
                  <c:v>52524</c:v>
                </c:pt>
                <c:pt idx="1890">
                  <c:v>52531</c:v>
                </c:pt>
                <c:pt idx="1891">
                  <c:v>52538</c:v>
                </c:pt>
                <c:pt idx="1892">
                  <c:v>52545</c:v>
                </c:pt>
                <c:pt idx="1893">
                  <c:v>52552</c:v>
                </c:pt>
                <c:pt idx="1894">
                  <c:v>52559</c:v>
                </c:pt>
                <c:pt idx="1895">
                  <c:v>52566</c:v>
                </c:pt>
                <c:pt idx="1896">
                  <c:v>52573</c:v>
                </c:pt>
                <c:pt idx="1897">
                  <c:v>52580</c:v>
                </c:pt>
                <c:pt idx="1898">
                  <c:v>52587</c:v>
                </c:pt>
                <c:pt idx="1899">
                  <c:v>52594</c:v>
                </c:pt>
                <c:pt idx="1900">
                  <c:v>52601</c:v>
                </c:pt>
                <c:pt idx="1901">
                  <c:v>52608</c:v>
                </c:pt>
                <c:pt idx="1902">
                  <c:v>52615</c:v>
                </c:pt>
                <c:pt idx="1903">
                  <c:v>52622</c:v>
                </c:pt>
                <c:pt idx="1904">
                  <c:v>52629</c:v>
                </c:pt>
                <c:pt idx="1905">
                  <c:v>52636</c:v>
                </c:pt>
                <c:pt idx="1906">
                  <c:v>52643</c:v>
                </c:pt>
                <c:pt idx="1907">
                  <c:v>52650</c:v>
                </c:pt>
                <c:pt idx="1908">
                  <c:v>52657</c:v>
                </c:pt>
                <c:pt idx="1909">
                  <c:v>52664</c:v>
                </c:pt>
                <c:pt idx="1910">
                  <c:v>52671</c:v>
                </c:pt>
                <c:pt idx="1911">
                  <c:v>52678</c:v>
                </c:pt>
                <c:pt idx="1912">
                  <c:v>52685</c:v>
                </c:pt>
                <c:pt idx="1913">
                  <c:v>52692</c:v>
                </c:pt>
                <c:pt idx="1914">
                  <c:v>52699</c:v>
                </c:pt>
                <c:pt idx="1915">
                  <c:v>52706</c:v>
                </c:pt>
                <c:pt idx="1916">
                  <c:v>52713</c:v>
                </c:pt>
                <c:pt idx="1917">
                  <c:v>52720</c:v>
                </c:pt>
                <c:pt idx="1918">
                  <c:v>52727</c:v>
                </c:pt>
                <c:pt idx="1919">
                  <c:v>52734</c:v>
                </c:pt>
                <c:pt idx="1920">
                  <c:v>52741</c:v>
                </c:pt>
                <c:pt idx="1921">
                  <c:v>52748</c:v>
                </c:pt>
                <c:pt idx="1922">
                  <c:v>52755</c:v>
                </c:pt>
                <c:pt idx="1923">
                  <c:v>52762</c:v>
                </c:pt>
                <c:pt idx="1924">
                  <c:v>52769</c:v>
                </c:pt>
                <c:pt idx="1925">
                  <c:v>52776</c:v>
                </c:pt>
                <c:pt idx="1926">
                  <c:v>52783</c:v>
                </c:pt>
                <c:pt idx="1927">
                  <c:v>52790</c:v>
                </c:pt>
                <c:pt idx="1928">
                  <c:v>52797</c:v>
                </c:pt>
                <c:pt idx="1929">
                  <c:v>52804</c:v>
                </c:pt>
                <c:pt idx="1930">
                  <c:v>52811</c:v>
                </c:pt>
                <c:pt idx="1931">
                  <c:v>52818</c:v>
                </c:pt>
                <c:pt idx="1932">
                  <c:v>52825</c:v>
                </c:pt>
                <c:pt idx="1933">
                  <c:v>52832</c:v>
                </c:pt>
                <c:pt idx="1934">
                  <c:v>52839</c:v>
                </c:pt>
                <c:pt idx="1935">
                  <c:v>52846</c:v>
                </c:pt>
                <c:pt idx="1936">
                  <c:v>52853</c:v>
                </c:pt>
                <c:pt idx="1937">
                  <c:v>52860</c:v>
                </c:pt>
                <c:pt idx="1938">
                  <c:v>52867</c:v>
                </c:pt>
                <c:pt idx="1939">
                  <c:v>52874</c:v>
                </c:pt>
                <c:pt idx="1940">
                  <c:v>52881</c:v>
                </c:pt>
                <c:pt idx="1941">
                  <c:v>52888</c:v>
                </c:pt>
                <c:pt idx="1942">
                  <c:v>52895</c:v>
                </c:pt>
                <c:pt idx="1943">
                  <c:v>52902</c:v>
                </c:pt>
                <c:pt idx="1944">
                  <c:v>52909</c:v>
                </c:pt>
                <c:pt idx="1945">
                  <c:v>52916</c:v>
                </c:pt>
                <c:pt idx="1946">
                  <c:v>52923</c:v>
                </c:pt>
                <c:pt idx="1947">
                  <c:v>52930</c:v>
                </c:pt>
                <c:pt idx="1948">
                  <c:v>52937</c:v>
                </c:pt>
                <c:pt idx="1949">
                  <c:v>52944</c:v>
                </c:pt>
                <c:pt idx="1950">
                  <c:v>52951</c:v>
                </c:pt>
                <c:pt idx="1951">
                  <c:v>52958</c:v>
                </c:pt>
                <c:pt idx="1952">
                  <c:v>52965</c:v>
                </c:pt>
                <c:pt idx="1953">
                  <c:v>52972</c:v>
                </c:pt>
                <c:pt idx="1954">
                  <c:v>52979</c:v>
                </c:pt>
                <c:pt idx="1955">
                  <c:v>52986</c:v>
                </c:pt>
                <c:pt idx="1956">
                  <c:v>52993</c:v>
                </c:pt>
                <c:pt idx="1957">
                  <c:v>53000</c:v>
                </c:pt>
                <c:pt idx="1958">
                  <c:v>53007</c:v>
                </c:pt>
                <c:pt idx="1959">
                  <c:v>53014</c:v>
                </c:pt>
                <c:pt idx="1960">
                  <c:v>53021</c:v>
                </c:pt>
                <c:pt idx="1961">
                  <c:v>53028</c:v>
                </c:pt>
                <c:pt idx="1962">
                  <c:v>53035</c:v>
                </c:pt>
                <c:pt idx="1963">
                  <c:v>53042</c:v>
                </c:pt>
                <c:pt idx="1964">
                  <c:v>53049</c:v>
                </c:pt>
                <c:pt idx="1965">
                  <c:v>53056</c:v>
                </c:pt>
                <c:pt idx="1966">
                  <c:v>53063</c:v>
                </c:pt>
                <c:pt idx="1967">
                  <c:v>53070</c:v>
                </c:pt>
                <c:pt idx="1968">
                  <c:v>53077</c:v>
                </c:pt>
                <c:pt idx="1969">
                  <c:v>53084</c:v>
                </c:pt>
                <c:pt idx="1970">
                  <c:v>53091</c:v>
                </c:pt>
                <c:pt idx="1971">
                  <c:v>53098</c:v>
                </c:pt>
                <c:pt idx="1972">
                  <c:v>53105</c:v>
                </c:pt>
                <c:pt idx="1973">
                  <c:v>53112</c:v>
                </c:pt>
                <c:pt idx="1974">
                  <c:v>53119</c:v>
                </c:pt>
                <c:pt idx="1975">
                  <c:v>53126</c:v>
                </c:pt>
                <c:pt idx="1976">
                  <c:v>53133</c:v>
                </c:pt>
                <c:pt idx="1977">
                  <c:v>53140</c:v>
                </c:pt>
                <c:pt idx="1978">
                  <c:v>53147</c:v>
                </c:pt>
                <c:pt idx="1979">
                  <c:v>53154</c:v>
                </c:pt>
                <c:pt idx="1980">
                  <c:v>53161</c:v>
                </c:pt>
                <c:pt idx="1981">
                  <c:v>53168</c:v>
                </c:pt>
                <c:pt idx="1982">
                  <c:v>53175</c:v>
                </c:pt>
                <c:pt idx="1983">
                  <c:v>53182</c:v>
                </c:pt>
                <c:pt idx="1984">
                  <c:v>53189</c:v>
                </c:pt>
                <c:pt idx="1985">
                  <c:v>53196</c:v>
                </c:pt>
                <c:pt idx="1986">
                  <c:v>53203</c:v>
                </c:pt>
                <c:pt idx="1987">
                  <c:v>53210</c:v>
                </c:pt>
                <c:pt idx="1988">
                  <c:v>53217</c:v>
                </c:pt>
                <c:pt idx="1989">
                  <c:v>53224</c:v>
                </c:pt>
                <c:pt idx="1990">
                  <c:v>53231</c:v>
                </c:pt>
                <c:pt idx="1991">
                  <c:v>53238</c:v>
                </c:pt>
                <c:pt idx="1992">
                  <c:v>53245</c:v>
                </c:pt>
                <c:pt idx="1993">
                  <c:v>53252</c:v>
                </c:pt>
                <c:pt idx="1994">
                  <c:v>53259</c:v>
                </c:pt>
                <c:pt idx="1995">
                  <c:v>53266</c:v>
                </c:pt>
                <c:pt idx="1996">
                  <c:v>53273</c:v>
                </c:pt>
                <c:pt idx="1997">
                  <c:v>53280</c:v>
                </c:pt>
                <c:pt idx="1998">
                  <c:v>53287</c:v>
                </c:pt>
                <c:pt idx="1999">
                  <c:v>53294</c:v>
                </c:pt>
                <c:pt idx="2000">
                  <c:v>53301</c:v>
                </c:pt>
                <c:pt idx="2001">
                  <c:v>53308</c:v>
                </c:pt>
                <c:pt idx="2002">
                  <c:v>53315</c:v>
                </c:pt>
                <c:pt idx="2003">
                  <c:v>53323</c:v>
                </c:pt>
                <c:pt idx="2004">
                  <c:v>53330</c:v>
                </c:pt>
                <c:pt idx="2005">
                  <c:v>53337</c:v>
                </c:pt>
                <c:pt idx="2006">
                  <c:v>53344</c:v>
                </c:pt>
                <c:pt idx="2007">
                  <c:v>53351</c:v>
                </c:pt>
                <c:pt idx="2008">
                  <c:v>53358</c:v>
                </c:pt>
                <c:pt idx="2009">
                  <c:v>53365</c:v>
                </c:pt>
                <c:pt idx="2010">
                  <c:v>53372</c:v>
                </c:pt>
                <c:pt idx="2011">
                  <c:v>53379</c:v>
                </c:pt>
                <c:pt idx="2012">
                  <c:v>53386</c:v>
                </c:pt>
                <c:pt idx="2013">
                  <c:v>53393</c:v>
                </c:pt>
                <c:pt idx="2014">
                  <c:v>53400</c:v>
                </c:pt>
                <c:pt idx="2015">
                  <c:v>53407</c:v>
                </c:pt>
                <c:pt idx="2016">
                  <c:v>53414</c:v>
                </c:pt>
                <c:pt idx="2017">
                  <c:v>53421</c:v>
                </c:pt>
                <c:pt idx="2018">
                  <c:v>53428</c:v>
                </c:pt>
                <c:pt idx="2019">
                  <c:v>53435</c:v>
                </c:pt>
                <c:pt idx="2020">
                  <c:v>53442</c:v>
                </c:pt>
                <c:pt idx="2021">
                  <c:v>53449</c:v>
                </c:pt>
                <c:pt idx="2022">
                  <c:v>53456</c:v>
                </c:pt>
                <c:pt idx="2023">
                  <c:v>53463</c:v>
                </c:pt>
                <c:pt idx="2024">
                  <c:v>53470</c:v>
                </c:pt>
                <c:pt idx="2025">
                  <c:v>53477</c:v>
                </c:pt>
                <c:pt idx="2026">
                  <c:v>53484</c:v>
                </c:pt>
                <c:pt idx="2027">
                  <c:v>53491</c:v>
                </c:pt>
                <c:pt idx="2028">
                  <c:v>53498</c:v>
                </c:pt>
                <c:pt idx="2029">
                  <c:v>53505</c:v>
                </c:pt>
                <c:pt idx="2030">
                  <c:v>53512</c:v>
                </c:pt>
                <c:pt idx="2031">
                  <c:v>53519</c:v>
                </c:pt>
                <c:pt idx="2032">
                  <c:v>53526</c:v>
                </c:pt>
                <c:pt idx="2033">
                  <c:v>53533</c:v>
                </c:pt>
                <c:pt idx="2034">
                  <c:v>53540</c:v>
                </c:pt>
                <c:pt idx="2035">
                  <c:v>53547</c:v>
                </c:pt>
                <c:pt idx="2036">
                  <c:v>53554</c:v>
                </c:pt>
                <c:pt idx="2037">
                  <c:v>53561</c:v>
                </c:pt>
                <c:pt idx="2038">
                  <c:v>53568</c:v>
                </c:pt>
                <c:pt idx="2039">
                  <c:v>53575</c:v>
                </c:pt>
                <c:pt idx="2040">
                  <c:v>53582</c:v>
                </c:pt>
                <c:pt idx="2041">
                  <c:v>53589</c:v>
                </c:pt>
                <c:pt idx="2042">
                  <c:v>53596</c:v>
                </c:pt>
                <c:pt idx="2043">
                  <c:v>53603</c:v>
                </c:pt>
                <c:pt idx="2044">
                  <c:v>53610</c:v>
                </c:pt>
                <c:pt idx="2045">
                  <c:v>53617</c:v>
                </c:pt>
                <c:pt idx="2046">
                  <c:v>53624</c:v>
                </c:pt>
                <c:pt idx="2047">
                  <c:v>53631</c:v>
                </c:pt>
                <c:pt idx="2048">
                  <c:v>53638</c:v>
                </c:pt>
                <c:pt idx="2049">
                  <c:v>53645</c:v>
                </c:pt>
                <c:pt idx="2050">
                  <c:v>53652</c:v>
                </c:pt>
                <c:pt idx="2051">
                  <c:v>53659</c:v>
                </c:pt>
                <c:pt idx="2052">
                  <c:v>53666</c:v>
                </c:pt>
                <c:pt idx="2053">
                  <c:v>53673</c:v>
                </c:pt>
                <c:pt idx="2054">
                  <c:v>53680</c:v>
                </c:pt>
                <c:pt idx="2055">
                  <c:v>53688</c:v>
                </c:pt>
                <c:pt idx="2056">
                  <c:v>53695</c:v>
                </c:pt>
                <c:pt idx="2057">
                  <c:v>53702</c:v>
                </c:pt>
                <c:pt idx="2058">
                  <c:v>53709</c:v>
                </c:pt>
                <c:pt idx="2059">
                  <c:v>53716</c:v>
                </c:pt>
                <c:pt idx="2060">
                  <c:v>53723</c:v>
                </c:pt>
                <c:pt idx="2061">
                  <c:v>53730</c:v>
                </c:pt>
                <c:pt idx="2062">
                  <c:v>53737</c:v>
                </c:pt>
                <c:pt idx="2063">
                  <c:v>53744</c:v>
                </c:pt>
                <c:pt idx="2064">
                  <c:v>53751</c:v>
                </c:pt>
                <c:pt idx="2065">
                  <c:v>53758</c:v>
                </c:pt>
                <c:pt idx="2066">
                  <c:v>53765</c:v>
                </c:pt>
                <c:pt idx="2067">
                  <c:v>53772</c:v>
                </c:pt>
                <c:pt idx="2068">
                  <c:v>53779</c:v>
                </c:pt>
                <c:pt idx="2069">
                  <c:v>53786</c:v>
                </c:pt>
                <c:pt idx="2070">
                  <c:v>53793</c:v>
                </c:pt>
                <c:pt idx="2071">
                  <c:v>53800</c:v>
                </c:pt>
                <c:pt idx="2072">
                  <c:v>53807</c:v>
                </c:pt>
                <c:pt idx="2073">
                  <c:v>53814</c:v>
                </c:pt>
                <c:pt idx="2074">
                  <c:v>53821</c:v>
                </c:pt>
                <c:pt idx="2075">
                  <c:v>53828</c:v>
                </c:pt>
                <c:pt idx="2076">
                  <c:v>53835</c:v>
                </c:pt>
                <c:pt idx="2077">
                  <c:v>53842</c:v>
                </c:pt>
                <c:pt idx="2078">
                  <c:v>53849</c:v>
                </c:pt>
                <c:pt idx="2079">
                  <c:v>53856</c:v>
                </c:pt>
                <c:pt idx="2080">
                  <c:v>53863</c:v>
                </c:pt>
                <c:pt idx="2081">
                  <c:v>53870</c:v>
                </c:pt>
                <c:pt idx="2082">
                  <c:v>53877</c:v>
                </c:pt>
                <c:pt idx="2083">
                  <c:v>53884</c:v>
                </c:pt>
                <c:pt idx="2084">
                  <c:v>53891</c:v>
                </c:pt>
                <c:pt idx="2085">
                  <c:v>53898</c:v>
                </c:pt>
                <c:pt idx="2086">
                  <c:v>53905</c:v>
                </c:pt>
                <c:pt idx="2087">
                  <c:v>53912</c:v>
                </c:pt>
                <c:pt idx="2088">
                  <c:v>53919</c:v>
                </c:pt>
                <c:pt idx="2089">
                  <c:v>53926</c:v>
                </c:pt>
                <c:pt idx="2090">
                  <c:v>53933</c:v>
                </c:pt>
                <c:pt idx="2091">
                  <c:v>53940</c:v>
                </c:pt>
                <c:pt idx="2092">
                  <c:v>53947</c:v>
                </c:pt>
                <c:pt idx="2093">
                  <c:v>53954</c:v>
                </c:pt>
                <c:pt idx="2094">
                  <c:v>53961</c:v>
                </c:pt>
                <c:pt idx="2095">
                  <c:v>53968</c:v>
                </c:pt>
                <c:pt idx="2096">
                  <c:v>53975</c:v>
                </c:pt>
                <c:pt idx="2097">
                  <c:v>53982</c:v>
                </c:pt>
                <c:pt idx="2098">
                  <c:v>53989</c:v>
                </c:pt>
                <c:pt idx="2099">
                  <c:v>53996</c:v>
                </c:pt>
                <c:pt idx="2100">
                  <c:v>54003</c:v>
                </c:pt>
                <c:pt idx="2101">
                  <c:v>54010</c:v>
                </c:pt>
                <c:pt idx="2102">
                  <c:v>54017</c:v>
                </c:pt>
                <c:pt idx="2103">
                  <c:v>54024</c:v>
                </c:pt>
                <c:pt idx="2104">
                  <c:v>54031</c:v>
                </c:pt>
                <c:pt idx="2105">
                  <c:v>54038</c:v>
                </c:pt>
                <c:pt idx="2106">
                  <c:v>54045</c:v>
                </c:pt>
                <c:pt idx="2107">
                  <c:v>54053</c:v>
                </c:pt>
                <c:pt idx="2108">
                  <c:v>54060</c:v>
                </c:pt>
                <c:pt idx="2109">
                  <c:v>54067</c:v>
                </c:pt>
                <c:pt idx="2110">
                  <c:v>54074</c:v>
                </c:pt>
                <c:pt idx="2111">
                  <c:v>54081</c:v>
                </c:pt>
                <c:pt idx="2112">
                  <c:v>54088</c:v>
                </c:pt>
                <c:pt idx="2113">
                  <c:v>54095</c:v>
                </c:pt>
                <c:pt idx="2114">
                  <c:v>54102</c:v>
                </c:pt>
                <c:pt idx="2115">
                  <c:v>54109</c:v>
                </c:pt>
                <c:pt idx="2116">
                  <c:v>54116</c:v>
                </c:pt>
                <c:pt idx="2117">
                  <c:v>54123</c:v>
                </c:pt>
                <c:pt idx="2118">
                  <c:v>54130</c:v>
                </c:pt>
                <c:pt idx="2119">
                  <c:v>54137</c:v>
                </c:pt>
                <c:pt idx="2120">
                  <c:v>54144</c:v>
                </c:pt>
                <c:pt idx="2121">
                  <c:v>54155</c:v>
                </c:pt>
                <c:pt idx="2122">
                  <c:v>54162</c:v>
                </c:pt>
                <c:pt idx="2123">
                  <c:v>54169</c:v>
                </c:pt>
                <c:pt idx="2124">
                  <c:v>54176</c:v>
                </c:pt>
                <c:pt idx="2125">
                  <c:v>54183</c:v>
                </c:pt>
                <c:pt idx="2126">
                  <c:v>54190</c:v>
                </c:pt>
                <c:pt idx="2127">
                  <c:v>54197</c:v>
                </c:pt>
                <c:pt idx="2128">
                  <c:v>54204</c:v>
                </c:pt>
                <c:pt idx="2129">
                  <c:v>54211</c:v>
                </c:pt>
                <c:pt idx="2130">
                  <c:v>54218</c:v>
                </c:pt>
                <c:pt idx="2131">
                  <c:v>54225</c:v>
                </c:pt>
                <c:pt idx="2132">
                  <c:v>54232</c:v>
                </c:pt>
                <c:pt idx="2133">
                  <c:v>54239</c:v>
                </c:pt>
                <c:pt idx="2134">
                  <c:v>54246</c:v>
                </c:pt>
                <c:pt idx="2135">
                  <c:v>54253</c:v>
                </c:pt>
                <c:pt idx="2136">
                  <c:v>54260</c:v>
                </c:pt>
                <c:pt idx="2137">
                  <c:v>54267</c:v>
                </c:pt>
                <c:pt idx="2138">
                  <c:v>54274</c:v>
                </c:pt>
                <c:pt idx="2139">
                  <c:v>54281</c:v>
                </c:pt>
                <c:pt idx="2140">
                  <c:v>54288</c:v>
                </c:pt>
                <c:pt idx="2141">
                  <c:v>54295</c:v>
                </c:pt>
                <c:pt idx="2142">
                  <c:v>54302</c:v>
                </c:pt>
                <c:pt idx="2143">
                  <c:v>54309</c:v>
                </c:pt>
                <c:pt idx="2144">
                  <c:v>54316</c:v>
                </c:pt>
                <c:pt idx="2145">
                  <c:v>54323</c:v>
                </c:pt>
                <c:pt idx="2146">
                  <c:v>54330</c:v>
                </c:pt>
                <c:pt idx="2147">
                  <c:v>54337</c:v>
                </c:pt>
                <c:pt idx="2148">
                  <c:v>54344</c:v>
                </c:pt>
                <c:pt idx="2149">
                  <c:v>54351</c:v>
                </c:pt>
                <c:pt idx="2150">
                  <c:v>54358</c:v>
                </c:pt>
                <c:pt idx="2151">
                  <c:v>54365</c:v>
                </c:pt>
                <c:pt idx="2152">
                  <c:v>54372</c:v>
                </c:pt>
                <c:pt idx="2153">
                  <c:v>54379</c:v>
                </c:pt>
                <c:pt idx="2154">
                  <c:v>54386</c:v>
                </c:pt>
                <c:pt idx="2155">
                  <c:v>54393</c:v>
                </c:pt>
                <c:pt idx="2156">
                  <c:v>54400</c:v>
                </c:pt>
                <c:pt idx="2157">
                  <c:v>54407</c:v>
                </c:pt>
                <c:pt idx="2158">
                  <c:v>54414</c:v>
                </c:pt>
                <c:pt idx="2159">
                  <c:v>54421</c:v>
                </c:pt>
                <c:pt idx="2160">
                  <c:v>54428</c:v>
                </c:pt>
                <c:pt idx="2161">
                  <c:v>54435</c:v>
                </c:pt>
                <c:pt idx="2162">
                  <c:v>54442</c:v>
                </c:pt>
                <c:pt idx="2163">
                  <c:v>54449</c:v>
                </c:pt>
                <c:pt idx="2164">
                  <c:v>54456</c:v>
                </c:pt>
                <c:pt idx="2165">
                  <c:v>54463</c:v>
                </c:pt>
                <c:pt idx="2166">
                  <c:v>54470</c:v>
                </c:pt>
                <c:pt idx="2167">
                  <c:v>54477</c:v>
                </c:pt>
                <c:pt idx="2168">
                  <c:v>54484</c:v>
                </c:pt>
                <c:pt idx="2169">
                  <c:v>54491</c:v>
                </c:pt>
                <c:pt idx="2170">
                  <c:v>54498</c:v>
                </c:pt>
                <c:pt idx="2171">
                  <c:v>54505</c:v>
                </c:pt>
                <c:pt idx="2172">
                  <c:v>54512</c:v>
                </c:pt>
                <c:pt idx="2173">
                  <c:v>54519</c:v>
                </c:pt>
                <c:pt idx="2174">
                  <c:v>54526</c:v>
                </c:pt>
                <c:pt idx="2175">
                  <c:v>54533</c:v>
                </c:pt>
                <c:pt idx="2176">
                  <c:v>54540</c:v>
                </c:pt>
                <c:pt idx="2177">
                  <c:v>54547</c:v>
                </c:pt>
                <c:pt idx="2178">
                  <c:v>54554</c:v>
                </c:pt>
                <c:pt idx="2179">
                  <c:v>54561</c:v>
                </c:pt>
                <c:pt idx="2180">
                  <c:v>54568</c:v>
                </c:pt>
                <c:pt idx="2181">
                  <c:v>54575</c:v>
                </c:pt>
                <c:pt idx="2182">
                  <c:v>54582</c:v>
                </c:pt>
                <c:pt idx="2183">
                  <c:v>54589</c:v>
                </c:pt>
                <c:pt idx="2184">
                  <c:v>54596</c:v>
                </c:pt>
                <c:pt idx="2185">
                  <c:v>54603</c:v>
                </c:pt>
                <c:pt idx="2186">
                  <c:v>54610</c:v>
                </c:pt>
                <c:pt idx="2187">
                  <c:v>54617</c:v>
                </c:pt>
                <c:pt idx="2188">
                  <c:v>54624</c:v>
                </c:pt>
                <c:pt idx="2189">
                  <c:v>54631</c:v>
                </c:pt>
                <c:pt idx="2190">
                  <c:v>54638</c:v>
                </c:pt>
                <c:pt idx="2191">
                  <c:v>54645</c:v>
                </c:pt>
                <c:pt idx="2192">
                  <c:v>54652</c:v>
                </c:pt>
                <c:pt idx="2193">
                  <c:v>54659</c:v>
                </c:pt>
                <c:pt idx="2194">
                  <c:v>54666</c:v>
                </c:pt>
                <c:pt idx="2195">
                  <c:v>54673</c:v>
                </c:pt>
                <c:pt idx="2196">
                  <c:v>54680</c:v>
                </c:pt>
                <c:pt idx="2197">
                  <c:v>54687</c:v>
                </c:pt>
                <c:pt idx="2198">
                  <c:v>54694</c:v>
                </c:pt>
                <c:pt idx="2199">
                  <c:v>54701</c:v>
                </c:pt>
                <c:pt idx="2200">
                  <c:v>54708</c:v>
                </c:pt>
                <c:pt idx="2201">
                  <c:v>54715</c:v>
                </c:pt>
                <c:pt idx="2202">
                  <c:v>54722</c:v>
                </c:pt>
                <c:pt idx="2203">
                  <c:v>54729</c:v>
                </c:pt>
                <c:pt idx="2204">
                  <c:v>54736</c:v>
                </c:pt>
                <c:pt idx="2205">
                  <c:v>54743</c:v>
                </c:pt>
                <c:pt idx="2206">
                  <c:v>54750</c:v>
                </c:pt>
                <c:pt idx="2207">
                  <c:v>54757</c:v>
                </c:pt>
                <c:pt idx="2208">
                  <c:v>54764</c:v>
                </c:pt>
                <c:pt idx="2209">
                  <c:v>54771</c:v>
                </c:pt>
                <c:pt idx="2210">
                  <c:v>54778</c:v>
                </c:pt>
                <c:pt idx="2211">
                  <c:v>54785</c:v>
                </c:pt>
                <c:pt idx="2212">
                  <c:v>54792</c:v>
                </c:pt>
                <c:pt idx="2213">
                  <c:v>54799</c:v>
                </c:pt>
                <c:pt idx="2214">
                  <c:v>54806</c:v>
                </c:pt>
                <c:pt idx="2215">
                  <c:v>54813</c:v>
                </c:pt>
                <c:pt idx="2216">
                  <c:v>54820</c:v>
                </c:pt>
                <c:pt idx="2217">
                  <c:v>54827</c:v>
                </c:pt>
                <c:pt idx="2218">
                  <c:v>54834</c:v>
                </c:pt>
                <c:pt idx="2219">
                  <c:v>54841</c:v>
                </c:pt>
                <c:pt idx="2220">
                  <c:v>54848</c:v>
                </c:pt>
                <c:pt idx="2221">
                  <c:v>54855</c:v>
                </c:pt>
                <c:pt idx="2222">
                  <c:v>54862</c:v>
                </c:pt>
                <c:pt idx="2223">
                  <c:v>54869</c:v>
                </c:pt>
                <c:pt idx="2224">
                  <c:v>54876</c:v>
                </c:pt>
                <c:pt idx="2225">
                  <c:v>54883</c:v>
                </c:pt>
                <c:pt idx="2226">
                  <c:v>54890</c:v>
                </c:pt>
                <c:pt idx="2227">
                  <c:v>54897</c:v>
                </c:pt>
                <c:pt idx="2228">
                  <c:v>54904</c:v>
                </c:pt>
                <c:pt idx="2229">
                  <c:v>54911</c:v>
                </c:pt>
                <c:pt idx="2230">
                  <c:v>54918</c:v>
                </c:pt>
                <c:pt idx="2231">
                  <c:v>54925</c:v>
                </c:pt>
                <c:pt idx="2232">
                  <c:v>54932</c:v>
                </c:pt>
                <c:pt idx="2233">
                  <c:v>54939</c:v>
                </c:pt>
                <c:pt idx="2234">
                  <c:v>54946</c:v>
                </c:pt>
                <c:pt idx="2235">
                  <c:v>54953</c:v>
                </c:pt>
                <c:pt idx="2236">
                  <c:v>54960</c:v>
                </c:pt>
                <c:pt idx="2237">
                  <c:v>54967</c:v>
                </c:pt>
                <c:pt idx="2238">
                  <c:v>54974</c:v>
                </c:pt>
                <c:pt idx="2239">
                  <c:v>54981</c:v>
                </c:pt>
                <c:pt idx="2240">
                  <c:v>54988</c:v>
                </c:pt>
                <c:pt idx="2241">
                  <c:v>54995</c:v>
                </c:pt>
                <c:pt idx="2242">
                  <c:v>55002</c:v>
                </c:pt>
                <c:pt idx="2243">
                  <c:v>55009</c:v>
                </c:pt>
                <c:pt idx="2244">
                  <c:v>55016</c:v>
                </c:pt>
                <c:pt idx="2245">
                  <c:v>55023</c:v>
                </c:pt>
                <c:pt idx="2246">
                  <c:v>55030</c:v>
                </c:pt>
                <c:pt idx="2247">
                  <c:v>55037</c:v>
                </c:pt>
                <c:pt idx="2248">
                  <c:v>55044</c:v>
                </c:pt>
                <c:pt idx="2249">
                  <c:v>55051</c:v>
                </c:pt>
                <c:pt idx="2250">
                  <c:v>55058</c:v>
                </c:pt>
                <c:pt idx="2251">
                  <c:v>55065</c:v>
                </c:pt>
                <c:pt idx="2252">
                  <c:v>55072</c:v>
                </c:pt>
                <c:pt idx="2253">
                  <c:v>55079</c:v>
                </c:pt>
                <c:pt idx="2254">
                  <c:v>55086</c:v>
                </c:pt>
                <c:pt idx="2255">
                  <c:v>55093</c:v>
                </c:pt>
                <c:pt idx="2256">
                  <c:v>55100</c:v>
                </c:pt>
                <c:pt idx="2257">
                  <c:v>55107</c:v>
                </c:pt>
                <c:pt idx="2258">
                  <c:v>55114</c:v>
                </c:pt>
                <c:pt idx="2259">
                  <c:v>55121</c:v>
                </c:pt>
                <c:pt idx="2260">
                  <c:v>55128</c:v>
                </c:pt>
                <c:pt idx="2261">
                  <c:v>55135</c:v>
                </c:pt>
                <c:pt idx="2262">
                  <c:v>55142</c:v>
                </c:pt>
                <c:pt idx="2263">
                  <c:v>55149</c:v>
                </c:pt>
                <c:pt idx="2264">
                  <c:v>55156</c:v>
                </c:pt>
                <c:pt idx="2265">
                  <c:v>55163</c:v>
                </c:pt>
                <c:pt idx="2266">
                  <c:v>55170</c:v>
                </c:pt>
                <c:pt idx="2267">
                  <c:v>55177</c:v>
                </c:pt>
                <c:pt idx="2268">
                  <c:v>55184</c:v>
                </c:pt>
                <c:pt idx="2269">
                  <c:v>55191</c:v>
                </c:pt>
                <c:pt idx="2270">
                  <c:v>55198</c:v>
                </c:pt>
                <c:pt idx="2271">
                  <c:v>55205</c:v>
                </c:pt>
                <c:pt idx="2272">
                  <c:v>55212</c:v>
                </c:pt>
                <c:pt idx="2273">
                  <c:v>55219</c:v>
                </c:pt>
                <c:pt idx="2274">
                  <c:v>55226</c:v>
                </c:pt>
                <c:pt idx="2275">
                  <c:v>55233</c:v>
                </c:pt>
                <c:pt idx="2276">
                  <c:v>55240</c:v>
                </c:pt>
                <c:pt idx="2277">
                  <c:v>55247</c:v>
                </c:pt>
                <c:pt idx="2278">
                  <c:v>55254</c:v>
                </c:pt>
                <c:pt idx="2279">
                  <c:v>55261</c:v>
                </c:pt>
                <c:pt idx="2280">
                  <c:v>55268</c:v>
                </c:pt>
                <c:pt idx="2281">
                  <c:v>55275</c:v>
                </c:pt>
                <c:pt idx="2282">
                  <c:v>55282</c:v>
                </c:pt>
                <c:pt idx="2283">
                  <c:v>55289</c:v>
                </c:pt>
                <c:pt idx="2284">
                  <c:v>55296</c:v>
                </c:pt>
                <c:pt idx="2285">
                  <c:v>55303</c:v>
                </c:pt>
                <c:pt idx="2286">
                  <c:v>55310</c:v>
                </c:pt>
                <c:pt idx="2287">
                  <c:v>55317</c:v>
                </c:pt>
                <c:pt idx="2288">
                  <c:v>55324</c:v>
                </c:pt>
                <c:pt idx="2289">
                  <c:v>55331</c:v>
                </c:pt>
                <c:pt idx="2290">
                  <c:v>55338</c:v>
                </c:pt>
                <c:pt idx="2291">
                  <c:v>55345</c:v>
                </c:pt>
                <c:pt idx="2292">
                  <c:v>55352</c:v>
                </c:pt>
                <c:pt idx="2293">
                  <c:v>55359</c:v>
                </c:pt>
                <c:pt idx="2294">
                  <c:v>55366</c:v>
                </c:pt>
                <c:pt idx="2295">
                  <c:v>55373</c:v>
                </c:pt>
                <c:pt idx="2296">
                  <c:v>55380</c:v>
                </c:pt>
                <c:pt idx="2297">
                  <c:v>55387</c:v>
                </c:pt>
                <c:pt idx="2298">
                  <c:v>55394</c:v>
                </c:pt>
                <c:pt idx="2299">
                  <c:v>55401</c:v>
                </c:pt>
                <c:pt idx="2300">
                  <c:v>55408</c:v>
                </c:pt>
                <c:pt idx="2301">
                  <c:v>55415</c:v>
                </c:pt>
                <c:pt idx="2302">
                  <c:v>55422</c:v>
                </c:pt>
                <c:pt idx="2303">
                  <c:v>55429</c:v>
                </c:pt>
                <c:pt idx="2304">
                  <c:v>55436</c:v>
                </c:pt>
                <c:pt idx="2305">
                  <c:v>55443</c:v>
                </c:pt>
                <c:pt idx="2306">
                  <c:v>55450</c:v>
                </c:pt>
                <c:pt idx="2307">
                  <c:v>55457</c:v>
                </c:pt>
                <c:pt idx="2308">
                  <c:v>55464</c:v>
                </c:pt>
                <c:pt idx="2309">
                  <c:v>55471</c:v>
                </c:pt>
                <c:pt idx="2310">
                  <c:v>55478</c:v>
                </c:pt>
                <c:pt idx="2311">
                  <c:v>55485</c:v>
                </c:pt>
                <c:pt idx="2312">
                  <c:v>55492</c:v>
                </c:pt>
                <c:pt idx="2313">
                  <c:v>55499</c:v>
                </c:pt>
                <c:pt idx="2314">
                  <c:v>55506</c:v>
                </c:pt>
                <c:pt idx="2315">
                  <c:v>55514</c:v>
                </c:pt>
                <c:pt idx="2316">
                  <c:v>55521</c:v>
                </c:pt>
                <c:pt idx="2317">
                  <c:v>55528</c:v>
                </c:pt>
                <c:pt idx="2318">
                  <c:v>55535</c:v>
                </c:pt>
                <c:pt idx="2319">
                  <c:v>55542</c:v>
                </c:pt>
                <c:pt idx="2320">
                  <c:v>55549</c:v>
                </c:pt>
                <c:pt idx="2321">
                  <c:v>55556</c:v>
                </c:pt>
                <c:pt idx="2322">
                  <c:v>55563</c:v>
                </c:pt>
                <c:pt idx="2323">
                  <c:v>55570</c:v>
                </c:pt>
                <c:pt idx="2324">
                  <c:v>55577</c:v>
                </c:pt>
                <c:pt idx="2325">
                  <c:v>55584</c:v>
                </c:pt>
                <c:pt idx="2326">
                  <c:v>55591</c:v>
                </c:pt>
                <c:pt idx="2327">
                  <c:v>55598</c:v>
                </c:pt>
                <c:pt idx="2328">
                  <c:v>55605</c:v>
                </c:pt>
                <c:pt idx="2329">
                  <c:v>55612</c:v>
                </c:pt>
                <c:pt idx="2330">
                  <c:v>55619</c:v>
                </c:pt>
                <c:pt idx="2331">
                  <c:v>55626</c:v>
                </c:pt>
                <c:pt idx="2332">
                  <c:v>55633</c:v>
                </c:pt>
                <c:pt idx="2333">
                  <c:v>55641</c:v>
                </c:pt>
                <c:pt idx="2334">
                  <c:v>55648</c:v>
                </c:pt>
                <c:pt idx="2335">
                  <c:v>55655</c:v>
                </c:pt>
                <c:pt idx="2336">
                  <c:v>55662</c:v>
                </c:pt>
                <c:pt idx="2337">
                  <c:v>55669</c:v>
                </c:pt>
                <c:pt idx="2338">
                  <c:v>55676</c:v>
                </c:pt>
                <c:pt idx="2339">
                  <c:v>55683</c:v>
                </c:pt>
                <c:pt idx="2340">
                  <c:v>55690</c:v>
                </c:pt>
                <c:pt idx="2341">
                  <c:v>55697</c:v>
                </c:pt>
                <c:pt idx="2342">
                  <c:v>55704</c:v>
                </c:pt>
                <c:pt idx="2343">
                  <c:v>55711</c:v>
                </c:pt>
                <c:pt idx="2344">
                  <c:v>55718</c:v>
                </c:pt>
                <c:pt idx="2345">
                  <c:v>55725</c:v>
                </c:pt>
                <c:pt idx="2346">
                  <c:v>55732</c:v>
                </c:pt>
                <c:pt idx="2347">
                  <c:v>55739</c:v>
                </c:pt>
                <c:pt idx="2348">
                  <c:v>55746</c:v>
                </c:pt>
                <c:pt idx="2349">
                  <c:v>55753</c:v>
                </c:pt>
                <c:pt idx="2350">
                  <c:v>55760</c:v>
                </c:pt>
                <c:pt idx="2351">
                  <c:v>55767</c:v>
                </c:pt>
                <c:pt idx="2352">
                  <c:v>55774</c:v>
                </c:pt>
                <c:pt idx="2353">
                  <c:v>55781</c:v>
                </c:pt>
                <c:pt idx="2354">
                  <c:v>55788</c:v>
                </c:pt>
                <c:pt idx="2355">
                  <c:v>55795</c:v>
                </c:pt>
                <c:pt idx="2356">
                  <c:v>55802</c:v>
                </c:pt>
                <c:pt idx="2357">
                  <c:v>55809</c:v>
                </c:pt>
                <c:pt idx="2358">
                  <c:v>55816</c:v>
                </c:pt>
                <c:pt idx="2359">
                  <c:v>55823</c:v>
                </c:pt>
                <c:pt idx="2360">
                  <c:v>55830</c:v>
                </c:pt>
                <c:pt idx="2361">
                  <c:v>55837</c:v>
                </c:pt>
                <c:pt idx="2362">
                  <c:v>55844</c:v>
                </c:pt>
                <c:pt idx="2363">
                  <c:v>55851</c:v>
                </c:pt>
                <c:pt idx="2364">
                  <c:v>55858</c:v>
                </c:pt>
                <c:pt idx="2365">
                  <c:v>55865</c:v>
                </c:pt>
                <c:pt idx="2366">
                  <c:v>55872</c:v>
                </c:pt>
                <c:pt idx="2367">
                  <c:v>55880</c:v>
                </c:pt>
                <c:pt idx="2368">
                  <c:v>55887</c:v>
                </c:pt>
                <c:pt idx="2369">
                  <c:v>55894</c:v>
                </c:pt>
                <c:pt idx="2370">
                  <c:v>55901</c:v>
                </c:pt>
                <c:pt idx="2371">
                  <c:v>55908</c:v>
                </c:pt>
                <c:pt idx="2372">
                  <c:v>55915</c:v>
                </c:pt>
                <c:pt idx="2373">
                  <c:v>55922</c:v>
                </c:pt>
                <c:pt idx="2374">
                  <c:v>55929</c:v>
                </c:pt>
                <c:pt idx="2375">
                  <c:v>55936</c:v>
                </c:pt>
                <c:pt idx="2376">
                  <c:v>55943</c:v>
                </c:pt>
                <c:pt idx="2377">
                  <c:v>55950</c:v>
                </c:pt>
                <c:pt idx="2378">
                  <c:v>55957</c:v>
                </c:pt>
                <c:pt idx="2379">
                  <c:v>55964</c:v>
                </c:pt>
                <c:pt idx="2380">
                  <c:v>55971</c:v>
                </c:pt>
                <c:pt idx="2381">
                  <c:v>55982</c:v>
                </c:pt>
                <c:pt idx="2382">
                  <c:v>55989</c:v>
                </c:pt>
                <c:pt idx="2383">
                  <c:v>55996</c:v>
                </c:pt>
                <c:pt idx="2384">
                  <c:v>56003</c:v>
                </c:pt>
                <c:pt idx="2385">
                  <c:v>56010</c:v>
                </c:pt>
                <c:pt idx="2386">
                  <c:v>56017</c:v>
                </c:pt>
                <c:pt idx="2387">
                  <c:v>56024</c:v>
                </c:pt>
                <c:pt idx="2388">
                  <c:v>56031</c:v>
                </c:pt>
                <c:pt idx="2389">
                  <c:v>56038</c:v>
                </c:pt>
                <c:pt idx="2390">
                  <c:v>56045</c:v>
                </c:pt>
                <c:pt idx="2391">
                  <c:v>56052</c:v>
                </c:pt>
                <c:pt idx="2392">
                  <c:v>56059</c:v>
                </c:pt>
                <c:pt idx="2393">
                  <c:v>56066</c:v>
                </c:pt>
                <c:pt idx="2394">
                  <c:v>56073</c:v>
                </c:pt>
                <c:pt idx="2395">
                  <c:v>56080</c:v>
                </c:pt>
                <c:pt idx="2396">
                  <c:v>56087</c:v>
                </c:pt>
                <c:pt idx="2397">
                  <c:v>56094</c:v>
                </c:pt>
                <c:pt idx="2398">
                  <c:v>56101</c:v>
                </c:pt>
                <c:pt idx="2399">
                  <c:v>56108</c:v>
                </c:pt>
                <c:pt idx="2400">
                  <c:v>56115</c:v>
                </c:pt>
                <c:pt idx="2401">
                  <c:v>56122</c:v>
                </c:pt>
                <c:pt idx="2402">
                  <c:v>56129</c:v>
                </c:pt>
                <c:pt idx="2403">
                  <c:v>56136</c:v>
                </c:pt>
                <c:pt idx="2404">
                  <c:v>56143</c:v>
                </c:pt>
                <c:pt idx="2405">
                  <c:v>56150</c:v>
                </c:pt>
                <c:pt idx="2406">
                  <c:v>56157</c:v>
                </c:pt>
                <c:pt idx="2407">
                  <c:v>56164</c:v>
                </c:pt>
                <c:pt idx="2408">
                  <c:v>56171</c:v>
                </c:pt>
                <c:pt idx="2409">
                  <c:v>56178</c:v>
                </c:pt>
                <c:pt idx="2410">
                  <c:v>56185</c:v>
                </c:pt>
                <c:pt idx="2411">
                  <c:v>56192</c:v>
                </c:pt>
                <c:pt idx="2412">
                  <c:v>56199</c:v>
                </c:pt>
                <c:pt idx="2413">
                  <c:v>56206</c:v>
                </c:pt>
                <c:pt idx="2414">
                  <c:v>56213</c:v>
                </c:pt>
                <c:pt idx="2415">
                  <c:v>56220</c:v>
                </c:pt>
                <c:pt idx="2416">
                  <c:v>56227</c:v>
                </c:pt>
                <c:pt idx="2417">
                  <c:v>56234</c:v>
                </c:pt>
                <c:pt idx="2418">
                  <c:v>56241</c:v>
                </c:pt>
                <c:pt idx="2419">
                  <c:v>56248</c:v>
                </c:pt>
                <c:pt idx="2420">
                  <c:v>56255</c:v>
                </c:pt>
                <c:pt idx="2421">
                  <c:v>56262</c:v>
                </c:pt>
                <c:pt idx="2422">
                  <c:v>56269</c:v>
                </c:pt>
                <c:pt idx="2423">
                  <c:v>56276</c:v>
                </c:pt>
                <c:pt idx="2424">
                  <c:v>56283</c:v>
                </c:pt>
                <c:pt idx="2425">
                  <c:v>56290</c:v>
                </c:pt>
                <c:pt idx="2426">
                  <c:v>56297</c:v>
                </c:pt>
                <c:pt idx="2427">
                  <c:v>56304</c:v>
                </c:pt>
                <c:pt idx="2428">
                  <c:v>56311</c:v>
                </c:pt>
                <c:pt idx="2429">
                  <c:v>56318</c:v>
                </c:pt>
                <c:pt idx="2430">
                  <c:v>56325</c:v>
                </c:pt>
                <c:pt idx="2431">
                  <c:v>56332</c:v>
                </c:pt>
                <c:pt idx="2432">
                  <c:v>56339</c:v>
                </c:pt>
                <c:pt idx="2433">
                  <c:v>56346</c:v>
                </c:pt>
                <c:pt idx="2434">
                  <c:v>56353</c:v>
                </c:pt>
                <c:pt idx="2435">
                  <c:v>56360</c:v>
                </c:pt>
                <c:pt idx="2436">
                  <c:v>56367</c:v>
                </c:pt>
                <c:pt idx="2437">
                  <c:v>56374</c:v>
                </c:pt>
                <c:pt idx="2438">
                  <c:v>56381</c:v>
                </c:pt>
                <c:pt idx="2439">
                  <c:v>56388</c:v>
                </c:pt>
                <c:pt idx="2440">
                  <c:v>56395</c:v>
                </c:pt>
                <c:pt idx="2441">
                  <c:v>56402</c:v>
                </c:pt>
                <c:pt idx="2442">
                  <c:v>56409</c:v>
                </c:pt>
                <c:pt idx="2443">
                  <c:v>56416</c:v>
                </c:pt>
                <c:pt idx="2444">
                  <c:v>56423</c:v>
                </c:pt>
                <c:pt idx="2445">
                  <c:v>56430</c:v>
                </c:pt>
                <c:pt idx="2446">
                  <c:v>56437</c:v>
                </c:pt>
                <c:pt idx="2447">
                  <c:v>56444</c:v>
                </c:pt>
                <c:pt idx="2448">
                  <c:v>56451</c:v>
                </c:pt>
                <c:pt idx="2449">
                  <c:v>56458</c:v>
                </c:pt>
                <c:pt idx="2450">
                  <c:v>56465</c:v>
                </c:pt>
                <c:pt idx="2451">
                  <c:v>56472</c:v>
                </c:pt>
                <c:pt idx="2452">
                  <c:v>56479</c:v>
                </c:pt>
                <c:pt idx="2453">
                  <c:v>56486</c:v>
                </c:pt>
                <c:pt idx="2454">
                  <c:v>56493</c:v>
                </c:pt>
                <c:pt idx="2455">
                  <c:v>56500</c:v>
                </c:pt>
                <c:pt idx="2456">
                  <c:v>56507</c:v>
                </c:pt>
                <c:pt idx="2457">
                  <c:v>56514</c:v>
                </c:pt>
                <c:pt idx="2458">
                  <c:v>56521</c:v>
                </c:pt>
                <c:pt idx="2459">
                  <c:v>56528</c:v>
                </c:pt>
                <c:pt idx="2460">
                  <c:v>56535</c:v>
                </c:pt>
                <c:pt idx="2461">
                  <c:v>56542</c:v>
                </c:pt>
                <c:pt idx="2462">
                  <c:v>56549</c:v>
                </c:pt>
                <c:pt idx="2463">
                  <c:v>56556</c:v>
                </c:pt>
                <c:pt idx="2464">
                  <c:v>56563</c:v>
                </c:pt>
                <c:pt idx="2465">
                  <c:v>56570</c:v>
                </c:pt>
                <c:pt idx="2466">
                  <c:v>56577</c:v>
                </c:pt>
                <c:pt idx="2467">
                  <c:v>56584</c:v>
                </c:pt>
                <c:pt idx="2468">
                  <c:v>56591</c:v>
                </c:pt>
                <c:pt idx="2469">
                  <c:v>56598</c:v>
                </c:pt>
                <c:pt idx="2470">
                  <c:v>56605</c:v>
                </c:pt>
                <c:pt idx="2471">
                  <c:v>56612</c:v>
                </c:pt>
                <c:pt idx="2472">
                  <c:v>56619</c:v>
                </c:pt>
                <c:pt idx="2473">
                  <c:v>56626</c:v>
                </c:pt>
                <c:pt idx="2474">
                  <c:v>56633</c:v>
                </c:pt>
                <c:pt idx="2475">
                  <c:v>56640</c:v>
                </c:pt>
                <c:pt idx="2476">
                  <c:v>56647</c:v>
                </c:pt>
                <c:pt idx="2477">
                  <c:v>56654</c:v>
                </c:pt>
                <c:pt idx="2478">
                  <c:v>56661</c:v>
                </c:pt>
                <c:pt idx="2479">
                  <c:v>56668</c:v>
                </c:pt>
                <c:pt idx="2480">
                  <c:v>56675</c:v>
                </c:pt>
                <c:pt idx="2481">
                  <c:v>56682</c:v>
                </c:pt>
                <c:pt idx="2482">
                  <c:v>56689</c:v>
                </c:pt>
                <c:pt idx="2483">
                  <c:v>56696</c:v>
                </c:pt>
                <c:pt idx="2484">
                  <c:v>56703</c:v>
                </c:pt>
                <c:pt idx="2485">
                  <c:v>56710</c:v>
                </c:pt>
                <c:pt idx="2486">
                  <c:v>56717</c:v>
                </c:pt>
                <c:pt idx="2487">
                  <c:v>56724</c:v>
                </c:pt>
                <c:pt idx="2488">
                  <c:v>56731</c:v>
                </c:pt>
                <c:pt idx="2489">
                  <c:v>56738</c:v>
                </c:pt>
                <c:pt idx="2490">
                  <c:v>56745</c:v>
                </c:pt>
                <c:pt idx="2491">
                  <c:v>56752</c:v>
                </c:pt>
                <c:pt idx="2492">
                  <c:v>56759</c:v>
                </c:pt>
                <c:pt idx="2493">
                  <c:v>56766</c:v>
                </c:pt>
                <c:pt idx="2494">
                  <c:v>56773</c:v>
                </c:pt>
                <c:pt idx="2495">
                  <c:v>56780</c:v>
                </c:pt>
                <c:pt idx="2496">
                  <c:v>56787</c:v>
                </c:pt>
                <c:pt idx="2497">
                  <c:v>56794</c:v>
                </c:pt>
                <c:pt idx="2498">
                  <c:v>56801</c:v>
                </c:pt>
                <c:pt idx="2499">
                  <c:v>56808</c:v>
                </c:pt>
                <c:pt idx="2500">
                  <c:v>56815</c:v>
                </c:pt>
                <c:pt idx="2501">
                  <c:v>56822</c:v>
                </c:pt>
                <c:pt idx="2502">
                  <c:v>56829</c:v>
                </c:pt>
                <c:pt idx="2503">
                  <c:v>56836</c:v>
                </c:pt>
                <c:pt idx="2504">
                  <c:v>56843</c:v>
                </c:pt>
                <c:pt idx="2505">
                  <c:v>56850</c:v>
                </c:pt>
                <c:pt idx="2506">
                  <c:v>56857</c:v>
                </c:pt>
                <c:pt idx="2507">
                  <c:v>56864</c:v>
                </c:pt>
                <c:pt idx="2508">
                  <c:v>56871</c:v>
                </c:pt>
                <c:pt idx="2509">
                  <c:v>56878</c:v>
                </c:pt>
                <c:pt idx="2510">
                  <c:v>56885</c:v>
                </c:pt>
                <c:pt idx="2511">
                  <c:v>56892</c:v>
                </c:pt>
                <c:pt idx="2512">
                  <c:v>56899</c:v>
                </c:pt>
                <c:pt idx="2513">
                  <c:v>56906</c:v>
                </c:pt>
                <c:pt idx="2514">
                  <c:v>56913</c:v>
                </c:pt>
                <c:pt idx="2515">
                  <c:v>56920</c:v>
                </c:pt>
                <c:pt idx="2516">
                  <c:v>56927</c:v>
                </c:pt>
                <c:pt idx="2517">
                  <c:v>56934</c:v>
                </c:pt>
                <c:pt idx="2518">
                  <c:v>56941</c:v>
                </c:pt>
                <c:pt idx="2519">
                  <c:v>56948</c:v>
                </c:pt>
                <c:pt idx="2520">
                  <c:v>56955</c:v>
                </c:pt>
                <c:pt idx="2521">
                  <c:v>56962</c:v>
                </c:pt>
                <c:pt idx="2522">
                  <c:v>56969</c:v>
                </c:pt>
                <c:pt idx="2523">
                  <c:v>56976</c:v>
                </c:pt>
                <c:pt idx="2524">
                  <c:v>56983</c:v>
                </c:pt>
                <c:pt idx="2525">
                  <c:v>56990</c:v>
                </c:pt>
                <c:pt idx="2526">
                  <c:v>56997</c:v>
                </c:pt>
                <c:pt idx="2527">
                  <c:v>57004</c:v>
                </c:pt>
                <c:pt idx="2528">
                  <c:v>57011</c:v>
                </c:pt>
                <c:pt idx="2529">
                  <c:v>57018</c:v>
                </c:pt>
                <c:pt idx="2530">
                  <c:v>57025</c:v>
                </c:pt>
                <c:pt idx="2531">
                  <c:v>57032</c:v>
                </c:pt>
                <c:pt idx="2532">
                  <c:v>57039</c:v>
                </c:pt>
                <c:pt idx="2533">
                  <c:v>57046</c:v>
                </c:pt>
                <c:pt idx="2534">
                  <c:v>57053</c:v>
                </c:pt>
                <c:pt idx="2535">
                  <c:v>57060</c:v>
                </c:pt>
                <c:pt idx="2536">
                  <c:v>57067</c:v>
                </c:pt>
                <c:pt idx="2537">
                  <c:v>57074</c:v>
                </c:pt>
                <c:pt idx="2538">
                  <c:v>57081</c:v>
                </c:pt>
                <c:pt idx="2539">
                  <c:v>57088</c:v>
                </c:pt>
                <c:pt idx="2540">
                  <c:v>57095</c:v>
                </c:pt>
                <c:pt idx="2541">
                  <c:v>57102</c:v>
                </c:pt>
                <c:pt idx="2542">
                  <c:v>57109</c:v>
                </c:pt>
                <c:pt idx="2543">
                  <c:v>57116</c:v>
                </c:pt>
                <c:pt idx="2544">
                  <c:v>57123</c:v>
                </c:pt>
                <c:pt idx="2545">
                  <c:v>57130</c:v>
                </c:pt>
                <c:pt idx="2546">
                  <c:v>57137</c:v>
                </c:pt>
                <c:pt idx="2547">
                  <c:v>57144</c:v>
                </c:pt>
                <c:pt idx="2548">
                  <c:v>57151</c:v>
                </c:pt>
                <c:pt idx="2549">
                  <c:v>57158</c:v>
                </c:pt>
                <c:pt idx="2550">
                  <c:v>57165</c:v>
                </c:pt>
                <c:pt idx="2551">
                  <c:v>57172</c:v>
                </c:pt>
                <c:pt idx="2552">
                  <c:v>57179</c:v>
                </c:pt>
                <c:pt idx="2553">
                  <c:v>57186</c:v>
                </c:pt>
                <c:pt idx="2554">
                  <c:v>57193</c:v>
                </c:pt>
                <c:pt idx="2555">
                  <c:v>57200</c:v>
                </c:pt>
                <c:pt idx="2556">
                  <c:v>57207</c:v>
                </c:pt>
                <c:pt idx="2557">
                  <c:v>57214</c:v>
                </c:pt>
                <c:pt idx="2558">
                  <c:v>57221</c:v>
                </c:pt>
                <c:pt idx="2559">
                  <c:v>57228</c:v>
                </c:pt>
                <c:pt idx="2560">
                  <c:v>57235</c:v>
                </c:pt>
                <c:pt idx="2561">
                  <c:v>57242</c:v>
                </c:pt>
                <c:pt idx="2562">
                  <c:v>57249</c:v>
                </c:pt>
                <c:pt idx="2563">
                  <c:v>57256</c:v>
                </c:pt>
                <c:pt idx="2564">
                  <c:v>57263</c:v>
                </c:pt>
                <c:pt idx="2565">
                  <c:v>57270</c:v>
                </c:pt>
                <c:pt idx="2566">
                  <c:v>57277</c:v>
                </c:pt>
                <c:pt idx="2567">
                  <c:v>57284</c:v>
                </c:pt>
                <c:pt idx="2568">
                  <c:v>57291</c:v>
                </c:pt>
                <c:pt idx="2569">
                  <c:v>57298</c:v>
                </c:pt>
                <c:pt idx="2570">
                  <c:v>57305</c:v>
                </c:pt>
                <c:pt idx="2571">
                  <c:v>57312</c:v>
                </c:pt>
                <c:pt idx="2572">
                  <c:v>57319</c:v>
                </c:pt>
                <c:pt idx="2573">
                  <c:v>57326</c:v>
                </c:pt>
                <c:pt idx="2574">
                  <c:v>57333</c:v>
                </c:pt>
                <c:pt idx="2575">
                  <c:v>57341</c:v>
                </c:pt>
                <c:pt idx="2576">
                  <c:v>57348</c:v>
                </c:pt>
                <c:pt idx="2577">
                  <c:v>57355</c:v>
                </c:pt>
                <c:pt idx="2578">
                  <c:v>57362</c:v>
                </c:pt>
                <c:pt idx="2579">
                  <c:v>57369</c:v>
                </c:pt>
                <c:pt idx="2580">
                  <c:v>57376</c:v>
                </c:pt>
                <c:pt idx="2581">
                  <c:v>57383</c:v>
                </c:pt>
                <c:pt idx="2582">
                  <c:v>57390</c:v>
                </c:pt>
                <c:pt idx="2583">
                  <c:v>57397</c:v>
                </c:pt>
                <c:pt idx="2584">
                  <c:v>57404</c:v>
                </c:pt>
                <c:pt idx="2585">
                  <c:v>57411</c:v>
                </c:pt>
                <c:pt idx="2586">
                  <c:v>57418</c:v>
                </c:pt>
                <c:pt idx="2587">
                  <c:v>57425</c:v>
                </c:pt>
                <c:pt idx="2588">
                  <c:v>57432</c:v>
                </c:pt>
                <c:pt idx="2589">
                  <c:v>57439</c:v>
                </c:pt>
                <c:pt idx="2590">
                  <c:v>57446</c:v>
                </c:pt>
                <c:pt idx="2591">
                  <c:v>57453</c:v>
                </c:pt>
                <c:pt idx="2592">
                  <c:v>57460</c:v>
                </c:pt>
                <c:pt idx="2593">
                  <c:v>57467</c:v>
                </c:pt>
                <c:pt idx="2594">
                  <c:v>57474</c:v>
                </c:pt>
                <c:pt idx="2595">
                  <c:v>57481</c:v>
                </c:pt>
                <c:pt idx="2596">
                  <c:v>57488</c:v>
                </c:pt>
                <c:pt idx="2597">
                  <c:v>57495</c:v>
                </c:pt>
                <c:pt idx="2598">
                  <c:v>57502</c:v>
                </c:pt>
                <c:pt idx="2599">
                  <c:v>57509</c:v>
                </c:pt>
                <c:pt idx="2600">
                  <c:v>57516</c:v>
                </c:pt>
                <c:pt idx="2601">
                  <c:v>57523</c:v>
                </c:pt>
                <c:pt idx="2602">
                  <c:v>57530</c:v>
                </c:pt>
                <c:pt idx="2603">
                  <c:v>57537</c:v>
                </c:pt>
                <c:pt idx="2604">
                  <c:v>57544</c:v>
                </c:pt>
                <c:pt idx="2605">
                  <c:v>57551</c:v>
                </c:pt>
                <c:pt idx="2606">
                  <c:v>57558</c:v>
                </c:pt>
                <c:pt idx="2607">
                  <c:v>57565</c:v>
                </c:pt>
                <c:pt idx="2608">
                  <c:v>57572</c:v>
                </c:pt>
                <c:pt idx="2609">
                  <c:v>57579</c:v>
                </c:pt>
                <c:pt idx="2610">
                  <c:v>57586</c:v>
                </c:pt>
                <c:pt idx="2611">
                  <c:v>57593</c:v>
                </c:pt>
                <c:pt idx="2612">
                  <c:v>57600</c:v>
                </c:pt>
                <c:pt idx="2613">
                  <c:v>57607</c:v>
                </c:pt>
                <c:pt idx="2614">
                  <c:v>57614</c:v>
                </c:pt>
                <c:pt idx="2615">
                  <c:v>57621</c:v>
                </c:pt>
                <c:pt idx="2616">
                  <c:v>57628</c:v>
                </c:pt>
                <c:pt idx="2617">
                  <c:v>57635</c:v>
                </c:pt>
                <c:pt idx="2618">
                  <c:v>57642</c:v>
                </c:pt>
                <c:pt idx="2619">
                  <c:v>57649</c:v>
                </c:pt>
                <c:pt idx="2620">
                  <c:v>57656</c:v>
                </c:pt>
                <c:pt idx="2621">
                  <c:v>57663</c:v>
                </c:pt>
                <c:pt idx="2622">
                  <c:v>57670</c:v>
                </c:pt>
                <c:pt idx="2623">
                  <c:v>57677</c:v>
                </c:pt>
                <c:pt idx="2624">
                  <c:v>57684</c:v>
                </c:pt>
                <c:pt idx="2625">
                  <c:v>57691</c:v>
                </c:pt>
                <c:pt idx="2626">
                  <c:v>57698</c:v>
                </c:pt>
                <c:pt idx="2627">
                  <c:v>57706</c:v>
                </c:pt>
                <c:pt idx="2628">
                  <c:v>57713</c:v>
                </c:pt>
                <c:pt idx="2629">
                  <c:v>57720</c:v>
                </c:pt>
                <c:pt idx="2630">
                  <c:v>57727</c:v>
                </c:pt>
                <c:pt idx="2631">
                  <c:v>57734</c:v>
                </c:pt>
                <c:pt idx="2632">
                  <c:v>57741</c:v>
                </c:pt>
                <c:pt idx="2633">
                  <c:v>57748</c:v>
                </c:pt>
                <c:pt idx="2634">
                  <c:v>57755</c:v>
                </c:pt>
                <c:pt idx="2635">
                  <c:v>57762</c:v>
                </c:pt>
                <c:pt idx="2636">
                  <c:v>57769</c:v>
                </c:pt>
                <c:pt idx="2637">
                  <c:v>57776</c:v>
                </c:pt>
                <c:pt idx="2638">
                  <c:v>57783</c:v>
                </c:pt>
                <c:pt idx="2639">
                  <c:v>57790</c:v>
                </c:pt>
                <c:pt idx="2640">
                  <c:v>57797</c:v>
                </c:pt>
                <c:pt idx="2641">
                  <c:v>57804</c:v>
                </c:pt>
                <c:pt idx="2642">
                  <c:v>57811</c:v>
                </c:pt>
                <c:pt idx="2643">
                  <c:v>57818</c:v>
                </c:pt>
                <c:pt idx="2644">
                  <c:v>57825</c:v>
                </c:pt>
                <c:pt idx="2645">
                  <c:v>57832</c:v>
                </c:pt>
                <c:pt idx="2646">
                  <c:v>57839</c:v>
                </c:pt>
                <c:pt idx="2647">
                  <c:v>57846</c:v>
                </c:pt>
                <c:pt idx="2648">
                  <c:v>57853</c:v>
                </c:pt>
                <c:pt idx="2649">
                  <c:v>57860</c:v>
                </c:pt>
                <c:pt idx="2650">
                  <c:v>57867</c:v>
                </c:pt>
                <c:pt idx="2651">
                  <c:v>57874</c:v>
                </c:pt>
                <c:pt idx="2652">
                  <c:v>57881</c:v>
                </c:pt>
                <c:pt idx="2653">
                  <c:v>57888</c:v>
                </c:pt>
                <c:pt idx="2654">
                  <c:v>57895</c:v>
                </c:pt>
                <c:pt idx="2655">
                  <c:v>57902</c:v>
                </c:pt>
                <c:pt idx="2656">
                  <c:v>57909</c:v>
                </c:pt>
                <c:pt idx="2657">
                  <c:v>57916</c:v>
                </c:pt>
                <c:pt idx="2658">
                  <c:v>57923</c:v>
                </c:pt>
                <c:pt idx="2659">
                  <c:v>57930</c:v>
                </c:pt>
                <c:pt idx="2660">
                  <c:v>57937</c:v>
                </c:pt>
                <c:pt idx="2661">
                  <c:v>57944</c:v>
                </c:pt>
                <c:pt idx="2662">
                  <c:v>57951</c:v>
                </c:pt>
                <c:pt idx="2663">
                  <c:v>57958</c:v>
                </c:pt>
                <c:pt idx="2664">
                  <c:v>57965</c:v>
                </c:pt>
                <c:pt idx="2665">
                  <c:v>57972</c:v>
                </c:pt>
                <c:pt idx="2666">
                  <c:v>57979</c:v>
                </c:pt>
                <c:pt idx="2667">
                  <c:v>57986</c:v>
                </c:pt>
                <c:pt idx="2668">
                  <c:v>57993</c:v>
                </c:pt>
                <c:pt idx="2669">
                  <c:v>58000</c:v>
                </c:pt>
                <c:pt idx="2670">
                  <c:v>58007</c:v>
                </c:pt>
                <c:pt idx="2671">
                  <c:v>58014</c:v>
                </c:pt>
                <c:pt idx="2672">
                  <c:v>58021</c:v>
                </c:pt>
                <c:pt idx="2673">
                  <c:v>58028</c:v>
                </c:pt>
                <c:pt idx="2674">
                  <c:v>58035</c:v>
                </c:pt>
                <c:pt idx="2675">
                  <c:v>58042</c:v>
                </c:pt>
                <c:pt idx="2676">
                  <c:v>58049</c:v>
                </c:pt>
                <c:pt idx="2677">
                  <c:v>58056</c:v>
                </c:pt>
                <c:pt idx="2678">
                  <c:v>58063</c:v>
                </c:pt>
                <c:pt idx="2679">
                  <c:v>58071</c:v>
                </c:pt>
                <c:pt idx="2680">
                  <c:v>58078</c:v>
                </c:pt>
                <c:pt idx="2681">
                  <c:v>58085</c:v>
                </c:pt>
                <c:pt idx="2682">
                  <c:v>58092</c:v>
                </c:pt>
                <c:pt idx="2683">
                  <c:v>58099</c:v>
                </c:pt>
                <c:pt idx="2684">
                  <c:v>58106</c:v>
                </c:pt>
                <c:pt idx="2685">
                  <c:v>58113</c:v>
                </c:pt>
                <c:pt idx="2686">
                  <c:v>58120</c:v>
                </c:pt>
                <c:pt idx="2687">
                  <c:v>58127</c:v>
                </c:pt>
                <c:pt idx="2688">
                  <c:v>58134</c:v>
                </c:pt>
                <c:pt idx="2689">
                  <c:v>58141</c:v>
                </c:pt>
                <c:pt idx="2690">
                  <c:v>58148</c:v>
                </c:pt>
                <c:pt idx="2691">
                  <c:v>58155</c:v>
                </c:pt>
                <c:pt idx="2692">
                  <c:v>58166</c:v>
                </c:pt>
                <c:pt idx="2693">
                  <c:v>58173</c:v>
                </c:pt>
                <c:pt idx="2694">
                  <c:v>58180</c:v>
                </c:pt>
                <c:pt idx="2695">
                  <c:v>58187</c:v>
                </c:pt>
                <c:pt idx="2696">
                  <c:v>58194</c:v>
                </c:pt>
                <c:pt idx="2697">
                  <c:v>58201</c:v>
                </c:pt>
                <c:pt idx="2698">
                  <c:v>58208</c:v>
                </c:pt>
                <c:pt idx="2699">
                  <c:v>58215</c:v>
                </c:pt>
                <c:pt idx="2700">
                  <c:v>58222</c:v>
                </c:pt>
                <c:pt idx="2701">
                  <c:v>58229</c:v>
                </c:pt>
                <c:pt idx="2702">
                  <c:v>58236</c:v>
                </c:pt>
                <c:pt idx="2703">
                  <c:v>58243</c:v>
                </c:pt>
                <c:pt idx="2704">
                  <c:v>58250</c:v>
                </c:pt>
                <c:pt idx="2705">
                  <c:v>58257</c:v>
                </c:pt>
                <c:pt idx="2706">
                  <c:v>58264</c:v>
                </c:pt>
                <c:pt idx="2707">
                  <c:v>58271</c:v>
                </c:pt>
                <c:pt idx="2708">
                  <c:v>58278</c:v>
                </c:pt>
                <c:pt idx="2709">
                  <c:v>58285</c:v>
                </c:pt>
                <c:pt idx="2710">
                  <c:v>58292</c:v>
                </c:pt>
                <c:pt idx="2711">
                  <c:v>58299</c:v>
                </c:pt>
                <c:pt idx="2712">
                  <c:v>58306</c:v>
                </c:pt>
                <c:pt idx="2713">
                  <c:v>58313</c:v>
                </c:pt>
                <c:pt idx="2714">
                  <c:v>58320</c:v>
                </c:pt>
                <c:pt idx="2715">
                  <c:v>58327</c:v>
                </c:pt>
                <c:pt idx="2716">
                  <c:v>58334</c:v>
                </c:pt>
                <c:pt idx="2717">
                  <c:v>58341</c:v>
                </c:pt>
                <c:pt idx="2718">
                  <c:v>58348</c:v>
                </c:pt>
                <c:pt idx="2719">
                  <c:v>58355</c:v>
                </c:pt>
                <c:pt idx="2720">
                  <c:v>58362</c:v>
                </c:pt>
                <c:pt idx="2721">
                  <c:v>58369</c:v>
                </c:pt>
                <c:pt idx="2722">
                  <c:v>58376</c:v>
                </c:pt>
                <c:pt idx="2723">
                  <c:v>58383</c:v>
                </c:pt>
                <c:pt idx="2724">
                  <c:v>58390</c:v>
                </c:pt>
                <c:pt idx="2725">
                  <c:v>58397</c:v>
                </c:pt>
                <c:pt idx="2726">
                  <c:v>58404</c:v>
                </c:pt>
                <c:pt idx="2727">
                  <c:v>58411</c:v>
                </c:pt>
                <c:pt idx="2728">
                  <c:v>58418</c:v>
                </c:pt>
                <c:pt idx="2729">
                  <c:v>58425</c:v>
                </c:pt>
                <c:pt idx="2730">
                  <c:v>58432</c:v>
                </c:pt>
                <c:pt idx="2731">
                  <c:v>58439</c:v>
                </c:pt>
                <c:pt idx="2732">
                  <c:v>58446</c:v>
                </c:pt>
                <c:pt idx="2733">
                  <c:v>58453</c:v>
                </c:pt>
                <c:pt idx="2734">
                  <c:v>58460</c:v>
                </c:pt>
                <c:pt idx="2735">
                  <c:v>58467</c:v>
                </c:pt>
                <c:pt idx="2736">
                  <c:v>58474</c:v>
                </c:pt>
                <c:pt idx="2737">
                  <c:v>58481</c:v>
                </c:pt>
                <c:pt idx="2738">
                  <c:v>58488</c:v>
                </c:pt>
                <c:pt idx="2739">
                  <c:v>58495</c:v>
                </c:pt>
                <c:pt idx="2740">
                  <c:v>58502</c:v>
                </c:pt>
                <c:pt idx="2741">
                  <c:v>58509</c:v>
                </c:pt>
                <c:pt idx="2742">
                  <c:v>58516</c:v>
                </c:pt>
                <c:pt idx="2743">
                  <c:v>58523</c:v>
                </c:pt>
                <c:pt idx="2744">
                  <c:v>58530</c:v>
                </c:pt>
                <c:pt idx="2745">
                  <c:v>58537</c:v>
                </c:pt>
                <c:pt idx="2746">
                  <c:v>58544</c:v>
                </c:pt>
                <c:pt idx="2747">
                  <c:v>58551</c:v>
                </c:pt>
                <c:pt idx="2748">
                  <c:v>58558</c:v>
                </c:pt>
                <c:pt idx="2749">
                  <c:v>58565</c:v>
                </c:pt>
                <c:pt idx="2750">
                  <c:v>58572</c:v>
                </c:pt>
                <c:pt idx="2751">
                  <c:v>58579</c:v>
                </c:pt>
                <c:pt idx="2752">
                  <c:v>58586</c:v>
                </c:pt>
                <c:pt idx="2753">
                  <c:v>58593</c:v>
                </c:pt>
                <c:pt idx="2754">
                  <c:v>58600</c:v>
                </c:pt>
                <c:pt idx="2755">
                  <c:v>58607</c:v>
                </c:pt>
                <c:pt idx="2756">
                  <c:v>58614</c:v>
                </c:pt>
                <c:pt idx="2757">
                  <c:v>58621</c:v>
                </c:pt>
                <c:pt idx="2758">
                  <c:v>58628</c:v>
                </c:pt>
                <c:pt idx="2759">
                  <c:v>58635</c:v>
                </c:pt>
                <c:pt idx="2760">
                  <c:v>58642</c:v>
                </c:pt>
                <c:pt idx="2761">
                  <c:v>58649</c:v>
                </c:pt>
                <c:pt idx="2762">
                  <c:v>58656</c:v>
                </c:pt>
                <c:pt idx="2763">
                  <c:v>58663</c:v>
                </c:pt>
                <c:pt idx="2764">
                  <c:v>58670</c:v>
                </c:pt>
                <c:pt idx="2765">
                  <c:v>58677</c:v>
                </c:pt>
                <c:pt idx="2766">
                  <c:v>58684</c:v>
                </c:pt>
                <c:pt idx="2767">
                  <c:v>58691</c:v>
                </c:pt>
                <c:pt idx="2768">
                  <c:v>58698</c:v>
                </c:pt>
                <c:pt idx="2769">
                  <c:v>58705</c:v>
                </c:pt>
                <c:pt idx="2770">
                  <c:v>58712</c:v>
                </c:pt>
                <c:pt idx="2771">
                  <c:v>58719</c:v>
                </c:pt>
                <c:pt idx="2772">
                  <c:v>58726</c:v>
                </c:pt>
                <c:pt idx="2773">
                  <c:v>58733</c:v>
                </c:pt>
                <c:pt idx="2774">
                  <c:v>58740</c:v>
                </c:pt>
                <c:pt idx="2775">
                  <c:v>58747</c:v>
                </c:pt>
                <c:pt idx="2776">
                  <c:v>58754</c:v>
                </c:pt>
                <c:pt idx="2777">
                  <c:v>58761</c:v>
                </c:pt>
                <c:pt idx="2778">
                  <c:v>58768</c:v>
                </c:pt>
                <c:pt idx="2779">
                  <c:v>58775</c:v>
                </c:pt>
                <c:pt idx="2780">
                  <c:v>58782</c:v>
                </c:pt>
                <c:pt idx="2781">
                  <c:v>58789</c:v>
                </c:pt>
                <c:pt idx="2782">
                  <c:v>58796</c:v>
                </c:pt>
                <c:pt idx="2783">
                  <c:v>58803</c:v>
                </c:pt>
                <c:pt idx="2784">
                  <c:v>58810</c:v>
                </c:pt>
                <c:pt idx="2785">
                  <c:v>58817</c:v>
                </c:pt>
                <c:pt idx="2786">
                  <c:v>58824</c:v>
                </c:pt>
                <c:pt idx="2787">
                  <c:v>58831</c:v>
                </c:pt>
                <c:pt idx="2788">
                  <c:v>58838</c:v>
                </c:pt>
                <c:pt idx="2789">
                  <c:v>58845</c:v>
                </c:pt>
                <c:pt idx="2790">
                  <c:v>58852</c:v>
                </c:pt>
                <c:pt idx="2791">
                  <c:v>58859</c:v>
                </c:pt>
                <c:pt idx="2792">
                  <c:v>58866</c:v>
                </c:pt>
                <c:pt idx="2793">
                  <c:v>58873</c:v>
                </c:pt>
                <c:pt idx="2794">
                  <c:v>58880</c:v>
                </c:pt>
                <c:pt idx="2795">
                  <c:v>58887</c:v>
                </c:pt>
                <c:pt idx="2796">
                  <c:v>58894</c:v>
                </c:pt>
                <c:pt idx="2797">
                  <c:v>58901</c:v>
                </c:pt>
                <c:pt idx="2798">
                  <c:v>58908</c:v>
                </c:pt>
                <c:pt idx="2799">
                  <c:v>58915</c:v>
                </c:pt>
                <c:pt idx="2800">
                  <c:v>58922</c:v>
                </c:pt>
                <c:pt idx="2801">
                  <c:v>58929</c:v>
                </c:pt>
                <c:pt idx="2802">
                  <c:v>58936</c:v>
                </c:pt>
                <c:pt idx="2803">
                  <c:v>58943</c:v>
                </c:pt>
                <c:pt idx="2804">
                  <c:v>58950</c:v>
                </c:pt>
                <c:pt idx="2805">
                  <c:v>58957</c:v>
                </c:pt>
                <c:pt idx="2806">
                  <c:v>58964</c:v>
                </c:pt>
                <c:pt idx="2807">
                  <c:v>58971</c:v>
                </c:pt>
                <c:pt idx="2808">
                  <c:v>58978</c:v>
                </c:pt>
                <c:pt idx="2809">
                  <c:v>58985</c:v>
                </c:pt>
                <c:pt idx="2810">
                  <c:v>58992</c:v>
                </c:pt>
                <c:pt idx="2811">
                  <c:v>58999</c:v>
                </c:pt>
                <c:pt idx="2812">
                  <c:v>59006</c:v>
                </c:pt>
                <c:pt idx="2813">
                  <c:v>59013</c:v>
                </c:pt>
                <c:pt idx="2814">
                  <c:v>59020</c:v>
                </c:pt>
                <c:pt idx="2815">
                  <c:v>59027</c:v>
                </c:pt>
                <c:pt idx="2816">
                  <c:v>59034</c:v>
                </c:pt>
                <c:pt idx="2817">
                  <c:v>59041</c:v>
                </c:pt>
                <c:pt idx="2818">
                  <c:v>59048</c:v>
                </c:pt>
                <c:pt idx="2819">
                  <c:v>59055</c:v>
                </c:pt>
                <c:pt idx="2820">
                  <c:v>59062</c:v>
                </c:pt>
                <c:pt idx="2821">
                  <c:v>59069</c:v>
                </c:pt>
                <c:pt idx="2822">
                  <c:v>59076</c:v>
                </c:pt>
                <c:pt idx="2823">
                  <c:v>59083</c:v>
                </c:pt>
                <c:pt idx="2824">
                  <c:v>59090</c:v>
                </c:pt>
                <c:pt idx="2825">
                  <c:v>59097</c:v>
                </c:pt>
                <c:pt idx="2826">
                  <c:v>59104</c:v>
                </c:pt>
                <c:pt idx="2827">
                  <c:v>59111</c:v>
                </c:pt>
                <c:pt idx="2828">
                  <c:v>59118</c:v>
                </c:pt>
                <c:pt idx="2829">
                  <c:v>59125</c:v>
                </c:pt>
                <c:pt idx="2830">
                  <c:v>59132</c:v>
                </c:pt>
                <c:pt idx="2831">
                  <c:v>59139</c:v>
                </c:pt>
                <c:pt idx="2832">
                  <c:v>59146</c:v>
                </c:pt>
                <c:pt idx="2833">
                  <c:v>59153</c:v>
                </c:pt>
                <c:pt idx="2834">
                  <c:v>59160</c:v>
                </c:pt>
                <c:pt idx="2835">
                  <c:v>59167</c:v>
                </c:pt>
                <c:pt idx="2836">
                  <c:v>59174</c:v>
                </c:pt>
                <c:pt idx="2837">
                  <c:v>59181</c:v>
                </c:pt>
                <c:pt idx="2838">
                  <c:v>59188</c:v>
                </c:pt>
                <c:pt idx="2839">
                  <c:v>59195</c:v>
                </c:pt>
                <c:pt idx="2840">
                  <c:v>59202</c:v>
                </c:pt>
                <c:pt idx="2841">
                  <c:v>59209</c:v>
                </c:pt>
                <c:pt idx="2842">
                  <c:v>59216</c:v>
                </c:pt>
                <c:pt idx="2843">
                  <c:v>59223</c:v>
                </c:pt>
                <c:pt idx="2844">
                  <c:v>59230</c:v>
                </c:pt>
                <c:pt idx="2845">
                  <c:v>59237</c:v>
                </c:pt>
                <c:pt idx="2846">
                  <c:v>59244</c:v>
                </c:pt>
                <c:pt idx="2847">
                  <c:v>59251</c:v>
                </c:pt>
                <c:pt idx="2848">
                  <c:v>59258</c:v>
                </c:pt>
                <c:pt idx="2849">
                  <c:v>59265</c:v>
                </c:pt>
                <c:pt idx="2850">
                  <c:v>59272</c:v>
                </c:pt>
                <c:pt idx="2851">
                  <c:v>59279</c:v>
                </c:pt>
                <c:pt idx="2852">
                  <c:v>59286</c:v>
                </c:pt>
                <c:pt idx="2853">
                  <c:v>59293</c:v>
                </c:pt>
                <c:pt idx="2854">
                  <c:v>59300</c:v>
                </c:pt>
                <c:pt idx="2855">
                  <c:v>59307</c:v>
                </c:pt>
                <c:pt idx="2856">
                  <c:v>59314</c:v>
                </c:pt>
                <c:pt idx="2857">
                  <c:v>59321</c:v>
                </c:pt>
                <c:pt idx="2858">
                  <c:v>59328</c:v>
                </c:pt>
                <c:pt idx="2859">
                  <c:v>59335</c:v>
                </c:pt>
                <c:pt idx="2860">
                  <c:v>59342</c:v>
                </c:pt>
                <c:pt idx="2861">
                  <c:v>59349</c:v>
                </c:pt>
                <c:pt idx="2862">
                  <c:v>59356</c:v>
                </c:pt>
                <c:pt idx="2863">
                  <c:v>59363</c:v>
                </c:pt>
                <c:pt idx="2864">
                  <c:v>59370</c:v>
                </c:pt>
                <c:pt idx="2865">
                  <c:v>59377</c:v>
                </c:pt>
                <c:pt idx="2866">
                  <c:v>59384</c:v>
                </c:pt>
                <c:pt idx="2867">
                  <c:v>59391</c:v>
                </c:pt>
                <c:pt idx="2868">
                  <c:v>59398</c:v>
                </c:pt>
                <c:pt idx="2869">
                  <c:v>59405</c:v>
                </c:pt>
                <c:pt idx="2870">
                  <c:v>59412</c:v>
                </c:pt>
                <c:pt idx="2871">
                  <c:v>59419</c:v>
                </c:pt>
                <c:pt idx="2872">
                  <c:v>59426</c:v>
                </c:pt>
                <c:pt idx="2873">
                  <c:v>59433</c:v>
                </c:pt>
                <c:pt idx="2874">
                  <c:v>59440</c:v>
                </c:pt>
                <c:pt idx="2875">
                  <c:v>59447</c:v>
                </c:pt>
                <c:pt idx="2876">
                  <c:v>59454</c:v>
                </c:pt>
                <c:pt idx="2877">
                  <c:v>59461</c:v>
                </c:pt>
                <c:pt idx="2878">
                  <c:v>59468</c:v>
                </c:pt>
                <c:pt idx="2879">
                  <c:v>59475</c:v>
                </c:pt>
                <c:pt idx="2880">
                  <c:v>59482</c:v>
                </c:pt>
                <c:pt idx="2881">
                  <c:v>59489</c:v>
                </c:pt>
                <c:pt idx="2882">
                  <c:v>59496</c:v>
                </c:pt>
                <c:pt idx="2883">
                  <c:v>59503</c:v>
                </c:pt>
                <c:pt idx="2884">
                  <c:v>59510</c:v>
                </c:pt>
                <c:pt idx="2885">
                  <c:v>59517</c:v>
                </c:pt>
                <c:pt idx="2886">
                  <c:v>59524</c:v>
                </c:pt>
                <c:pt idx="2887">
                  <c:v>59532</c:v>
                </c:pt>
                <c:pt idx="2888">
                  <c:v>59539</c:v>
                </c:pt>
                <c:pt idx="2889">
                  <c:v>59546</c:v>
                </c:pt>
                <c:pt idx="2890">
                  <c:v>59553</c:v>
                </c:pt>
                <c:pt idx="2891">
                  <c:v>59560</c:v>
                </c:pt>
                <c:pt idx="2892">
                  <c:v>59567</c:v>
                </c:pt>
                <c:pt idx="2893">
                  <c:v>59574</c:v>
                </c:pt>
                <c:pt idx="2894">
                  <c:v>59581</c:v>
                </c:pt>
                <c:pt idx="2895">
                  <c:v>59588</c:v>
                </c:pt>
                <c:pt idx="2896">
                  <c:v>59595</c:v>
                </c:pt>
                <c:pt idx="2897">
                  <c:v>59602</c:v>
                </c:pt>
                <c:pt idx="2898">
                  <c:v>59609</c:v>
                </c:pt>
                <c:pt idx="2899">
                  <c:v>59616</c:v>
                </c:pt>
                <c:pt idx="2900">
                  <c:v>59623</c:v>
                </c:pt>
                <c:pt idx="2901">
                  <c:v>59630</c:v>
                </c:pt>
                <c:pt idx="2902">
                  <c:v>59637</c:v>
                </c:pt>
                <c:pt idx="2903">
                  <c:v>59644</c:v>
                </c:pt>
                <c:pt idx="2904">
                  <c:v>59651</c:v>
                </c:pt>
                <c:pt idx="2905">
                  <c:v>59658</c:v>
                </c:pt>
                <c:pt idx="2906">
                  <c:v>59665</c:v>
                </c:pt>
                <c:pt idx="2907">
                  <c:v>59672</c:v>
                </c:pt>
                <c:pt idx="2908">
                  <c:v>59679</c:v>
                </c:pt>
                <c:pt idx="2909">
                  <c:v>59686</c:v>
                </c:pt>
                <c:pt idx="2910">
                  <c:v>59693</c:v>
                </c:pt>
                <c:pt idx="2911">
                  <c:v>59700</c:v>
                </c:pt>
                <c:pt idx="2912">
                  <c:v>59707</c:v>
                </c:pt>
                <c:pt idx="2913">
                  <c:v>59714</c:v>
                </c:pt>
                <c:pt idx="2914">
                  <c:v>59721</c:v>
                </c:pt>
                <c:pt idx="2915">
                  <c:v>59728</c:v>
                </c:pt>
                <c:pt idx="2916">
                  <c:v>59735</c:v>
                </c:pt>
                <c:pt idx="2917">
                  <c:v>59742</c:v>
                </c:pt>
                <c:pt idx="2918">
                  <c:v>59749</c:v>
                </c:pt>
                <c:pt idx="2919">
                  <c:v>59756</c:v>
                </c:pt>
                <c:pt idx="2920">
                  <c:v>59763</c:v>
                </c:pt>
                <c:pt idx="2921">
                  <c:v>59770</c:v>
                </c:pt>
                <c:pt idx="2922">
                  <c:v>59777</c:v>
                </c:pt>
                <c:pt idx="2923">
                  <c:v>59784</c:v>
                </c:pt>
                <c:pt idx="2924">
                  <c:v>59791</c:v>
                </c:pt>
                <c:pt idx="2925">
                  <c:v>59798</c:v>
                </c:pt>
                <c:pt idx="2926">
                  <c:v>59805</c:v>
                </c:pt>
                <c:pt idx="2927">
                  <c:v>59812</c:v>
                </c:pt>
                <c:pt idx="2928">
                  <c:v>59819</c:v>
                </c:pt>
                <c:pt idx="2929">
                  <c:v>59826</c:v>
                </c:pt>
                <c:pt idx="2930">
                  <c:v>59833</c:v>
                </c:pt>
                <c:pt idx="2931">
                  <c:v>59840</c:v>
                </c:pt>
                <c:pt idx="2932">
                  <c:v>59847</c:v>
                </c:pt>
                <c:pt idx="2933">
                  <c:v>59854</c:v>
                </c:pt>
                <c:pt idx="2934">
                  <c:v>59861</c:v>
                </c:pt>
                <c:pt idx="2935">
                  <c:v>59868</c:v>
                </c:pt>
                <c:pt idx="2936">
                  <c:v>59875</c:v>
                </c:pt>
                <c:pt idx="2937">
                  <c:v>59882</c:v>
                </c:pt>
                <c:pt idx="2938">
                  <c:v>59889</c:v>
                </c:pt>
                <c:pt idx="2939">
                  <c:v>59897</c:v>
                </c:pt>
                <c:pt idx="2940">
                  <c:v>59904</c:v>
                </c:pt>
                <c:pt idx="2941">
                  <c:v>59911</c:v>
                </c:pt>
                <c:pt idx="2942">
                  <c:v>59918</c:v>
                </c:pt>
                <c:pt idx="2943">
                  <c:v>59925</c:v>
                </c:pt>
                <c:pt idx="2944">
                  <c:v>59932</c:v>
                </c:pt>
                <c:pt idx="2945">
                  <c:v>59939</c:v>
                </c:pt>
                <c:pt idx="2946">
                  <c:v>59946</c:v>
                </c:pt>
                <c:pt idx="2947">
                  <c:v>59953</c:v>
                </c:pt>
                <c:pt idx="2948">
                  <c:v>59960</c:v>
                </c:pt>
                <c:pt idx="2949">
                  <c:v>59967</c:v>
                </c:pt>
                <c:pt idx="2950">
                  <c:v>59974</c:v>
                </c:pt>
                <c:pt idx="2951">
                  <c:v>59981</c:v>
                </c:pt>
                <c:pt idx="2952">
                  <c:v>59988</c:v>
                </c:pt>
                <c:pt idx="2953">
                  <c:v>59995</c:v>
                </c:pt>
                <c:pt idx="2954">
                  <c:v>60002</c:v>
                </c:pt>
                <c:pt idx="2955">
                  <c:v>60009</c:v>
                </c:pt>
                <c:pt idx="2956">
                  <c:v>60016</c:v>
                </c:pt>
                <c:pt idx="2957">
                  <c:v>60024</c:v>
                </c:pt>
                <c:pt idx="2958">
                  <c:v>60031</c:v>
                </c:pt>
                <c:pt idx="2959">
                  <c:v>60038</c:v>
                </c:pt>
                <c:pt idx="2960">
                  <c:v>60045</c:v>
                </c:pt>
                <c:pt idx="2961">
                  <c:v>60052</c:v>
                </c:pt>
                <c:pt idx="2962">
                  <c:v>60059</c:v>
                </c:pt>
                <c:pt idx="2963">
                  <c:v>60066</c:v>
                </c:pt>
                <c:pt idx="2964">
                  <c:v>60073</c:v>
                </c:pt>
                <c:pt idx="2965">
                  <c:v>60080</c:v>
                </c:pt>
                <c:pt idx="2966">
                  <c:v>60087</c:v>
                </c:pt>
                <c:pt idx="2967">
                  <c:v>60094</c:v>
                </c:pt>
                <c:pt idx="2968">
                  <c:v>60101</c:v>
                </c:pt>
                <c:pt idx="2969">
                  <c:v>60108</c:v>
                </c:pt>
                <c:pt idx="2970">
                  <c:v>60115</c:v>
                </c:pt>
                <c:pt idx="2971">
                  <c:v>60122</c:v>
                </c:pt>
                <c:pt idx="2972">
                  <c:v>60129</c:v>
                </c:pt>
                <c:pt idx="2973">
                  <c:v>60136</c:v>
                </c:pt>
                <c:pt idx="2974">
                  <c:v>60143</c:v>
                </c:pt>
                <c:pt idx="2975">
                  <c:v>60150</c:v>
                </c:pt>
                <c:pt idx="2976">
                  <c:v>60157</c:v>
                </c:pt>
                <c:pt idx="2977">
                  <c:v>60164</c:v>
                </c:pt>
                <c:pt idx="2978">
                  <c:v>60171</c:v>
                </c:pt>
                <c:pt idx="2979">
                  <c:v>60178</c:v>
                </c:pt>
                <c:pt idx="2980">
                  <c:v>60185</c:v>
                </c:pt>
                <c:pt idx="2981">
                  <c:v>60192</c:v>
                </c:pt>
                <c:pt idx="2982">
                  <c:v>60199</c:v>
                </c:pt>
                <c:pt idx="2983">
                  <c:v>60206</c:v>
                </c:pt>
                <c:pt idx="2984">
                  <c:v>60213</c:v>
                </c:pt>
                <c:pt idx="2985">
                  <c:v>60220</c:v>
                </c:pt>
                <c:pt idx="2986">
                  <c:v>60227</c:v>
                </c:pt>
                <c:pt idx="2987">
                  <c:v>60234</c:v>
                </c:pt>
                <c:pt idx="2988">
                  <c:v>60241</c:v>
                </c:pt>
                <c:pt idx="2989">
                  <c:v>60248</c:v>
                </c:pt>
                <c:pt idx="2990">
                  <c:v>60255</c:v>
                </c:pt>
                <c:pt idx="2991">
                  <c:v>60265</c:v>
                </c:pt>
                <c:pt idx="2992">
                  <c:v>60272</c:v>
                </c:pt>
                <c:pt idx="2993">
                  <c:v>60279</c:v>
                </c:pt>
                <c:pt idx="2994">
                  <c:v>60286</c:v>
                </c:pt>
                <c:pt idx="2995">
                  <c:v>60293</c:v>
                </c:pt>
                <c:pt idx="2996">
                  <c:v>60300</c:v>
                </c:pt>
                <c:pt idx="2997">
                  <c:v>60307</c:v>
                </c:pt>
                <c:pt idx="2998">
                  <c:v>60314</c:v>
                </c:pt>
                <c:pt idx="2999">
                  <c:v>60321</c:v>
                </c:pt>
                <c:pt idx="3000">
                  <c:v>60328</c:v>
                </c:pt>
                <c:pt idx="3001">
                  <c:v>60335</c:v>
                </c:pt>
                <c:pt idx="3002">
                  <c:v>60342</c:v>
                </c:pt>
                <c:pt idx="3003">
                  <c:v>60349</c:v>
                </c:pt>
                <c:pt idx="3004">
                  <c:v>60357</c:v>
                </c:pt>
                <c:pt idx="3005">
                  <c:v>60364</c:v>
                </c:pt>
                <c:pt idx="3006">
                  <c:v>60371</c:v>
                </c:pt>
                <c:pt idx="3007">
                  <c:v>60378</c:v>
                </c:pt>
                <c:pt idx="3008">
                  <c:v>60385</c:v>
                </c:pt>
                <c:pt idx="3009">
                  <c:v>60392</c:v>
                </c:pt>
                <c:pt idx="3010">
                  <c:v>60399</c:v>
                </c:pt>
                <c:pt idx="3011">
                  <c:v>60406</c:v>
                </c:pt>
                <c:pt idx="3012">
                  <c:v>60413</c:v>
                </c:pt>
                <c:pt idx="3013">
                  <c:v>60420</c:v>
                </c:pt>
                <c:pt idx="3014">
                  <c:v>60427</c:v>
                </c:pt>
                <c:pt idx="3015">
                  <c:v>60434</c:v>
                </c:pt>
                <c:pt idx="3016">
                  <c:v>60441</c:v>
                </c:pt>
                <c:pt idx="3017">
                  <c:v>60448</c:v>
                </c:pt>
                <c:pt idx="3018">
                  <c:v>60455</c:v>
                </c:pt>
                <c:pt idx="3019">
                  <c:v>60462</c:v>
                </c:pt>
                <c:pt idx="3020">
                  <c:v>60469</c:v>
                </c:pt>
                <c:pt idx="3021">
                  <c:v>60476</c:v>
                </c:pt>
                <c:pt idx="3022">
                  <c:v>60483</c:v>
                </c:pt>
                <c:pt idx="3023">
                  <c:v>60490</c:v>
                </c:pt>
                <c:pt idx="3024">
                  <c:v>60497</c:v>
                </c:pt>
                <c:pt idx="3025">
                  <c:v>60504</c:v>
                </c:pt>
                <c:pt idx="3026">
                  <c:v>60511</c:v>
                </c:pt>
                <c:pt idx="3027">
                  <c:v>60518</c:v>
                </c:pt>
                <c:pt idx="3028">
                  <c:v>60525</c:v>
                </c:pt>
                <c:pt idx="3029">
                  <c:v>60532</c:v>
                </c:pt>
                <c:pt idx="3030">
                  <c:v>60539</c:v>
                </c:pt>
                <c:pt idx="3031">
                  <c:v>60546</c:v>
                </c:pt>
                <c:pt idx="3032">
                  <c:v>60553</c:v>
                </c:pt>
                <c:pt idx="3033">
                  <c:v>60560</c:v>
                </c:pt>
                <c:pt idx="3034">
                  <c:v>60567</c:v>
                </c:pt>
                <c:pt idx="3035">
                  <c:v>60574</c:v>
                </c:pt>
                <c:pt idx="3036">
                  <c:v>60581</c:v>
                </c:pt>
                <c:pt idx="3037">
                  <c:v>60588</c:v>
                </c:pt>
                <c:pt idx="3038">
                  <c:v>60595</c:v>
                </c:pt>
                <c:pt idx="3039">
                  <c:v>60602</c:v>
                </c:pt>
                <c:pt idx="3040">
                  <c:v>60609</c:v>
                </c:pt>
                <c:pt idx="3041">
                  <c:v>60616</c:v>
                </c:pt>
                <c:pt idx="3042">
                  <c:v>60623</c:v>
                </c:pt>
                <c:pt idx="3043">
                  <c:v>60630</c:v>
                </c:pt>
                <c:pt idx="3044">
                  <c:v>60637</c:v>
                </c:pt>
                <c:pt idx="3045">
                  <c:v>60644</c:v>
                </c:pt>
                <c:pt idx="3046">
                  <c:v>60651</c:v>
                </c:pt>
                <c:pt idx="3047">
                  <c:v>60658</c:v>
                </c:pt>
                <c:pt idx="3048">
                  <c:v>60665</c:v>
                </c:pt>
                <c:pt idx="3049">
                  <c:v>60672</c:v>
                </c:pt>
                <c:pt idx="3050">
                  <c:v>60679</c:v>
                </c:pt>
                <c:pt idx="3051">
                  <c:v>60686</c:v>
                </c:pt>
                <c:pt idx="3052">
                  <c:v>60693</c:v>
                </c:pt>
                <c:pt idx="3053">
                  <c:v>60700</c:v>
                </c:pt>
                <c:pt idx="3054">
                  <c:v>60707</c:v>
                </c:pt>
                <c:pt idx="3055">
                  <c:v>60714</c:v>
                </c:pt>
                <c:pt idx="3056">
                  <c:v>60721</c:v>
                </c:pt>
                <c:pt idx="3057">
                  <c:v>60728</c:v>
                </c:pt>
                <c:pt idx="3058">
                  <c:v>60735</c:v>
                </c:pt>
                <c:pt idx="3059">
                  <c:v>60742</c:v>
                </c:pt>
                <c:pt idx="3060">
                  <c:v>60749</c:v>
                </c:pt>
                <c:pt idx="3061">
                  <c:v>60756</c:v>
                </c:pt>
                <c:pt idx="3062">
                  <c:v>60763</c:v>
                </c:pt>
                <c:pt idx="3063">
                  <c:v>60770</c:v>
                </c:pt>
                <c:pt idx="3064">
                  <c:v>60777</c:v>
                </c:pt>
                <c:pt idx="3065">
                  <c:v>60784</c:v>
                </c:pt>
                <c:pt idx="3066">
                  <c:v>60791</c:v>
                </c:pt>
                <c:pt idx="3067">
                  <c:v>60798</c:v>
                </c:pt>
                <c:pt idx="3068">
                  <c:v>60805</c:v>
                </c:pt>
                <c:pt idx="3069">
                  <c:v>60812</c:v>
                </c:pt>
                <c:pt idx="3070">
                  <c:v>60819</c:v>
                </c:pt>
                <c:pt idx="3071">
                  <c:v>60826</c:v>
                </c:pt>
                <c:pt idx="3072">
                  <c:v>60833</c:v>
                </c:pt>
                <c:pt idx="3073">
                  <c:v>60840</c:v>
                </c:pt>
                <c:pt idx="3074">
                  <c:v>60847</c:v>
                </c:pt>
                <c:pt idx="3075">
                  <c:v>60854</c:v>
                </c:pt>
                <c:pt idx="3076">
                  <c:v>60861</c:v>
                </c:pt>
                <c:pt idx="3077">
                  <c:v>60868</c:v>
                </c:pt>
                <c:pt idx="3078">
                  <c:v>60875</c:v>
                </c:pt>
                <c:pt idx="3079">
                  <c:v>60882</c:v>
                </c:pt>
                <c:pt idx="3080">
                  <c:v>60889</c:v>
                </c:pt>
                <c:pt idx="3081">
                  <c:v>60896</c:v>
                </c:pt>
                <c:pt idx="3082">
                  <c:v>60903</c:v>
                </c:pt>
                <c:pt idx="3083">
                  <c:v>60910</c:v>
                </c:pt>
                <c:pt idx="3084">
                  <c:v>60917</c:v>
                </c:pt>
                <c:pt idx="3085">
                  <c:v>60924</c:v>
                </c:pt>
                <c:pt idx="3086">
                  <c:v>60931</c:v>
                </c:pt>
                <c:pt idx="3087">
                  <c:v>60938</c:v>
                </c:pt>
                <c:pt idx="3088">
                  <c:v>60945</c:v>
                </c:pt>
                <c:pt idx="3089">
                  <c:v>60952</c:v>
                </c:pt>
                <c:pt idx="3090">
                  <c:v>60959</c:v>
                </c:pt>
                <c:pt idx="3091">
                  <c:v>60966</c:v>
                </c:pt>
                <c:pt idx="3092">
                  <c:v>60973</c:v>
                </c:pt>
                <c:pt idx="3093">
                  <c:v>60980</c:v>
                </c:pt>
                <c:pt idx="3094">
                  <c:v>60987</c:v>
                </c:pt>
                <c:pt idx="3095">
                  <c:v>60994</c:v>
                </c:pt>
                <c:pt idx="3096">
                  <c:v>61001</c:v>
                </c:pt>
                <c:pt idx="3097">
                  <c:v>61008</c:v>
                </c:pt>
                <c:pt idx="3098">
                  <c:v>61015</c:v>
                </c:pt>
                <c:pt idx="3099">
                  <c:v>61022</c:v>
                </c:pt>
                <c:pt idx="3100">
                  <c:v>61029</c:v>
                </c:pt>
                <c:pt idx="3101">
                  <c:v>61036</c:v>
                </c:pt>
                <c:pt idx="3102">
                  <c:v>61043</c:v>
                </c:pt>
                <c:pt idx="3103">
                  <c:v>61050</c:v>
                </c:pt>
                <c:pt idx="3104">
                  <c:v>61057</c:v>
                </c:pt>
                <c:pt idx="3105">
                  <c:v>61064</c:v>
                </c:pt>
                <c:pt idx="3106">
                  <c:v>61071</c:v>
                </c:pt>
                <c:pt idx="3107">
                  <c:v>61078</c:v>
                </c:pt>
                <c:pt idx="3108">
                  <c:v>61085</c:v>
                </c:pt>
                <c:pt idx="3109">
                  <c:v>61092</c:v>
                </c:pt>
                <c:pt idx="3110">
                  <c:v>61099</c:v>
                </c:pt>
                <c:pt idx="3111">
                  <c:v>61106</c:v>
                </c:pt>
                <c:pt idx="3112">
                  <c:v>61113</c:v>
                </c:pt>
                <c:pt idx="3113">
                  <c:v>61120</c:v>
                </c:pt>
                <c:pt idx="3114">
                  <c:v>61127</c:v>
                </c:pt>
                <c:pt idx="3115">
                  <c:v>61134</c:v>
                </c:pt>
                <c:pt idx="3116">
                  <c:v>61141</c:v>
                </c:pt>
                <c:pt idx="3117">
                  <c:v>61148</c:v>
                </c:pt>
                <c:pt idx="3118">
                  <c:v>61155</c:v>
                </c:pt>
                <c:pt idx="3119">
                  <c:v>61162</c:v>
                </c:pt>
                <c:pt idx="3120">
                  <c:v>61169</c:v>
                </c:pt>
                <c:pt idx="3121">
                  <c:v>61176</c:v>
                </c:pt>
                <c:pt idx="3122">
                  <c:v>61183</c:v>
                </c:pt>
                <c:pt idx="3123">
                  <c:v>61190</c:v>
                </c:pt>
                <c:pt idx="3124">
                  <c:v>61197</c:v>
                </c:pt>
                <c:pt idx="3125">
                  <c:v>61204</c:v>
                </c:pt>
                <c:pt idx="3126">
                  <c:v>61211</c:v>
                </c:pt>
                <c:pt idx="3127">
                  <c:v>61218</c:v>
                </c:pt>
                <c:pt idx="3128">
                  <c:v>61225</c:v>
                </c:pt>
                <c:pt idx="3129">
                  <c:v>61232</c:v>
                </c:pt>
                <c:pt idx="3130">
                  <c:v>61239</c:v>
                </c:pt>
                <c:pt idx="3131">
                  <c:v>61246</c:v>
                </c:pt>
                <c:pt idx="3132">
                  <c:v>61253</c:v>
                </c:pt>
                <c:pt idx="3133">
                  <c:v>61260</c:v>
                </c:pt>
                <c:pt idx="3134">
                  <c:v>61267</c:v>
                </c:pt>
                <c:pt idx="3135">
                  <c:v>61274</c:v>
                </c:pt>
                <c:pt idx="3136">
                  <c:v>61281</c:v>
                </c:pt>
                <c:pt idx="3137">
                  <c:v>61288</c:v>
                </c:pt>
                <c:pt idx="3138">
                  <c:v>61295</c:v>
                </c:pt>
                <c:pt idx="3139">
                  <c:v>61302</c:v>
                </c:pt>
                <c:pt idx="3140">
                  <c:v>61309</c:v>
                </c:pt>
                <c:pt idx="3141">
                  <c:v>61316</c:v>
                </c:pt>
                <c:pt idx="3142">
                  <c:v>61323</c:v>
                </c:pt>
                <c:pt idx="3143">
                  <c:v>61330</c:v>
                </c:pt>
                <c:pt idx="3144">
                  <c:v>61337</c:v>
                </c:pt>
                <c:pt idx="3145">
                  <c:v>61344</c:v>
                </c:pt>
                <c:pt idx="3146">
                  <c:v>61351</c:v>
                </c:pt>
                <c:pt idx="3147">
                  <c:v>61358</c:v>
                </c:pt>
                <c:pt idx="3148">
                  <c:v>61365</c:v>
                </c:pt>
                <c:pt idx="3149">
                  <c:v>61372</c:v>
                </c:pt>
                <c:pt idx="3150">
                  <c:v>61379</c:v>
                </c:pt>
                <c:pt idx="3151">
                  <c:v>61386</c:v>
                </c:pt>
                <c:pt idx="3152">
                  <c:v>61393</c:v>
                </c:pt>
                <c:pt idx="3153">
                  <c:v>61400</c:v>
                </c:pt>
                <c:pt idx="3154">
                  <c:v>61407</c:v>
                </c:pt>
                <c:pt idx="3155">
                  <c:v>61414</c:v>
                </c:pt>
                <c:pt idx="3156">
                  <c:v>61421</c:v>
                </c:pt>
                <c:pt idx="3157">
                  <c:v>61428</c:v>
                </c:pt>
                <c:pt idx="3158">
                  <c:v>61435</c:v>
                </c:pt>
                <c:pt idx="3159">
                  <c:v>61442</c:v>
                </c:pt>
                <c:pt idx="3160">
                  <c:v>61449</c:v>
                </c:pt>
                <c:pt idx="3161">
                  <c:v>61456</c:v>
                </c:pt>
                <c:pt idx="3162">
                  <c:v>61463</c:v>
                </c:pt>
                <c:pt idx="3163">
                  <c:v>61470</c:v>
                </c:pt>
                <c:pt idx="3164">
                  <c:v>61477</c:v>
                </c:pt>
                <c:pt idx="3165">
                  <c:v>61485</c:v>
                </c:pt>
                <c:pt idx="3166">
                  <c:v>61492</c:v>
                </c:pt>
                <c:pt idx="3167">
                  <c:v>61499</c:v>
                </c:pt>
                <c:pt idx="3168">
                  <c:v>61506</c:v>
                </c:pt>
                <c:pt idx="3169">
                  <c:v>61513</c:v>
                </c:pt>
                <c:pt idx="3170">
                  <c:v>61520</c:v>
                </c:pt>
                <c:pt idx="3171">
                  <c:v>61527</c:v>
                </c:pt>
                <c:pt idx="3172">
                  <c:v>61534</c:v>
                </c:pt>
                <c:pt idx="3173">
                  <c:v>61541</c:v>
                </c:pt>
                <c:pt idx="3174">
                  <c:v>61548</c:v>
                </c:pt>
                <c:pt idx="3175">
                  <c:v>61555</c:v>
                </c:pt>
                <c:pt idx="3176">
                  <c:v>61562</c:v>
                </c:pt>
                <c:pt idx="3177">
                  <c:v>61569</c:v>
                </c:pt>
                <c:pt idx="3178">
                  <c:v>61576</c:v>
                </c:pt>
                <c:pt idx="3179">
                  <c:v>61583</c:v>
                </c:pt>
                <c:pt idx="3180">
                  <c:v>61590</c:v>
                </c:pt>
                <c:pt idx="3181">
                  <c:v>61597</c:v>
                </c:pt>
                <c:pt idx="3182">
                  <c:v>61604</c:v>
                </c:pt>
                <c:pt idx="3183">
                  <c:v>61611</c:v>
                </c:pt>
                <c:pt idx="3184">
                  <c:v>61618</c:v>
                </c:pt>
                <c:pt idx="3185">
                  <c:v>61625</c:v>
                </c:pt>
                <c:pt idx="3186">
                  <c:v>61632</c:v>
                </c:pt>
                <c:pt idx="3187">
                  <c:v>61639</c:v>
                </c:pt>
                <c:pt idx="3188">
                  <c:v>61646</c:v>
                </c:pt>
                <c:pt idx="3189">
                  <c:v>61653</c:v>
                </c:pt>
                <c:pt idx="3190">
                  <c:v>61660</c:v>
                </c:pt>
                <c:pt idx="3191">
                  <c:v>61667</c:v>
                </c:pt>
                <c:pt idx="3192">
                  <c:v>61674</c:v>
                </c:pt>
                <c:pt idx="3193">
                  <c:v>61681</c:v>
                </c:pt>
                <c:pt idx="3194">
                  <c:v>61688</c:v>
                </c:pt>
                <c:pt idx="3195">
                  <c:v>61695</c:v>
                </c:pt>
                <c:pt idx="3196">
                  <c:v>61702</c:v>
                </c:pt>
                <c:pt idx="3197">
                  <c:v>61709</c:v>
                </c:pt>
                <c:pt idx="3198">
                  <c:v>61716</c:v>
                </c:pt>
                <c:pt idx="3199">
                  <c:v>61724</c:v>
                </c:pt>
                <c:pt idx="3200">
                  <c:v>61731</c:v>
                </c:pt>
                <c:pt idx="3201">
                  <c:v>61738</c:v>
                </c:pt>
                <c:pt idx="3202">
                  <c:v>61745</c:v>
                </c:pt>
                <c:pt idx="3203">
                  <c:v>61752</c:v>
                </c:pt>
                <c:pt idx="3204">
                  <c:v>61759</c:v>
                </c:pt>
                <c:pt idx="3205">
                  <c:v>61766</c:v>
                </c:pt>
                <c:pt idx="3206">
                  <c:v>61773</c:v>
                </c:pt>
                <c:pt idx="3207">
                  <c:v>61780</c:v>
                </c:pt>
                <c:pt idx="3208">
                  <c:v>61787</c:v>
                </c:pt>
                <c:pt idx="3209">
                  <c:v>61794</c:v>
                </c:pt>
                <c:pt idx="3210">
                  <c:v>61801</c:v>
                </c:pt>
                <c:pt idx="3211">
                  <c:v>61808</c:v>
                </c:pt>
                <c:pt idx="3212">
                  <c:v>61815</c:v>
                </c:pt>
                <c:pt idx="3213">
                  <c:v>61822</c:v>
                </c:pt>
                <c:pt idx="3214">
                  <c:v>61829</c:v>
                </c:pt>
                <c:pt idx="3215">
                  <c:v>61836</c:v>
                </c:pt>
                <c:pt idx="3216">
                  <c:v>61843</c:v>
                </c:pt>
                <c:pt idx="3217">
                  <c:v>61850</c:v>
                </c:pt>
                <c:pt idx="3218">
                  <c:v>61857</c:v>
                </c:pt>
                <c:pt idx="3219">
                  <c:v>61864</c:v>
                </c:pt>
                <c:pt idx="3220">
                  <c:v>61871</c:v>
                </c:pt>
                <c:pt idx="3221">
                  <c:v>61878</c:v>
                </c:pt>
                <c:pt idx="3222">
                  <c:v>61885</c:v>
                </c:pt>
                <c:pt idx="3223">
                  <c:v>61892</c:v>
                </c:pt>
                <c:pt idx="3224">
                  <c:v>61899</c:v>
                </c:pt>
                <c:pt idx="3225">
                  <c:v>61906</c:v>
                </c:pt>
                <c:pt idx="3226">
                  <c:v>61913</c:v>
                </c:pt>
                <c:pt idx="3227">
                  <c:v>61920</c:v>
                </c:pt>
                <c:pt idx="3228">
                  <c:v>61927</c:v>
                </c:pt>
                <c:pt idx="3229">
                  <c:v>61934</c:v>
                </c:pt>
                <c:pt idx="3230">
                  <c:v>61941</c:v>
                </c:pt>
                <c:pt idx="3231">
                  <c:v>61948</c:v>
                </c:pt>
                <c:pt idx="3232">
                  <c:v>61955</c:v>
                </c:pt>
                <c:pt idx="3233">
                  <c:v>61962</c:v>
                </c:pt>
                <c:pt idx="3234">
                  <c:v>61969</c:v>
                </c:pt>
                <c:pt idx="3235">
                  <c:v>61976</c:v>
                </c:pt>
                <c:pt idx="3236">
                  <c:v>61983</c:v>
                </c:pt>
                <c:pt idx="3237">
                  <c:v>61990</c:v>
                </c:pt>
                <c:pt idx="3238">
                  <c:v>61997</c:v>
                </c:pt>
                <c:pt idx="3239">
                  <c:v>62004</c:v>
                </c:pt>
                <c:pt idx="3240">
                  <c:v>62011</c:v>
                </c:pt>
                <c:pt idx="3241">
                  <c:v>62018</c:v>
                </c:pt>
                <c:pt idx="3242">
                  <c:v>62025</c:v>
                </c:pt>
                <c:pt idx="3243">
                  <c:v>62032</c:v>
                </c:pt>
                <c:pt idx="3244">
                  <c:v>62039</c:v>
                </c:pt>
                <c:pt idx="3245">
                  <c:v>62046</c:v>
                </c:pt>
                <c:pt idx="3246">
                  <c:v>62053</c:v>
                </c:pt>
                <c:pt idx="3247">
                  <c:v>62060</c:v>
                </c:pt>
                <c:pt idx="3248">
                  <c:v>62067</c:v>
                </c:pt>
                <c:pt idx="3249">
                  <c:v>62074</c:v>
                </c:pt>
                <c:pt idx="3250">
                  <c:v>62081</c:v>
                </c:pt>
                <c:pt idx="3251">
                  <c:v>62089</c:v>
                </c:pt>
                <c:pt idx="3252">
                  <c:v>62096</c:v>
                </c:pt>
                <c:pt idx="3253">
                  <c:v>62103</c:v>
                </c:pt>
                <c:pt idx="3254">
                  <c:v>62110</c:v>
                </c:pt>
                <c:pt idx="3255">
                  <c:v>62117</c:v>
                </c:pt>
                <c:pt idx="3256">
                  <c:v>62124</c:v>
                </c:pt>
                <c:pt idx="3257">
                  <c:v>62131</c:v>
                </c:pt>
                <c:pt idx="3258">
                  <c:v>62138</c:v>
                </c:pt>
                <c:pt idx="3259">
                  <c:v>62145</c:v>
                </c:pt>
                <c:pt idx="3260">
                  <c:v>62152</c:v>
                </c:pt>
                <c:pt idx="3261">
                  <c:v>62159</c:v>
                </c:pt>
                <c:pt idx="3262">
                  <c:v>62166</c:v>
                </c:pt>
                <c:pt idx="3263">
                  <c:v>62173</c:v>
                </c:pt>
                <c:pt idx="3264">
                  <c:v>62184</c:v>
                </c:pt>
                <c:pt idx="3265">
                  <c:v>62191</c:v>
                </c:pt>
                <c:pt idx="3266">
                  <c:v>62198</c:v>
                </c:pt>
                <c:pt idx="3267">
                  <c:v>62205</c:v>
                </c:pt>
                <c:pt idx="3268">
                  <c:v>62212</c:v>
                </c:pt>
                <c:pt idx="3269">
                  <c:v>62219</c:v>
                </c:pt>
                <c:pt idx="3270">
                  <c:v>62226</c:v>
                </c:pt>
                <c:pt idx="3271">
                  <c:v>62233</c:v>
                </c:pt>
                <c:pt idx="3272">
                  <c:v>62240</c:v>
                </c:pt>
                <c:pt idx="3273">
                  <c:v>62247</c:v>
                </c:pt>
                <c:pt idx="3274">
                  <c:v>62254</c:v>
                </c:pt>
                <c:pt idx="3275">
                  <c:v>62261</c:v>
                </c:pt>
                <c:pt idx="3276">
                  <c:v>62268</c:v>
                </c:pt>
                <c:pt idx="3277">
                  <c:v>62275</c:v>
                </c:pt>
                <c:pt idx="3278">
                  <c:v>62282</c:v>
                </c:pt>
                <c:pt idx="3279">
                  <c:v>62289</c:v>
                </c:pt>
                <c:pt idx="3280">
                  <c:v>62296</c:v>
                </c:pt>
                <c:pt idx="3281">
                  <c:v>62303</c:v>
                </c:pt>
                <c:pt idx="3282">
                  <c:v>62310</c:v>
                </c:pt>
                <c:pt idx="3283">
                  <c:v>62317</c:v>
                </c:pt>
                <c:pt idx="3284">
                  <c:v>62324</c:v>
                </c:pt>
                <c:pt idx="3285">
                  <c:v>62331</c:v>
                </c:pt>
                <c:pt idx="3286">
                  <c:v>62338</c:v>
                </c:pt>
                <c:pt idx="3287">
                  <c:v>62345</c:v>
                </c:pt>
                <c:pt idx="3288">
                  <c:v>62352</c:v>
                </c:pt>
                <c:pt idx="3289">
                  <c:v>62359</c:v>
                </c:pt>
                <c:pt idx="3290">
                  <c:v>62366</c:v>
                </c:pt>
                <c:pt idx="3291">
                  <c:v>62373</c:v>
                </c:pt>
                <c:pt idx="3292">
                  <c:v>62380</c:v>
                </c:pt>
                <c:pt idx="3293">
                  <c:v>62387</c:v>
                </c:pt>
                <c:pt idx="3294">
                  <c:v>62394</c:v>
                </c:pt>
                <c:pt idx="3295">
                  <c:v>62401</c:v>
                </c:pt>
                <c:pt idx="3296">
                  <c:v>62408</c:v>
                </c:pt>
                <c:pt idx="3297">
                  <c:v>62415</c:v>
                </c:pt>
                <c:pt idx="3298">
                  <c:v>62422</c:v>
                </c:pt>
                <c:pt idx="3299">
                  <c:v>62429</c:v>
                </c:pt>
                <c:pt idx="3300">
                  <c:v>62436</c:v>
                </c:pt>
                <c:pt idx="3301">
                  <c:v>62443</c:v>
                </c:pt>
                <c:pt idx="3302">
                  <c:v>62450</c:v>
                </c:pt>
                <c:pt idx="3303">
                  <c:v>62457</c:v>
                </c:pt>
                <c:pt idx="3304">
                  <c:v>62464</c:v>
                </c:pt>
                <c:pt idx="3305">
                  <c:v>62471</c:v>
                </c:pt>
                <c:pt idx="3306">
                  <c:v>62478</c:v>
                </c:pt>
                <c:pt idx="3307">
                  <c:v>62485</c:v>
                </c:pt>
                <c:pt idx="3308">
                  <c:v>62492</c:v>
                </c:pt>
                <c:pt idx="3309">
                  <c:v>62499</c:v>
                </c:pt>
                <c:pt idx="3310">
                  <c:v>62506</c:v>
                </c:pt>
                <c:pt idx="3311">
                  <c:v>62513</c:v>
                </c:pt>
                <c:pt idx="3312">
                  <c:v>62520</c:v>
                </c:pt>
                <c:pt idx="3313">
                  <c:v>62527</c:v>
                </c:pt>
                <c:pt idx="3314">
                  <c:v>62534</c:v>
                </c:pt>
                <c:pt idx="3315">
                  <c:v>62541</c:v>
                </c:pt>
                <c:pt idx="3316">
                  <c:v>62548</c:v>
                </c:pt>
                <c:pt idx="3317">
                  <c:v>62555</c:v>
                </c:pt>
                <c:pt idx="3318">
                  <c:v>62562</c:v>
                </c:pt>
                <c:pt idx="3319">
                  <c:v>62569</c:v>
                </c:pt>
                <c:pt idx="3320">
                  <c:v>62576</c:v>
                </c:pt>
                <c:pt idx="3321">
                  <c:v>62583</c:v>
                </c:pt>
                <c:pt idx="3322">
                  <c:v>62590</c:v>
                </c:pt>
                <c:pt idx="3323">
                  <c:v>62597</c:v>
                </c:pt>
                <c:pt idx="3324">
                  <c:v>62604</c:v>
                </c:pt>
                <c:pt idx="3325">
                  <c:v>62611</c:v>
                </c:pt>
                <c:pt idx="3326">
                  <c:v>62618</c:v>
                </c:pt>
                <c:pt idx="3327">
                  <c:v>62625</c:v>
                </c:pt>
                <c:pt idx="3328">
                  <c:v>62632</c:v>
                </c:pt>
                <c:pt idx="3329">
                  <c:v>62639</c:v>
                </c:pt>
                <c:pt idx="3330">
                  <c:v>62646</c:v>
                </c:pt>
                <c:pt idx="3331">
                  <c:v>62653</c:v>
                </c:pt>
                <c:pt idx="3332">
                  <c:v>62660</c:v>
                </c:pt>
                <c:pt idx="3333">
                  <c:v>62667</c:v>
                </c:pt>
                <c:pt idx="3334">
                  <c:v>62674</c:v>
                </c:pt>
                <c:pt idx="3335">
                  <c:v>62681</c:v>
                </c:pt>
                <c:pt idx="3336">
                  <c:v>62688</c:v>
                </c:pt>
                <c:pt idx="3337">
                  <c:v>62695</c:v>
                </c:pt>
                <c:pt idx="3338">
                  <c:v>62702</c:v>
                </c:pt>
                <c:pt idx="3339">
                  <c:v>62709</c:v>
                </c:pt>
                <c:pt idx="3340">
                  <c:v>62716</c:v>
                </c:pt>
                <c:pt idx="3341">
                  <c:v>62723</c:v>
                </c:pt>
                <c:pt idx="3342">
                  <c:v>62730</c:v>
                </c:pt>
                <c:pt idx="3343">
                  <c:v>62737</c:v>
                </c:pt>
                <c:pt idx="3344">
                  <c:v>62744</c:v>
                </c:pt>
                <c:pt idx="3345">
                  <c:v>62751</c:v>
                </c:pt>
                <c:pt idx="3346">
                  <c:v>62758</c:v>
                </c:pt>
                <c:pt idx="3347">
                  <c:v>62765</c:v>
                </c:pt>
                <c:pt idx="3348">
                  <c:v>62772</c:v>
                </c:pt>
                <c:pt idx="3349">
                  <c:v>62779</c:v>
                </c:pt>
                <c:pt idx="3350">
                  <c:v>62786</c:v>
                </c:pt>
                <c:pt idx="3351">
                  <c:v>62793</c:v>
                </c:pt>
                <c:pt idx="3352">
                  <c:v>62800</c:v>
                </c:pt>
                <c:pt idx="3353">
                  <c:v>62807</c:v>
                </c:pt>
                <c:pt idx="3354">
                  <c:v>62814</c:v>
                </c:pt>
                <c:pt idx="3355">
                  <c:v>62821</c:v>
                </c:pt>
                <c:pt idx="3356">
                  <c:v>62828</c:v>
                </c:pt>
                <c:pt idx="3357">
                  <c:v>62835</c:v>
                </c:pt>
                <c:pt idx="3358">
                  <c:v>62842</c:v>
                </c:pt>
                <c:pt idx="3359">
                  <c:v>62849</c:v>
                </c:pt>
                <c:pt idx="3360">
                  <c:v>62856</c:v>
                </c:pt>
                <c:pt idx="3361">
                  <c:v>62863</c:v>
                </c:pt>
                <c:pt idx="3362">
                  <c:v>62870</c:v>
                </c:pt>
                <c:pt idx="3363">
                  <c:v>62877</c:v>
                </c:pt>
                <c:pt idx="3364">
                  <c:v>62884</c:v>
                </c:pt>
                <c:pt idx="3365">
                  <c:v>62891</c:v>
                </c:pt>
                <c:pt idx="3366">
                  <c:v>62898</c:v>
                </c:pt>
                <c:pt idx="3367">
                  <c:v>62905</c:v>
                </c:pt>
                <c:pt idx="3368">
                  <c:v>62912</c:v>
                </c:pt>
                <c:pt idx="3369">
                  <c:v>62919</c:v>
                </c:pt>
                <c:pt idx="3370">
                  <c:v>62926</c:v>
                </c:pt>
                <c:pt idx="3371">
                  <c:v>62933</c:v>
                </c:pt>
                <c:pt idx="3372">
                  <c:v>62940</c:v>
                </c:pt>
                <c:pt idx="3373">
                  <c:v>62947</c:v>
                </c:pt>
                <c:pt idx="3374">
                  <c:v>62954</c:v>
                </c:pt>
                <c:pt idx="3375">
                  <c:v>62961</c:v>
                </c:pt>
                <c:pt idx="3376">
                  <c:v>62968</c:v>
                </c:pt>
                <c:pt idx="3377">
                  <c:v>62975</c:v>
                </c:pt>
                <c:pt idx="3378">
                  <c:v>62982</c:v>
                </c:pt>
                <c:pt idx="3379">
                  <c:v>62989</c:v>
                </c:pt>
                <c:pt idx="3380">
                  <c:v>62996</c:v>
                </c:pt>
                <c:pt idx="3381">
                  <c:v>63003</c:v>
                </c:pt>
                <c:pt idx="3382">
                  <c:v>63010</c:v>
                </c:pt>
                <c:pt idx="3383">
                  <c:v>63017</c:v>
                </c:pt>
                <c:pt idx="3384">
                  <c:v>63024</c:v>
                </c:pt>
                <c:pt idx="3385">
                  <c:v>63031</c:v>
                </c:pt>
                <c:pt idx="3386">
                  <c:v>63038</c:v>
                </c:pt>
                <c:pt idx="3387">
                  <c:v>63045</c:v>
                </c:pt>
                <c:pt idx="3388">
                  <c:v>63052</c:v>
                </c:pt>
                <c:pt idx="3389">
                  <c:v>63059</c:v>
                </c:pt>
                <c:pt idx="3390">
                  <c:v>63066</c:v>
                </c:pt>
                <c:pt idx="3391">
                  <c:v>63073</c:v>
                </c:pt>
                <c:pt idx="3392">
                  <c:v>63080</c:v>
                </c:pt>
                <c:pt idx="3393">
                  <c:v>63087</c:v>
                </c:pt>
                <c:pt idx="3394">
                  <c:v>63094</c:v>
                </c:pt>
                <c:pt idx="3395">
                  <c:v>63101</c:v>
                </c:pt>
                <c:pt idx="3396">
                  <c:v>63108</c:v>
                </c:pt>
                <c:pt idx="3397">
                  <c:v>63115</c:v>
                </c:pt>
                <c:pt idx="3398">
                  <c:v>63122</c:v>
                </c:pt>
                <c:pt idx="3399">
                  <c:v>63129</c:v>
                </c:pt>
                <c:pt idx="3400">
                  <c:v>63136</c:v>
                </c:pt>
                <c:pt idx="3401">
                  <c:v>63143</c:v>
                </c:pt>
                <c:pt idx="3402">
                  <c:v>63150</c:v>
                </c:pt>
                <c:pt idx="3403">
                  <c:v>63157</c:v>
                </c:pt>
                <c:pt idx="3404">
                  <c:v>63164</c:v>
                </c:pt>
                <c:pt idx="3405">
                  <c:v>63171</c:v>
                </c:pt>
                <c:pt idx="3406">
                  <c:v>63178</c:v>
                </c:pt>
                <c:pt idx="3407">
                  <c:v>63185</c:v>
                </c:pt>
                <c:pt idx="3408">
                  <c:v>63192</c:v>
                </c:pt>
                <c:pt idx="3409">
                  <c:v>63199</c:v>
                </c:pt>
                <c:pt idx="3410">
                  <c:v>63206</c:v>
                </c:pt>
                <c:pt idx="3411">
                  <c:v>63213</c:v>
                </c:pt>
                <c:pt idx="3412">
                  <c:v>63220</c:v>
                </c:pt>
                <c:pt idx="3413">
                  <c:v>63227</c:v>
                </c:pt>
                <c:pt idx="3414">
                  <c:v>63234</c:v>
                </c:pt>
                <c:pt idx="3415">
                  <c:v>63241</c:v>
                </c:pt>
                <c:pt idx="3416">
                  <c:v>63248</c:v>
                </c:pt>
                <c:pt idx="3417">
                  <c:v>63255</c:v>
                </c:pt>
                <c:pt idx="3418">
                  <c:v>63262</c:v>
                </c:pt>
                <c:pt idx="3419">
                  <c:v>63269</c:v>
                </c:pt>
                <c:pt idx="3420">
                  <c:v>63276</c:v>
                </c:pt>
                <c:pt idx="3421">
                  <c:v>63283</c:v>
                </c:pt>
                <c:pt idx="3422">
                  <c:v>63290</c:v>
                </c:pt>
                <c:pt idx="3423">
                  <c:v>63297</c:v>
                </c:pt>
                <c:pt idx="3424">
                  <c:v>63304</c:v>
                </c:pt>
                <c:pt idx="3425">
                  <c:v>63311</c:v>
                </c:pt>
                <c:pt idx="3426">
                  <c:v>63318</c:v>
                </c:pt>
                <c:pt idx="3427">
                  <c:v>63325</c:v>
                </c:pt>
                <c:pt idx="3428">
                  <c:v>63332</c:v>
                </c:pt>
                <c:pt idx="3429">
                  <c:v>63339</c:v>
                </c:pt>
                <c:pt idx="3430">
                  <c:v>63346</c:v>
                </c:pt>
                <c:pt idx="3431">
                  <c:v>63353</c:v>
                </c:pt>
                <c:pt idx="3432">
                  <c:v>63360</c:v>
                </c:pt>
                <c:pt idx="3433">
                  <c:v>63367</c:v>
                </c:pt>
                <c:pt idx="3434">
                  <c:v>63374</c:v>
                </c:pt>
                <c:pt idx="3435">
                  <c:v>63381</c:v>
                </c:pt>
                <c:pt idx="3436">
                  <c:v>63388</c:v>
                </c:pt>
                <c:pt idx="3437">
                  <c:v>63395</c:v>
                </c:pt>
                <c:pt idx="3438">
                  <c:v>63402</c:v>
                </c:pt>
                <c:pt idx="3439">
                  <c:v>63409</c:v>
                </c:pt>
                <c:pt idx="3440">
                  <c:v>63416</c:v>
                </c:pt>
                <c:pt idx="3441">
                  <c:v>63423</c:v>
                </c:pt>
                <c:pt idx="3442">
                  <c:v>63430</c:v>
                </c:pt>
                <c:pt idx="3443">
                  <c:v>63437</c:v>
                </c:pt>
                <c:pt idx="3444">
                  <c:v>63444</c:v>
                </c:pt>
                <c:pt idx="3445">
                  <c:v>63451</c:v>
                </c:pt>
                <c:pt idx="3446">
                  <c:v>63458</c:v>
                </c:pt>
                <c:pt idx="3447">
                  <c:v>63465</c:v>
                </c:pt>
                <c:pt idx="3448">
                  <c:v>63472</c:v>
                </c:pt>
                <c:pt idx="3449">
                  <c:v>63479</c:v>
                </c:pt>
                <c:pt idx="3450">
                  <c:v>63486</c:v>
                </c:pt>
                <c:pt idx="3451">
                  <c:v>63493</c:v>
                </c:pt>
                <c:pt idx="3452">
                  <c:v>63500</c:v>
                </c:pt>
                <c:pt idx="3453">
                  <c:v>63507</c:v>
                </c:pt>
                <c:pt idx="3454">
                  <c:v>63514</c:v>
                </c:pt>
                <c:pt idx="3455">
                  <c:v>63521</c:v>
                </c:pt>
                <c:pt idx="3456">
                  <c:v>63528</c:v>
                </c:pt>
                <c:pt idx="3457">
                  <c:v>63535</c:v>
                </c:pt>
                <c:pt idx="3458">
                  <c:v>63542</c:v>
                </c:pt>
                <c:pt idx="3459">
                  <c:v>63550</c:v>
                </c:pt>
                <c:pt idx="3460">
                  <c:v>63557</c:v>
                </c:pt>
                <c:pt idx="3461">
                  <c:v>63564</c:v>
                </c:pt>
                <c:pt idx="3462">
                  <c:v>63571</c:v>
                </c:pt>
                <c:pt idx="3463">
                  <c:v>63578</c:v>
                </c:pt>
                <c:pt idx="3464">
                  <c:v>63585</c:v>
                </c:pt>
                <c:pt idx="3465">
                  <c:v>63592</c:v>
                </c:pt>
                <c:pt idx="3466">
                  <c:v>63599</c:v>
                </c:pt>
                <c:pt idx="3467">
                  <c:v>63606</c:v>
                </c:pt>
                <c:pt idx="3468">
                  <c:v>63613</c:v>
                </c:pt>
                <c:pt idx="3469">
                  <c:v>63620</c:v>
                </c:pt>
                <c:pt idx="3470">
                  <c:v>63627</c:v>
                </c:pt>
                <c:pt idx="3471">
                  <c:v>63634</c:v>
                </c:pt>
                <c:pt idx="3472">
                  <c:v>63641</c:v>
                </c:pt>
                <c:pt idx="3473">
                  <c:v>63648</c:v>
                </c:pt>
                <c:pt idx="3474">
                  <c:v>63655</c:v>
                </c:pt>
                <c:pt idx="3475">
                  <c:v>63662</c:v>
                </c:pt>
                <c:pt idx="3476">
                  <c:v>63669</c:v>
                </c:pt>
                <c:pt idx="3477">
                  <c:v>63676</c:v>
                </c:pt>
                <c:pt idx="3478">
                  <c:v>63683</c:v>
                </c:pt>
                <c:pt idx="3479">
                  <c:v>63690</c:v>
                </c:pt>
                <c:pt idx="3480">
                  <c:v>63697</c:v>
                </c:pt>
                <c:pt idx="3481">
                  <c:v>63704</c:v>
                </c:pt>
                <c:pt idx="3482">
                  <c:v>63711</c:v>
                </c:pt>
                <c:pt idx="3483">
                  <c:v>63718</c:v>
                </c:pt>
                <c:pt idx="3484">
                  <c:v>63725</c:v>
                </c:pt>
                <c:pt idx="3485">
                  <c:v>63732</c:v>
                </c:pt>
                <c:pt idx="3486">
                  <c:v>63739</c:v>
                </c:pt>
                <c:pt idx="3487">
                  <c:v>63746</c:v>
                </c:pt>
                <c:pt idx="3488">
                  <c:v>63753</c:v>
                </c:pt>
                <c:pt idx="3489">
                  <c:v>63760</c:v>
                </c:pt>
                <c:pt idx="3490">
                  <c:v>63767</c:v>
                </c:pt>
                <c:pt idx="3491">
                  <c:v>63774</c:v>
                </c:pt>
                <c:pt idx="3492">
                  <c:v>63781</c:v>
                </c:pt>
                <c:pt idx="3493">
                  <c:v>63788</c:v>
                </c:pt>
                <c:pt idx="3494">
                  <c:v>63795</c:v>
                </c:pt>
                <c:pt idx="3495">
                  <c:v>63802</c:v>
                </c:pt>
                <c:pt idx="3496">
                  <c:v>63809</c:v>
                </c:pt>
                <c:pt idx="3497">
                  <c:v>63816</c:v>
                </c:pt>
                <c:pt idx="3498">
                  <c:v>63823</c:v>
                </c:pt>
                <c:pt idx="3499">
                  <c:v>63830</c:v>
                </c:pt>
                <c:pt idx="3500">
                  <c:v>63837</c:v>
                </c:pt>
                <c:pt idx="3501">
                  <c:v>63844</c:v>
                </c:pt>
                <c:pt idx="3502">
                  <c:v>63851</c:v>
                </c:pt>
                <c:pt idx="3503">
                  <c:v>63858</c:v>
                </c:pt>
                <c:pt idx="3504">
                  <c:v>63865</c:v>
                </c:pt>
                <c:pt idx="3505">
                  <c:v>63872</c:v>
                </c:pt>
                <c:pt idx="3506">
                  <c:v>63879</c:v>
                </c:pt>
                <c:pt idx="3507">
                  <c:v>63886</c:v>
                </c:pt>
                <c:pt idx="3508">
                  <c:v>63893</c:v>
                </c:pt>
                <c:pt idx="3509">
                  <c:v>63900</c:v>
                </c:pt>
                <c:pt idx="3510">
                  <c:v>63907</c:v>
                </c:pt>
                <c:pt idx="3511">
                  <c:v>63915</c:v>
                </c:pt>
                <c:pt idx="3512">
                  <c:v>63922</c:v>
                </c:pt>
                <c:pt idx="3513">
                  <c:v>63929</c:v>
                </c:pt>
                <c:pt idx="3514">
                  <c:v>63936</c:v>
                </c:pt>
                <c:pt idx="3515">
                  <c:v>63943</c:v>
                </c:pt>
                <c:pt idx="3516">
                  <c:v>63950</c:v>
                </c:pt>
                <c:pt idx="3517">
                  <c:v>63957</c:v>
                </c:pt>
                <c:pt idx="3518">
                  <c:v>63964</c:v>
                </c:pt>
                <c:pt idx="3519">
                  <c:v>63971</c:v>
                </c:pt>
                <c:pt idx="3520">
                  <c:v>63978</c:v>
                </c:pt>
                <c:pt idx="3521">
                  <c:v>63985</c:v>
                </c:pt>
                <c:pt idx="3522">
                  <c:v>63992</c:v>
                </c:pt>
                <c:pt idx="3523">
                  <c:v>63999</c:v>
                </c:pt>
                <c:pt idx="3524">
                  <c:v>64006</c:v>
                </c:pt>
                <c:pt idx="3525">
                  <c:v>64013</c:v>
                </c:pt>
                <c:pt idx="3526">
                  <c:v>64020</c:v>
                </c:pt>
                <c:pt idx="3527">
                  <c:v>64027</c:v>
                </c:pt>
                <c:pt idx="3528">
                  <c:v>64034</c:v>
                </c:pt>
                <c:pt idx="3529">
                  <c:v>64041</c:v>
                </c:pt>
                <c:pt idx="3530">
                  <c:v>64048</c:v>
                </c:pt>
                <c:pt idx="3531">
                  <c:v>64055</c:v>
                </c:pt>
                <c:pt idx="3532">
                  <c:v>64062</c:v>
                </c:pt>
                <c:pt idx="3533">
                  <c:v>64069</c:v>
                </c:pt>
              </c:numCache>
            </c:numRef>
          </c:cat>
          <c:val>
            <c:numRef>
              <c:f>Monitor!$AA$11:$AA$3544</c:f>
              <c:numCache>
                <c:formatCode>0.0000%</c:formatCode>
                <c:ptCount val="3534"/>
                <c:pt idx="0">
                  <c:v>-7.0000000000458584E-4</c:v>
                </c:pt>
                <c:pt idx="1">
                  <c:v>-7.5601079731146825E-4</c:v>
                </c:pt>
                <c:pt idx="2">
                  <c:v>-1.2000120002086945E-3</c:v>
                </c:pt>
                <c:pt idx="3">
                  <c:v>-1.2000120001287584E-3</c:v>
                </c:pt>
                <c:pt idx="4">
                  <c:v>-1.2000120001687264E-3</c:v>
                </c:pt>
                <c:pt idx="5">
                  <c:v>-1.2000120002086945E-3</c:v>
                </c:pt>
                <c:pt idx="6">
                  <c:v>-1.2000080000884594E-3</c:v>
                </c:pt>
                <c:pt idx="7">
                  <c:v>-1.1600382813137244E-3</c:v>
                </c:pt>
                <c:pt idx="8">
                  <c:v>-1.1600382813137244E-3</c:v>
                </c:pt>
                <c:pt idx="9">
                  <c:v>-1.1600382813137244E-3</c:v>
                </c:pt>
                <c:pt idx="10">
                  <c:v>-1.1600382814336285E-3</c:v>
                </c:pt>
                <c:pt idx="11">
                  <c:v>-1.1600345432905002E-3</c:v>
                </c:pt>
                <c:pt idx="12">
                  <c:v>-1.1500637965955463E-3</c:v>
                </c:pt>
                <c:pt idx="13">
                  <c:v>-1.1500637966355143E-3</c:v>
                </c:pt>
                <c:pt idx="14">
                  <c:v>-1.1500637966355143E-3</c:v>
                </c:pt>
                <c:pt idx="15">
                  <c:v>-1.1500637966355143E-3</c:v>
                </c:pt>
                <c:pt idx="16">
                  <c:v>-1.1500601226011042E-3</c:v>
                </c:pt>
                <c:pt idx="17">
                  <c:v>-1.3324326425401267E-3</c:v>
                </c:pt>
                <c:pt idx="18">
                  <c:v>-1.3324326425800948E-3</c:v>
                </c:pt>
                <c:pt idx="19">
                  <c:v>-1.3324326426600308E-3</c:v>
                </c:pt>
                <c:pt idx="20">
                  <c:v>-1.3324326425800948E-3</c:v>
                </c:pt>
                <c:pt idx="21">
                  <c:v>-1.3324277110049465E-3</c:v>
                </c:pt>
                <c:pt idx="22">
                  <c:v>-1.3324326426600308E-3</c:v>
                </c:pt>
                <c:pt idx="23">
                  <c:v>8.2757232283015014E-4</c:v>
                </c:pt>
                <c:pt idx="24">
                  <c:v>-1.3324326426999988E-3</c:v>
                </c:pt>
                <c:pt idx="25">
                  <c:v>-1.3324326425800948E-3</c:v>
                </c:pt>
                <c:pt idx="26">
                  <c:v>-1.3324277110049465E-3</c:v>
                </c:pt>
                <c:pt idx="27">
                  <c:v>-1.3324326425001587E-3</c:v>
                </c:pt>
                <c:pt idx="28">
                  <c:v>-1.3324326426999988E-3</c:v>
                </c:pt>
                <c:pt idx="29">
                  <c:v>-1.3324326425800948E-3</c:v>
                </c:pt>
                <c:pt idx="30">
                  <c:v>-1.3324326426200628E-3</c:v>
                </c:pt>
                <c:pt idx="31">
                  <c:v>-1.3324277109783011E-3</c:v>
                </c:pt>
                <c:pt idx="32">
                  <c:v>-1.3324326426600308E-3</c:v>
                </c:pt>
                <c:pt idx="33">
                  <c:v>-1.3324326426600308E-3</c:v>
                </c:pt>
                <c:pt idx="34">
                  <c:v>-1.3324326425800948E-3</c:v>
                </c:pt>
                <c:pt idx="35">
                  <c:v>-1.3324326426200628E-3</c:v>
                </c:pt>
                <c:pt idx="36">
                  <c:v>-1.3324277109916238E-3</c:v>
                </c:pt>
                <c:pt idx="37">
                  <c:v>-1.3324326426200628E-3</c:v>
                </c:pt>
                <c:pt idx="38">
                  <c:v>-1.3324326426600308E-3</c:v>
                </c:pt>
                <c:pt idx="39">
                  <c:v>-1.2833319903959861E-3</c:v>
                </c:pt>
                <c:pt idx="40">
                  <c:v>-1.2833319903959861E-3</c:v>
                </c:pt>
                <c:pt idx="41">
                  <c:v>-1.2833274156154317E-3</c:v>
                </c:pt>
                <c:pt idx="42">
                  <c:v>-1.2833319904759222E-3</c:v>
                </c:pt>
                <c:pt idx="43">
                  <c:v>-1.2833319903959861E-3</c:v>
                </c:pt>
                <c:pt idx="44">
                  <c:v>-1.2833319903560181E-3</c:v>
                </c:pt>
                <c:pt idx="45">
                  <c:v>-1.2833319904759222E-3</c:v>
                </c:pt>
                <c:pt idx="46">
                  <c:v>-1.1033290705864118E-3</c:v>
                </c:pt>
                <c:pt idx="47">
                  <c:v>-1.2833319904359541E-3</c:v>
                </c:pt>
                <c:pt idx="48">
                  <c:v>-1.2833319904359541E-3</c:v>
                </c:pt>
                <c:pt idx="49">
                  <c:v>-1.2833319903959861E-3</c:v>
                </c:pt>
                <c:pt idx="50">
                  <c:v>-1.2833319903959861E-3</c:v>
                </c:pt>
                <c:pt idx="51">
                  <c:v>-1.2833274156287544E-3</c:v>
                </c:pt>
                <c:pt idx="52">
                  <c:v>-1.2833319903959861E-3</c:v>
                </c:pt>
                <c:pt idx="53">
                  <c:v>-1.2833319903959861E-3</c:v>
                </c:pt>
                <c:pt idx="54">
                  <c:v>-1.2833319903959861E-3</c:v>
                </c:pt>
                <c:pt idx="55">
                  <c:v>-1.2833319903959861E-3</c:v>
                </c:pt>
                <c:pt idx="56">
                  <c:v>-1.2833274156154317E-3</c:v>
                </c:pt>
                <c:pt idx="57">
                  <c:v>-1.2833319903959861E-3</c:v>
                </c:pt>
                <c:pt idx="58">
                  <c:v>-1.2833319904759222E-3</c:v>
                </c:pt>
                <c:pt idx="59">
                  <c:v>-1.2833319903560181E-3</c:v>
                </c:pt>
                <c:pt idx="60">
                  <c:v>-1.2833319904759222E-3</c:v>
                </c:pt>
                <c:pt idx="61">
                  <c:v>-1.2833274156154317E-3</c:v>
                </c:pt>
                <c:pt idx="62">
                  <c:v>-1.2833319904359541E-3</c:v>
                </c:pt>
                <c:pt idx="63">
                  <c:v>-1.2833319903560181E-3</c:v>
                </c:pt>
                <c:pt idx="64">
                  <c:v>-1.2833319903959861E-3</c:v>
                </c:pt>
                <c:pt idx="65">
                  <c:v>-1.2833319905558582E-3</c:v>
                </c:pt>
                <c:pt idx="66">
                  <c:v>-1.2833274156021091E-3</c:v>
                </c:pt>
                <c:pt idx="67">
                  <c:v>-1.1753323430108154E-3</c:v>
                </c:pt>
                <c:pt idx="68">
                  <c:v>-1.2833319903560181E-3</c:v>
                </c:pt>
                <c:pt idx="69">
                  <c:v>-1.2833319903959861E-3</c:v>
                </c:pt>
                <c:pt idx="70">
                  <c:v>-1.2833319904359541E-3</c:v>
                </c:pt>
                <c:pt idx="71">
                  <c:v>-1.2833274156021091E-3</c:v>
                </c:pt>
                <c:pt idx="72">
                  <c:v>-1.2833319904759222E-3</c:v>
                </c:pt>
                <c:pt idx="73">
                  <c:v>-1.2833319904359541E-3</c:v>
                </c:pt>
                <c:pt idx="74">
                  <c:v>-1.3665686488417705E-3</c:v>
                </c:pt>
                <c:pt idx="75">
                  <c:v>-1.3665686488018025E-3</c:v>
                </c:pt>
                <c:pt idx="76">
                  <c:v>-1.3665634613380107E-3</c:v>
                </c:pt>
                <c:pt idx="77">
                  <c:v>-1.3665686488417705E-3</c:v>
                </c:pt>
                <c:pt idx="78">
                  <c:v>-1.3665686488018025E-3</c:v>
                </c:pt>
                <c:pt idx="79">
                  <c:v>-1.3665686488817386E-3</c:v>
                </c:pt>
                <c:pt idx="80">
                  <c:v>-1.3665686488817386E-3</c:v>
                </c:pt>
                <c:pt idx="81">
                  <c:v>-1.366563461324688E-3</c:v>
                </c:pt>
                <c:pt idx="82">
                  <c:v>-1.3665686488417705E-3</c:v>
                </c:pt>
                <c:pt idx="83">
                  <c:v>-1.3665686488018025E-3</c:v>
                </c:pt>
                <c:pt idx="84">
                  <c:v>-1.3665686488417705E-3</c:v>
                </c:pt>
                <c:pt idx="85">
                  <c:v>-1.3665686489217066E-3</c:v>
                </c:pt>
                <c:pt idx="86">
                  <c:v>-1.3665634612980426E-3</c:v>
                </c:pt>
                <c:pt idx="87">
                  <c:v>-1.3665686488417705E-3</c:v>
                </c:pt>
                <c:pt idx="88">
                  <c:v>-1.3665686488417705E-3</c:v>
                </c:pt>
                <c:pt idx="89">
                  <c:v>-7.0568902961198887E-5</c:v>
                </c:pt>
                <c:pt idx="90">
                  <c:v>-1.3665686488417705E-3</c:v>
                </c:pt>
                <c:pt idx="91">
                  <c:v>-1.3665634613380107E-3</c:v>
                </c:pt>
                <c:pt idx="92">
                  <c:v>-1.3665686488018025E-3</c:v>
                </c:pt>
                <c:pt idx="93">
                  <c:v>-1.3665686488417705E-3</c:v>
                </c:pt>
                <c:pt idx="94">
                  <c:v>-1.3665686488417705E-3</c:v>
                </c:pt>
                <c:pt idx="95">
                  <c:v>-1.3665686488417705E-3</c:v>
                </c:pt>
                <c:pt idx="96">
                  <c:v>-1.366563461324688E-3</c:v>
                </c:pt>
                <c:pt idx="97">
                  <c:v>-1.3665686488417705E-3</c:v>
                </c:pt>
                <c:pt idx="98">
                  <c:v>-1.3665686488018025E-3</c:v>
                </c:pt>
                <c:pt idx="99">
                  <c:v>-1.3665686489217066E-3</c:v>
                </c:pt>
                <c:pt idx="100">
                  <c:v>-1.3665686488018025E-3</c:v>
                </c:pt>
                <c:pt idx="101">
                  <c:v>-1.366563461324688E-3</c:v>
                </c:pt>
                <c:pt idx="102">
                  <c:v>-1.3665686488018025E-3</c:v>
                </c:pt>
                <c:pt idx="103">
                  <c:v>-1.3665686488817386E-3</c:v>
                </c:pt>
                <c:pt idx="104">
                  <c:v>-1.3665686489217066E-3</c:v>
                </c:pt>
                <c:pt idx="105">
                  <c:v>-1.3665686488018025E-3</c:v>
                </c:pt>
                <c:pt idx="106">
                  <c:v>-1.366563461324688E-3</c:v>
                </c:pt>
                <c:pt idx="107">
                  <c:v>-1.3665686488018025E-3</c:v>
                </c:pt>
                <c:pt idx="108">
                  <c:v>-1.3665686489217066E-3</c:v>
                </c:pt>
                <c:pt idx="109">
                  <c:v>-1.6166821650598351E-3</c:v>
                </c:pt>
                <c:pt idx="110">
                  <c:v>-1.6166821652596752E-3</c:v>
                </c:pt>
                <c:pt idx="111">
                  <c:v>-1.6166749049739693E-3</c:v>
                </c:pt>
                <c:pt idx="112">
                  <c:v>-1.6166821651397711E-3</c:v>
                </c:pt>
                <c:pt idx="113">
                  <c:v>-1.6166821651397711E-3</c:v>
                </c:pt>
                <c:pt idx="114">
                  <c:v>-1.6166821651397711E-3</c:v>
                </c:pt>
                <c:pt idx="115">
                  <c:v>-1.6166821651397711E-3</c:v>
                </c:pt>
                <c:pt idx="116">
                  <c:v>-1.6166749049739693E-3</c:v>
                </c:pt>
                <c:pt idx="117">
                  <c:v>-1.6166821651797392E-3</c:v>
                </c:pt>
                <c:pt idx="118">
                  <c:v>-1.6166821651397711E-3</c:v>
                </c:pt>
                <c:pt idx="119">
                  <c:v>-1.6166821651797392E-3</c:v>
                </c:pt>
                <c:pt idx="120">
                  <c:v>-1.6166821650998031E-3</c:v>
                </c:pt>
                <c:pt idx="121">
                  <c:v>-1.6166749050139373E-3</c:v>
                </c:pt>
                <c:pt idx="122">
                  <c:v>-1.6166821650998031E-3</c:v>
                </c:pt>
                <c:pt idx="123">
                  <c:v>-1.6166821652197072E-3</c:v>
                </c:pt>
                <c:pt idx="124">
                  <c:v>-1.6166821650998031E-3</c:v>
                </c:pt>
                <c:pt idx="125">
                  <c:v>-1.6166821651397711E-3</c:v>
                </c:pt>
                <c:pt idx="126">
                  <c:v>-1.6166749049872919E-3</c:v>
                </c:pt>
                <c:pt idx="127">
                  <c:v>-1.6166821651797392E-3</c:v>
                </c:pt>
                <c:pt idx="128">
                  <c:v>-1.6166821651797392E-3</c:v>
                </c:pt>
                <c:pt idx="129">
                  <c:v>-1.6166821650598351E-3</c:v>
                </c:pt>
                <c:pt idx="130">
                  <c:v>-1.6166821651797392E-3</c:v>
                </c:pt>
                <c:pt idx="131">
                  <c:v>-1.6166749049872919E-3</c:v>
                </c:pt>
                <c:pt idx="132">
                  <c:v>8.3195474543895642E-3</c:v>
                </c:pt>
                <c:pt idx="133">
                  <c:v>-1.6166821652596752E-3</c:v>
                </c:pt>
                <c:pt idx="134">
                  <c:v>-1.6166821651397711E-3</c:v>
                </c:pt>
                <c:pt idx="135">
                  <c:v>-1.6166821651397711E-3</c:v>
                </c:pt>
                <c:pt idx="136">
                  <c:v>-1.6166749049739693E-3</c:v>
                </c:pt>
                <c:pt idx="137">
                  <c:v>-1.6166821651797392E-3</c:v>
                </c:pt>
                <c:pt idx="138">
                  <c:v>-1.6166821651797392E-3</c:v>
                </c:pt>
                <c:pt idx="139">
                  <c:v>-1.3908654998129322E-3</c:v>
                </c:pt>
                <c:pt idx="140">
                  <c:v>-1.3908654997729641E-3</c:v>
                </c:pt>
                <c:pt idx="141">
                  <c:v>-1.3908601262313525E-3</c:v>
                </c:pt>
                <c:pt idx="142">
                  <c:v>-1.3908654997729641E-3</c:v>
                </c:pt>
                <c:pt idx="143">
                  <c:v>-1.3908654998129322E-3</c:v>
                </c:pt>
                <c:pt idx="144">
                  <c:v>-1.3908654997729641E-3</c:v>
                </c:pt>
                <c:pt idx="145">
                  <c:v>-1.3908654998529002E-3</c:v>
                </c:pt>
                <c:pt idx="146">
                  <c:v>-1.3908601262180298E-3</c:v>
                </c:pt>
                <c:pt idx="147">
                  <c:v>-1.3908654998529002E-3</c:v>
                </c:pt>
                <c:pt idx="148">
                  <c:v>-1.3908654997729641E-3</c:v>
                </c:pt>
                <c:pt idx="149">
                  <c:v>-1.3908654998529002E-3</c:v>
                </c:pt>
                <c:pt idx="150">
                  <c:v>-1.3908574394105866E-3</c:v>
                </c:pt>
                <c:pt idx="151">
                  <c:v>-1.3908654997329961E-3</c:v>
                </c:pt>
                <c:pt idx="152">
                  <c:v>-1.3908654998529002E-3</c:v>
                </c:pt>
                <c:pt idx="153">
                  <c:v>-1.3908654998928682E-3</c:v>
                </c:pt>
                <c:pt idx="154">
                  <c:v>-6.6186280047619839E-4</c:v>
                </c:pt>
                <c:pt idx="155">
                  <c:v>-1.3908654998928682E-3</c:v>
                </c:pt>
                <c:pt idx="156">
                  <c:v>-1.3908654998529002E-3</c:v>
                </c:pt>
                <c:pt idx="157">
                  <c:v>-1.3908654998529002E-3</c:v>
                </c:pt>
                <c:pt idx="158">
                  <c:v>-1.3908654998129322E-3</c:v>
                </c:pt>
                <c:pt idx="159">
                  <c:v>-1.3908601261780618E-3</c:v>
                </c:pt>
                <c:pt idx="160">
                  <c:v>-1.3908654998928682E-3</c:v>
                </c:pt>
                <c:pt idx="161">
                  <c:v>-1.3908654997729641E-3</c:v>
                </c:pt>
                <c:pt idx="162">
                  <c:v>-1.3908654998928682E-3</c:v>
                </c:pt>
                <c:pt idx="163">
                  <c:v>-1.3908654997729641E-3</c:v>
                </c:pt>
                <c:pt idx="164">
                  <c:v>-1.3908601262180298E-3</c:v>
                </c:pt>
                <c:pt idx="165">
                  <c:v>-1.3908654998529002E-3</c:v>
                </c:pt>
                <c:pt idx="166">
                  <c:v>-1.3908654997729641E-3</c:v>
                </c:pt>
                <c:pt idx="167">
                  <c:v>-1.3908654998529002E-3</c:v>
                </c:pt>
                <c:pt idx="168">
                  <c:v>-1.3908654997729641E-3</c:v>
                </c:pt>
                <c:pt idx="169">
                  <c:v>-1.3908601262180298E-3</c:v>
                </c:pt>
                <c:pt idx="170">
                  <c:v>-1.3908654998529002E-3</c:v>
                </c:pt>
                <c:pt idx="171">
                  <c:v>-1.4228439804364612E-3</c:v>
                </c:pt>
                <c:pt idx="172">
                  <c:v>-1.4228439803565252E-3</c:v>
                </c:pt>
                <c:pt idx="173">
                  <c:v>-1.4228439803964932E-3</c:v>
                </c:pt>
                <c:pt idx="174">
                  <c:v>-5.7084240984828227E-4</c:v>
                </c:pt>
                <c:pt idx="175">
                  <c:v>-1.4228439803565252E-3</c:v>
                </c:pt>
                <c:pt idx="176">
                  <c:v>-1.4228439804364612E-3</c:v>
                </c:pt>
                <c:pt idx="177">
                  <c:v>-1.4228439803964932E-3</c:v>
                </c:pt>
                <c:pt idx="178">
                  <c:v>-1.4228439804364612E-3</c:v>
                </c:pt>
                <c:pt idx="179">
                  <c:v>-1.4228383568282155E-3</c:v>
                </c:pt>
                <c:pt idx="180">
                  <c:v>-1.4228439803565252E-3</c:v>
                </c:pt>
                <c:pt idx="181">
                  <c:v>-1.4228439804364612E-3</c:v>
                </c:pt>
                <c:pt idx="182">
                  <c:v>-1.4228439803964932E-3</c:v>
                </c:pt>
                <c:pt idx="183">
                  <c:v>-1.4228439804364612E-3</c:v>
                </c:pt>
                <c:pt idx="184">
                  <c:v>-1.4228383568415381E-3</c:v>
                </c:pt>
                <c:pt idx="185">
                  <c:v>-1.4228439803964932E-3</c:v>
                </c:pt>
                <c:pt idx="186">
                  <c:v>-1.4228439803964932E-3</c:v>
                </c:pt>
                <c:pt idx="187">
                  <c:v>-1.4228439804364612E-3</c:v>
                </c:pt>
                <c:pt idx="188">
                  <c:v>-1.4228439804764292E-3</c:v>
                </c:pt>
                <c:pt idx="189">
                  <c:v>-1.4228383568415381E-3</c:v>
                </c:pt>
                <c:pt idx="190">
                  <c:v>-1.4228439803565252E-3</c:v>
                </c:pt>
                <c:pt idx="191">
                  <c:v>-1.4228439803565252E-3</c:v>
                </c:pt>
                <c:pt idx="192">
                  <c:v>-1.4228439805163973E-3</c:v>
                </c:pt>
                <c:pt idx="193">
                  <c:v>-1.4228439803964932E-3</c:v>
                </c:pt>
                <c:pt idx="194">
                  <c:v>-1.4228383568415381E-3</c:v>
                </c:pt>
                <c:pt idx="195">
                  <c:v>-3.4284500894266046E-4</c:v>
                </c:pt>
                <c:pt idx="196">
                  <c:v>-1.4228439803964932E-3</c:v>
                </c:pt>
                <c:pt idx="197">
                  <c:v>-1.4228439804764292E-3</c:v>
                </c:pt>
                <c:pt idx="198">
                  <c:v>-1.4228439802765891E-3</c:v>
                </c:pt>
                <c:pt idx="199">
                  <c:v>-1.4228383568681835E-3</c:v>
                </c:pt>
                <c:pt idx="200">
                  <c:v>-1.4228439803565252E-3</c:v>
                </c:pt>
                <c:pt idx="201">
                  <c:v>-1.4228439803964932E-3</c:v>
                </c:pt>
                <c:pt idx="202">
                  <c:v>-1.4228439803964932E-3</c:v>
                </c:pt>
                <c:pt idx="203">
                  <c:v>-1.4228439804364612E-3</c:v>
                </c:pt>
                <c:pt idx="204">
                  <c:v>-1.4228383568282155E-3</c:v>
                </c:pt>
                <c:pt idx="205">
                  <c:v>-1.4228439804764292E-3</c:v>
                </c:pt>
                <c:pt idx="206">
                  <c:v>-1.4228439803565252E-3</c:v>
                </c:pt>
                <c:pt idx="207">
                  <c:v>-1.3326632865640065E-3</c:v>
                </c:pt>
                <c:pt idx="208">
                  <c:v>-1.3326632865240384E-3</c:v>
                </c:pt>
                <c:pt idx="209">
                  <c:v>-1.3326583532569103E-3</c:v>
                </c:pt>
                <c:pt idx="210">
                  <c:v>-1.3326632864840704E-3</c:v>
                </c:pt>
                <c:pt idx="211">
                  <c:v>-1.3326632865640065E-3</c:v>
                </c:pt>
                <c:pt idx="212">
                  <c:v>-1.3326632865640065E-3</c:v>
                </c:pt>
                <c:pt idx="213">
                  <c:v>-1.3326534199684659E-3</c:v>
                </c:pt>
                <c:pt idx="214">
                  <c:v>-1.3326632864840704E-3</c:v>
                </c:pt>
                <c:pt idx="215">
                  <c:v>-1.3326632866039745E-3</c:v>
                </c:pt>
                <c:pt idx="216">
                  <c:v>1.2953461695275337E-3</c:v>
                </c:pt>
                <c:pt idx="217">
                  <c:v>-1.332658353270233E-3</c:v>
                </c:pt>
                <c:pt idx="218">
                  <c:v>-1.3326632864441024E-3</c:v>
                </c:pt>
                <c:pt idx="219">
                  <c:v>-1.3326632866439425E-3</c:v>
                </c:pt>
                <c:pt idx="220">
                  <c:v>-1.3326632864840704E-3</c:v>
                </c:pt>
                <c:pt idx="221">
                  <c:v>-1.3326632865640065E-3</c:v>
                </c:pt>
                <c:pt idx="222">
                  <c:v>-1.332658353270233E-3</c:v>
                </c:pt>
                <c:pt idx="223">
                  <c:v>-1.3326632864840704E-3</c:v>
                </c:pt>
                <c:pt idx="224">
                  <c:v>-1.3326632865240384E-3</c:v>
                </c:pt>
                <c:pt idx="225">
                  <c:v>-1.3326632865640065E-3</c:v>
                </c:pt>
                <c:pt idx="226">
                  <c:v>-1.3326632865240384E-3</c:v>
                </c:pt>
                <c:pt idx="227">
                  <c:v>-1.3326583532569103E-3</c:v>
                </c:pt>
                <c:pt idx="228">
                  <c:v>-1.3326632865240384E-3</c:v>
                </c:pt>
                <c:pt idx="229">
                  <c:v>-1.3326632865240384E-3</c:v>
                </c:pt>
                <c:pt idx="230">
                  <c:v>-1.3326632866039745E-3</c:v>
                </c:pt>
                <c:pt idx="231">
                  <c:v>-1.3326632864840704E-3</c:v>
                </c:pt>
                <c:pt idx="232">
                  <c:v>-1.3326583532569103E-3</c:v>
                </c:pt>
                <c:pt idx="233">
                  <c:v>-1.3326632865240384E-3</c:v>
                </c:pt>
                <c:pt idx="234">
                  <c:v>-1.3326632865640065E-3</c:v>
                </c:pt>
                <c:pt idx="235">
                  <c:v>-1.3700934481342131E-3</c:v>
                </c:pt>
                <c:pt idx="236">
                  <c:v>-1.3700934481741811E-3</c:v>
                </c:pt>
                <c:pt idx="237">
                  <c:v>-1.1008938977763449E-4</c:v>
                </c:pt>
                <c:pt idx="238">
                  <c:v>-1.3700934481342131E-3</c:v>
                </c:pt>
                <c:pt idx="239">
                  <c:v>-1.3700934482141491E-3</c:v>
                </c:pt>
                <c:pt idx="240">
                  <c:v>-1.3700934481741811E-3</c:v>
                </c:pt>
                <c:pt idx="241">
                  <c:v>-1.370093448094245E-3</c:v>
                </c:pt>
                <c:pt idx="242">
                  <c:v>-1.3700882338651965E-3</c:v>
                </c:pt>
                <c:pt idx="243">
                  <c:v>-1.3700934481342131E-3</c:v>
                </c:pt>
                <c:pt idx="244">
                  <c:v>-1.3700934482141491E-3</c:v>
                </c:pt>
                <c:pt idx="245">
                  <c:v>-1.3700934481342131E-3</c:v>
                </c:pt>
                <c:pt idx="246">
                  <c:v>-1.3700934481741811E-3</c:v>
                </c:pt>
                <c:pt idx="247">
                  <c:v>-1.3700882338252285E-3</c:v>
                </c:pt>
                <c:pt idx="248">
                  <c:v>-1.3700934482141491E-3</c:v>
                </c:pt>
                <c:pt idx="249">
                  <c:v>-1.3700934482141491E-3</c:v>
                </c:pt>
                <c:pt idx="250">
                  <c:v>-1.3700934481342131E-3</c:v>
                </c:pt>
                <c:pt idx="251">
                  <c:v>-1.3700934481342131E-3</c:v>
                </c:pt>
                <c:pt idx="252">
                  <c:v>-1.3700882338385512E-3</c:v>
                </c:pt>
                <c:pt idx="253">
                  <c:v>-1.3700934481741811E-3</c:v>
                </c:pt>
                <c:pt idx="254">
                  <c:v>-1.3700934482141491E-3</c:v>
                </c:pt>
                <c:pt idx="255">
                  <c:v>-1.370093448094245E-3</c:v>
                </c:pt>
                <c:pt idx="256">
                  <c:v>-1.3700934482541172E-3</c:v>
                </c:pt>
                <c:pt idx="257">
                  <c:v>-1.3700882338385512E-3</c:v>
                </c:pt>
                <c:pt idx="258">
                  <c:v>-1.3700934482141491E-3</c:v>
                </c:pt>
                <c:pt idx="259">
                  <c:v>-1.370093448094245E-3</c:v>
                </c:pt>
                <c:pt idx="260">
                  <c:v>-1.3700934482141491E-3</c:v>
                </c:pt>
                <c:pt idx="261">
                  <c:v>-1.370093448094245E-3</c:v>
                </c:pt>
                <c:pt idx="262">
                  <c:v>-1.3700882338385512E-3</c:v>
                </c:pt>
                <c:pt idx="263">
                  <c:v>-1.3700934482141491E-3</c:v>
                </c:pt>
                <c:pt idx="264">
                  <c:v>-1.3700934481342131E-3</c:v>
                </c:pt>
                <c:pt idx="265">
                  <c:v>-1.3392678647283773E-3</c:v>
                </c:pt>
                <c:pt idx="266">
                  <c:v>-1.3354533029819038E-3</c:v>
                </c:pt>
                <c:pt idx="267">
                  <c:v>-1.3279605100091629E-3</c:v>
                </c:pt>
                <c:pt idx="268">
                  <c:v>-1.3206187436010097E-3</c:v>
                </c:pt>
                <c:pt idx="269">
                  <c:v>-1.3170160255970842E-3</c:v>
                </c:pt>
                <c:pt idx="270">
                  <c:v>-1.3134556763816363E-3</c:v>
                </c:pt>
                <c:pt idx="271">
                  <c:v>-1.3099376960346021E-3</c:v>
                </c:pt>
                <c:pt idx="272">
                  <c:v>-1.3030382482881464E-3</c:v>
                </c:pt>
                <c:pt idx="273">
                  <c:v>-1.2962894625312416E-3</c:v>
                </c:pt>
                <c:pt idx="274">
                  <c:v>-1.2929833260866275E-3</c:v>
                </c:pt>
                <c:pt idx="275">
                  <c:v>-1.2897195585503951E-3</c:v>
                </c:pt>
                <c:pt idx="276">
                  <c:v>-1.2864981596827363E-3</c:v>
                </c:pt>
                <c:pt idx="277">
                  <c:v>-1.2801920388838539E-3</c:v>
                </c:pt>
                <c:pt idx="278">
                  <c:v>-1.2740362523366855E-3</c:v>
                </c:pt>
                <c:pt idx="279">
                  <c:v>-1.2710266974913509E-3</c:v>
                </c:pt>
                <c:pt idx="280">
                  <c:v>-1.2680595114344939E-3</c:v>
                </c:pt>
                <c:pt idx="281">
                  <c:v>-1.2651346941661146E-3</c:v>
                </c:pt>
                <c:pt idx="282">
                  <c:v>-1.2594218830352943E-3</c:v>
                </c:pt>
                <c:pt idx="283">
                  <c:v>-1.2538591132971177E-3</c:v>
                </c:pt>
                <c:pt idx="284">
                  <c:v>-1.2511461400110946E-3</c:v>
                </c:pt>
                <c:pt idx="285">
                  <c:v>-1.248475535393645E-3</c:v>
                </c:pt>
                <c:pt idx="286">
                  <c:v>-1.2458473000043213E-3</c:v>
                </c:pt>
                <c:pt idx="287">
                  <c:v>-1.2407277818482498E-3</c:v>
                </c:pt>
                <c:pt idx="288">
                  <c:v>-1.2357580456123785E-3</c:v>
                </c:pt>
                <c:pt idx="289">
                  <c:v>-1.2333416539256348E-3</c:v>
                </c:pt>
                <c:pt idx="290">
                  <c:v>-1.2309676311073048E-3</c:v>
                </c:pt>
                <c:pt idx="291">
                  <c:v>-1.2286359771174205E-3</c:v>
                </c:pt>
                <c:pt idx="292">
                  <c:v>-1.2241097363219211E-3</c:v>
                </c:pt>
                <c:pt idx="293">
                  <c:v>-1.2197330494823078E-3</c:v>
                </c:pt>
                <c:pt idx="294">
                  <c:v>-1.2176132396346517E-3</c:v>
                </c:pt>
                <c:pt idx="295">
                  <c:v>-1.2155357985754733E-3</c:v>
                </c:pt>
                <c:pt idx="296">
                  <c:v>-1.2135007263047726E-3</c:v>
                </c:pt>
                <c:pt idx="297">
                  <c:v>-1.2095677472290234E-3</c:v>
                </c:pt>
                <c:pt idx="298">
                  <c:v>-1.2057841255863622E-3</c:v>
                </c:pt>
                <c:pt idx="299">
                  <c:v>-1.2039608973779536E-3</c:v>
                </c:pt>
                <c:pt idx="300">
                  <c:v>-1.2021800381978309E-3</c:v>
                </c:pt>
                <c:pt idx="301">
                  <c:v>-1.2004415476063457E-3</c:v>
                </c:pt>
                <c:pt idx="302">
                  <c:v>-1.1971018153289492E-3</c:v>
                </c:pt>
                <c:pt idx="303">
                  <c:v>-1.1939112738845736E-3</c:v>
                </c:pt>
                <c:pt idx="304">
                  <c:v>-1.1923846275552208E-3</c:v>
                </c:pt>
                <c:pt idx="305">
                  <c:v>-1.1909003500143456E-3</c:v>
                </c:pt>
                <c:pt idx="306">
                  <c:v>-1.18945844122198E-3</c:v>
                </c:pt>
                <c:pt idx="307">
                  <c:v>-1.1867119413544458E-3</c:v>
                </c:pt>
                <c:pt idx="308">
                  <c:v>-1.1841144946567184E-3</c:v>
                </c:pt>
                <c:pt idx="309">
                  <c:v>-1.1828844300465491E-3</c:v>
                </c:pt>
                <c:pt idx="310">
                  <c:v>-1.1816967343447615E-3</c:v>
                </c:pt>
                <c:pt idx="311">
                  <c:v>-1.1805514074714196E-3</c:v>
                </c:pt>
                <c:pt idx="312">
                  <c:v>-1.1783981257451615E-3</c:v>
                </c:pt>
                <c:pt idx="313">
                  <c:v>-1.1763937881026365E-3</c:v>
                </c:pt>
                <c:pt idx="314">
                  <c:v>-1.1754603054114909E-3</c:v>
                </c:pt>
                <c:pt idx="315">
                  <c:v>-1.1745691914288869E-3</c:v>
                </c:pt>
                <c:pt idx="316">
                  <c:v>-1.1737204463546647E-3</c:v>
                </c:pt>
                <c:pt idx="317">
                  <c:v>-1.1721603690473259E-3</c:v>
                </c:pt>
                <c:pt idx="318">
                  <c:v>-1.1707491543422321E-3</c:v>
                </c:pt>
                <c:pt idx="319">
                  <c:v>-1.1701122532903341E-3</c:v>
                </c:pt>
                <c:pt idx="320">
                  <c:v>-1.1695177212667218E-3</c:v>
                </c:pt>
                <c:pt idx="321">
                  <c:v>-1.1689655580715552E-3</c:v>
                </c:pt>
                <c:pt idx="322">
                  <c:v>-1.1679986714874246E-3</c:v>
                </c:pt>
                <c:pt idx="323">
                  <c:v>-1.1671805932955692E-3</c:v>
                </c:pt>
                <c:pt idx="324">
                  <c:v>-1.166840274362535E-3</c:v>
                </c:pt>
                <c:pt idx="325">
                  <c:v>-1.1665423239781703E-3</c:v>
                </c:pt>
                <c:pt idx="326">
                  <c:v>-1.1662815049717778E-3</c:v>
                </c:pt>
                <c:pt idx="327">
                  <c:v>-1.1658030428352006E-3</c:v>
                </c:pt>
                <c:pt idx="328">
                  <c:v>-1.1653686072143898E-3</c:v>
                </c:pt>
                <c:pt idx="329">
                  <c:v>-1.1651677397317428E-3</c:v>
                </c:pt>
                <c:pt idx="330">
                  <c:v>-1.1649778148958845E-3</c:v>
                </c:pt>
                <c:pt idx="331">
                  <c:v>-1.1647988331464632E-3</c:v>
                </c:pt>
                <c:pt idx="332">
                  <c:v>-1.1644735783900018E-3</c:v>
                </c:pt>
                <c:pt idx="333">
                  <c:v>-1.1641923331762172E-3</c:v>
                </c:pt>
                <c:pt idx="334">
                  <c:v>-1.1640680651403557E-3</c:v>
                </c:pt>
                <c:pt idx="335">
                  <c:v>-1.1639547398312189E-3</c:v>
                </c:pt>
                <c:pt idx="336">
                  <c:v>-1.163852357368711E-3</c:v>
                </c:pt>
                <c:pt idx="337">
                  <c:v>-1.1636803068881818E-3</c:v>
                </c:pt>
                <c:pt idx="338">
                  <c:v>-1.1635522553454791E-3</c:v>
                </c:pt>
                <c:pt idx="339">
                  <c:v>-1.1635045868763072E-3</c:v>
                </c:pt>
                <c:pt idx="340">
                  <c:v>-1.16346786113386E-3</c:v>
                </c:pt>
                <c:pt idx="341">
                  <c:v>-1.1634420780781696E-3</c:v>
                </c:pt>
                <c:pt idx="342">
                  <c:v>-1.1634232282764501E-3</c:v>
                </c:pt>
                <c:pt idx="343">
                  <c:v>-1.1634483739619839E-3</c:v>
                </c:pt>
                <c:pt idx="344">
                  <c:v>-1.1634773050195335E-3</c:v>
                </c:pt>
                <c:pt idx="345">
                  <c:v>-1.1635171785639997E-3</c:v>
                </c:pt>
                <c:pt idx="346">
                  <c:v>-1.1635679951549349E-3</c:v>
                </c:pt>
                <c:pt idx="347">
                  <c:v>-1.1637023424482251E-3</c:v>
                </c:pt>
                <c:pt idx="348">
                  <c:v>-1.1638806890257314E-3</c:v>
                </c:pt>
                <c:pt idx="349">
                  <c:v>-1.1639862194101624E-3</c:v>
                </c:pt>
                <c:pt idx="350">
                  <c:v>-1.1641026926412223E-3</c:v>
                </c:pt>
                <c:pt idx="351">
                  <c:v>-1.164230108559039E-3</c:v>
                </c:pt>
                <c:pt idx="352">
                  <c:v>-1.1645176494701204E-3</c:v>
                </c:pt>
                <c:pt idx="353">
                  <c:v>-1.1648492002169775E-3</c:v>
                </c:pt>
                <c:pt idx="354">
                  <c:v>-1.1650313301680981E-3</c:v>
                </c:pt>
                <c:pt idx="355">
                  <c:v>-1.1652244029258796E-3</c:v>
                </c:pt>
                <c:pt idx="356">
                  <c:v>-1.1654284182505137E-3</c:v>
                </c:pt>
                <c:pt idx="357">
                  <c:v>-1.1658691493821038E-3</c:v>
                </c:pt>
                <c:pt idx="358">
                  <c:v>-1.1663539078954344E-3</c:v>
                </c:pt>
                <c:pt idx="359">
                  <c:v>-1.1666126372533725E-3</c:v>
                </c:pt>
                <c:pt idx="360">
                  <c:v>-1.1668823094179714E-3</c:v>
                </c:pt>
                <c:pt idx="361">
                  <c:v>-1.1671629243092951E-3</c:v>
                </c:pt>
                <c:pt idx="362">
                  <c:v>-1.1677568421575302E-3</c:v>
                </c:pt>
                <c:pt idx="363">
                  <c:v>-1.1683948118612619E-3</c:v>
                </c:pt>
                <c:pt idx="364">
                  <c:v>-1.1687301406260175E-3</c:v>
                </c:pt>
                <c:pt idx="365">
                  <c:v>-1.16907641227737E-3</c:v>
                </c:pt>
                <c:pt idx="366">
                  <c:v>-1.1694336267353833E-3</c:v>
                </c:pt>
                <c:pt idx="367">
                  <c:v>-1.170180727729786E-3</c:v>
                </c:pt>
                <c:pt idx="368">
                  <c:v>-1.1709719119945561E-3</c:v>
                </c:pt>
                <c:pt idx="369">
                  <c:v>-1.1713838404459054E-3</c:v>
                </c:pt>
                <c:pt idx="370">
                  <c:v>-1.1718067114241393E-3</c:v>
                </c:pt>
                <c:pt idx="371">
                  <c:v>-1.1722405254088741E-3</c:v>
                </c:pt>
                <c:pt idx="372">
                  <c:v>-1.1731408060722259E-3</c:v>
                </c:pt>
                <c:pt idx="373">
                  <c:v>-1.1740852086550291E-3</c:v>
                </c:pt>
                <c:pt idx="374">
                  <c:v>-1.1745737364332598E-3</c:v>
                </c:pt>
                <c:pt idx="375">
                  <c:v>-1.1750732068582792E-3</c:v>
                </c:pt>
                <c:pt idx="376">
                  <c:v>-1.1755836204496717E-3</c:v>
                </c:pt>
                <c:pt idx="377">
                  <c:v>-1.176637077144882E-3</c:v>
                </c:pt>
                <c:pt idx="378">
                  <c:v>-1.1777347014829687E-3</c:v>
                </c:pt>
                <c:pt idx="379">
                  <c:v>-1.1782998287479529E-3</c:v>
                </c:pt>
                <c:pt idx="380">
                  <c:v>-1.1788758987396619E-3</c:v>
                </c:pt>
                <c:pt idx="381">
                  <c:v>-1.1794629116179678E-3</c:v>
                </c:pt>
                <c:pt idx="382">
                  <c:v>-1.1806695409344314E-3</c:v>
                </c:pt>
                <c:pt idx="383">
                  <c:v>-1.1819203905583109E-3</c:v>
                </c:pt>
                <c:pt idx="384">
                  <c:v>-1.1825621173100487E-3</c:v>
                </c:pt>
                <c:pt idx="385">
                  <c:v>-1.1832147868684473E-3</c:v>
                </c:pt>
                <c:pt idx="386">
                  <c:v>-1.1838783991136026E-3</c:v>
                </c:pt>
                <c:pt idx="387">
                  <c:v>-1.1852381973342929E-3</c:v>
                </c:pt>
                <c:pt idx="388">
                  <c:v>-1.1866422760009598E-3</c:v>
                </c:pt>
                <c:pt idx="389">
                  <c:v>-1.1873606021994831E-3</c:v>
                </c:pt>
                <c:pt idx="390">
                  <c:v>-1.1880898710447951E-3</c:v>
                </c:pt>
                <c:pt idx="391">
                  <c:v>-1.1888143734628542E-3</c:v>
                </c:pt>
                <c:pt idx="392">
                  <c:v>-1.1900131517794676E-3</c:v>
                </c:pt>
                <c:pt idx="393">
                  <c:v>-1.1909420860289899E-3</c:v>
                </c:pt>
                <c:pt idx="394">
                  <c:v>-1.1912657304202767E-3</c:v>
                </c:pt>
                <c:pt idx="395">
                  <c:v>-1.1915060616551898E-3</c:v>
                </c:pt>
                <c:pt idx="396">
                  <c:v>-1.1916630792541127E-3</c:v>
                </c:pt>
                <c:pt idx="397">
                  <c:v>-1.1916954582336103E-3</c:v>
                </c:pt>
                <c:pt idx="398">
                  <c:v>-1.1914580155281129E-3</c:v>
                </c:pt>
                <c:pt idx="399">
                  <c:v>-1.191198465946286E-3</c:v>
                </c:pt>
                <c:pt idx="400">
                  <c:v>-1.190855602848373E-3</c:v>
                </c:pt>
                <c:pt idx="401">
                  <c:v>-1.1904294264741822E-3</c:v>
                </c:pt>
                <c:pt idx="402">
                  <c:v>-1.1892954332148875E-3</c:v>
                </c:pt>
                <c:pt idx="403">
                  <c:v>-1.1878915863761108E-3</c:v>
                </c:pt>
                <c:pt idx="404">
                  <c:v>-1.187048842741234E-3</c:v>
                </c:pt>
                <c:pt idx="405">
                  <c:v>-1.1861227855503031E-3</c:v>
                </c:pt>
                <c:pt idx="406">
                  <c:v>-1.1851134152429665E-3</c:v>
                </c:pt>
                <c:pt idx="407">
                  <c:v>-1.1821675985523861E-3</c:v>
                </c:pt>
                <c:pt idx="408">
                  <c:v>-1.1788168608051208E-3</c:v>
                </c:pt>
                <c:pt idx="409">
                  <c:v>-1.1773076096410762E-3</c:v>
                </c:pt>
                <c:pt idx="410">
                  <c:v>-1.1757150450009135E-3</c:v>
                </c:pt>
                <c:pt idx="411">
                  <c:v>2.4998281077159845E-3</c:v>
                </c:pt>
                <c:pt idx="412">
                  <c:v>-1.1685116518789229E-3</c:v>
                </c:pt>
                <c:pt idx="413">
                  <c:v>-1.1665025199381063E-3</c:v>
                </c:pt>
                <c:pt idx="414">
                  <c:v>-1.1644100746011077E-3</c:v>
                </c:pt>
                <c:pt idx="415">
                  <c:v>-1.162234315708055E-3</c:v>
                </c:pt>
                <c:pt idx="416">
                  <c:v>-1.1576013641656502E-3</c:v>
                </c:pt>
                <c:pt idx="417">
                  <c:v>-1.1526981457743446E-3</c:v>
                </c:pt>
                <c:pt idx="418">
                  <c:v>-1.150105819620606E-3</c:v>
                </c:pt>
                <c:pt idx="419">
                  <c:v>-1.1474301799507813E-3</c:v>
                </c:pt>
                <c:pt idx="420">
                  <c:v>-1.1446712270446469E-3</c:v>
                </c:pt>
                <c:pt idx="421">
                  <c:v>-1.1388720062610602E-3</c:v>
                </c:pt>
                <c:pt idx="422">
                  <c:v>-1.1328022798995363E-3</c:v>
                </c:pt>
                <c:pt idx="423">
                  <c:v>-1.1296267593330356E-3</c:v>
                </c:pt>
                <c:pt idx="424">
                  <c:v>-1.1263679252904168E-3</c:v>
                </c:pt>
                <c:pt idx="425">
                  <c:v>-1.1230257780514563E-3</c:v>
                </c:pt>
                <c:pt idx="426">
                  <c:v>-1.1160603114213075E-3</c:v>
                </c:pt>
                <c:pt idx="427">
                  <c:v>-1.1088240532952653E-3</c:v>
                </c:pt>
                <c:pt idx="428">
                  <c:v>-1.1050653383559705E-3</c:v>
                </c:pt>
                <c:pt idx="429">
                  <c:v>-1.1012233099405577E-3</c:v>
                </c:pt>
                <c:pt idx="430">
                  <c:v>-1.0972979680490269E-3</c:v>
                </c:pt>
                <c:pt idx="431">
                  <c:v>-1.0891662773282462E-3</c:v>
                </c:pt>
                <c:pt idx="432">
                  <c:v>-1.0807634654019793E-3</c:v>
                </c:pt>
                <c:pt idx="433">
                  <c:v>-1.0764215558101142E-3</c:v>
                </c:pt>
                <c:pt idx="434">
                  <c:v>-1.0719963329020032E-3</c:v>
                </c:pt>
                <c:pt idx="435">
                  <c:v>-1.0674877963978702E-3</c:v>
                </c:pt>
                <c:pt idx="436">
                  <c:v>-1.0581899012107598E-3</c:v>
                </c:pt>
                <c:pt idx="437">
                  <c:v>-1.0486205151405414E-3</c:v>
                </c:pt>
                <c:pt idx="438">
                  <c:v>-1.0436954110160102E-3</c:v>
                </c:pt>
                <c:pt idx="439">
                  <c:v>-1.0386869932554887E-3</c:v>
                </c:pt>
                <c:pt idx="440">
                  <c:v>-1.0335952618989452E-3</c:v>
                </c:pt>
                <c:pt idx="441">
                  <c:v>-1.0231311799380194E-3</c:v>
                </c:pt>
                <c:pt idx="442">
                  <c:v>-1.0123952013518789E-3</c:v>
                </c:pt>
                <c:pt idx="443">
                  <c:v>-1.0068869024149052E-3</c:v>
                </c:pt>
                <c:pt idx="444">
                  <c:v>-1.0012952899218774E-3</c:v>
                </c:pt>
                <c:pt idx="445">
                  <c:v>-9.9562036359301942E-4</c:v>
                </c:pt>
                <c:pt idx="446">
                  <c:v>-9.8399010980632085E-4</c:v>
                </c:pt>
                <c:pt idx="447">
                  <c:v>-9.7208752307675894E-4</c:v>
                </c:pt>
                <c:pt idx="448">
                  <c:v>-9.6599602912750271E-4</c:v>
                </c:pt>
                <c:pt idx="449">
                  <c:v>-9.5982122130244818E-4</c:v>
                </c:pt>
                <c:pt idx="450">
                  <c:v>-9.5356310004124367E-4</c:v>
                </c:pt>
                <c:pt idx="451">
                  <c:v>-9.4076668704534683E-4</c:v>
                </c:pt>
                <c:pt idx="452">
                  <c:v>-9.2769747863652441E-4</c:v>
                </c:pt>
                <c:pt idx="453">
                  <c:v>-9.2102278947514549E-4</c:v>
                </c:pt>
                <c:pt idx="454">
                  <c:v>-9.142867225708784E-4</c:v>
                </c:pt>
                <c:pt idx="455">
                  <c:v>-9.0757702337462831E-4</c:v>
                </c:pt>
                <c:pt idx="456">
                  <c:v>-8.9431641576265264E-4</c:v>
                </c:pt>
                <c:pt idx="457">
                  <c:v>-8.8122126387979449E-4</c:v>
                </c:pt>
                <c:pt idx="458">
                  <c:v>-8.7475308356843584E-4</c:v>
                </c:pt>
                <c:pt idx="459">
                  <c:v>-8.6833320669832403E-4</c:v>
                </c:pt>
                <c:pt idx="460">
                  <c:v>-8.619616338689795E-4</c:v>
                </c:pt>
                <c:pt idx="461">
                  <c:v>-8.4937749655011885E-4</c:v>
                </c:pt>
                <c:pt idx="462">
                  <c:v>-8.3695837984176791E-4</c:v>
                </c:pt>
                <c:pt idx="463">
                  <c:v>-8.3082832577741073E-4</c:v>
                </c:pt>
                <c:pt idx="464">
                  <c:v>-8.247465753141725E-4</c:v>
                </c:pt>
                <c:pt idx="465">
                  <c:v>-8.187131290915417E-4</c:v>
                </c:pt>
                <c:pt idx="466">
                  <c:v>-8.0680544040312441E-4</c:v>
                </c:pt>
                <c:pt idx="467">
                  <c:v>-7.9506238073179247E-4</c:v>
                </c:pt>
                <c:pt idx="468">
                  <c:v>-7.8927045335408508E-4</c:v>
                </c:pt>
                <c:pt idx="469">
                  <c:v>-7.8352682957749664E-4</c:v>
                </c:pt>
                <c:pt idx="470">
                  <c:v>-7.7783150956189928E-4</c:v>
                </c:pt>
                <c:pt idx="471">
                  <c:v>-7.6660024991959119E-4</c:v>
                </c:pt>
                <c:pt idx="472">
                  <c:v>-7.5553326782884511E-4</c:v>
                </c:pt>
                <c:pt idx="473">
                  <c:v>-7.5007946689797933E-4</c:v>
                </c:pt>
                <c:pt idx="474">
                  <c:v>-7.4467396972810462E-4</c:v>
                </c:pt>
                <c:pt idx="475">
                  <c:v>-7.3931677643912508E-4</c:v>
                </c:pt>
                <c:pt idx="476">
                  <c:v>-7.2876192747095558E-4</c:v>
                </c:pt>
                <c:pt idx="477">
                  <c:v>-7.1837104145267006E-4</c:v>
                </c:pt>
                <c:pt idx="478">
                  <c:v>-7.1325536736832618E-4</c:v>
                </c:pt>
                <c:pt idx="479">
                  <c:v>-7.0818799700500534E-4</c:v>
                </c:pt>
                <c:pt idx="480">
                  <c:v>-7.0316893052257967E-4</c:v>
                </c:pt>
                <c:pt idx="481">
                  <c:v>-6.9329047512223241E-4</c:v>
                </c:pt>
                <c:pt idx="482">
                  <c:v>-6.8357570276234014E-4</c:v>
                </c:pt>
                <c:pt idx="483">
                  <c:v>-6.7879815552451817E-4</c:v>
                </c:pt>
                <c:pt idx="484">
                  <c:v>-6.7406891200771923E-4</c:v>
                </c:pt>
                <c:pt idx="485">
                  <c:v>-6.6021688684081425E-4</c:v>
                </c:pt>
                <c:pt idx="486">
                  <c:v>-6.467078319261077E-4</c:v>
                </c:pt>
                <c:pt idx="487">
                  <c:v>-6.4231671533576673E-4</c:v>
                </c:pt>
                <c:pt idx="488">
                  <c:v>-6.3797390254638486E-4</c:v>
                </c:pt>
                <c:pt idx="489">
                  <c:v>-6.2944818951748971E-4</c:v>
                </c:pt>
                <c:pt idx="490">
                  <c:v>-6.2108569047758522E-4</c:v>
                </c:pt>
                <c:pt idx="491">
                  <c:v>-6.1698439709267916E-4</c:v>
                </c:pt>
                <c:pt idx="492">
                  <c:v>-6.1293140750873221E-4</c:v>
                </c:pt>
                <c:pt idx="493">
                  <c:v>-6.089267219255845E-4</c:v>
                </c:pt>
                <c:pt idx="494">
                  <c:v>-5.9915503140883786E-4</c:v>
                </c:pt>
                <c:pt idx="495">
                  <c:v>-5.8962785186356115E-4</c:v>
                </c:pt>
                <c:pt idx="496">
                  <c:v>-5.8591298944588033E-4</c:v>
                </c:pt>
                <c:pt idx="497">
                  <c:v>-5.8224643086912664E-4</c:v>
                </c:pt>
                <c:pt idx="498">
                  <c:v>-5.7507340818663266E-4</c:v>
                </c:pt>
                <c:pt idx="499">
                  <c:v>-5.6806323573077577E-4</c:v>
                </c:pt>
                <c:pt idx="500">
                  <c:v>-5.6463819659846592E-4</c:v>
                </c:pt>
                <c:pt idx="501">
                  <c:v>-5.6126146138701927E-4</c:v>
                </c:pt>
                <c:pt idx="502">
                  <c:v>-5.579330300964358E-4</c:v>
                </c:pt>
                <c:pt idx="503">
                  <c:v>-5.5143633576726359E-4</c:v>
                </c:pt>
                <c:pt idx="504">
                  <c:v>-5.4510234370308552E-4</c:v>
                </c:pt>
                <c:pt idx="505">
                  <c:v>-5.420154318569459E-4</c:v>
                </c:pt>
                <c:pt idx="506">
                  <c:v>-5.3897682401160552E-4</c:v>
                </c:pt>
                <c:pt idx="507">
                  <c:v>-5.3598651992725621E-4</c:v>
                </c:pt>
                <c:pt idx="508">
                  <c:v>-5.301661440393346E-4</c:v>
                </c:pt>
                <c:pt idx="509">
                  <c:v>-5.2450834275852287E-4</c:v>
                </c:pt>
                <c:pt idx="510">
                  <c:v>-5.2175955807864938E-4</c:v>
                </c:pt>
                <c:pt idx="511">
                  <c:v>-5.1905907759941528E-4</c:v>
                </c:pt>
                <c:pt idx="512">
                  <c:v>-5.1640690080123619E-4</c:v>
                </c:pt>
                <c:pt idx="513">
                  <c:v>-5.1126283432179065E-4</c:v>
                </c:pt>
                <c:pt idx="514">
                  <c:v>-5.0628123301699191E-4</c:v>
                </c:pt>
                <c:pt idx="515">
                  <c:v>-5.0387057574319272E-4</c:v>
                </c:pt>
                <c:pt idx="516">
                  <c:v>-5.0150822259009686E-4</c:v>
                </c:pt>
                <c:pt idx="517">
                  <c:v>-4.9918365281342858E-4</c:v>
                </c:pt>
                <c:pt idx="518">
                  <c:v>-4.8257038193444401E-4</c:v>
                </c:pt>
                <c:pt idx="519">
                  <c:v>-4.6523099201056795E-4</c:v>
                </c:pt>
                <c:pt idx="520">
                  <c:v>-4.4716548256218402E-4</c:v>
                </c:pt>
                <c:pt idx="521">
                  <c:v>-4.2837385350935619E-4</c:v>
                </c:pt>
                <c:pt idx="522">
                  <c:v>-4.0885610501195657E-4</c:v>
                </c:pt>
                <c:pt idx="523">
                  <c:v>-3.886122367102729E-4</c:v>
                </c:pt>
                <c:pt idx="524">
                  <c:v>-3.6764224840446502E-4</c:v>
                </c:pt>
                <c:pt idx="525">
                  <c:v>-3.4594614029437309E-4</c:v>
                </c:pt>
                <c:pt idx="526">
                  <c:v>-3.2352391186041274E-4</c:v>
                </c:pt>
                <c:pt idx="527">
                  <c:v>-3.0037556338236016E-4</c:v>
                </c:pt>
                <c:pt idx="528">
                  <c:v>-2.7650109442056703E-4</c:v>
                </c:pt>
                <c:pt idx="529">
                  <c:v>-2.519005048950973E-4</c:v>
                </c:pt>
                <c:pt idx="530">
                  <c:v>-2.2657379460611082E-4</c:v>
                </c:pt>
                <c:pt idx="531">
                  <c:v>-2.0052096359357563E-4</c:v>
                </c:pt>
                <c:pt idx="532">
                  <c:v>-1.7374201149777946E-4</c:v>
                </c:pt>
                <c:pt idx="533">
                  <c:v>-1.4623693811888216E-4</c:v>
                </c:pt>
                <c:pt idx="534">
                  <c:v>-1.1800574357678784E-4</c:v>
                </c:pt>
                <c:pt idx="535">
                  <c:v>-8.9048427471816183E-5</c:v>
                </c:pt>
                <c:pt idx="536">
                  <c:v>-5.9364989604127061E-5</c:v>
                </c:pt>
                <c:pt idx="537">
                  <c:v>-2.8955429933752441E-5</c:v>
                </c:pt>
                <c:pt idx="538">
                  <c:v>2.1802516592117627E-6</c:v>
                </c:pt>
                <c:pt idx="539">
                  <c:v>3.404205557444584E-5</c:v>
                </c:pt>
                <c:pt idx="540">
                  <c:v>6.662998217166205E-5</c:v>
                </c:pt>
                <c:pt idx="541">
                  <c:v>9.9944030971244047E-5</c:v>
                </c:pt>
                <c:pt idx="542">
                  <c:v>1.3398420277255241E-4</c:v>
                </c:pt>
                <c:pt idx="543">
                  <c:v>1.6875049749565108E-4</c:v>
                </c:pt>
                <c:pt idx="544">
                  <c:v>2.0424291570009245E-4</c:v>
                </c:pt>
                <c:pt idx="545">
                  <c:v>2.4046145738587654E-4</c:v>
                </c:pt>
                <c:pt idx="546">
                  <c:v>2.7740612247306728E-4</c:v>
                </c:pt>
                <c:pt idx="547">
                  <c:v>3.150769116810892E-4</c:v>
                </c:pt>
                <c:pt idx="548">
                  <c:v>3.5347382477013412E-4</c:v>
                </c:pt>
                <c:pt idx="549">
                  <c:v>3.9259686253956261E-4</c:v>
                </c:pt>
                <c:pt idx="550">
                  <c:v>4.3244602466963045E-4</c:v>
                </c:pt>
                <c:pt idx="551">
                  <c:v>4.7302131163995398E-4</c:v>
                </c:pt>
                <c:pt idx="552">
                  <c:v>5.1432272393014955E-4</c:v>
                </c:pt>
                <c:pt idx="553">
                  <c:v>5.5635026138034505E-4</c:v>
                </c:pt>
                <c:pt idx="554">
                  <c:v>5.991039243102847E-4</c:v>
                </c:pt>
                <c:pt idx="555">
                  <c:v>6.4258371343939302E-4</c:v>
                </c:pt>
                <c:pt idx="556">
                  <c:v>6.8678962828805368E-4</c:v>
                </c:pt>
                <c:pt idx="557">
                  <c:v>7.3172166965562724E-4</c:v>
                </c:pt>
                <c:pt idx="558">
                  <c:v>7.7737983762204976E-4</c:v>
                </c:pt>
                <c:pt idx="559">
                  <c:v>8.2376413274687366E-4</c:v>
                </c:pt>
                <c:pt idx="560">
                  <c:v>8.8448721073675074E-4</c:v>
                </c:pt>
                <c:pt idx="561">
                  <c:v>9.1871110447172555E-4</c:v>
                </c:pt>
                <c:pt idx="562">
                  <c:v>9.6727378187111412E-4</c:v>
                </c:pt>
                <c:pt idx="563">
                  <c:v>1.0165625873881368E-3</c:v>
                </c:pt>
                <c:pt idx="564">
                  <c:v>1.0665775212626016E-3</c:v>
                </c:pt>
                <c:pt idx="565">
                  <c:v>1.1173185837343169E-3</c:v>
                </c:pt>
                <c:pt idx="566">
                  <c:v>1.168785775282899E-3</c:v>
                </c:pt>
                <c:pt idx="567">
                  <c:v>1.2209790960682199E-3</c:v>
                </c:pt>
                <c:pt idx="568">
                  <c:v>1.273898546569896E-3</c:v>
                </c:pt>
                <c:pt idx="569">
                  <c:v>1.3275441269477994E-3</c:v>
                </c:pt>
                <c:pt idx="570">
                  <c:v>1.3815575720244055E-3</c:v>
                </c:pt>
                <c:pt idx="571">
                  <c:v>1.4354705978281146E-3</c:v>
                </c:pt>
                <c:pt idx="572">
                  <c:v>1.4892803828558954E-3</c:v>
                </c:pt>
                <c:pt idx="573">
                  <c:v>1.5429869276673003E-3</c:v>
                </c:pt>
                <c:pt idx="574">
                  <c:v>1.5965902319425851E-3</c:v>
                </c:pt>
                <c:pt idx="575">
                  <c:v>1.6500902956817498E-3</c:v>
                </c:pt>
                <c:pt idx="576">
                  <c:v>1.7034871186449863E-3</c:v>
                </c:pt>
                <c:pt idx="577">
                  <c:v>1.7567807009921665E-3</c:v>
                </c:pt>
                <c:pt idx="578">
                  <c:v>1.8099710427232907E-3</c:v>
                </c:pt>
                <c:pt idx="579">
                  <c:v>1.8630581438383587E-3</c:v>
                </c:pt>
                <c:pt idx="580">
                  <c:v>1.9160420039376902E-3</c:v>
                </c:pt>
                <c:pt idx="581">
                  <c:v>1.9689226231811574E-3</c:v>
                </c:pt>
                <c:pt idx="582">
                  <c:v>2.0217000015687603E-3</c:v>
                </c:pt>
                <c:pt idx="583">
                  <c:v>2.074374139260371E-3</c:v>
                </c:pt>
                <c:pt idx="584">
                  <c:v>2.1269450357763731E-3</c:v>
                </c:pt>
                <c:pt idx="585">
                  <c:v>2.1794126912766387E-3</c:v>
                </c:pt>
                <c:pt idx="586">
                  <c:v>2.231777105841104E-3</c:v>
                </c:pt>
                <c:pt idx="587">
                  <c:v>2.2840382791500247E-3</c:v>
                </c:pt>
                <c:pt idx="588">
                  <c:v>2.3361962113632728E-3</c:v>
                </c:pt>
                <c:pt idx="589">
                  <c:v>2.3882509022410403E-3</c:v>
                </c:pt>
                <c:pt idx="590">
                  <c:v>2.4402023521030713E-3</c:v>
                </c:pt>
                <c:pt idx="591">
                  <c:v>2.4920505605496857E-3</c:v>
                </c:pt>
                <c:pt idx="592">
                  <c:v>2.5437955277407553E-3</c:v>
                </c:pt>
                <c:pt idx="593">
                  <c:v>2.5954372534364722E-3</c:v>
                </c:pt>
                <c:pt idx="594">
                  <c:v>2.6469757377167724E-3</c:v>
                </c:pt>
                <c:pt idx="595">
                  <c:v>2.698410980821464E-3</c:v>
                </c:pt>
                <c:pt idx="596">
                  <c:v>2.7497429820311226E-3</c:v>
                </c:pt>
                <c:pt idx="597">
                  <c:v>2.8009717419053004E-3</c:v>
                </c:pt>
                <c:pt idx="598">
                  <c:v>2.8520972602041894E-3</c:v>
                </c:pt>
                <c:pt idx="599">
                  <c:v>2.9031195365281093E-3</c:v>
                </c:pt>
                <c:pt idx="600">
                  <c:v>2.9540385715165485E-3</c:v>
                </c:pt>
                <c:pt idx="601">
                  <c:v>3.0048543646099546E-3</c:v>
                </c:pt>
                <c:pt idx="602">
                  <c:v>3.0555669159681997E-3</c:v>
                </c:pt>
                <c:pt idx="603">
                  <c:v>3.10617622567122E-3</c:v>
                </c:pt>
                <c:pt idx="604">
                  <c:v>3.1566822933992711E-3</c:v>
                </c:pt>
                <c:pt idx="605">
                  <c:v>3.2070851191523531E-3</c:v>
                </c:pt>
                <c:pt idx="606">
                  <c:v>3.2573847030104019E-3</c:v>
                </c:pt>
                <c:pt idx="607">
                  <c:v>3.3075810448135456E-3</c:v>
                </c:pt>
                <c:pt idx="608">
                  <c:v>3.3576741446417202E-3</c:v>
                </c:pt>
                <c:pt idx="609">
                  <c:v>3.4076640024149896E-3</c:v>
                </c:pt>
                <c:pt idx="610">
                  <c:v>3.4575506178935456E-3</c:v>
                </c:pt>
                <c:pt idx="611">
                  <c:v>3.5073339914770685E-3</c:v>
                </c:pt>
                <c:pt idx="612">
                  <c:v>3.5570141226060059E-3</c:v>
                </c:pt>
                <c:pt idx="613">
                  <c:v>3.6065910116001021E-3</c:v>
                </c:pt>
                <c:pt idx="614">
                  <c:v>3.656064658379421E-3</c:v>
                </c:pt>
                <c:pt idx="615">
                  <c:v>3.7195966834762118E-3</c:v>
                </c:pt>
                <c:pt idx="616">
                  <c:v>3.7547022247341744E-3</c:v>
                </c:pt>
                <c:pt idx="617">
                  <c:v>3.8038661443096089E-3</c:v>
                </c:pt>
                <c:pt idx="618">
                  <c:v>3.8529268214304579E-3</c:v>
                </c:pt>
                <c:pt idx="619">
                  <c:v>3.9018842559368494E-3</c:v>
                </c:pt>
                <c:pt idx="620">
                  <c:v>3.9507384479886554E-3</c:v>
                </c:pt>
                <c:pt idx="621">
                  <c:v>3.9994893975858758E-3</c:v>
                </c:pt>
                <c:pt idx="622">
                  <c:v>4.0481660701185973E-3</c:v>
                </c:pt>
                <c:pt idx="623">
                  <c:v>4.0969406944579845E-3</c:v>
                </c:pt>
                <c:pt idx="624">
                  <c:v>4.1458422363138681E-3</c:v>
                </c:pt>
                <c:pt idx="625">
                  <c:v>4.1948706959260562E-3</c:v>
                </c:pt>
                <c:pt idx="626">
                  <c:v>4.2440260730547408E-3</c:v>
                </c:pt>
                <c:pt idx="627">
                  <c:v>4.293308368019666E-3</c:v>
                </c:pt>
                <c:pt idx="628">
                  <c:v>4.3427175807408958E-3</c:v>
                </c:pt>
                <c:pt idx="629">
                  <c:v>4.3922537112184301E-3</c:v>
                </c:pt>
                <c:pt idx="630">
                  <c:v>4.4419167595322051E-3</c:v>
                </c:pt>
                <c:pt idx="631">
                  <c:v>4.4917067259220289E-3</c:v>
                </c:pt>
                <c:pt idx="632">
                  <c:v>4.5416236102280294E-3</c:v>
                </c:pt>
                <c:pt idx="633">
                  <c:v>4.5916674125301427E-3</c:v>
                </c:pt>
                <c:pt idx="634">
                  <c:v>4.6418381329882408E-3</c:v>
                </c:pt>
                <c:pt idx="635">
                  <c:v>4.6921357715223877E-3</c:v>
                </c:pt>
                <c:pt idx="636">
                  <c:v>4.7425603282125195E-3</c:v>
                </c:pt>
                <c:pt idx="637">
                  <c:v>4.7931118031385722E-3</c:v>
                </c:pt>
                <c:pt idx="638">
                  <c:v>4.843790196540354E-3</c:v>
                </c:pt>
                <c:pt idx="639">
                  <c:v>4.8945955080981207E-3</c:v>
                </c:pt>
                <c:pt idx="640">
                  <c:v>4.9455277382115526E-3</c:v>
                </c:pt>
                <c:pt idx="641">
                  <c:v>4.9965868866408414E-3</c:v>
                </c:pt>
                <c:pt idx="642">
                  <c:v>5.0477729536257954E-3</c:v>
                </c:pt>
                <c:pt idx="643">
                  <c:v>5.0990859392463506E-3</c:v>
                </c:pt>
                <c:pt idx="644">
                  <c:v>5.150525843502507E-3</c:v>
                </c:pt>
                <c:pt idx="645">
                  <c:v>5.2020926663143285E-3</c:v>
                </c:pt>
                <c:pt idx="646">
                  <c:v>5.2537864079216234E-3</c:v>
                </c:pt>
                <c:pt idx="647">
                  <c:v>5.3056070684043277E-3</c:v>
                </c:pt>
                <c:pt idx="648">
                  <c:v>5.3575546476025693E-3</c:v>
                </c:pt>
                <c:pt idx="649">
                  <c:v>5.4096291457561563E-3</c:v>
                </c:pt>
                <c:pt idx="650">
                  <c:v>5.4618305627851527E-3</c:v>
                </c:pt>
                <c:pt idx="651">
                  <c:v>5.5292189478706177E-3</c:v>
                </c:pt>
                <c:pt idx="652">
                  <c:v>5.5817120856538338E-3</c:v>
                </c:pt>
                <c:pt idx="653">
                  <c:v>5.6343321618967934E-3</c:v>
                </c:pt>
                <c:pt idx="654">
                  <c:v>5.687079176706078E-3</c:v>
                </c:pt>
                <c:pt idx="655">
                  <c:v>5.739953130268205E-3</c:v>
                </c:pt>
                <c:pt idx="656">
                  <c:v>5.7929540227696918E-3</c:v>
                </c:pt>
                <c:pt idx="657">
                  <c:v>5.8460818543437654E-3</c:v>
                </c:pt>
                <c:pt idx="658">
                  <c:v>5.8993366251236523E-3</c:v>
                </c:pt>
                <c:pt idx="659">
                  <c:v>5.9527183353491608E-3</c:v>
                </c:pt>
                <c:pt idx="660">
                  <c:v>6.0062269851801631E-3</c:v>
                </c:pt>
                <c:pt idx="661">
                  <c:v>6.0598625747232404E-3</c:v>
                </c:pt>
                <c:pt idx="662">
                  <c:v>6.1136251042714918E-3</c:v>
                </c:pt>
                <c:pt idx="663">
                  <c:v>6.1675145739048531E-3</c:v>
                </c:pt>
                <c:pt idx="664">
                  <c:v>6.2215309837831967E-3</c:v>
                </c:pt>
                <c:pt idx="665">
                  <c:v>6.2756743340930399E-3</c:v>
                </c:pt>
                <c:pt idx="666">
                  <c:v>6.3531291992013905E-3</c:v>
                </c:pt>
                <c:pt idx="667">
                  <c:v>6.4075789041062592E-3</c:v>
                </c:pt>
                <c:pt idx="668">
                  <c:v>6.4621555290056421E-3</c:v>
                </c:pt>
                <c:pt idx="669">
                  <c:v>6.5168590739794752E-3</c:v>
                </c:pt>
                <c:pt idx="670">
                  <c:v>6.5716895391076946E-3</c:v>
                </c:pt>
                <c:pt idx="671">
                  <c:v>6.6266469243903003E-3</c:v>
                </c:pt>
                <c:pt idx="672">
                  <c:v>6.6817312299072285E-3</c:v>
                </c:pt>
                <c:pt idx="673">
                  <c:v>6.7369351531798571E-3</c:v>
                </c:pt>
                <c:pt idx="674">
                  <c:v>6.7920542221688862E-3</c:v>
                </c:pt>
                <c:pt idx="675">
                  <c:v>6.8469935036130636E-3</c:v>
                </c:pt>
                <c:pt idx="676">
                  <c:v>6.901752997192645E-3</c:v>
                </c:pt>
                <c:pt idx="677">
                  <c:v>6.9563327030675026E-3</c:v>
                </c:pt>
                <c:pt idx="678">
                  <c:v>7.0107326209178922E-3</c:v>
                </c:pt>
                <c:pt idx="679">
                  <c:v>7.0649527509036858E-3</c:v>
                </c:pt>
                <c:pt idx="680">
                  <c:v>7.1189930926252032E-3</c:v>
                </c:pt>
                <c:pt idx="681">
                  <c:v>7.1728536463222525E-3</c:v>
                </c:pt>
                <c:pt idx="682">
                  <c:v>7.2265344116750896E-3</c:v>
                </c:pt>
                <c:pt idx="683">
                  <c:v>7.2800353888435865E-3</c:v>
                </c:pt>
                <c:pt idx="684">
                  <c:v>7.333356577587935E-3</c:v>
                </c:pt>
                <c:pt idx="685">
                  <c:v>7.3864979778281992E-3</c:v>
                </c:pt>
                <c:pt idx="686">
                  <c:v>7.4394595895643789E-3</c:v>
                </c:pt>
                <c:pt idx="687">
                  <c:v>7.4922414125566661E-3</c:v>
                </c:pt>
                <c:pt idx="688">
                  <c:v>7.5448434469649328E-3</c:v>
                </c:pt>
                <c:pt idx="689">
                  <c:v>7.5972656924694348E-3</c:v>
                </c:pt>
                <c:pt idx="690">
                  <c:v>7.6495081491501082E-3</c:v>
                </c:pt>
                <c:pt idx="691">
                  <c:v>7.7015708168470809E-3</c:v>
                </c:pt>
                <c:pt idx="692">
                  <c:v>7.7534536955603528E-3</c:v>
                </c:pt>
                <c:pt idx="693">
                  <c:v>7.8051567851300518E-3</c:v>
                </c:pt>
                <c:pt idx="694">
                  <c:v>7.856680085476242E-3</c:v>
                </c:pt>
                <c:pt idx="695">
                  <c:v>7.9080235966788592E-3</c:v>
                </c:pt>
                <c:pt idx="696">
                  <c:v>7.9591873184181594E-3</c:v>
                </c:pt>
                <c:pt idx="697">
                  <c:v>8.0101712509339507E-3</c:v>
                </c:pt>
                <c:pt idx="698">
                  <c:v>8.0609753937466166E-3</c:v>
                </c:pt>
                <c:pt idx="699">
                  <c:v>8.1115997470959655E-3</c:v>
                </c:pt>
                <c:pt idx="700">
                  <c:v>8.1620443108221252E-3</c:v>
                </c:pt>
                <c:pt idx="701">
                  <c:v>8.2123090848451596E-3</c:v>
                </c:pt>
                <c:pt idx="702">
                  <c:v>8.2623940690051967E-3</c:v>
                </c:pt>
                <c:pt idx="703">
                  <c:v>8.3122992632223003E-3</c:v>
                </c:pt>
                <c:pt idx="704">
                  <c:v>8.3620246676563426E-3</c:v>
                </c:pt>
                <c:pt idx="705">
                  <c:v>8.4115702819875793E-3</c:v>
                </c:pt>
                <c:pt idx="706">
                  <c:v>8.4609361062160104E-3</c:v>
                </c:pt>
                <c:pt idx="707">
                  <c:v>8.5101221403416361E-3</c:v>
                </c:pt>
                <c:pt idx="708">
                  <c:v>8.5591283841246479E-3</c:v>
                </c:pt>
                <c:pt idx="709">
                  <c:v>8.6079548376449821E-3</c:v>
                </c:pt>
                <c:pt idx="710">
                  <c:v>8.6566015008227026E-3</c:v>
                </c:pt>
                <c:pt idx="711">
                  <c:v>8.7050683734979373E-3</c:v>
                </c:pt>
                <c:pt idx="712">
                  <c:v>8.75335545559075E-3</c:v>
                </c:pt>
                <c:pt idx="713">
                  <c:v>8.8014627471810769E-3</c:v>
                </c:pt>
                <c:pt idx="714">
                  <c:v>8.8493902480291098E-3</c:v>
                </c:pt>
                <c:pt idx="715">
                  <c:v>8.8971379581348486E-3</c:v>
                </c:pt>
                <c:pt idx="716">
                  <c:v>8.9447058774183574E-3</c:v>
                </c:pt>
                <c:pt idx="717">
                  <c:v>8.9920940058796361E-3</c:v>
                </c:pt>
                <c:pt idx="718">
                  <c:v>9.0393023432788766E-3</c:v>
                </c:pt>
                <c:pt idx="719">
                  <c:v>9.0863308897759509E-3</c:v>
                </c:pt>
                <c:pt idx="720">
                  <c:v>9.1331796450511149E-3</c:v>
                </c:pt>
                <c:pt idx="721">
                  <c:v>9.1798486092642406E-3</c:v>
                </c:pt>
                <c:pt idx="722">
                  <c:v>9.2263377821755199E-3</c:v>
                </c:pt>
                <c:pt idx="723">
                  <c:v>9.2726471637050167E-3</c:v>
                </c:pt>
                <c:pt idx="724">
                  <c:v>9.3187767538527311E-3</c:v>
                </c:pt>
                <c:pt idx="725">
                  <c:v>9.3647266340735058E-3</c:v>
                </c:pt>
                <c:pt idx="726">
                  <c:v>9.4105103327457584E-3</c:v>
                </c:pt>
                <c:pt idx="727">
                  <c:v>9.4561381999103133E-3</c:v>
                </c:pt>
                <c:pt idx="728">
                  <c:v>9.5016102354872345E-3</c:v>
                </c:pt>
                <c:pt idx="729">
                  <c:v>9.5469264393166497E-3</c:v>
                </c:pt>
                <c:pt idx="730">
                  <c:v>9.5920868113186231E-3</c:v>
                </c:pt>
                <c:pt idx="731">
                  <c:v>9.6370913517329626E-3</c:v>
                </c:pt>
                <c:pt idx="732">
                  <c:v>9.681940060080052E-3</c:v>
                </c:pt>
                <c:pt idx="733">
                  <c:v>9.7266329367595716E-3</c:v>
                </c:pt>
                <c:pt idx="734">
                  <c:v>9.771169981211969E-3</c:v>
                </c:pt>
                <c:pt idx="735">
                  <c:v>9.8155511938369244E-3</c:v>
                </c:pt>
                <c:pt idx="736">
                  <c:v>9.8597765743946297E-3</c:v>
                </c:pt>
                <c:pt idx="737">
                  <c:v>9.9038461226452768E-3</c:v>
                </c:pt>
                <c:pt idx="738">
                  <c:v>9.9477598388286737E-3</c:v>
                </c:pt>
                <c:pt idx="739">
                  <c:v>9.9915177227849483E-3</c:v>
                </c:pt>
                <c:pt idx="740">
                  <c:v>1.0035119774354229E-2</c:v>
                </c:pt>
                <c:pt idx="741">
                  <c:v>1.0078565993616451E-2</c:v>
                </c:pt>
                <c:pt idx="742">
                  <c:v>1.0121856380491678E-2</c:v>
                </c:pt>
                <c:pt idx="743">
                  <c:v>1.0164990934740104E-2</c:v>
                </c:pt>
                <c:pt idx="744">
                  <c:v>1.0207969656521598E-2</c:v>
                </c:pt>
                <c:pt idx="745">
                  <c:v>1.0250792545676291E-2</c:v>
                </c:pt>
                <c:pt idx="746">
                  <c:v>1.0293459602284116E-2</c:v>
                </c:pt>
                <c:pt idx="747">
                  <c:v>1.0335970826105267E-2</c:v>
                </c:pt>
                <c:pt idx="748">
                  <c:v>1.037832621721968E-2</c:v>
                </c:pt>
                <c:pt idx="749">
                  <c:v>1.0420525775547418E-2</c:v>
                </c:pt>
                <c:pt idx="750">
                  <c:v>1.0462569500928609E-2</c:v>
                </c:pt>
                <c:pt idx="751">
                  <c:v>1.050445739344319E-2</c:v>
                </c:pt>
                <c:pt idx="752">
                  <c:v>1.0546189453011223E-2</c:v>
                </c:pt>
                <c:pt idx="753">
                  <c:v>1.0587765679552774E-2</c:v>
                </c:pt>
                <c:pt idx="754">
                  <c:v>1.0629186072987906E-2</c:v>
                </c:pt>
                <c:pt idx="755">
                  <c:v>1.0670450633156747E-2</c:v>
                </c:pt>
                <c:pt idx="756">
                  <c:v>1.0711559360219169E-2</c:v>
                </c:pt>
                <c:pt idx="757">
                  <c:v>1.0752512254095237E-2</c:v>
                </c:pt>
                <c:pt idx="758">
                  <c:v>1.0793309314705013E-2</c:v>
                </c:pt>
                <c:pt idx="759">
                  <c:v>1.0833950541968562E-2</c:v>
                </c:pt>
                <c:pt idx="760">
                  <c:v>1.0874435935646076E-2</c:v>
                </c:pt>
                <c:pt idx="761">
                  <c:v>1.0914765496057299E-2</c:v>
                </c:pt>
                <c:pt idx="762">
                  <c:v>1.0954939222882487E-2</c:v>
                </c:pt>
                <c:pt idx="763">
                  <c:v>1.099495711612164E-2</c:v>
                </c:pt>
                <c:pt idx="764">
                  <c:v>1.1034819175854693E-2</c:v>
                </c:pt>
                <c:pt idx="765">
                  <c:v>1.1074525401841839E-2</c:v>
                </c:pt>
                <c:pt idx="766">
                  <c:v>1.1114075794083078E-2</c:v>
                </c:pt>
                <c:pt idx="767">
                  <c:v>1.1153470352658346E-2</c:v>
                </c:pt>
                <c:pt idx="768">
                  <c:v>1.1192709077327834E-2</c:v>
                </c:pt>
                <c:pt idx="769">
                  <c:v>1.1231791968251414E-2</c:v>
                </c:pt>
                <c:pt idx="770">
                  <c:v>1.1270719025029408E-2</c:v>
                </c:pt>
                <c:pt idx="771">
                  <c:v>1.1309490247981557E-2</c:v>
                </c:pt>
                <c:pt idx="772">
                  <c:v>1.1348105636947992E-2</c:v>
                </c:pt>
                <c:pt idx="773">
                  <c:v>1.1386565191768838E-2</c:v>
                </c:pt>
                <c:pt idx="774">
                  <c:v>1.1424868912444097E-2</c:v>
                </c:pt>
                <c:pt idx="775">
                  <c:v>1.1463016799053705E-2</c:v>
                </c:pt>
                <c:pt idx="776">
                  <c:v>1.1501008851357852E-2</c:v>
                </c:pt>
                <c:pt idx="777">
                  <c:v>1.1538845069516412E-2</c:v>
                </c:pt>
                <c:pt idx="778">
                  <c:v>1.1576448813075402E-2</c:v>
                </c:pt>
                <c:pt idx="779">
                  <c:v>1.1613719906806708E-2</c:v>
                </c:pt>
                <c:pt idx="780">
                  <c:v>1.1650657747193094E-2</c:v>
                </c:pt>
                <c:pt idx="781">
                  <c:v>1.1687262333994752E-2</c:v>
                </c:pt>
                <c:pt idx="782">
                  <c:v>1.1723533667211683E-2</c:v>
                </c:pt>
                <c:pt idx="783">
                  <c:v>1.1759471746604078E-2</c:v>
                </c:pt>
                <c:pt idx="784">
                  <c:v>1.1795076572331809E-2</c:v>
                </c:pt>
                <c:pt idx="785">
                  <c:v>1.1830348143995195E-2</c:v>
                </c:pt>
                <c:pt idx="786">
                  <c:v>1.1865286461834046E-2</c:v>
                </c:pt>
                <c:pt idx="787">
                  <c:v>1.1899891525288808E-2</c:v>
                </c:pt>
                <c:pt idx="788">
                  <c:v>1.1934163334759162E-2</c:v>
                </c:pt>
                <c:pt idx="789">
                  <c:v>1.1968101889765492E-2</c:v>
                </c:pt>
                <c:pt idx="790">
                  <c:v>1.2001707190387734E-2</c:v>
                </c:pt>
                <c:pt idx="791">
                  <c:v>1.2034979236545951E-2</c:v>
                </c:pt>
                <c:pt idx="792">
                  <c:v>1.2067918028160207E-2</c:v>
                </c:pt>
                <c:pt idx="793">
                  <c:v>1.2100523565070631E-2</c:v>
                </c:pt>
                <c:pt idx="794">
                  <c:v>1.2132795847197286E-2</c:v>
                </c:pt>
                <c:pt idx="795">
                  <c:v>1.2164734874540173E-2</c:v>
                </c:pt>
                <c:pt idx="796">
                  <c:v>1.2196340646859483E-2</c:v>
                </c:pt>
                <c:pt idx="797">
                  <c:v>1.2227613164075279E-2</c:v>
                </c:pt>
                <c:pt idx="798">
                  <c:v>1.2258552426187563E-2</c:v>
                </c:pt>
                <c:pt idx="799">
                  <c:v>1.2289158433196334E-2</c:v>
                </c:pt>
                <c:pt idx="800">
                  <c:v>1.2319431184781848E-2</c:v>
                </c:pt>
                <c:pt idx="801">
                  <c:v>1.2349370681103977E-2</c:v>
                </c:pt>
                <c:pt idx="802">
                  <c:v>1.2378976922002849E-2</c:v>
                </c:pt>
                <c:pt idx="803">
                  <c:v>1.2408249907158719E-2</c:v>
                </c:pt>
                <c:pt idx="804">
                  <c:v>1.2437189636811397E-2</c:v>
                </c:pt>
                <c:pt idx="805">
                  <c:v>1.2465796110721072E-2</c:v>
                </c:pt>
                <c:pt idx="806">
                  <c:v>1.2494069328887747E-2</c:v>
                </c:pt>
                <c:pt idx="807">
                  <c:v>1.2522009291231484E-2</c:v>
                </c:pt>
                <c:pt idx="808">
                  <c:v>1.2549615997512475E-2</c:v>
                </c:pt>
                <c:pt idx="809">
                  <c:v>1.2576889447810657E-2</c:v>
                </c:pt>
                <c:pt idx="810">
                  <c:v>1.260382964212603E-2</c:v>
                </c:pt>
                <c:pt idx="811">
                  <c:v>1.2630436580138849E-2</c:v>
                </c:pt>
                <c:pt idx="812">
                  <c:v>1.2656710262008986E-2</c:v>
                </c:pt>
                <c:pt idx="813">
                  <c:v>1.2682650687496633E-2</c:v>
                </c:pt>
                <c:pt idx="814">
                  <c:v>1.270825785660179E-2</c:v>
                </c:pt>
                <c:pt idx="815">
                  <c:v>1.2733531769164586E-2</c:v>
                </c:pt>
                <c:pt idx="816">
                  <c:v>1.2758472425424827E-2</c:v>
                </c:pt>
                <c:pt idx="817">
                  <c:v>1.2783079824902899E-2</c:v>
                </c:pt>
                <c:pt idx="818">
                  <c:v>1.2807353967758672E-2</c:v>
                </c:pt>
                <c:pt idx="819">
                  <c:v>1.2831294853912212E-2</c:v>
                </c:pt>
                <c:pt idx="820">
                  <c:v>1.2854902483283581E-2</c:v>
                </c:pt>
                <c:pt idx="821">
                  <c:v>1.2878176855632972E-2</c:v>
                </c:pt>
                <c:pt idx="822">
                  <c:v>1.2901117971200193E-2</c:v>
                </c:pt>
                <c:pt idx="823">
                  <c:v>1.2923725829745436E-2</c:v>
                </c:pt>
                <c:pt idx="824">
                  <c:v>1.29460004312687E-2</c:v>
                </c:pt>
                <c:pt idx="825">
                  <c:v>1.2967941775610115E-2</c:v>
                </c:pt>
                <c:pt idx="826">
                  <c:v>1.2989549862769678E-2</c:v>
                </c:pt>
                <c:pt idx="827">
                  <c:v>1.3010824692747391E-2</c:v>
                </c:pt>
                <c:pt idx="828">
                  <c:v>1.3031766265383382E-2</c:v>
                </c:pt>
                <c:pt idx="829">
                  <c:v>1.305237458067765E-2</c:v>
                </c:pt>
                <c:pt idx="830">
                  <c:v>1.3072736954384823E-2</c:v>
                </c:pt>
                <c:pt idx="831">
                  <c:v>1.3093041451348597E-2</c:v>
                </c:pt>
                <c:pt idx="832">
                  <c:v>1.3113294788116292E-2</c:v>
                </c:pt>
                <c:pt idx="833">
                  <c:v>1.3133496964687907E-2</c:v>
                </c:pt>
                <c:pt idx="834">
                  <c:v>1.3153647980983507E-2</c:v>
                </c:pt>
                <c:pt idx="835">
                  <c:v>1.3173747837083027E-2</c:v>
                </c:pt>
                <c:pt idx="836">
                  <c:v>1.3193796533066404E-2</c:v>
                </c:pt>
                <c:pt idx="837">
                  <c:v>1.3213794068853701E-2</c:v>
                </c:pt>
                <c:pt idx="838">
                  <c:v>1.3233740444285047E-2</c:v>
                </c:pt>
                <c:pt idx="839">
                  <c:v>1.3253635659520313E-2</c:v>
                </c:pt>
                <c:pt idx="840">
                  <c:v>1.3273479714479564E-2</c:v>
                </c:pt>
                <c:pt idx="841">
                  <c:v>1.3293272609322671E-2</c:v>
                </c:pt>
                <c:pt idx="842">
                  <c:v>1.3313014343809826E-2</c:v>
                </c:pt>
                <c:pt idx="843">
                  <c:v>1.3332704918020966E-2</c:v>
                </c:pt>
                <c:pt idx="844">
                  <c:v>1.3352344331876154E-2</c:v>
                </c:pt>
                <c:pt idx="845">
                  <c:v>1.3371932585455326E-2</c:v>
                </c:pt>
                <c:pt idx="846">
                  <c:v>1.3391469678838419E-2</c:v>
                </c:pt>
                <c:pt idx="847">
                  <c:v>1.341095561186556E-2</c:v>
                </c:pt>
                <c:pt idx="848">
                  <c:v>1.3430390384616686E-2</c:v>
                </c:pt>
                <c:pt idx="849">
                  <c:v>1.3449773996931924E-2</c:v>
                </c:pt>
                <c:pt idx="850">
                  <c:v>1.3469106448971147E-2</c:v>
                </c:pt>
                <c:pt idx="851">
                  <c:v>1.3488387740734353E-2</c:v>
                </c:pt>
                <c:pt idx="852">
                  <c:v>1.3507617872061672E-2</c:v>
                </c:pt>
                <c:pt idx="853">
                  <c:v>1.352679684303304E-2</c:v>
                </c:pt>
                <c:pt idx="854">
                  <c:v>1.3545924653728392E-2</c:v>
                </c:pt>
                <c:pt idx="855">
                  <c:v>1.3565001303987856E-2</c:v>
                </c:pt>
                <c:pt idx="856">
                  <c:v>1.3584026793891368E-2</c:v>
                </c:pt>
                <c:pt idx="857">
                  <c:v>1.3603001123358993E-2</c:v>
                </c:pt>
                <c:pt idx="858">
                  <c:v>1.3621924292470666E-2</c:v>
                </c:pt>
                <c:pt idx="859">
                  <c:v>1.3643488125989478E-2</c:v>
                </c:pt>
                <c:pt idx="860">
                  <c:v>1.366230166575555E-2</c:v>
                </c:pt>
                <c:pt idx="861">
                  <c:v>1.3681064044925861E-2</c:v>
                </c:pt>
                <c:pt idx="862">
                  <c:v>1.3699775263740221E-2</c:v>
                </c:pt>
                <c:pt idx="863">
                  <c:v>1.3718435322038758E-2</c:v>
                </c:pt>
                <c:pt idx="864">
                  <c:v>1.3737044219981343E-2</c:v>
                </c:pt>
                <c:pt idx="865">
                  <c:v>1.3755601957488039E-2</c:v>
                </c:pt>
                <c:pt idx="866">
                  <c:v>1.3774108534478913E-2</c:v>
                </c:pt>
                <c:pt idx="867">
                  <c:v>1.3792563951033898E-2</c:v>
                </c:pt>
                <c:pt idx="868">
                  <c:v>1.381096820707306E-2</c:v>
                </c:pt>
                <c:pt idx="869">
                  <c:v>1.3829321302596398E-2</c:v>
                </c:pt>
                <c:pt idx="870">
                  <c:v>1.3847623237683848E-2</c:v>
                </c:pt>
                <c:pt idx="871">
                  <c:v>1.3865874012335411E-2</c:v>
                </c:pt>
                <c:pt idx="872">
                  <c:v>1.3884073626231341E-2</c:v>
                </c:pt>
                <c:pt idx="873">
                  <c:v>1.3902222079851256E-2</c:v>
                </c:pt>
                <c:pt idx="874">
                  <c:v>1.3920319372875412E-2</c:v>
                </c:pt>
                <c:pt idx="875">
                  <c:v>1.3938365505383743E-2</c:v>
                </c:pt>
                <c:pt idx="876">
                  <c:v>1.3956360477376251E-2</c:v>
                </c:pt>
                <c:pt idx="877">
                  <c:v>1.3976863513924798E-2</c:v>
                </c:pt>
                <c:pt idx="878">
                  <c:v>1.3994748856172023E-2</c:v>
                </c:pt>
                <c:pt idx="879">
                  <c:v>1.4012583037743553E-2</c:v>
                </c:pt>
                <c:pt idx="880">
                  <c:v>1.4030366058719324E-2</c:v>
                </c:pt>
                <c:pt idx="881">
                  <c:v>1.4048097919259206E-2</c:v>
                </c:pt>
                <c:pt idx="882">
                  <c:v>1.4065806767566968E-2</c:v>
                </c:pt>
                <c:pt idx="883">
                  <c:v>1.4083659972801144E-2</c:v>
                </c:pt>
                <c:pt idx="884">
                  <c:v>1.4101685683325371E-2</c:v>
                </c:pt>
                <c:pt idx="885">
                  <c:v>1.4119883899219587E-2</c:v>
                </c:pt>
                <c:pt idx="886">
                  <c:v>1.4138254620483792E-2</c:v>
                </c:pt>
                <c:pt idx="887">
                  <c:v>1.4156797847197922E-2</c:v>
                </c:pt>
                <c:pt idx="888">
                  <c:v>1.4175513579202104E-2</c:v>
                </c:pt>
                <c:pt idx="889">
                  <c:v>1.4194401816816082E-2</c:v>
                </c:pt>
                <c:pt idx="890">
                  <c:v>1.421346255980005E-2</c:v>
                </c:pt>
                <c:pt idx="891">
                  <c:v>1.423269580847375E-2</c:v>
                </c:pt>
                <c:pt idx="892">
                  <c:v>1.4252101562597375E-2</c:v>
                </c:pt>
                <c:pt idx="893">
                  <c:v>1.4271679822170924E-2</c:v>
                </c:pt>
                <c:pt idx="894">
                  <c:v>1.4291430587594078E-2</c:v>
                </c:pt>
                <c:pt idx="895">
                  <c:v>1.4311353858467157E-2</c:v>
                </c:pt>
                <c:pt idx="896">
                  <c:v>1.4331449634950033E-2</c:v>
                </c:pt>
                <c:pt idx="897">
                  <c:v>1.4351717917282514E-2</c:v>
                </c:pt>
                <c:pt idx="898">
                  <c:v>1.4372158705304727E-2</c:v>
                </c:pt>
                <c:pt idx="899">
                  <c:v>1.439277199909661E-2</c:v>
                </c:pt>
                <c:pt idx="900">
                  <c:v>1.4413557798578225E-2</c:v>
                </c:pt>
                <c:pt idx="901">
                  <c:v>1.4434516103909445E-2</c:v>
                </c:pt>
                <c:pt idx="902">
                  <c:v>1.445564691509027E-2</c:v>
                </c:pt>
                <c:pt idx="903">
                  <c:v>1.44769502321207E-2</c:v>
                </c:pt>
                <c:pt idx="904">
                  <c:v>1.4498426055000735E-2</c:v>
                </c:pt>
                <c:pt idx="905">
                  <c:v>1.4520074383810311E-2</c:v>
                </c:pt>
                <c:pt idx="906">
                  <c:v>1.4541895218629364E-2</c:v>
                </c:pt>
                <c:pt idx="907">
                  <c:v>1.4563888559377958E-2</c:v>
                </c:pt>
                <c:pt idx="908">
                  <c:v>1.4586054406215965E-2</c:v>
                </c:pt>
                <c:pt idx="909">
                  <c:v>1.4608392759063449E-2</c:v>
                </c:pt>
                <c:pt idx="910">
                  <c:v>1.4630903618000346E-2</c:v>
                </c:pt>
                <c:pt idx="911">
                  <c:v>1.4660697806903045E-2</c:v>
                </c:pt>
                <c:pt idx="912">
                  <c:v>1.4683604832619324E-2</c:v>
                </c:pt>
                <c:pt idx="913">
                  <c:v>1.4706684381504687E-2</c:v>
                </c:pt>
                <c:pt idx="914">
                  <c:v>1.4729936453719006E-2</c:v>
                </c:pt>
                <c:pt idx="915">
                  <c:v>1.4753361049342217E-2</c:v>
                </c:pt>
                <c:pt idx="916">
                  <c:v>1.4776958168427612E-2</c:v>
                </c:pt>
                <c:pt idx="917">
                  <c:v>1.4800727811161707E-2</c:v>
                </c:pt>
                <c:pt idx="918">
                  <c:v>1.4824669977544502E-2</c:v>
                </c:pt>
                <c:pt idx="919">
                  <c:v>1.4848784667815806E-2</c:v>
                </c:pt>
                <c:pt idx="920">
                  <c:v>1.4873071881922328E-2</c:v>
                </c:pt>
                <c:pt idx="921">
                  <c:v>1.4897531620077231E-2</c:v>
                </c:pt>
                <c:pt idx="922">
                  <c:v>1.4922163882360451E-2</c:v>
                </c:pt>
                <c:pt idx="923">
                  <c:v>1.4946968668878569E-2</c:v>
                </c:pt>
                <c:pt idx="924">
                  <c:v>1.4971945979738166E-2</c:v>
                </c:pt>
                <c:pt idx="925">
                  <c:v>1.4997095815019179E-2</c:v>
                </c:pt>
                <c:pt idx="926">
                  <c:v>1.5022418174854835E-2</c:v>
                </c:pt>
                <c:pt idx="927">
                  <c:v>1.5058261205238566E-2</c:v>
                </c:pt>
                <c:pt idx="928">
                  <c:v>1.508400039857527E-2</c:v>
                </c:pt>
                <c:pt idx="929">
                  <c:v>1.5109912098720812E-2</c:v>
                </c:pt>
                <c:pt idx="930">
                  <c:v>1.5135996305675192E-2</c:v>
                </c:pt>
                <c:pt idx="931">
                  <c:v>1.516225301943841E-2</c:v>
                </c:pt>
                <c:pt idx="932">
                  <c:v>1.5188682240010465E-2</c:v>
                </c:pt>
                <c:pt idx="933">
                  <c:v>1.5215266310955045E-2</c:v>
                </c:pt>
                <c:pt idx="934">
                  <c:v>1.5241510844221651E-2</c:v>
                </c:pt>
                <c:pt idx="935">
                  <c:v>1.5267186302461155E-2</c:v>
                </c:pt>
                <c:pt idx="936">
                  <c:v>1.5292292685833431E-2</c:v>
                </c:pt>
                <c:pt idx="937">
                  <c:v>1.5316829994018732E-2</c:v>
                </c:pt>
                <c:pt idx="938">
                  <c:v>1.5340798226857189E-2</c:v>
                </c:pt>
                <c:pt idx="939">
                  <c:v>1.5364197384348799E-2</c:v>
                </c:pt>
                <c:pt idx="940">
                  <c:v>1.5387027466333691E-2</c:v>
                </c:pt>
                <c:pt idx="941">
                  <c:v>1.5409288472811866E-2</c:v>
                </c:pt>
                <c:pt idx="942">
                  <c:v>1.5430980403463579E-2</c:v>
                </c:pt>
                <c:pt idx="943">
                  <c:v>1.5452103258368766E-2</c:v>
                </c:pt>
                <c:pt idx="944">
                  <c:v>1.5472657037287618E-2</c:v>
                </c:pt>
                <c:pt idx="945">
                  <c:v>1.5492641740220137E-2</c:v>
                </c:pt>
                <c:pt idx="946">
                  <c:v>1.5512057367006449E-2</c:v>
                </c:pt>
                <c:pt idx="947">
                  <c:v>1.5530903917726491E-2</c:v>
                </c:pt>
                <c:pt idx="948">
                  <c:v>1.5549181392060518E-2</c:v>
                </c:pt>
                <c:pt idx="949">
                  <c:v>1.5566889790008531E-2</c:v>
                </c:pt>
                <c:pt idx="950">
                  <c:v>1.558402911157053E-2</c:v>
                </c:pt>
                <c:pt idx="951">
                  <c:v>1.5600599356506706E-2</c:v>
                </c:pt>
                <c:pt idx="952">
                  <c:v>1.5616600524976931E-2</c:v>
                </c:pt>
                <c:pt idx="953">
                  <c:v>1.5632032616581526E-2</c:v>
                </c:pt>
                <c:pt idx="954">
                  <c:v>1.5646895631480362E-2</c:v>
                </c:pt>
                <c:pt idx="955">
                  <c:v>1.5661189569513567E-2</c:v>
                </c:pt>
                <c:pt idx="956">
                  <c:v>1.5674914430681142E-2</c:v>
                </c:pt>
                <c:pt idx="957">
                  <c:v>1.5688070214903149E-2</c:v>
                </c:pt>
                <c:pt idx="958">
                  <c:v>1.5700656922019718E-2</c:v>
                </c:pt>
                <c:pt idx="959">
                  <c:v>1.5712674552110784E-2</c:v>
                </c:pt>
                <c:pt idx="960">
                  <c:v>1.572412310509641E-2</c:v>
                </c:pt>
                <c:pt idx="961">
                  <c:v>1.573500258073679E-2</c:v>
                </c:pt>
                <c:pt idx="962">
                  <c:v>1.5745312979191795E-2</c:v>
                </c:pt>
                <c:pt idx="963">
                  <c:v>1.5755054300461424E-2</c:v>
                </c:pt>
                <c:pt idx="964">
                  <c:v>1.5764226544225934E-2</c:v>
                </c:pt>
                <c:pt idx="965">
                  <c:v>1.5772829710565262E-2</c:v>
                </c:pt>
                <c:pt idx="966">
                  <c:v>1.5780863799559341E-2</c:v>
                </c:pt>
                <c:pt idx="967">
                  <c:v>1.5788328811048302E-2</c:v>
                </c:pt>
                <c:pt idx="968">
                  <c:v>1.579522474511208E-2</c:v>
                </c:pt>
                <c:pt idx="969">
                  <c:v>1.5801551601510866E-2</c:v>
                </c:pt>
                <c:pt idx="970">
                  <c:v>1.5807309380404533E-2</c:v>
                </c:pt>
                <c:pt idx="971">
                  <c:v>1.5812498081713144E-2</c:v>
                </c:pt>
                <c:pt idx="972">
                  <c:v>1.5817117705356765E-2</c:v>
                </c:pt>
                <c:pt idx="973">
                  <c:v>1.582116825141533E-2</c:v>
                </c:pt>
                <c:pt idx="974">
                  <c:v>1.5824649719728967E-2</c:v>
                </c:pt>
                <c:pt idx="975">
                  <c:v>1.5827562110377613E-2</c:v>
                </c:pt>
                <c:pt idx="976">
                  <c:v>1.582990542352114E-2</c:v>
                </c:pt>
                <c:pt idx="977">
                  <c:v>1.5831679658759867E-2</c:v>
                </c:pt>
                <c:pt idx="978">
                  <c:v>1.5832884816253667E-2</c:v>
                </c:pt>
                <c:pt idx="979">
                  <c:v>1.5833520896162412E-2</c:v>
                </c:pt>
                <c:pt idx="980">
                  <c:v>1.5833587898166357E-2</c:v>
                </c:pt>
                <c:pt idx="981">
                  <c:v>1.5833085822665183E-2</c:v>
                </c:pt>
                <c:pt idx="982">
                  <c:v>1.5832014669259209E-2</c:v>
                </c:pt>
                <c:pt idx="983">
                  <c:v>1.583037443826818E-2</c:v>
                </c:pt>
                <c:pt idx="984">
                  <c:v>1.5828165129612159E-2</c:v>
                </c:pt>
                <c:pt idx="985">
                  <c:v>1.5825404356801798E-2</c:v>
                </c:pt>
                <c:pt idx="986">
                  <c:v>1.582258530349101E-2</c:v>
                </c:pt>
                <c:pt idx="987">
                  <c:v>1.5819936947636393E-2</c:v>
                </c:pt>
                <c:pt idx="988">
                  <c:v>1.5817459289237945E-2</c:v>
                </c:pt>
                <c:pt idx="989">
                  <c:v>1.5815152328295667E-2</c:v>
                </c:pt>
                <c:pt idx="990">
                  <c:v>1.581301606480956E-2</c:v>
                </c:pt>
                <c:pt idx="991">
                  <c:v>1.5811050498699686E-2</c:v>
                </c:pt>
                <c:pt idx="992">
                  <c:v>1.5809255630125918E-2</c:v>
                </c:pt>
                <c:pt idx="993">
                  <c:v>1.580763145900832E-2</c:v>
                </c:pt>
                <c:pt idx="994">
                  <c:v>1.5806177985107084E-2</c:v>
                </c:pt>
                <c:pt idx="995">
                  <c:v>1.5804895208901826E-2</c:v>
                </c:pt>
                <c:pt idx="996">
                  <c:v>1.5803783129992865E-2</c:v>
                </c:pt>
                <c:pt idx="997">
                  <c:v>1.5802841748540075E-2</c:v>
                </c:pt>
                <c:pt idx="998">
                  <c:v>1.5802071064463519E-2</c:v>
                </c:pt>
                <c:pt idx="999">
                  <c:v>1.5801471077843132E-2</c:v>
                </c:pt>
                <c:pt idx="1000">
                  <c:v>1.5801041788758852E-2</c:v>
                </c:pt>
                <c:pt idx="1001">
                  <c:v>1.5800783196970869E-2</c:v>
                </c:pt>
                <c:pt idx="1002">
                  <c:v>1.5800695302639056E-2</c:v>
                </c:pt>
                <c:pt idx="1003">
                  <c:v>1.5800778105763413E-2</c:v>
                </c:pt>
                <c:pt idx="1004">
                  <c:v>1.5801031606264004E-2</c:v>
                </c:pt>
                <c:pt idx="1005">
                  <c:v>1.5801455804140829E-2</c:v>
                </c:pt>
                <c:pt idx="1006">
                  <c:v>1.580205069955376E-2</c:v>
                </c:pt>
                <c:pt idx="1007">
                  <c:v>1.5802816292342925E-2</c:v>
                </c:pt>
                <c:pt idx="1008">
                  <c:v>1.580375258258826E-2</c:v>
                </c:pt>
                <c:pt idx="1009">
                  <c:v>1.5804859570289764E-2</c:v>
                </c:pt>
                <c:pt idx="1010">
                  <c:v>1.5806137255447439E-2</c:v>
                </c:pt>
                <c:pt idx="1011">
                  <c:v>1.5807585637901411E-2</c:v>
                </c:pt>
                <c:pt idx="1012">
                  <c:v>1.5809204717811554E-2</c:v>
                </c:pt>
                <c:pt idx="1013">
                  <c:v>1.5810994495257802E-2</c:v>
                </c:pt>
                <c:pt idx="1014">
                  <c:v>1.5812954970080284E-2</c:v>
                </c:pt>
                <c:pt idx="1015">
                  <c:v>1.5815086142279E-2</c:v>
                </c:pt>
                <c:pt idx="1016">
                  <c:v>1.5817388012093758E-2</c:v>
                </c:pt>
                <c:pt idx="1017">
                  <c:v>1.581986057928475E-2</c:v>
                </c:pt>
                <c:pt idx="1018">
                  <c:v>1.5822503843851976E-2</c:v>
                </c:pt>
                <c:pt idx="1019">
                  <c:v>1.5825317806035244E-2</c:v>
                </c:pt>
                <c:pt idx="1020">
                  <c:v>1.5828302465434874E-2</c:v>
                </c:pt>
                <c:pt idx="1021">
                  <c:v>1.5831457822450545E-2</c:v>
                </c:pt>
                <c:pt idx="1022">
                  <c:v>1.5834783877002323E-2</c:v>
                </c:pt>
                <c:pt idx="1023">
                  <c:v>1.5838280628930335E-2</c:v>
                </c:pt>
                <c:pt idx="1024">
                  <c:v>1.5841948078314516E-2</c:v>
                </c:pt>
                <c:pt idx="1025">
                  <c:v>1.5845786225234804E-2</c:v>
                </c:pt>
                <c:pt idx="1026">
                  <c:v>1.5849795069611261E-2</c:v>
                </c:pt>
                <c:pt idx="1027">
                  <c:v>1.5853974611523824E-2</c:v>
                </c:pt>
                <c:pt idx="1028">
                  <c:v>1.5858324850892558E-2</c:v>
                </c:pt>
                <c:pt idx="1029">
                  <c:v>1.5862845787797397E-2</c:v>
                </c:pt>
                <c:pt idx="1030">
                  <c:v>1.5867537422318279E-2</c:v>
                </c:pt>
                <c:pt idx="1031">
                  <c:v>1.5872399754135458E-2</c:v>
                </c:pt>
                <c:pt idx="1032">
                  <c:v>1.5877432783648615E-2</c:v>
                </c:pt>
                <c:pt idx="1033">
                  <c:v>1.5882636510617942E-2</c:v>
                </c:pt>
                <c:pt idx="1034">
                  <c:v>1.5888010935203312E-2</c:v>
                </c:pt>
                <c:pt idx="1035">
                  <c:v>1.5893556057244851E-2</c:v>
                </c:pt>
                <c:pt idx="1036">
                  <c:v>1.5899271876902432E-2</c:v>
                </c:pt>
                <c:pt idx="1037">
                  <c:v>1.5905157634223954E-2</c:v>
                </c:pt>
                <c:pt idx="1038">
                  <c:v>1.5911087185394024E-2</c:v>
                </c:pt>
                <c:pt idx="1039">
                  <c:v>1.5916964022970603E-2</c:v>
                </c:pt>
                <c:pt idx="1040">
                  <c:v>1.5922788146873756E-2</c:v>
                </c:pt>
                <c:pt idx="1041">
                  <c:v>1.5928559557103483E-2</c:v>
                </c:pt>
                <c:pt idx="1042">
                  <c:v>1.5934278253659784E-2</c:v>
                </c:pt>
                <c:pt idx="1043">
                  <c:v>1.5939944236542658E-2</c:v>
                </c:pt>
                <c:pt idx="1044">
                  <c:v>1.5945557505752106E-2</c:v>
                </c:pt>
                <c:pt idx="1045">
                  <c:v>1.5951118061288128E-2</c:v>
                </c:pt>
                <c:pt idx="1046">
                  <c:v>1.5956625903070787E-2</c:v>
                </c:pt>
                <c:pt idx="1047">
                  <c:v>1.5962081031259956E-2</c:v>
                </c:pt>
                <c:pt idx="1048">
                  <c:v>1.5967483445855635E-2</c:v>
                </c:pt>
                <c:pt idx="1049">
                  <c:v>1.5972833146618015E-2</c:v>
                </c:pt>
                <c:pt idx="1050">
                  <c:v>1.5978130133786905E-2</c:v>
                </c:pt>
                <c:pt idx="1051">
                  <c:v>1.5983374407202433E-2</c:v>
                </c:pt>
                <c:pt idx="1052">
                  <c:v>1.5988565966864599E-2</c:v>
                </c:pt>
                <c:pt idx="1053">
                  <c:v>1.5993704812933274E-2</c:v>
                </c:pt>
                <c:pt idx="1054">
                  <c:v>1.5998790945328523E-2</c:v>
                </c:pt>
                <c:pt idx="1055">
                  <c:v>1.6003824363970409E-2</c:v>
                </c:pt>
                <c:pt idx="1056">
                  <c:v>1.6008805068858933E-2</c:v>
                </c:pt>
                <c:pt idx="1057">
                  <c:v>1.6013733060074031E-2</c:v>
                </c:pt>
                <c:pt idx="1058">
                  <c:v>1.6018608337695639E-2</c:v>
                </c:pt>
                <c:pt idx="1059">
                  <c:v>1.6023430901483948E-2</c:v>
                </c:pt>
                <c:pt idx="1060">
                  <c:v>1.6028200751518895E-2</c:v>
                </c:pt>
                <c:pt idx="1061">
                  <c:v>1.6032917888040288E-2</c:v>
                </c:pt>
                <c:pt idx="1062">
                  <c:v>1.6037582310648446E-2</c:v>
                </c:pt>
                <c:pt idx="1063">
                  <c:v>1.6042194019583178E-2</c:v>
                </c:pt>
                <c:pt idx="1064">
                  <c:v>1.6046753014844484E-2</c:v>
                </c:pt>
                <c:pt idx="1065">
                  <c:v>1.6051259296432363E-2</c:v>
                </c:pt>
                <c:pt idx="1066">
                  <c:v>1.605571286426688E-2</c:v>
                </c:pt>
                <c:pt idx="1067">
                  <c:v>1.6060113718268099E-2</c:v>
                </c:pt>
                <c:pt idx="1068">
                  <c:v>1.6064461858755763E-2</c:v>
                </c:pt>
                <c:pt idx="1069">
                  <c:v>1.6068757285250257E-2</c:v>
                </c:pt>
                <c:pt idx="1070">
                  <c:v>1.6072999998151261E-2</c:v>
                </c:pt>
                <c:pt idx="1071">
                  <c:v>1.6077189997378838E-2</c:v>
                </c:pt>
                <c:pt idx="1072">
                  <c:v>1.6081327282773117E-2</c:v>
                </c:pt>
                <c:pt idx="1073">
                  <c:v>1.6085411854493969E-2</c:v>
                </c:pt>
                <c:pt idx="1074">
                  <c:v>1.608944371246146E-2</c:v>
                </c:pt>
                <c:pt idx="1075">
                  <c:v>1.6093422856675588E-2</c:v>
                </c:pt>
                <c:pt idx="1076">
                  <c:v>1.6097349287056417E-2</c:v>
                </c:pt>
                <c:pt idx="1077">
                  <c:v>1.6101223003843756E-2</c:v>
                </c:pt>
                <c:pt idx="1078">
                  <c:v>1.6105044006877733E-2</c:v>
                </c:pt>
                <c:pt idx="1079">
                  <c:v>1.6108812295998476E-2</c:v>
                </c:pt>
                <c:pt idx="1080">
                  <c:v>1.6112527871525728E-2</c:v>
                </c:pt>
                <c:pt idx="1081">
                  <c:v>1.6116190733299618E-2</c:v>
                </c:pt>
                <c:pt idx="1082">
                  <c:v>1.6119800881320145E-2</c:v>
                </c:pt>
                <c:pt idx="1083">
                  <c:v>1.6123358315507375E-2</c:v>
                </c:pt>
                <c:pt idx="1084">
                  <c:v>1.6126863036021177E-2</c:v>
                </c:pt>
                <c:pt idx="1085">
                  <c:v>1.6130315042701682E-2</c:v>
                </c:pt>
                <c:pt idx="1086">
                  <c:v>1.613371433570876E-2</c:v>
                </c:pt>
                <c:pt idx="1087">
                  <c:v>1.6137060914882539E-2</c:v>
                </c:pt>
                <c:pt idx="1088">
                  <c:v>1.6140354780302957E-2</c:v>
                </c:pt>
                <c:pt idx="1089">
                  <c:v>1.6143595932049948E-2</c:v>
                </c:pt>
                <c:pt idx="1090">
                  <c:v>1.614678436996364E-2</c:v>
                </c:pt>
                <c:pt idx="1091">
                  <c:v>1.6149920094123971E-2</c:v>
                </c:pt>
                <c:pt idx="1092">
                  <c:v>1.6153003104610875E-2</c:v>
                </c:pt>
                <c:pt idx="1093">
                  <c:v>1.6156033401104608E-2</c:v>
                </c:pt>
                <c:pt idx="1094">
                  <c:v>1.6159010984004851E-2</c:v>
                </c:pt>
                <c:pt idx="1095">
                  <c:v>1.6161935853071796E-2</c:v>
                </c:pt>
                <c:pt idx="1096">
                  <c:v>1.6164808008465315E-2</c:v>
                </c:pt>
                <c:pt idx="1097">
                  <c:v>1.6167627449945599E-2</c:v>
                </c:pt>
                <c:pt idx="1098">
                  <c:v>1.6170394177752456E-2</c:v>
                </c:pt>
                <c:pt idx="1099">
                  <c:v>1.6173108191726016E-2</c:v>
                </c:pt>
                <c:pt idx="1100">
                  <c:v>1.6175769491946212E-2</c:v>
                </c:pt>
                <c:pt idx="1101">
                  <c:v>1.6178378078413047E-2</c:v>
                </c:pt>
                <c:pt idx="1102">
                  <c:v>1.6180933951046583E-2</c:v>
                </c:pt>
                <c:pt idx="1103">
                  <c:v>1.6183437109926757E-2</c:v>
                </c:pt>
                <c:pt idx="1104">
                  <c:v>1.6185887555053569E-2</c:v>
                </c:pt>
                <c:pt idx="1105">
                  <c:v>1.6188285286347082E-2</c:v>
                </c:pt>
                <c:pt idx="1106">
                  <c:v>1.6190630303887232E-2</c:v>
                </c:pt>
                <c:pt idx="1107">
                  <c:v>1.6192922607594085E-2</c:v>
                </c:pt>
                <c:pt idx="1108">
                  <c:v>1.6195162197547575E-2</c:v>
                </c:pt>
                <c:pt idx="1109">
                  <c:v>1.6197349073907574E-2</c:v>
                </c:pt>
                <c:pt idx="1110">
                  <c:v>1.6199483236274403E-2</c:v>
                </c:pt>
                <c:pt idx="1111">
                  <c:v>1.6201564684807934E-2</c:v>
                </c:pt>
                <c:pt idx="1112">
                  <c:v>1.6203593419668039E-2</c:v>
                </c:pt>
                <c:pt idx="1113">
                  <c:v>1.6205569440694845E-2</c:v>
                </c:pt>
                <c:pt idx="1114">
                  <c:v>1.6207492747968288E-2</c:v>
                </c:pt>
                <c:pt idx="1115">
                  <c:v>1.6209363341408434E-2</c:v>
                </c:pt>
                <c:pt idx="1116">
                  <c:v>1.6211181220935345E-2</c:v>
                </c:pt>
                <c:pt idx="1117">
                  <c:v>1.6212946386788829E-2</c:v>
                </c:pt>
                <c:pt idx="1118">
                  <c:v>1.6214658838968887E-2</c:v>
                </c:pt>
                <c:pt idx="1119">
                  <c:v>1.6216551379573119E-2</c:v>
                </c:pt>
                <c:pt idx="1120">
                  <c:v>1.6218150873550385E-2</c:v>
                </c:pt>
                <c:pt idx="1121">
                  <c:v>1.6219697653534482E-2</c:v>
                </c:pt>
                <c:pt idx="1122">
                  <c:v>1.6221191719925088E-2</c:v>
                </c:pt>
                <c:pt idx="1123">
                  <c:v>1.6222633072482395E-2</c:v>
                </c:pt>
                <c:pt idx="1124">
                  <c:v>1.6224021711206404E-2</c:v>
                </c:pt>
                <c:pt idx="1125">
                  <c:v>1.6225357636256987E-2</c:v>
                </c:pt>
                <c:pt idx="1126">
                  <c:v>1.6226640847394336E-2</c:v>
                </c:pt>
                <c:pt idx="1127">
                  <c:v>1.6227871344698386E-2</c:v>
                </c:pt>
                <c:pt idx="1128">
                  <c:v>1.6229049128249073E-2</c:v>
                </c:pt>
                <c:pt idx="1129">
                  <c:v>1.6230174198046399E-2</c:v>
                </c:pt>
                <c:pt idx="1130">
                  <c:v>1.623124655393049E-2</c:v>
                </c:pt>
                <c:pt idx="1131">
                  <c:v>1.6232266196141154E-2</c:v>
                </c:pt>
                <c:pt idx="1132">
                  <c:v>1.6233233124438584E-2</c:v>
                </c:pt>
                <c:pt idx="1133">
                  <c:v>1.6234147338982652E-2</c:v>
                </c:pt>
                <c:pt idx="1134">
                  <c:v>1.6235008839693421E-2</c:v>
                </c:pt>
                <c:pt idx="1135">
                  <c:v>1.6235817626650828E-2</c:v>
                </c:pt>
                <c:pt idx="1136">
                  <c:v>1.6236573699774937E-2</c:v>
                </c:pt>
                <c:pt idx="1137">
                  <c:v>1.6237277059145683E-2</c:v>
                </c:pt>
                <c:pt idx="1138">
                  <c:v>1.6237927704683131E-2</c:v>
                </c:pt>
                <c:pt idx="1139">
                  <c:v>1.6238525636307344E-2</c:v>
                </c:pt>
                <c:pt idx="1140">
                  <c:v>1.6239070854338067E-2</c:v>
                </c:pt>
                <c:pt idx="1141">
                  <c:v>1.6239563358375619E-2</c:v>
                </c:pt>
                <c:pt idx="1142">
                  <c:v>1.624000314865981E-2</c:v>
                </c:pt>
                <c:pt idx="1143">
                  <c:v>1.6240390225190637E-2</c:v>
                </c:pt>
                <c:pt idx="1144">
                  <c:v>1.6240724587888167E-2</c:v>
                </c:pt>
                <c:pt idx="1145">
                  <c:v>1.6241006236752398E-2</c:v>
                </c:pt>
                <c:pt idx="1146">
                  <c:v>1.6241235171863266E-2</c:v>
                </c:pt>
                <c:pt idx="1147">
                  <c:v>1.6241411393140837E-2</c:v>
                </c:pt>
                <c:pt idx="1148">
                  <c:v>1.6241534900585108E-2</c:v>
                </c:pt>
                <c:pt idx="1149">
                  <c:v>1.6241605694276018E-2</c:v>
                </c:pt>
                <c:pt idx="1150">
                  <c:v>1.6241623774053693E-2</c:v>
                </c:pt>
                <c:pt idx="1151">
                  <c:v>1.6241589140157942E-2</c:v>
                </c:pt>
                <c:pt idx="1152">
                  <c:v>1.6241501792428892E-2</c:v>
                </c:pt>
                <c:pt idx="1153">
                  <c:v>1.6241361730786608E-2</c:v>
                </c:pt>
                <c:pt idx="1154">
                  <c:v>1.6241168955390961E-2</c:v>
                </c:pt>
                <c:pt idx="1155">
                  <c:v>1.6240923466321888E-2</c:v>
                </c:pt>
                <c:pt idx="1156">
                  <c:v>1.6240625263339581E-2</c:v>
                </c:pt>
                <c:pt idx="1157">
                  <c:v>1.6240274346444039E-2</c:v>
                </c:pt>
                <c:pt idx="1158">
                  <c:v>1.6239870715955007E-2</c:v>
                </c:pt>
                <c:pt idx="1159">
                  <c:v>1.6239414371472805E-2</c:v>
                </c:pt>
                <c:pt idx="1160">
                  <c:v>1.6238905313317176E-2</c:v>
                </c:pt>
                <c:pt idx="1161">
                  <c:v>1.6238343541168376E-2</c:v>
                </c:pt>
                <c:pt idx="1162">
                  <c:v>1.6237729055346151E-2</c:v>
                </c:pt>
                <c:pt idx="1163">
                  <c:v>1.6237061855930435E-2</c:v>
                </c:pt>
                <c:pt idx="1164">
                  <c:v>1.6236341942441612E-2</c:v>
                </c:pt>
                <c:pt idx="1165">
                  <c:v>1.6235569315279363E-2</c:v>
                </c:pt>
                <c:pt idx="1166">
                  <c:v>1.623474397420388E-2</c:v>
                </c:pt>
                <c:pt idx="1167">
                  <c:v>1.6233865919295098E-2</c:v>
                </c:pt>
                <c:pt idx="1168">
                  <c:v>1.6232935150632954E-2</c:v>
                </c:pt>
                <c:pt idx="1169">
                  <c:v>1.6231951668297384E-2</c:v>
                </c:pt>
                <c:pt idx="1170">
                  <c:v>1.6230915472048579E-2</c:v>
                </c:pt>
                <c:pt idx="1171">
                  <c:v>1.6229666700162682E-2</c:v>
                </c:pt>
                <c:pt idx="1172">
                  <c:v>1.6228517545870957E-2</c:v>
                </c:pt>
                <c:pt idx="1173">
                  <c:v>1.6227315677665999E-2</c:v>
                </c:pt>
                <c:pt idx="1174">
                  <c:v>1.6226061095627742E-2</c:v>
                </c:pt>
                <c:pt idx="1175">
                  <c:v>1.6224753799836122E-2</c:v>
                </c:pt>
                <c:pt idx="1176">
                  <c:v>1.6223393790291141E-2</c:v>
                </c:pt>
                <c:pt idx="1177">
                  <c:v>1.6221981066832925E-2</c:v>
                </c:pt>
                <c:pt idx="1178">
                  <c:v>1.6220515629701282E-2</c:v>
                </c:pt>
                <c:pt idx="1179">
                  <c:v>1.6218997478736341E-2</c:v>
                </c:pt>
                <c:pt idx="1180">
                  <c:v>1.6217426613938102E-2</c:v>
                </c:pt>
                <c:pt idx="1181">
                  <c:v>1.62158030353865E-2</c:v>
                </c:pt>
                <c:pt idx="1182">
                  <c:v>1.62141267430016E-2</c:v>
                </c:pt>
                <c:pt idx="1183">
                  <c:v>1.6212397736863338E-2</c:v>
                </c:pt>
                <c:pt idx="1184">
                  <c:v>1.6210616016971713E-2</c:v>
                </c:pt>
                <c:pt idx="1185">
                  <c:v>1.6208781583166854E-2</c:v>
                </c:pt>
                <c:pt idx="1186">
                  <c:v>1.6206894435608632E-2</c:v>
                </c:pt>
                <c:pt idx="1187">
                  <c:v>1.6205848426121605E-2</c:v>
                </c:pt>
                <c:pt idx="1188">
                  <c:v>1.620296199907223E-2</c:v>
                </c:pt>
                <c:pt idx="1189">
                  <c:v>1.6200916710253921E-2</c:v>
                </c:pt>
                <c:pt idx="1190">
                  <c:v>1.6198818707522378E-2</c:v>
                </c:pt>
                <c:pt idx="1191">
                  <c:v>1.6196667991037472E-2</c:v>
                </c:pt>
                <c:pt idx="1192">
                  <c:v>1.6194464560719268E-2</c:v>
                </c:pt>
                <c:pt idx="1193">
                  <c:v>1.6192208416647702E-2</c:v>
                </c:pt>
                <c:pt idx="1194">
                  <c:v>1.6189902245473675E-2</c:v>
                </c:pt>
                <c:pt idx="1195">
                  <c:v>1.6187562021618973E-2</c:v>
                </c:pt>
                <c:pt idx="1196">
                  <c:v>1.6185190431734497E-2</c:v>
                </c:pt>
                <c:pt idx="1197">
                  <c:v>1.6182787475740312E-2</c:v>
                </c:pt>
                <c:pt idx="1198">
                  <c:v>1.618035315379629E-2</c:v>
                </c:pt>
                <c:pt idx="1199">
                  <c:v>1.6177887465822494E-2</c:v>
                </c:pt>
                <c:pt idx="1200">
                  <c:v>1.6175390411818924E-2</c:v>
                </c:pt>
                <c:pt idx="1201">
                  <c:v>1.6172861991785581E-2</c:v>
                </c:pt>
                <c:pt idx="1202">
                  <c:v>1.6170302205722464E-2</c:v>
                </c:pt>
                <c:pt idx="1203">
                  <c:v>1.6167711053629574E-2</c:v>
                </c:pt>
                <c:pt idx="1204">
                  <c:v>1.6165088535586847E-2</c:v>
                </c:pt>
                <c:pt idx="1205">
                  <c:v>1.616243465143441E-2</c:v>
                </c:pt>
                <c:pt idx="1206">
                  <c:v>1.6159749401172263E-2</c:v>
                </c:pt>
                <c:pt idx="1207">
                  <c:v>1.6157032785040215E-2</c:v>
                </c:pt>
                <c:pt idx="1208">
                  <c:v>1.6154284802878394E-2</c:v>
                </c:pt>
                <c:pt idx="1209">
                  <c:v>1.6151505454686799E-2</c:v>
                </c:pt>
                <c:pt idx="1210">
                  <c:v>1.6148694740385494E-2</c:v>
                </c:pt>
                <c:pt idx="1211">
                  <c:v>1.6145852660134352E-2</c:v>
                </c:pt>
                <c:pt idx="1212">
                  <c:v>1.6142979213933373E-2</c:v>
                </c:pt>
                <c:pt idx="1213">
                  <c:v>1.6140074401622684E-2</c:v>
                </c:pt>
                <c:pt idx="1214">
                  <c:v>1.6137138223202285E-2</c:v>
                </c:pt>
                <c:pt idx="1215">
                  <c:v>1.6134170678911985E-2</c:v>
                </c:pt>
                <c:pt idx="1216">
                  <c:v>1.6131171768671848E-2</c:v>
                </c:pt>
                <c:pt idx="1217">
                  <c:v>1.6128141492242065E-2</c:v>
                </c:pt>
                <c:pt idx="1218">
                  <c:v>1.6125079849942381E-2</c:v>
                </c:pt>
                <c:pt idx="1219">
                  <c:v>1.6121986841612923E-2</c:v>
                </c:pt>
                <c:pt idx="1220">
                  <c:v>1.6118862467253692E-2</c:v>
                </c:pt>
                <c:pt idx="1221">
                  <c:v>1.6115706726784751E-2</c:v>
                </c:pt>
                <c:pt idx="1222">
                  <c:v>1.6112519620365973E-2</c:v>
                </c:pt>
                <c:pt idx="1223">
                  <c:v>1.6109096397807221E-2</c:v>
                </c:pt>
                <c:pt idx="1224">
                  <c:v>1.6105837306064075E-2</c:v>
                </c:pt>
                <c:pt idx="1225">
                  <c:v>1.6102546845546684E-2</c:v>
                </c:pt>
                <c:pt idx="1226">
                  <c:v>1.6099225016281693E-2</c:v>
                </c:pt>
                <c:pt idx="1227">
                  <c:v>1.6095871818269103E-2</c:v>
                </c:pt>
                <c:pt idx="1228">
                  <c:v>1.6092487251535559E-2</c:v>
                </c:pt>
                <c:pt idx="1229">
                  <c:v>1.6089071316054415E-2</c:v>
                </c:pt>
                <c:pt idx="1230">
                  <c:v>1.6085624011825672E-2</c:v>
                </c:pt>
                <c:pt idx="1231">
                  <c:v>1.6082145338822684E-2</c:v>
                </c:pt>
                <c:pt idx="1232">
                  <c:v>1.6078635297152033E-2</c:v>
                </c:pt>
                <c:pt idx="1233">
                  <c:v>1.6075093886680492E-2</c:v>
                </c:pt>
                <c:pt idx="1234">
                  <c:v>1.6071521107514641E-2</c:v>
                </c:pt>
                <c:pt idx="1235">
                  <c:v>1.6067916959601192E-2</c:v>
                </c:pt>
                <c:pt idx="1236">
                  <c:v>1.6064281442993433E-2</c:v>
                </c:pt>
                <c:pt idx="1237">
                  <c:v>1.6060614557638075E-2</c:v>
                </c:pt>
                <c:pt idx="1238">
                  <c:v>1.6054605964415103E-2</c:v>
                </c:pt>
                <c:pt idx="1239">
                  <c:v>1.6050863231651391E-2</c:v>
                </c:pt>
                <c:pt idx="1240">
                  <c:v>1.6047089132937842E-2</c:v>
                </c:pt>
                <c:pt idx="1241">
                  <c:v>1.6043283668354391E-2</c:v>
                </c:pt>
                <c:pt idx="1242">
                  <c:v>1.6039446837581295E-2</c:v>
                </c:pt>
                <c:pt idx="1243">
                  <c:v>1.6035578640938297E-2</c:v>
                </c:pt>
                <c:pt idx="1244">
                  <c:v>1.603167907818559E-2</c:v>
                </c:pt>
                <c:pt idx="1245">
                  <c:v>1.6027748149562981E-2</c:v>
                </c:pt>
                <c:pt idx="1246">
                  <c:v>1.6023785854910599E-2</c:v>
                </c:pt>
                <c:pt idx="1247">
                  <c:v>1.6019792194228444E-2</c:v>
                </c:pt>
                <c:pt idx="1248">
                  <c:v>1.6015767167676387E-2</c:v>
                </c:pt>
                <c:pt idx="1249">
                  <c:v>1.601171077501462E-2</c:v>
                </c:pt>
                <c:pt idx="1250">
                  <c:v>1.6007623016562889E-2</c:v>
                </c:pt>
                <c:pt idx="1251">
                  <c:v>1.6003503891841575E-2</c:v>
                </c:pt>
                <c:pt idx="1252">
                  <c:v>1.5999353401330296E-2</c:v>
                </c:pt>
                <c:pt idx="1253">
                  <c:v>1.5995171544789244E-2</c:v>
                </c:pt>
                <c:pt idx="1254">
                  <c:v>1.599095832237829E-2</c:v>
                </c:pt>
                <c:pt idx="1255">
                  <c:v>1.5986713733777691E-2</c:v>
                </c:pt>
                <c:pt idx="1256">
                  <c:v>1.5982437779387126E-2</c:v>
                </c:pt>
                <c:pt idx="1257">
                  <c:v>1.5978130458966788E-2</c:v>
                </c:pt>
                <c:pt idx="1258">
                  <c:v>1.5973791772516677E-2</c:v>
                </c:pt>
                <c:pt idx="1259">
                  <c:v>1.5969421720036792E-2</c:v>
                </c:pt>
                <c:pt idx="1260">
                  <c:v>1.5965020301766941E-2</c:v>
                </c:pt>
                <c:pt idx="1261">
                  <c:v>1.5960587517467317E-2</c:v>
                </c:pt>
                <c:pt idx="1262">
                  <c:v>1.5956123367217856E-2</c:v>
                </c:pt>
                <c:pt idx="1263">
                  <c:v>1.5951627850858685E-2</c:v>
                </c:pt>
                <c:pt idx="1264">
                  <c:v>1.5947100968629613E-2</c:v>
                </c:pt>
                <c:pt idx="1265">
                  <c:v>1.5942542720450703E-2</c:v>
                </c:pt>
                <c:pt idx="1266">
                  <c:v>1.5937953106321956E-2</c:v>
                </c:pt>
                <c:pt idx="1267">
                  <c:v>1.5933332126163435E-2</c:v>
                </c:pt>
                <c:pt idx="1268">
                  <c:v>1.5928679780055077E-2</c:v>
                </c:pt>
                <c:pt idx="1269">
                  <c:v>1.5923996068076818E-2</c:v>
                </c:pt>
                <c:pt idx="1270">
                  <c:v>1.5919280990068785E-2</c:v>
                </c:pt>
                <c:pt idx="1271">
                  <c:v>1.5914534546110914E-2</c:v>
                </c:pt>
                <c:pt idx="1272">
                  <c:v>1.5909756736123271E-2</c:v>
                </c:pt>
                <c:pt idx="1273">
                  <c:v>1.5904947560345661E-2</c:v>
                </c:pt>
                <c:pt idx="1274">
                  <c:v>1.5900107018458343E-2</c:v>
                </c:pt>
                <c:pt idx="1275">
                  <c:v>1.5895235110701122E-2</c:v>
                </c:pt>
                <c:pt idx="1276">
                  <c:v>1.5890331836994065E-2</c:v>
                </c:pt>
                <c:pt idx="1277">
                  <c:v>1.5885397197177298E-2</c:v>
                </c:pt>
                <c:pt idx="1278">
                  <c:v>1.5880431191650501E-2</c:v>
                </c:pt>
                <c:pt idx="1279">
                  <c:v>1.5875433820013996E-2</c:v>
                </c:pt>
                <c:pt idx="1280">
                  <c:v>1.5870405082507588E-2</c:v>
                </c:pt>
                <c:pt idx="1281">
                  <c:v>1.5865344979051343E-2</c:v>
                </c:pt>
                <c:pt idx="1282">
                  <c:v>1.5860253509565325E-2</c:v>
                </c:pt>
                <c:pt idx="1283">
                  <c:v>1.5855130674289342E-2</c:v>
                </c:pt>
                <c:pt idx="1284">
                  <c:v>1.5849976472983585E-2</c:v>
                </c:pt>
                <c:pt idx="1285">
                  <c:v>1.584479090572799E-2</c:v>
                </c:pt>
                <c:pt idx="1286">
                  <c:v>1.5839573972442622E-2</c:v>
                </c:pt>
                <c:pt idx="1287">
                  <c:v>1.5834325673447225E-2</c:v>
                </c:pt>
                <c:pt idx="1288">
                  <c:v>1.5829046008342118E-2</c:v>
                </c:pt>
                <c:pt idx="1289">
                  <c:v>1.582373497736711E-2</c:v>
                </c:pt>
                <c:pt idx="1290">
                  <c:v>1.5818392580362328E-2</c:v>
                </c:pt>
                <c:pt idx="1291">
                  <c:v>1.5813018817487645E-2</c:v>
                </c:pt>
                <c:pt idx="1292">
                  <c:v>1.5807613688743061E-2</c:v>
                </c:pt>
                <c:pt idx="1293">
                  <c:v>1.5802177194048639E-2</c:v>
                </c:pt>
                <c:pt idx="1294">
                  <c:v>1.579670933340438E-2</c:v>
                </c:pt>
                <c:pt idx="1295">
                  <c:v>1.5791210106730347E-2</c:v>
                </c:pt>
                <c:pt idx="1296">
                  <c:v>1.5785679514346285E-2</c:v>
                </c:pt>
                <c:pt idx="1297">
                  <c:v>1.5780117555852513E-2</c:v>
                </c:pt>
                <c:pt idx="1298">
                  <c:v>1.577452423148884E-2</c:v>
                </c:pt>
                <c:pt idx="1299">
                  <c:v>1.5768899541335202E-2</c:v>
                </c:pt>
                <c:pt idx="1300">
                  <c:v>1.5763243484991918E-2</c:v>
                </c:pt>
                <c:pt idx="1301">
                  <c:v>1.5757556062938605E-2</c:v>
                </c:pt>
                <c:pt idx="1302">
                  <c:v>1.5751837274935454E-2</c:v>
                </c:pt>
                <c:pt idx="1303">
                  <c:v>1.5746087120982466E-2</c:v>
                </c:pt>
                <c:pt idx="1304">
                  <c:v>1.574030560107964E-2</c:v>
                </c:pt>
                <c:pt idx="1305">
                  <c:v>1.573449271538685E-2</c:v>
                </c:pt>
                <c:pt idx="1306">
                  <c:v>1.5728648463664285E-2</c:v>
                </c:pt>
                <c:pt idx="1307">
                  <c:v>1.572277284607182E-2</c:v>
                </c:pt>
                <c:pt idx="1308">
                  <c:v>1.5716865862609453E-2</c:v>
                </c:pt>
                <c:pt idx="1309">
                  <c:v>1.5710927513277184E-2</c:v>
                </c:pt>
                <c:pt idx="1310">
                  <c:v>1.5704957797995078E-2</c:v>
                </c:pt>
                <c:pt idx="1311">
                  <c:v>1.5698956716763135E-2</c:v>
                </c:pt>
                <c:pt idx="1312">
                  <c:v>1.569292426966129E-2</c:v>
                </c:pt>
                <c:pt idx="1313">
                  <c:v>1.568686045676948E-2</c:v>
                </c:pt>
                <c:pt idx="1314">
                  <c:v>1.5680765277767961E-2</c:v>
                </c:pt>
                <c:pt idx="1315">
                  <c:v>1.5674638733056412E-2</c:v>
                </c:pt>
                <c:pt idx="1316">
                  <c:v>1.566848082231509E-2</c:v>
                </c:pt>
                <c:pt idx="1317">
                  <c:v>1.5662291545783802E-2</c:v>
                </c:pt>
                <c:pt idx="1318">
                  <c:v>1.5656070903302677E-2</c:v>
                </c:pt>
                <c:pt idx="1319">
                  <c:v>1.5649818894871714E-2</c:v>
                </c:pt>
                <c:pt idx="1320">
                  <c:v>1.5643535520650786E-2</c:v>
                </c:pt>
                <c:pt idx="1321">
                  <c:v>1.5637220780480021E-2</c:v>
                </c:pt>
                <c:pt idx="1322">
                  <c:v>1.5630874674359418E-2</c:v>
                </c:pt>
                <c:pt idx="1323">
                  <c:v>1.5624497202528786E-2</c:v>
                </c:pt>
                <c:pt idx="1324">
                  <c:v>1.5618088364748317E-2</c:v>
                </c:pt>
                <c:pt idx="1325">
                  <c:v>1.5611648161097946E-2</c:v>
                </c:pt>
                <c:pt idx="1326">
                  <c:v>1.5605176591577674E-2</c:v>
                </c:pt>
                <c:pt idx="1327">
                  <c:v>1.5598673656107565E-2</c:v>
                </c:pt>
                <c:pt idx="1328">
                  <c:v>1.5592139354927426E-2</c:v>
                </c:pt>
                <c:pt idx="1329">
                  <c:v>1.5585573687637577E-2</c:v>
                </c:pt>
                <c:pt idx="1330">
                  <c:v>1.5578976654717636E-2</c:v>
                </c:pt>
                <c:pt idx="1331">
                  <c:v>1.557234825576792E-2</c:v>
                </c:pt>
                <c:pt idx="1332">
                  <c:v>1.5565688490868368E-2</c:v>
                </c:pt>
                <c:pt idx="1333">
                  <c:v>1.5558997360418658E-2</c:v>
                </c:pt>
                <c:pt idx="1334">
                  <c:v>1.5552274863859239E-2</c:v>
                </c:pt>
                <c:pt idx="1335">
                  <c:v>1.5545521001429918E-2</c:v>
                </c:pt>
                <c:pt idx="1336">
                  <c:v>1.5538735773210632E-2</c:v>
                </c:pt>
                <c:pt idx="1337">
                  <c:v>1.5531919179121445E-2</c:v>
                </c:pt>
                <c:pt idx="1338">
                  <c:v>1.5525071219242292E-2</c:v>
                </c:pt>
                <c:pt idx="1339">
                  <c:v>1.5518191893333366E-2</c:v>
                </c:pt>
                <c:pt idx="1340">
                  <c:v>1.5511281201714411E-2</c:v>
                </c:pt>
                <c:pt idx="1341">
                  <c:v>1.5504339144225554E-2</c:v>
                </c:pt>
                <c:pt idx="1342">
                  <c:v>1.5497365720866796E-2</c:v>
                </c:pt>
                <c:pt idx="1343">
                  <c:v>1.5490360931718072E-2</c:v>
                </c:pt>
                <c:pt idx="1344">
                  <c:v>1.5483324776619511E-2</c:v>
                </c:pt>
                <c:pt idx="1345">
                  <c:v>1.5476257255651049E-2</c:v>
                </c:pt>
                <c:pt idx="1346">
                  <c:v>1.5469158368892622E-2</c:v>
                </c:pt>
                <c:pt idx="1347">
                  <c:v>1.5462028116344229E-2</c:v>
                </c:pt>
                <c:pt idx="1348">
                  <c:v>1.545486649800587E-2</c:v>
                </c:pt>
                <c:pt idx="1349">
                  <c:v>1.5447673513797611E-2</c:v>
                </c:pt>
                <c:pt idx="1350">
                  <c:v>1.5440449163639514E-2</c:v>
                </c:pt>
                <c:pt idx="1351">
                  <c:v>1.5433193447771387E-2</c:v>
                </c:pt>
                <c:pt idx="1352">
                  <c:v>1.5425906365953423E-2</c:v>
                </c:pt>
                <c:pt idx="1353">
                  <c:v>1.541858791842543E-2</c:v>
                </c:pt>
                <c:pt idx="1354">
                  <c:v>1.54112381049476E-2</c:v>
                </c:pt>
                <c:pt idx="1355">
                  <c:v>1.540385692575974E-2</c:v>
                </c:pt>
                <c:pt idx="1356">
                  <c:v>1.5396444380701979E-2</c:v>
                </c:pt>
                <c:pt idx="1357">
                  <c:v>1.5389000469774317E-2</c:v>
                </c:pt>
                <c:pt idx="1358">
                  <c:v>1.5381525193056689E-2</c:v>
                </c:pt>
                <c:pt idx="1359">
                  <c:v>1.5374018550549096E-2</c:v>
                </c:pt>
                <c:pt idx="1360">
                  <c:v>1.5366480542251537E-2</c:v>
                </c:pt>
                <c:pt idx="1361">
                  <c:v>1.5358911168164013E-2</c:v>
                </c:pt>
                <c:pt idx="1362">
                  <c:v>1.5351310428126652E-2</c:v>
                </c:pt>
                <c:pt idx="1363">
                  <c:v>1.5343678322299326E-2</c:v>
                </c:pt>
                <c:pt idx="1364">
                  <c:v>1.533601485076197E-2</c:v>
                </c:pt>
                <c:pt idx="1365">
                  <c:v>1.5328320013274777E-2</c:v>
                </c:pt>
                <c:pt idx="1366">
                  <c:v>1.5320593810237426E-2</c:v>
                </c:pt>
                <c:pt idx="1367">
                  <c:v>1.5312836241170302E-2</c:v>
                </c:pt>
                <c:pt idx="1368">
                  <c:v>1.5305047306313213E-2</c:v>
                </c:pt>
                <c:pt idx="1369">
                  <c:v>1.5297227005826031E-2</c:v>
                </c:pt>
                <c:pt idx="1370">
                  <c:v>1.5289375339468947E-2</c:v>
                </c:pt>
                <c:pt idx="1371">
                  <c:v>1.5281492307241962E-2</c:v>
                </c:pt>
                <c:pt idx="1372">
                  <c:v>1.5273577909304947E-2</c:v>
                </c:pt>
                <c:pt idx="1373">
                  <c:v>1.5265632145498031E-2</c:v>
                </c:pt>
                <c:pt idx="1374">
                  <c:v>1.5257655015981086E-2</c:v>
                </c:pt>
                <c:pt idx="1375">
                  <c:v>1.5249646520514304E-2</c:v>
                </c:pt>
                <c:pt idx="1376">
                  <c:v>1.5241606659497364E-2</c:v>
                </c:pt>
                <c:pt idx="1377">
                  <c:v>1.5233535432610523E-2</c:v>
                </c:pt>
                <c:pt idx="1378">
                  <c:v>1.5225432839853781E-2</c:v>
                </c:pt>
                <c:pt idx="1379">
                  <c:v>1.5217298881387009E-2</c:v>
                </c:pt>
                <c:pt idx="1380">
                  <c:v>1.5209133557130272E-2</c:v>
                </c:pt>
                <c:pt idx="1381">
                  <c:v>1.5200936867243442E-2</c:v>
                </c:pt>
                <c:pt idx="1382">
                  <c:v>1.5192708811406774E-2</c:v>
                </c:pt>
                <c:pt idx="1383">
                  <c:v>1.5184449389860077E-2</c:v>
                </c:pt>
                <c:pt idx="1384">
                  <c:v>1.5176158602523415E-2</c:v>
                </c:pt>
                <c:pt idx="1385">
                  <c:v>1.5167836449476724E-2</c:v>
                </c:pt>
                <c:pt idx="1386">
                  <c:v>1.5159482930720003E-2</c:v>
                </c:pt>
                <c:pt idx="1387">
                  <c:v>1.5151098046013445E-2</c:v>
                </c:pt>
                <c:pt idx="1388">
                  <c:v>1.5142681795676793E-2</c:v>
                </c:pt>
                <c:pt idx="1389">
                  <c:v>1.5134234179550177E-2</c:v>
                </c:pt>
                <c:pt idx="1390">
                  <c:v>1.5125755197713531E-2</c:v>
                </c:pt>
                <c:pt idx="1391">
                  <c:v>1.5117244850086919E-2</c:v>
                </c:pt>
                <c:pt idx="1392">
                  <c:v>1.5108703136670343E-2</c:v>
                </c:pt>
                <c:pt idx="1393">
                  <c:v>1.5100130057543737E-2</c:v>
                </c:pt>
                <c:pt idx="1394">
                  <c:v>1.5091525612787038E-2</c:v>
                </c:pt>
                <c:pt idx="1395">
                  <c:v>1.5082889802160437E-2</c:v>
                </c:pt>
                <c:pt idx="1396">
                  <c:v>1.5074222625823808E-2</c:v>
                </c:pt>
                <c:pt idx="1397">
                  <c:v>1.5065524083777149E-2</c:v>
                </c:pt>
                <c:pt idx="1398">
                  <c:v>1.5056794175940524E-2</c:v>
                </c:pt>
                <c:pt idx="1399">
                  <c:v>1.5048032902393871E-2</c:v>
                </c:pt>
                <c:pt idx="1400">
                  <c:v>1.5039240262977316E-2</c:v>
                </c:pt>
                <c:pt idx="1401">
                  <c:v>1.5030416258170476E-2</c:v>
                </c:pt>
                <c:pt idx="1402">
                  <c:v>1.5021560887413798E-2</c:v>
                </c:pt>
                <c:pt idx="1403">
                  <c:v>1.5012674150867156E-2</c:v>
                </c:pt>
                <c:pt idx="1404">
                  <c:v>1.5003756048770356E-2</c:v>
                </c:pt>
                <c:pt idx="1405">
                  <c:v>1.4994806580883591E-2</c:v>
                </c:pt>
                <c:pt idx="1406">
                  <c:v>1.498582574720686E-2</c:v>
                </c:pt>
                <c:pt idx="1407">
                  <c:v>1.4976813547900036E-2</c:v>
                </c:pt>
                <c:pt idx="1408">
                  <c:v>1.4967769982963119E-2</c:v>
                </c:pt>
                <c:pt idx="1409">
                  <c:v>1.4958695052156301E-2</c:v>
                </c:pt>
                <c:pt idx="1410">
                  <c:v>1.4949588755639454E-2</c:v>
                </c:pt>
                <c:pt idx="1411">
                  <c:v>1.4940451093492513E-2</c:v>
                </c:pt>
                <c:pt idx="1412">
                  <c:v>1.4931282065635543E-2</c:v>
                </c:pt>
                <c:pt idx="1413">
                  <c:v>1.4922081672068543E-2</c:v>
                </c:pt>
                <c:pt idx="1414">
                  <c:v>1.4912849912791515E-2</c:v>
                </c:pt>
                <c:pt idx="1415">
                  <c:v>1.4903586787964329E-2</c:v>
                </c:pt>
                <c:pt idx="1416">
                  <c:v>1.4894292297187306E-2</c:v>
                </c:pt>
                <c:pt idx="1417">
                  <c:v>1.4884966440940062E-2</c:v>
                </c:pt>
                <c:pt idx="1418">
                  <c:v>1.4875609218822916E-2</c:v>
                </c:pt>
                <c:pt idx="1419">
                  <c:v>1.4866220631075677E-2</c:v>
                </c:pt>
                <c:pt idx="1420">
                  <c:v>1.4856800677778281E-2</c:v>
                </c:pt>
                <c:pt idx="1421">
                  <c:v>1.4847349358610984E-2</c:v>
                </c:pt>
                <c:pt idx="1422">
                  <c:v>1.4837866673813593E-2</c:v>
                </c:pt>
                <c:pt idx="1423">
                  <c:v>1.4828352623466046E-2</c:v>
                </c:pt>
                <c:pt idx="1424">
                  <c:v>1.4818807207328533E-2</c:v>
                </c:pt>
                <c:pt idx="1425">
                  <c:v>1.4809230425560926E-2</c:v>
                </c:pt>
                <c:pt idx="1426">
                  <c:v>1.4799622278163227E-2</c:v>
                </c:pt>
                <c:pt idx="1427">
                  <c:v>1.4789982765055498E-2</c:v>
                </c:pt>
                <c:pt idx="1428">
                  <c:v>1.4780311886317676E-2</c:v>
                </c:pt>
                <c:pt idx="1429">
                  <c:v>1.4770609641869825E-2</c:v>
                </c:pt>
                <c:pt idx="1430">
                  <c:v>1.4760876031711945E-2</c:v>
                </c:pt>
                <c:pt idx="1431">
                  <c:v>1.474971349905374E-2</c:v>
                </c:pt>
                <c:pt idx="1432">
                  <c:v>1.4739912676819955E-2</c:v>
                </c:pt>
                <c:pt idx="1433">
                  <c:v>1.4730080488956077E-2</c:v>
                </c:pt>
                <c:pt idx="1434">
                  <c:v>1.4720216935382169E-2</c:v>
                </c:pt>
                <c:pt idx="1435">
                  <c:v>1.471032201633804E-2</c:v>
                </c:pt>
                <c:pt idx="1436">
                  <c:v>1.4700395731503946E-2</c:v>
                </c:pt>
                <c:pt idx="1437">
                  <c:v>1.4690438081039758E-2</c:v>
                </c:pt>
                <c:pt idx="1438">
                  <c:v>1.4680449064865542E-2</c:v>
                </c:pt>
                <c:pt idx="1439">
                  <c:v>1.467042868330104E-2</c:v>
                </c:pt>
                <c:pt idx="1440">
                  <c:v>1.4660376935946573E-2</c:v>
                </c:pt>
                <c:pt idx="1441">
                  <c:v>1.4650293822962013E-2</c:v>
                </c:pt>
                <c:pt idx="1442">
                  <c:v>1.4640179344427295E-2</c:v>
                </c:pt>
                <c:pt idx="1443">
                  <c:v>1.4630033500182549E-2</c:v>
                </c:pt>
                <c:pt idx="1444">
                  <c:v>1.4619856290227773E-2</c:v>
                </c:pt>
                <c:pt idx="1445">
                  <c:v>1.4609647714802776E-2</c:v>
                </c:pt>
                <c:pt idx="1446">
                  <c:v>1.4599407773747686E-2</c:v>
                </c:pt>
                <c:pt idx="1447">
                  <c:v>1.4589136467062502E-2</c:v>
                </c:pt>
                <c:pt idx="1448">
                  <c:v>1.4578833794747226E-2</c:v>
                </c:pt>
                <c:pt idx="1449">
                  <c:v>1.4568499756881792E-2</c:v>
                </c:pt>
                <c:pt idx="1450">
                  <c:v>1.4558134353306329E-2</c:v>
                </c:pt>
                <c:pt idx="1451">
                  <c:v>1.4547737584260645E-2</c:v>
                </c:pt>
                <c:pt idx="1452">
                  <c:v>1.4537309449584868E-2</c:v>
                </c:pt>
                <c:pt idx="1453">
                  <c:v>1.4526849949199061E-2</c:v>
                </c:pt>
                <c:pt idx="1454">
                  <c:v>1.4516381975671067E-2</c:v>
                </c:pt>
                <c:pt idx="1455">
                  <c:v>1.4505954835239976E-2</c:v>
                </c:pt>
                <c:pt idx="1456">
                  <c:v>1.449557028913695E-2</c:v>
                </c:pt>
                <c:pt idx="1457">
                  <c:v>1.4485228337202116E-2</c:v>
                </c:pt>
                <c:pt idx="1458">
                  <c:v>1.4474928979435475E-2</c:v>
                </c:pt>
                <c:pt idx="1459">
                  <c:v>1.4464672215757091E-2</c:v>
                </c:pt>
                <c:pt idx="1460">
                  <c:v>1.4454458046326835E-2</c:v>
                </c:pt>
                <c:pt idx="1461">
                  <c:v>1.4444286470984835E-2</c:v>
                </c:pt>
                <c:pt idx="1462">
                  <c:v>1.4434157490050836E-2</c:v>
                </c:pt>
                <c:pt idx="1463">
                  <c:v>1.4424071103125158E-2</c:v>
                </c:pt>
                <c:pt idx="1464">
                  <c:v>1.4414027310287736E-2</c:v>
                </c:pt>
                <c:pt idx="1465">
                  <c:v>1.4404026111698442E-2</c:v>
                </c:pt>
                <c:pt idx="1466">
                  <c:v>1.4394067507277342E-2</c:v>
                </c:pt>
                <c:pt idx="1467">
                  <c:v>1.4384151497104369E-2</c:v>
                </c:pt>
                <c:pt idx="1468">
                  <c:v>1.4374278080859781E-2</c:v>
                </c:pt>
                <c:pt idx="1469">
                  <c:v>1.4364447258783386E-2</c:v>
                </c:pt>
                <c:pt idx="1470">
                  <c:v>1.4354659030955119E-2</c:v>
                </c:pt>
                <c:pt idx="1471">
                  <c:v>1.4344913397215109E-2</c:v>
                </c:pt>
                <c:pt idx="1472">
                  <c:v>1.4335210357563355E-2</c:v>
                </c:pt>
                <c:pt idx="1473">
                  <c:v>1.432554991215973E-2</c:v>
                </c:pt>
                <c:pt idx="1474">
                  <c:v>1.4315932060924297E-2</c:v>
                </c:pt>
                <c:pt idx="1475">
                  <c:v>1.4306356803617248E-2</c:v>
                </c:pt>
                <c:pt idx="1476">
                  <c:v>1.4296824140558329E-2</c:v>
                </c:pt>
                <c:pt idx="1477">
                  <c:v>1.4287334071507729E-2</c:v>
                </c:pt>
                <c:pt idx="1478">
                  <c:v>1.4277886596705258E-2</c:v>
                </c:pt>
                <c:pt idx="1479">
                  <c:v>1.4268481715911108E-2</c:v>
                </c:pt>
                <c:pt idx="1480">
                  <c:v>1.425911942928515E-2</c:v>
                </c:pt>
                <c:pt idx="1481">
                  <c:v>1.4249799736667512E-2</c:v>
                </c:pt>
                <c:pt idx="1482">
                  <c:v>1.4240522638218067E-2</c:v>
                </c:pt>
                <c:pt idx="1483">
                  <c:v>1.422997239617807E-2</c:v>
                </c:pt>
                <c:pt idx="1484">
                  <c:v>1.4220786570717792E-2</c:v>
                </c:pt>
                <c:pt idx="1485">
                  <c:v>1.4211643339425706E-2</c:v>
                </c:pt>
                <c:pt idx="1486">
                  <c:v>1.4202542702221876E-2</c:v>
                </c:pt>
                <c:pt idx="1487">
                  <c:v>1.4193484659106304E-2</c:v>
                </c:pt>
                <c:pt idx="1488">
                  <c:v>1.4184469210078987E-2</c:v>
                </c:pt>
                <c:pt idx="1489">
                  <c:v>1.4175496355059991E-2</c:v>
                </c:pt>
                <c:pt idx="1490">
                  <c:v>1.4166566094289124E-2</c:v>
                </c:pt>
                <c:pt idx="1491">
                  <c:v>1.4157678427366704E-2</c:v>
                </c:pt>
                <c:pt idx="1492">
                  <c:v>1.4148833354612478E-2</c:v>
                </c:pt>
                <c:pt idx="1493">
                  <c:v>1.4140030875946508E-2</c:v>
                </c:pt>
                <c:pt idx="1494">
                  <c:v>1.4131270991368794E-2</c:v>
                </c:pt>
                <c:pt idx="1495">
                  <c:v>1.4122553700799401E-2</c:v>
                </c:pt>
                <c:pt idx="1496">
                  <c:v>1.4113879004238328E-2</c:v>
                </c:pt>
                <c:pt idx="1497">
                  <c:v>1.4105246901845447E-2</c:v>
                </c:pt>
                <c:pt idx="1498">
                  <c:v>1.4095315577346668E-2</c:v>
                </c:pt>
                <c:pt idx="1499">
                  <c:v>1.4088110479004712E-2</c:v>
                </c:pt>
                <c:pt idx="1500">
                  <c:v>1.4079606158636793E-2</c:v>
                </c:pt>
                <c:pt idx="1501">
                  <c:v>1.4069284720212849E-2</c:v>
                </c:pt>
                <c:pt idx="1502">
                  <c:v>1.4060877100758873E-2</c:v>
                </c:pt>
                <c:pt idx="1503">
                  <c:v>1.4052512079096857E-2</c:v>
                </c:pt>
                <c:pt idx="1504">
                  <c:v>1.4044189655146866E-2</c:v>
                </c:pt>
                <c:pt idx="1505">
                  <c:v>1.403590982896219E-2</c:v>
                </c:pt>
                <c:pt idx="1506">
                  <c:v>1.4027672600462893E-2</c:v>
                </c:pt>
                <c:pt idx="1507">
                  <c:v>1.4019477969702265E-2</c:v>
                </c:pt>
                <c:pt idx="1508">
                  <c:v>1.4011325936653662E-2</c:v>
                </c:pt>
                <c:pt idx="1509">
                  <c:v>1.4003216501263793E-2</c:v>
                </c:pt>
                <c:pt idx="1510">
                  <c:v>1.3995149663585948E-2</c:v>
                </c:pt>
                <c:pt idx="1511">
                  <c:v>1.3987125423620128E-2</c:v>
                </c:pt>
                <c:pt idx="1512">
                  <c:v>1.3979143781286396E-2</c:v>
                </c:pt>
                <c:pt idx="1513">
                  <c:v>1.3971204736611398E-2</c:v>
                </c:pt>
                <c:pt idx="1514">
                  <c:v>1.3963308289621779E-2</c:v>
                </c:pt>
                <c:pt idx="1515">
                  <c:v>1.3955454440264248E-2</c:v>
                </c:pt>
                <c:pt idx="1516">
                  <c:v>1.3947643188565451E-2</c:v>
                </c:pt>
                <c:pt idx="1517">
                  <c:v>1.3939874534472096E-2</c:v>
                </c:pt>
                <c:pt idx="1518">
                  <c:v>1.3932148477984185E-2</c:v>
                </c:pt>
                <c:pt idx="1519">
                  <c:v>1.3924465019155008E-2</c:v>
                </c:pt>
                <c:pt idx="1520">
                  <c:v>1.3916824157931273E-2</c:v>
                </c:pt>
                <c:pt idx="1521">
                  <c:v>1.3909225894233046E-2</c:v>
                </c:pt>
                <c:pt idx="1522">
                  <c:v>1.3901670228220198E-2</c:v>
                </c:pt>
                <c:pt idx="1523">
                  <c:v>1.3894157159732856E-2</c:v>
                </c:pt>
                <c:pt idx="1524">
                  <c:v>1.3886686688771022E-2</c:v>
                </c:pt>
                <c:pt idx="1525">
                  <c:v>1.3879258815441275E-2</c:v>
                </c:pt>
                <c:pt idx="1526">
                  <c:v>1.3871873539690327E-2</c:v>
                </c:pt>
                <c:pt idx="1527">
                  <c:v>1.386453086143824E-2</c:v>
                </c:pt>
                <c:pt idx="1528">
                  <c:v>1.3857230780764951E-2</c:v>
                </c:pt>
                <c:pt idx="1529">
                  <c:v>1.3849973297563878E-2</c:v>
                </c:pt>
                <c:pt idx="1530">
                  <c:v>1.3842758411968248E-2</c:v>
                </c:pt>
                <c:pt idx="1531">
                  <c:v>1.3835586123844834E-2</c:v>
                </c:pt>
                <c:pt idx="1532">
                  <c:v>1.3828456433220282E-2</c:v>
                </c:pt>
                <c:pt idx="1533">
                  <c:v>1.3821369340174527E-2</c:v>
                </c:pt>
                <c:pt idx="1534">
                  <c:v>1.3814324844547698E-2</c:v>
                </c:pt>
                <c:pt idx="1535">
                  <c:v>1.3804800563397279E-2</c:v>
                </c:pt>
                <c:pt idx="1536">
                  <c:v>1.3797853966179829E-2</c:v>
                </c:pt>
                <c:pt idx="1537">
                  <c:v>1.3790949962730892E-2</c:v>
                </c:pt>
                <c:pt idx="1538">
                  <c:v>1.3784088553450147E-2</c:v>
                </c:pt>
                <c:pt idx="1539">
                  <c:v>1.3777269737937914E-2</c:v>
                </c:pt>
                <c:pt idx="1540">
                  <c:v>1.3770493516354065E-2</c:v>
                </c:pt>
                <c:pt idx="1541">
                  <c:v>1.3763759888778537E-2</c:v>
                </c:pt>
                <c:pt idx="1542">
                  <c:v>1.3757068855051457E-2</c:v>
                </c:pt>
                <c:pt idx="1543">
                  <c:v>1.3750420415332698E-2</c:v>
                </c:pt>
                <c:pt idx="1544">
                  <c:v>1.3743814569382451E-2</c:v>
                </c:pt>
                <c:pt idx="1545">
                  <c:v>1.3737251317440524E-2</c:v>
                </c:pt>
                <c:pt idx="1546">
                  <c:v>1.3730730659426982E-2</c:v>
                </c:pt>
                <c:pt idx="1547">
                  <c:v>1.3724252595341824E-2</c:v>
                </c:pt>
                <c:pt idx="1548">
                  <c:v>1.3717817125105114E-2</c:v>
                </c:pt>
                <c:pt idx="1549">
                  <c:v>1.3710514457994094E-2</c:v>
                </c:pt>
                <c:pt idx="1550">
                  <c:v>1.3704170260426807E-2</c:v>
                </c:pt>
                <c:pt idx="1551">
                  <c:v>1.3697868656787904E-2</c:v>
                </c:pt>
                <c:pt idx="1552">
                  <c:v>1.3691609647077385E-2</c:v>
                </c:pt>
                <c:pt idx="1553">
                  <c:v>1.3685393231375187E-2</c:v>
                </c:pt>
                <c:pt idx="1554">
                  <c:v>1.3679219409361565E-2</c:v>
                </c:pt>
                <c:pt idx="1555">
                  <c:v>1.3673088181356263E-2</c:v>
                </c:pt>
                <c:pt idx="1556">
                  <c:v>1.3666999547279346E-2</c:v>
                </c:pt>
                <c:pt idx="1557">
                  <c:v>1.3660953507050877E-2</c:v>
                </c:pt>
                <c:pt idx="1558">
                  <c:v>1.3654950060670856E-2</c:v>
                </c:pt>
                <c:pt idx="1559">
                  <c:v>1.3648989208299156E-2</c:v>
                </c:pt>
                <c:pt idx="1560">
                  <c:v>1.3643070949775904E-2</c:v>
                </c:pt>
                <c:pt idx="1561">
                  <c:v>1.3637195285021164E-2</c:v>
                </c:pt>
                <c:pt idx="1562">
                  <c:v>1.3631362214274745E-2</c:v>
                </c:pt>
                <c:pt idx="1563">
                  <c:v>1.3625571737376774E-2</c:v>
                </c:pt>
                <c:pt idx="1564">
                  <c:v>1.3619823854407187E-2</c:v>
                </c:pt>
                <c:pt idx="1565">
                  <c:v>1.3614118565206113E-2</c:v>
                </c:pt>
                <c:pt idx="1566">
                  <c:v>1.3608455869933422E-2</c:v>
                </c:pt>
                <c:pt idx="1567">
                  <c:v>1.3602835768509181E-2</c:v>
                </c:pt>
                <c:pt idx="1568">
                  <c:v>1.3597258260933387E-2</c:v>
                </c:pt>
                <c:pt idx="1569">
                  <c:v>1.3591723347206042E-2</c:v>
                </c:pt>
                <c:pt idx="1570">
                  <c:v>1.3586231027487017E-2</c:v>
                </c:pt>
                <c:pt idx="1571">
                  <c:v>1.358078130161644E-2</c:v>
                </c:pt>
                <c:pt idx="1572">
                  <c:v>1.3575374169594312E-2</c:v>
                </c:pt>
                <c:pt idx="1573">
                  <c:v>1.357000963126076E-2</c:v>
                </c:pt>
                <c:pt idx="1574">
                  <c:v>1.3564687687015464E-2</c:v>
                </c:pt>
                <c:pt idx="1575">
                  <c:v>1.3559408336458745E-2</c:v>
                </c:pt>
                <c:pt idx="1576">
                  <c:v>1.355417157983041E-2</c:v>
                </c:pt>
                <c:pt idx="1577">
                  <c:v>1.3548977417050523E-2</c:v>
                </c:pt>
                <c:pt idx="1578">
                  <c:v>1.3543825848119084E-2</c:v>
                </c:pt>
                <c:pt idx="1579">
                  <c:v>1.353871687311603E-2</c:v>
                </c:pt>
                <c:pt idx="1580">
                  <c:v>1.353365049164168E-2</c:v>
                </c:pt>
                <c:pt idx="1581">
                  <c:v>1.3528626704415458E-2</c:v>
                </c:pt>
                <c:pt idx="1582">
                  <c:v>1.3523645510877813E-2</c:v>
                </c:pt>
                <c:pt idx="1583">
                  <c:v>1.351870691110868E-2</c:v>
                </c:pt>
                <c:pt idx="1584">
                  <c:v>1.3513810905267931E-2</c:v>
                </c:pt>
                <c:pt idx="1585">
                  <c:v>1.3508957493195695E-2</c:v>
                </c:pt>
                <c:pt idx="1586">
                  <c:v>1.3504146675051842E-2</c:v>
                </c:pt>
                <c:pt idx="1587">
                  <c:v>1.3499378450676502E-2</c:v>
                </c:pt>
                <c:pt idx="1588">
                  <c:v>1.3494652820069675E-2</c:v>
                </c:pt>
                <c:pt idx="1589">
                  <c:v>1.3489969783391231E-2</c:v>
                </c:pt>
                <c:pt idx="1590">
                  <c:v>1.3485329340561236E-2</c:v>
                </c:pt>
                <c:pt idx="1591">
                  <c:v>1.3480731491579689E-2</c:v>
                </c:pt>
                <c:pt idx="1592">
                  <c:v>1.3476176236286719E-2</c:v>
                </c:pt>
                <c:pt idx="1593">
                  <c:v>1.3471663575002069E-2</c:v>
                </c:pt>
                <c:pt idx="1594">
                  <c:v>1.3467193507405995E-2</c:v>
                </c:pt>
                <c:pt idx="1595">
                  <c:v>1.3462766033738305E-2</c:v>
                </c:pt>
                <c:pt idx="1596">
                  <c:v>1.3458381153759191E-2</c:v>
                </c:pt>
                <c:pt idx="1597">
                  <c:v>1.3454038867628526E-2</c:v>
                </c:pt>
                <c:pt idx="1598">
                  <c:v>1.3449739175346309E-2</c:v>
                </c:pt>
                <c:pt idx="1599">
                  <c:v>1.344548207691254E-2</c:v>
                </c:pt>
                <c:pt idx="1600">
                  <c:v>1.3441267572247284E-2</c:v>
                </c:pt>
                <c:pt idx="1601">
                  <c:v>1.3437095661510412E-2</c:v>
                </c:pt>
                <c:pt idx="1602">
                  <c:v>1.3432966344462116E-2</c:v>
                </c:pt>
                <c:pt idx="1603">
                  <c:v>1.3428879621182332E-2</c:v>
                </c:pt>
                <c:pt idx="1604">
                  <c:v>1.3424835491830933E-2</c:v>
                </c:pt>
                <c:pt idx="1605">
                  <c:v>1.3420833956248046E-2</c:v>
                </c:pt>
                <c:pt idx="1606">
                  <c:v>1.3416875014353735E-2</c:v>
                </c:pt>
                <c:pt idx="1607">
                  <c:v>1.3412958666387809E-2</c:v>
                </c:pt>
                <c:pt idx="1608">
                  <c:v>1.340908491227033E-2</c:v>
                </c:pt>
                <c:pt idx="1609">
                  <c:v>1.3405253751921364E-2</c:v>
                </c:pt>
                <c:pt idx="1610">
                  <c:v>1.3401465185181038E-2</c:v>
                </c:pt>
                <c:pt idx="1611">
                  <c:v>1.3397719212449033E-2</c:v>
                </c:pt>
                <c:pt idx="1612">
                  <c:v>1.339401583348554E-2</c:v>
                </c:pt>
                <c:pt idx="1613">
                  <c:v>1.3390355048370495E-2</c:v>
                </c:pt>
                <c:pt idx="1614">
                  <c:v>1.3386736856944026E-2</c:v>
                </c:pt>
                <c:pt idx="1615">
                  <c:v>1.3383161259286069E-2</c:v>
                </c:pt>
                <c:pt idx="1616">
                  <c:v>1.3379628255476561E-2</c:v>
                </c:pt>
                <c:pt idx="1617">
                  <c:v>1.3376137845515501E-2</c:v>
                </c:pt>
                <c:pt idx="1618">
                  <c:v>1.3372690029243017E-2</c:v>
                </c:pt>
                <c:pt idx="1619">
                  <c:v>1.3369284806818982E-2</c:v>
                </c:pt>
                <c:pt idx="1620">
                  <c:v>1.3365922178083522E-2</c:v>
                </c:pt>
                <c:pt idx="1621">
                  <c:v>1.3362602143276447E-2</c:v>
                </c:pt>
                <c:pt idx="1622">
                  <c:v>1.3359324702317821E-2</c:v>
                </c:pt>
                <c:pt idx="1623">
                  <c:v>1.3356089854887898E-2</c:v>
                </c:pt>
                <c:pt idx="1624">
                  <c:v>1.335289760138636E-2</c:v>
                </c:pt>
                <c:pt idx="1625">
                  <c:v>1.3349747941653334E-2</c:v>
                </c:pt>
                <c:pt idx="1626">
                  <c:v>1.334664087568882E-2</c:v>
                </c:pt>
                <c:pt idx="1627">
                  <c:v>1.3343576403492818E-2</c:v>
                </c:pt>
                <c:pt idx="1628">
                  <c:v>1.3340554525145265E-2</c:v>
                </c:pt>
                <c:pt idx="1629">
                  <c:v>1.3337575240566224E-2</c:v>
                </c:pt>
                <c:pt idx="1630">
                  <c:v>1.3334638549675759E-2</c:v>
                </c:pt>
                <c:pt idx="1631">
                  <c:v>1.3331744452553806E-2</c:v>
                </c:pt>
                <c:pt idx="1632">
                  <c:v>1.3328892949360238E-2</c:v>
                </c:pt>
                <c:pt idx="1633">
                  <c:v>1.332608403977531E-2</c:v>
                </c:pt>
                <c:pt idx="1634">
                  <c:v>1.332331772403883E-2</c:v>
                </c:pt>
                <c:pt idx="1635">
                  <c:v>1.3320594002070862E-2</c:v>
                </c:pt>
                <c:pt idx="1636">
                  <c:v>1.3317912873791471E-2</c:v>
                </c:pt>
                <c:pt idx="1637">
                  <c:v>1.3315274339360528E-2</c:v>
                </c:pt>
                <c:pt idx="1638">
                  <c:v>1.3312678398698097E-2</c:v>
                </c:pt>
                <c:pt idx="1639">
                  <c:v>1.3310125051884114E-2</c:v>
                </c:pt>
                <c:pt idx="1640">
                  <c:v>1.3307614298678772E-2</c:v>
                </c:pt>
                <c:pt idx="1641">
                  <c:v>1.3305146139481749E-2</c:v>
                </c:pt>
                <c:pt idx="1642">
                  <c:v>1.3302720573813431E-2</c:v>
                </c:pt>
                <c:pt idx="1643">
                  <c:v>1.3300337601913625E-2</c:v>
                </c:pt>
                <c:pt idx="1644">
                  <c:v>1.3297997223782332E-2</c:v>
                </c:pt>
                <c:pt idx="1645">
                  <c:v>1.3295699439579423E-2</c:v>
                </c:pt>
                <c:pt idx="1646">
                  <c:v>1.3293444248905217E-2</c:v>
                </c:pt>
                <c:pt idx="1647">
                  <c:v>1.3291231652159397E-2</c:v>
                </c:pt>
                <c:pt idx="1648">
                  <c:v>1.3289061649182088E-2</c:v>
                </c:pt>
                <c:pt idx="1649">
                  <c:v>1.3286934239813419E-2</c:v>
                </c:pt>
                <c:pt idx="1650">
                  <c:v>1.3284849424293199E-2</c:v>
                </c:pt>
                <c:pt idx="1651">
                  <c:v>1.3282807202541491E-2</c:v>
                </c:pt>
                <c:pt idx="1652">
                  <c:v>1.3280807574558295E-2</c:v>
                </c:pt>
                <c:pt idx="1653">
                  <c:v>1.3278850540343612E-2</c:v>
                </c:pt>
                <c:pt idx="1654">
                  <c:v>1.3276936099817505E-2</c:v>
                </c:pt>
                <c:pt idx="1655">
                  <c:v>1.3275064253139846E-2</c:v>
                </c:pt>
                <c:pt idx="1656">
                  <c:v>1.3273235000150763E-2</c:v>
                </c:pt>
                <c:pt idx="1657">
                  <c:v>1.3271448340850256E-2</c:v>
                </c:pt>
                <c:pt idx="1658">
                  <c:v>1.3269704275398198E-2</c:v>
                </c:pt>
                <c:pt idx="1659">
                  <c:v>1.3268002803714651E-2</c:v>
                </c:pt>
                <c:pt idx="1660">
                  <c:v>1.3266343925719681E-2</c:v>
                </c:pt>
                <c:pt idx="1661">
                  <c:v>1.3264727641493224E-2</c:v>
                </c:pt>
                <c:pt idx="1662">
                  <c:v>1.3263153950955342E-2</c:v>
                </c:pt>
                <c:pt idx="1663">
                  <c:v>1.3261622854265909E-2</c:v>
                </c:pt>
                <c:pt idx="1664">
                  <c:v>1.3260134351265052E-2</c:v>
                </c:pt>
                <c:pt idx="1665">
                  <c:v>1.3258688442032707E-2</c:v>
                </c:pt>
                <c:pt idx="1666">
                  <c:v>1.3257285126568874E-2</c:v>
                </c:pt>
                <c:pt idx="1667">
                  <c:v>1.3255924404873554E-2</c:v>
                </c:pt>
                <c:pt idx="1668">
                  <c:v>1.3254606276866809E-2</c:v>
                </c:pt>
                <c:pt idx="1669">
                  <c:v>1.3253330742708513E-2</c:v>
                </c:pt>
                <c:pt idx="1670">
                  <c:v>1.3252097802078922E-2</c:v>
                </c:pt>
                <c:pt idx="1671">
                  <c:v>1.325090745545765E-2</c:v>
                </c:pt>
                <c:pt idx="1672">
                  <c:v>1.3249759702445019E-2</c:v>
                </c:pt>
                <c:pt idx="1673">
                  <c:v>1.3248654543120963E-2</c:v>
                </c:pt>
                <c:pt idx="1674">
                  <c:v>1.3247591977645357E-2</c:v>
                </c:pt>
                <c:pt idx="1675">
                  <c:v>1.3246572005938262E-2</c:v>
                </c:pt>
                <c:pt idx="1676">
                  <c:v>1.3245594627919743E-2</c:v>
                </c:pt>
                <c:pt idx="1677">
                  <c:v>1.3244659843509865E-2</c:v>
                </c:pt>
                <c:pt idx="1678">
                  <c:v>1.3243767653028371E-2</c:v>
                </c:pt>
                <c:pt idx="1679">
                  <c:v>1.3242918056235453E-2</c:v>
                </c:pt>
                <c:pt idx="1680">
                  <c:v>1.3242111053131111E-2</c:v>
                </c:pt>
                <c:pt idx="1681">
                  <c:v>1.3241346643955154E-2</c:v>
                </c:pt>
                <c:pt idx="1682">
                  <c:v>1.3240624828387837E-2</c:v>
                </c:pt>
                <c:pt idx="1683">
                  <c:v>1.3239945606509096E-2</c:v>
                </c:pt>
                <c:pt idx="1684">
                  <c:v>1.3239308978478803E-2</c:v>
                </c:pt>
                <c:pt idx="1685">
                  <c:v>1.3238714943977214E-2</c:v>
                </c:pt>
                <c:pt idx="1686">
                  <c:v>1.3238163503483946E-2</c:v>
                </c:pt>
                <c:pt idx="1687">
                  <c:v>1.3237654656519382E-2</c:v>
                </c:pt>
                <c:pt idx="1688">
                  <c:v>1.3237188403563138E-2</c:v>
                </c:pt>
                <c:pt idx="1689">
                  <c:v>1.3236764744135598E-2</c:v>
                </c:pt>
                <c:pt idx="1690">
                  <c:v>1.3236383678476571E-2</c:v>
                </c:pt>
                <c:pt idx="1691">
                  <c:v>1.323604520650612E-2</c:v>
                </c:pt>
                <c:pt idx="1692">
                  <c:v>1.3235749328464053E-2</c:v>
                </c:pt>
                <c:pt idx="1693">
                  <c:v>1.323549604395069E-2</c:v>
                </c:pt>
                <c:pt idx="1694">
                  <c:v>1.3235285353285775E-2</c:v>
                </c:pt>
                <c:pt idx="1695">
                  <c:v>1.3235117256469309E-2</c:v>
                </c:pt>
                <c:pt idx="1696">
                  <c:v>1.3234991753181546E-2</c:v>
                </c:pt>
                <c:pt idx="1697">
                  <c:v>1.3234908843742232E-2</c:v>
                </c:pt>
                <c:pt idx="1698">
                  <c:v>1.3234868527911559E-2</c:v>
                </c:pt>
                <c:pt idx="1699">
                  <c:v>1.3234870806089205E-2</c:v>
                </c:pt>
                <c:pt idx="1700">
                  <c:v>1.3234915677875492E-2</c:v>
                </c:pt>
                <c:pt idx="1701">
                  <c:v>1.3235003143350355E-2</c:v>
                </c:pt>
                <c:pt idx="1702">
                  <c:v>1.3235133202513794E-2</c:v>
                </c:pt>
                <c:pt idx="1703">
                  <c:v>1.3235305855525681E-2</c:v>
                </c:pt>
                <c:pt idx="1704">
                  <c:v>1.323552110230608E-2</c:v>
                </c:pt>
                <c:pt idx="1705">
                  <c:v>1.3235778942775056E-2</c:v>
                </c:pt>
                <c:pt idx="1706">
                  <c:v>1.3236079377012544E-2</c:v>
                </c:pt>
                <c:pt idx="1707">
                  <c:v>1.3236422404938608E-2</c:v>
                </c:pt>
                <c:pt idx="1708">
                  <c:v>1.3236808026473312E-2</c:v>
                </c:pt>
                <c:pt idx="1709">
                  <c:v>1.3237300892701143E-2</c:v>
                </c:pt>
                <c:pt idx="1710">
                  <c:v>1.3237777786505589E-2</c:v>
                </c:pt>
                <c:pt idx="1711">
                  <c:v>1.3238297274398292E-2</c:v>
                </c:pt>
                <c:pt idx="1712">
                  <c:v>1.3238859355819699E-2</c:v>
                </c:pt>
                <c:pt idx="1713">
                  <c:v>1.3239464030929682E-2</c:v>
                </c:pt>
                <c:pt idx="1714">
                  <c:v>1.3240102637857021E-2</c:v>
                </c:pt>
                <c:pt idx="1715">
                  <c:v>1.3240756519685704E-2</c:v>
                </c:pt>
                <c:pt idx="1716">
                  <c:v>1.3241425010148689E-2</c:v>
                </c:pt>
                <c:pt idx="1717">
                  <c:v>1.324210810916604E-2</c:v>
                </c:pt>
                <c:pt idx="1718">
                  <c:v>1.3242805816737757E-2</c:v>
                </c:pt>
                <c:pt idx="1719">
                  <c:v>1.3243518133023713E-2</c:v>
                </c:pt>
                <c:pt idx="1720">
                  <c:v>1.3244245057864035E-2</c:v>
                </c:pt>
                <c:pt idx="1721">
                  <c:v>1.3244986591338659E-2</c:v>
                </c:pt>
                <c:pt idx="1722">
                  <c:v>1.3245742733287713E-2</c:v>
                </c:pt>
                <c:pt idx="1723">
                  <c:v>1.3246513484030942E-2</c:v>
                </c:pt>
                <c:pt idx="1724">
                  <c:v>1.3247298843408473E-2</c:v>
                </c:pt>
                <c:pt idx="1725">
                  <c:v>1.324809881134037E-2</c:v>
                </c:pt>
                <c:pt idx="1726">
                  <c:v>1.3248913387826633E-2</c:v>
                </c:pt>
                <c:pt idx="1727">
                  <c:v>1.3249742573027135E-2</c:v>
                </c:pt>
                <c:pt idx="1728">
                  <c:v>1.3250586366702066E-2</c:v>
                </c:pt>
                <c:pt idx="1729">
                  <c:v>1.3251444769091236E-2</c:v>
                </c:pt>
                <c:pt idx="1730">
                  <c:v>1.3252317780114709E-2</c:v>
                </c:pt>
                <c:pt idx="1731">
                  <c:v>1.3253205399612611E-2</c:v>
                </c:pt>
                <c:pt idx="1732">
                  <c:v>1.3254107627904688E-2</c:v>
                </c:pt>
                <c:pt idx="1733">
                  <c:v>1.3255024464591258E-2</c:v>
                </c:pt>
                <c:pt idx="1734">
                  <c:v>1.3255955910231876E-2</c:v>
                </c:pt>
                <c:pt idx="1735">
                  <c:v>1.3256901964107115E-2</c:v>
                </c:pt>
                <c:pt idx="1736">
                  <c:v>1.3257862626696593E-2</c:v>
                </c:pt>
                <c:pt idx="1737">
                  <c:v>1.3258837898080245E-2</c:v>
                </c:pt>
                <c:pt idx="1738">
                  <c:v>1.3259827777858391E-2</c:v>
                </c:pt>
                <c:pt idx="1739">
                  <c:v>1.3260832266430711E-2</c:v>
                </c:pt>
                <c:pt idx="1740">
                  <c:v>1.3261851363477462E-2</c:v>
                </c:pt>
                <c:pt idx="1741">
                  <c:v>1.326288506923845E-2</c:v>
                </c:pt>
                <c:pt idx="1742">
                  <c:v>1.3263933383473869E-2</c:v>
                </c:pt>
                <c:pt idx="1743">
                  <c:v>1.3265149345205174E-2</c:v>
                </c:pt>
                <c:pt idx="1744">
                  <c:v>1.3266228963679794E-2</c:v>
                </c:pt>
                <c:pt idx="1745">
                  <c:v>1.3267323190788716E-2</c:v>
                </c:pt>
                <c:pt idx="1746">
                  <c:v>1.326843202653194E-2</c:v>
                </c:pt>
                <c:pt idx="1747">
                  <c:v>1.3269555470909467E-2</c:v>
                </c:pt>
                <c:pt idx="1748">
                  <c:v>1.3270693523761423E-2</c:v>
                </c:pt>
                <c:pt idx="1749">
                  <c:v>1.3271846185327618E-2</c:v>
                </c:pt>
                <c:pt idx="1750">
                  <c:v>1.3273013455528115E-2</c:v>
                </c:pt>
                <c:pt idx="1751">
                  <c:v>1.3274195334362915E-2</c:v>
                </c:pt>
                <c:pt idx="1752">
                  <c:v>1.3275391821832017E-2</c:v>
                </c:pt>
                <c:pt idx="1753">
                  <c:v>1.3276602917775548E-2</c:v>
                </c:pt>
                <c:pt idx="1754">
                  <c:v>1.3277828622433319E-2</c:v>
                </c:pt>
                <c:pt idx="1755">
                  <c:v>1.3279068935725391E-2</c:v>
                </c:pt>
                <c:pt idx="1756">
                  <c:v>1.3280323857491894E-2</c:v>
                </c:pt>
                <c:pt idx="1757">
                  <c:v>1.3281593388052571E-2</c:v>
                </c:pt>
                <c:pt idx="1758">
                  <c:v>1.328287752724755E-2</c:v>
                </c:pt>
                <c:pt idx="1759">
                  <c:v>1.3285530803630152E-2</c:v>
                </c:pt>
                <c:pt idx="1760">
                  <c:v>1.3285489631220671E-2</c:v>
                </c:pt>
                <c:pt idx="1761">
                  <c:v>1.3286817596158684E-2</c:v>
                </c:pt>
                <c:pt idx="1762">
                  <c:v>1.3288160169731E-2</c:v>
                </c:pt>
                <c:pt idx="1763">
                  <c:v>1.3289517351857683E-2</c:v>
                </c:pt>
                <c:pt idx="1764">
                  <c:v>1.3290889142778539E-2</c:v>
                </c:pt>
                <c:pt idx="1765">
                  <c:v>1.3292275542173826E-2</c:v>
                </c:pt>
                <c:pt idx="1766">
                  <c:v>1.3293676550203415E-2</c:v>
                </c:pt>
                <c:pt idx="1767">
                  <c:v>1.3295092166867306E-2</c:v>
                </c:pt>
                <c:pt idx="1768">
                  <c:v>1.3296522392085564E-2</c:v>
                </c:pt>
                <c:pt idx="1769">
                  <c:v>1.3297967225938123E-2</c:v>
                </c:pt>
                <c:pt idx="1770">
                  <c:v>1.3299426668504921E-2</c:v>
                </c:pt>
                <c:pt idx="1771">
                  <c:v>1.3300900719626085E-2</c:v>
                </c:pt>
                <c:pt idx="1772">
                  <c:v>1.3302389379381552E-2</c:v>
                </c:pt>
                <c:pt idx="1773">
                  <c:v>1.3303892647691384E-2</c:v>
                </c:pt>
                <c:pt idx="1774">
                  <c:v>1.3305410524715455E-2</c:v>
                </c:pt>
                <c:pt idx="1775">
                  <c:v>1.3306943010373828E-2</c:v>
                </c:pt>
                <c:pt idx="1776">
                  <c:v>1.3308490104586568E-2</c:v>
                </c:pt>
                <c:pt idx="1777">
                  <c:v>1.3310051807353673E-2</c:v>
                </c:pt>
                <c:pt idx="1778">
                  <c:v>1.3311628118755081E-2</c:v>
                </c:pt>
                <c:pt idx="1779">
                  <c:v>1.3313219038790791E-2</c:v>
                </c:pt>
                <c:pt idx="1780">
                  <c:v>1.3314824567620676E-2</c:v>
                </c:pt>
                <c:pt idx="1781">
                  <c:v>1.3316444704845054E-2</c:v>
                </c:pt>
                <c:pt idx="1782">
                  <c:v>1.3318079450863607E-2</c:v>
                </c:pt>
                <c:pt idx="1783">
                  <c:v>1.3319728805436526E-2</c:v>
                </c:pt>
                <c:pt idx="1784">
                  <c:v>1.3321392768563811E-2</c:v>
                </c:pt>
                <c:pt idx="1785">
                  <c:v>1.3323071340405335E-2</c:v>
                </c:pt>
                <c:pt idx="1786">
                  <c:v>1.3324764520801224E-2</c:v>
                </c:pt>
                <c:pt idx="1787">
                  <c:v>1.332647230975148E-2</c:v>
                </c:pt>
                <c:pt idx="1788">
                  <c:v>1.3328194707336039E-2</c:v>
                </c:pt>
                <c:pt idx="1789">
                  <c:v>1.3329931713794707E-2</c:v>
                </c:pt>
                <c:pt idx="1790">
                  <c:v>1.333168332864787E-2</c:v>
                </c:pt>
                <c:pt idx="1791">
                  <c:v>1.3333449552215271E-2</c:v>
                </c:pt>
                <c:pt idx="1792">
                  <c:v>1.3335230384337038E-2</c:v>
                </c:pt>
                <c:pt idx="1793">
                  <c:v>1.3337025825093107E-2</c:v>
                </c:pt>
                <c:pt idx="1794">
                  <c:v>1.3338835874483479E-2</c:v>
                </c:pt>
                <c:pt idx="1795">
                  <c:v>1.3341679060943079E-2</c:v>
                </c:pt>
                <c:pt idx="1796">
                  <c:v>1.3343522638127325E-2</c:v>
                </c:pt>
                <c:pt idx="1797">
                  <c:v>1.3345380825091624E-2</c:v>
                </c:pt>
                <c:pt idx="1798">
                  <c:v>1.3347253621622812E-2</c:v>
                </c:pt>
                <c:pt idx="1799">
                  <c:v>1.3349141027987343E-2</c:v>
                </c:pt>
                <c:pt idx="1800">
                  <c:v>1.3351043044051991E-2</c:v>
                </c:pt>
                <c:pt idx="1801">
                  <c:v>1.3352959669896691E-2</c:v>
                </c:pt>
                <c:pt idx="1802">
                  <c:v>1.3354890905388217E-2</c:v>
                </c:pt>
                <c:pt idx="1803">
                  <c:v>1.335683675068644E-2</c:v>
                </c:pt>
                <c:pt idx="1804">
                  <c:v>1.3358797205658135E-2</c:v>
                </c:pt>
                <c:pt idx="1805">
                  <c:v>1.3360772270383237E-2</c:v>
                </c:pt>
                <c:pt idx="1806">
                  <c:v>1.3362761944808454E-2</c:v>
                </c:pt>
                <c:pt idx="1807">
                  <c:v>1.336476622904037E-2</c:v>
                </c:pt>
                <c:pt idx="1808">
                  <c:v>1.3366785122945757E-2</c:v>
                </c:pt>
                <c:pt idx="1809">
                  <c:v>1.3369198007611161E-2</c:v>
                </c:pt>
                <c:pt idx="1810">
                  <c:v>1.3371252229843478E-2</c:v>
                </c:pt>
                <c:pt idx="1811">
                  <c:v>1.3373321060470289E-2</c:v>
                </c:pt>
                <c:pt idx="1812">
                  <c:v>1.3375404499891275E-2</c:v>
                </c:pt>
                <c:pt idx="1813">
                  <c:v>1.3377502547706754E-2</c:v>
                </c:pt>
                <c:pt idx="1814">
                  <c:v>1.3379615204476281E-2</c:v>
                </c:pt>
                <c:pt idx="1815">
                  <c:v>1.3381742469640301E-2</c:v>
                </c:pt>
                <c:pt idx="1816">
                  <c:v>1.3383884343518559E-2</c:v>
                </c:pt>
                <c:pt idx="1817">
                  <c:v>1.338604082603112E-2</c:v>
                </c:pt>
                <c:pt idx="1818">
                  <c:v>1.3388211917177983E-2</c:v>
                </c:pt>
                <c:pt idx="1819">
                  <c:v>1.3390397616879213E-2</c:v>
                </c:pt>
                <c:pt idx="1820">
                  <c:v>1.339259792529468E-2</c:v>
                </c:pt>
                <c:pt idx="1821">
                  <c:v>1.3394812842424386E-2</c:v>
                </c:pt>
                <c:pt idx="1822">
                  <c:v>1.3397042368028522E-2</c:v>
                </c:pt>
                <c:pt idx="1823">
                  <c:v>1.339928650226696E-2</c:v>
                </c:pt>
                <c:pt idx="1824">
                  <c:v>1.3401545245299573E-2</c:v>
                </c:pt>
                <c:pt idx="1825">
                  <c:v>1.340381859672668E-2</c:v>
                </c:pt>
                <c:pt idx="1826">
                  <c:v>1.3406106556947961E-2</c:v>
                </c:pt>
                <c:pt idx="1827">
                  <c:v>1.3408409125723608E-2</c:v>
                </c:pt>
                <c:pt idx="1828">
                  <c:v>1.3410726303133558E-2</c:v>
                </c:pt>
                <c:pt idx="1829">
                  <c:v>1.341305808917781E-2</c:v>
                </c:pt>
                <c:pt idx="1830">
                  <c:v>1.34154044839363E-2</c:v>
                </c:pt>
                <c:pt idx="1831">
                  <c:v>1.3417765487249156E-2</c:v>
                </c:pt>
                <c:pt idx="1832">
                  <c:v>1.3420141099116378E-2</c:v>
                </c:pt>
                <c:pt idx="1833">
                  <c:v>1.3422531319777775E-2</c:v>
                </c:pt>
                <c:pt idx="1834">
                  <c:v>1.3424936148913602E-2</c:v>
                </c:pt>
                <c:pt idx="1835">
                  <c:v>1.3427355586843603E-2</c:v>
                </c:pt>
                <c:pt idx="1836">
                  <c:v>1.3429789633407907E-2</c:v>
                </c:pt>
                <c:pt idx="1837">
                  <c:v>1.3432238288366705E-2</c:v>
                </c:pt>
                <c:pt idx="1838">
                  <c:v>1.3434701552199613E-2</c:v>
                </c:pt>
                <c:pt idx="1839">
                  <c:v>1.3437179424666823E-2</c:v>
                </c:pt>
                <c:pt idx="1840">
                  <c:v>1.34396719056884E-2</c:v>
                </c:pt>
                <c:pt idx="1841">
                  <c:v>1.3442178995344278E-2</c:v>
                </c:pt>
                <c:pt idx="1842">
                  <c:v>1.3444700693634459E-2</c:v>
                </c:pt>
                <c:pt idx="1843">
                  <c:v>1.3447237000558943E-2</c:v>
                </c:pt>
                <c:pt idx="1844">
                  <c:v>1.3449787916197664E-2</c:v>
                </c:pt>
                <c:pt idx="1845">
                  <c:v>1.3452353440310816E-2</c:v>
                </c:pt>
                <c:pt idx="1846">
                  <c:v>1.3454933573138206E-2</c:v>
                </c:pt>
                <c:pt idx="1847">
                  <c:v>1.3457528314679834E-2</c:v>
                </c:pt>
                <c:pt idx="1848">
                  <c:v>1.3460137664695893E-2</c:v>
                </c:pt>
                <c:pt idx="1849">
                  <c:v>1.3462761623506125E-2</c:v>
                </c:pt>
                <c:pt idx="1850">
                  <c:v>1.346540019095066E-2</c:v>
                </c:pt>
                <c:pt idx="1851">
                  <c:v>1.3468053366949562E-2</c:v>
                </c:pt>
                <c:pt idx="1852">
                  <c:v>1.3470721151582765E-2</c:v>
                </c:pt>
                <c:pt idx="1853">
                  <c:v>1.3473403545010143E-2</c:v>
                </c:pt>
                <c:pt idx="1854">
                  <c:v>1.3476100546832015E-2</c:v>
                </c:pt>
                <c:pt idx="1855">
                  <c:v>1.3478812157368125E-2</c:v>
                </c:pt>
                <c:pt idx="1856">
                  <c:v>1.348153837669841E-2</c:v>
                </c:pt>
                <c:pt idx="1857">
                  <c:v>1.3484279204423189E-2</c:v>
                </c:pt>
                <c:pt idx="1858">
                  <c:v>1.3487034640942142E-2</c:v>
                </c:pt>
                <c:pt idx="1859">
                  <c:v>1.3489804686095397E-2</c:v>
                </c:pt>
                <c:pt idx="1860">
                  <c:v>1.3492589339882954E-2</c:v>
                </c:pt>
                <c:pt idx="1861">
                  <c:v>1.349538860238475E-2</c:v>
                </c:pt>
                <c:pt idx="1862">
                  <c:v>1.3498202473440912E-2</c:v>
                </c:pt>
                <c:pt idx="1863">
                  <c:v>1.3501030953131377E-2</c:v>
                </c:pt>
                <c:pt idx="1864">
                  <c:v>1.3503874041536079E-2</c:v>
                </c:pt>
                <c:pt idx="1865">
                  <c:v>1.3506731738575084E-2</c:v>
                </c:pt>
                <c:pt idx="1866">
                  <c:v>1.3509604044088519E-2</c:v>
                </c:pt>
                <c:pt idx="1867">
                  <c:v>1.3512490958316192E-2</c:v>
                </c:pt>
                <c:pt idx="1868">
                  <c:v>1.351539248133804E-2</c:v>
                </c:pt>
                <c:pt idx="1869">
                  <c:v>1.3518308612914254E-2</c:v>
                </c:pt>
                <c:pt idx="1870">
                  <c:v>1.352123935312477E-2</c:v>
                </c:pt>
                <c:pt idx="1871">
                  <c:v>1.3524184702049524E-2</c:v>
                </c:pt>
                <c:pt idx="1872">
                  <c:v>1.3527144659608581E-2</c:v>
                </c:pt>
                <c:pt idx="1873">
                  <c:v>1.3530119225642068E-2</c:v>
                </c:pt>
                <c:pt idx="1874">
                  <c:v>1.3533108400469729E-2</c:v>
                </c:pt>
                <c:pt idx="1875">
                  <c:v>1.3536112183851756E-2</c:v>
                </c:pt>
                <c:pt idx="1876">
                  <c:v>1.3539130576027958E-2</c:v>
                </c:pt>
                <c:pt idx="1877">
                  <c:v>1.3542163576758526E-2</c:v>
                </c:pt>
                <c:pt idx="1878">
                  <c:v>1.354521118604346E-2</c:v>
                </c:pt>
                <c:pt idx="1879">
                  <c:v>1.3548273404122568E-2</c:v>
                </c:pt>
                <c:pt idx="1880">
                  <c:v>1.3551350230756043E-2</c:v>
                </c:pt>
                <c:pt idx="1881">
                  <c:v>1.3554441666183692E-2</c:v>
                </c:pt>
                <c:pt idx="1882">
                  <c:v>1.3557547710165707E-2</c:v>
                </c:pt>
                <c:pt idx="1883">
                  <c:v>1.3560668362702089E-2</c:v>
                </c:pt>
                <c:pt idx="1884">
                  <c:v>1.3563803623952708E-2</c:v>
                </c:pt>
                <c:pt idx="1885">
                  <c:v>1.3566953493997502E-2</c:v>
                </c:pt>
                <c:pt idx="1886">
                  <c:v>1.357011797243679E-2</c:v>
                </c:pt>
                <c:pt idx="1887">
                  <c:v>1.3573297059750189E-2</c:v>
                </c:pt>
                <c:pt idx="1888">
                  <c:v>1.3576490755617954E-2</c:v>
                </c:pt>
                <c:pt idx="1889">
                  <c:v>1.3579699060120021E-2</c:v>
                </c:pt>
                <c:pt idx="1890">
                  <c:v>1.3582921973336326E-2</c:v>
                </c:pt>
                <c:pt idx="1891">
                  <c:v>1.3586159495106997E-2</c:v>
                </c:pt>
                <c:pt idx="1892">
                  <c:v>1.3589411625591907E-2</c:v>
                </c:pt>
                <c:pt idx="1893">
                  <c:v>1.3592678364870991E-2</c:v>
                </c:pt>
                <c:pt idx="1894">
                  <c:v>1.359595971254457E-2</c:v>
                </c:pt>
                <c:pt idx="1895">
                  <c:v>1.3599255669012322E-2</c:v>
                </c:pt>
                <c:pt idx="1896">
                  <c:v>1.3602566234114377E-2</c:v>
                </c:pt>
                <c:pt idx="1897">
                  <c:v>1.3605891407850734E-2</c:v>
                </c:pt>
                <c:pt idx="1898">
                  <c:v>1.3609231190381266E-2</c:v>
                </c:pt>
                <c:pt idx="1899">
                  <c:v>1.3612585581386227E-2</c:v>
                </c:pt>
                <c:pt idx="1900">
                  <c:v>1.3615954581105427E-2</c:v>
                </c:pt>
                <c:pt idx="1901">
                  <c:v>1.3619338189458929E-2</c:v>
                </c:pt>
                <c:pt idx="1902">
                  <c:v>1.3622736406446734E-2</c:v>
                </c:pt>
                <c:pt idx="1903">
                  <c:v>1.3626149232308649E-2</c:v>
                </c:pt>
                <c:pt idx="1904">
                  <c:v>1.3629576666644994E-2</c:v>
                </c:pt>
                <c:pt idx="1905">
                  <c:v>1.3633018709535705E-2</c:v>
                </c:pt>
                <c:pt idx="1906">
                  <c:v>1.363647536122059E-2</c:v>
                </c:pt>
                <c:pt idx="1907">
                  <c:v>1.3639946621619714E-2</c:v>
                </c:pt>
                <c:pt idx="1908">
                  <c:v>1.3643432490573204E-2</c:v>
                </c:pt>
                <c:pt idx="1909">
                  <c:v>1.3646932968240932E-2</c:v>
                </c:pt>
                <c:pt idx="1910">
                  <c:v>1.3650448054542963E-2</c:v>
                </c:pt>
                <c:pt idx="1911">
                  <c:v>1.3653977749479296E-2</c:v>
                </c:pt>
                <c:pt idx="1912">
                  <c:v>1.3657522053209803E-2</c:v>
                </c:pt>
                <c:pt idx="1913">
                  <c:v>1.3661080965334804E-2</c:v>
                </c:pt>
                <c:pt idx="1914">
                  <c:v>1.3664654486333916E-2</c:v>
                </c:pt>
                <c:pt idx="1915">
                  <c:v>1.366824261596733E-2</c:v>
                </c:pt>
                <c:pt idx="1916">
                  <c:v>1.3671845354314982E-2</c:v>
                </c:pt>
                <c:pt idx="1917">
                  <c:v>1.3675462701217E-2</c:v>
                </c:pt>
                <c:pt idx="1918">
                  <c:v>1.3679094656753321E-2</c:v>
                </c:pt>
                <c:pt idx="1919">
                  <c:v>1.3682741221083816E-2</c:v>
                </c:pt>
                <c:pt idx="1920">
                  <c:v>1.3686402393968677E-2</c:v>
                </c:pt>
                <c:pt idx="1921">
                  <c:v>1.3690078175647713E-2</c:v>
                </c:pt>
                <c:pt idx="1922">
                  <c:v>1.3693768565881115E-2</c:v>
                </c:pt>
                <c:pt idx="1923">
                  <c:v>1.3697473564748819E-2</c:v>
                </c:pt>
                <c:pt idx="1924">
                  <c:v>1.3701193172410697E-2</c:v>
                </c:pt>
                <c:pt idx="1925">
                  <c:v>1.3704927388626942E-2</c:v>
                </c:pt>
                <c:pt idx="1926">
                  <c:v>1.3708676213557425E-2</c:v>
                </c:pt>
                <c:pt idx="1927">
                  <c:v>1.3712439647202146E-2</c:v>
                </c:pt>
                <c:pt idx="1928">
                  <c:v>1.3716217689401233E-2</c:v>
                </c:pt>
                <c:pt idx="1929">
                  <c:v>1.3720010340394495E-2</c:v>
                </c:pt>
                <c:pt idx="1930">
                  <c:v>1.3723817600022059E-2</c:v>
                </c:pt>
                <c:pt idx="1931">
                  <c:v>1.3727639468283925E-2</c:v>
                </c:pt>
                <c:pt idx="1932">
                  <c:v>1.3731475945100158E-2</c:v>
                </c:pt>
                <c:pt idx="1933">
                  <c:v>1.3735327030790501E-2</c:v>
                </c:pt>
                <c:pt idx="1934">
                  <c:v>1.3739192725115146E-2</c:v>
                </c:pt>
                <c:pt idx="1935">
                  <c:v>1.3743073027994157E-2</c:v>
                </c:pt>
                <c:pt idx="1936">
                  <c:v>1.3746967939667343E-2</c:v>
                </c:pt>
                <c:pt idx="1937">
                  <c:v>1.3750877459974831E-2</c:v>
                </c:pt>
                <c:pt idx="1938">
                  <c:v>1.3754801588916621E-2</c:v>
                </c:pt>
                <c:pt idx="1939">
                  <c:v>1.3758740326492713E-2</c:v>
                </c:pt>
                <c:pt idx="1940">
                  <c:v>1.3762693672942916E-2</c:v>
                </c:pt>
                <c:pt idx="1941">
                  <c:v>1.3766661627947485E-2</c:v>
                </c:pt>
                <c:pt idx="1942">
                  <c:v>1.377064419150642E-2</c:v>
                </c:pt>
                <c:pt idx="1943">
                  <c:v>1.377464136385953E-2</c:v>
                </c:pt>
                <c:pt idx="1944">
                  <c:v>1.3778653144926878E-2</c:v>
                </c:pt>
                <c:pt idx="1945">
                  <c:v>1.3782679534628528E-2</c:v>
                </c:pt>
                <c:pt idx="1946">
                  <c:v>1.378672053296448E-2</c:v>
                </c:pt>
                <c:pt idx="1947">
                  <c:v>1.3790776140014671E-2</c:v>
                </c:pt>
                <c:pt idx="1948">
                  <c:v>1.3794846355859036E-2</c:v>
                </c:pt>
                <c:pt idx="1949">
                  <c:v>1.3798931180177831E-2</c:v>
                </c:pt>
                <c:pt idx="1950">
                  <c:v>1.3803030613370737E-2</c:v>
                </c:pt>
                <c:pt idx="1951">
                  <c:v>1.3807144654878201E-2</c:v>
                </c:pt>
                <c:pt idx="1952">
                  <c:v>1.3811273305579519E-2</c:v>
                </c:pt>
                <c:pt idx="1953">
                  <c:v>1.3815416564595395E-2</c:v>
                </c:pt>
                <c:pt idx="1954">
                  <c:v>1.3819574432405446E-2</c:v>
                </c:pt>
                <c:pt idx="1955">
                  <c:v>1.3823746908849799E-2</c:v>
                </c:pt>
                <c:pt idx="1956">
                  <c:v>1.382793399400839E-2</c:v>
                </c:pt>
                <c:pt idx="1957">
                  <c:v>1.3832135687801284E-2</c:v>
                </c:pt>
                <c:pt idx="1958">
                  <c:v>1.3836351990468287E-2</c:v>
                </c:pt>
                <c:pt idx="1959">
                  <c:v>1.3840582901689658E-2</c:v>
                </c:pt>
                <c:pt idx="1960">
                  <c:v>1.384482842154533E-2</c:v>
                </c:pt>
                <c:pt idx="1961">
                  <c:v>1.3849088550035304E-2</c:v>
                </c:pt>
                <c:pt idx="1962">
                  <c:v>1.3853363287319453E-2</c:v>
                </c:pt>
                <c:pt idx="1963">
                  <c:v>1.3857652633317841E-2</c:v>
                </c:pt>
                <c:pt idx="1964">
                  <c:v>1.386195658795053E-2</c:v>
                </c:pt>
                <c:pt idx="1965">
                  <c:v>1.3866275151217522E-2</c:v>
                </c:pt>
                <c:pt idx="1966">
                  <c:v>1.3870608323358624E-2</c:v>
                </c:pt>
                <c:pt idx="1967">
                  <c:v>1.3874956103974156E-2</c:v>
                </c:pt>
                <c:pt idx="1968">
                  <c:v>1.3879318493383863E-2</c:v>
                </c:pt>
                <c:pt idx="1969">
                  <c:v>1.3883695491507808E-2</c:v>
                </c:pt>
                <c:pt idx="1970">
                  <c:v>1.3888087098186119E-2</c:v>
                </c:pt>
                <c:pt idx="1971">
                  <c:v>1.3892493313578669E-2</c:v>
                </c:pt>
                <c:pt idx="1972">
                  <c:v>1.3896914137765393E-2</c:v>
                </c:pt>
                <c:pt idx="1973">
                  <c:v>1.3901349570666355E-2</c:v>
                </c:pt>
                <c:pt idx="1974">
                  <c:v>1.39057846588031E-2</c:v>
                </c:pt>
                <c:pt idx="1975">
                  <c:v>1.3910187194898782E-2</c:v>
                </c:pt>
                <c:pt idx="1976">
                  <c:v>1.3914556028513658E-2</c:v>
                </c:pt>
                <c:pt idx="1977">
                  <c:v>1.3918891160047409E-2</c:v>
                </c:pt>
                <c:pt idx="1978">
                  <c:v>1.3923192589020417E-2</c:v>
                </c:pt>
                <c:pt idx="1979">
                  <c:v>1.3927460315992235E-2</c:v>
                </c:pt>
                <c:pt idx="1980">
                  <c:v>1.3931694340483247E-2</c:v>
                </c:pt>
                <c:pt idx="1981">
                  <c:v>1.3935894662573389E-2</c:v>
                </c:pt>
                <c:pt idx="1982">
                  <c:v>1.3940061282342597E-2</c:v>
                </c:pt>
                <c:pt idx="1983">
                  <c:v>1.3944194199950743E-2</c:v>
                </c:pt>
                <c:pt idx="1984">
                  <c:v>1.3948293415237956E-2</c:v>
                </c:pt>
                <c:pt idx="1985">
                  <c:v>1.3952358928044362E-2</c:v>
                </c:pt>
                <c:pt idx="1986">
                  <c:v>1.3956390738529834E-2</c:v>
                </c:pt>
                <c:pt idx="1987">
                  <c:v>1.3960388846774308E-2</c:v>
                </c:pt>
                <c:pt idx="1988">
                  <c:v>1.3964353252697848E-2</c:v>
                </c:pt>
                <c:pt idx="1989">
                  <c:v>1.3968283956220517E-2</c:v>
                </c:pt>
                <c:pt idx="1990">
                  <c:v>1.3972180957582125E-2</c:v>
                </c:pt>
                <c:pt idx="1991">
                  <c:v>1.3976044256462927E-2</c:v>
                </c:pt>
                <c:pt idx="1992">
                  <c:v>1.3979873853022795E-2</c:v>
                </c:pt>
                <c:pt idx="1993">
                  <c:v>1.3983669747181793E-2</c:v>
                </c:pt>
                <c:pt idx="1994">
                  <c:v>1.3987431939179729E-2</c:v>
                </c:pt>
                <c:pt idx="1995">
                  <c:v>1.3991160428696858E-2</c:v>
                </c:pt>
                <c:pt idx="1996">
                  <c:v>1.3994855216052926E-2</c:v>
                </c:pt>
                <c:pt idx="1997">
                  <c:v>1.3998516300848252E-2</c:v>
                </c:pt>
                <c:pt idx="1998">
                  <c:v>1.4002143683402579E-2</c:v>
                </c:pt>
                <c:pt idx="1999">
                  <c:v>1.4005737363556037E-2</c:v>
                </c:pt>
                <c:pt idx="2000">
                  <c:v>1.400929734138856E-2</c:v>
                </c:pt>
                <c:pt idx="2001">
                  <c:v>1.401282361690015E-2</c:v>
                </c:pt>
                <c:pt idx="2002">
                  <c:v>1.4016316190170741E-2</c:v>
                </c:pt>
                <c:pt idx="2003">
                  <c:v>1.402026643414267E-2</c:v>
                </c:pt>
                <c:pt idx="2004">
                  <c:v>1.4023686788142697E-2</c:v>
                </c:pt>
                <c:pt idx="2005">
                  <c:v>1.4027073439581983E-2</c:v>
                </c:pt>
                <c:pt idx="2006">
                  <c:v>1.4030426388860207E-2</c:v>
                </c:pt>
                <c:pt idx="2007">
                  <c:v>1.4033745635657624E-2</c:v>
                </c:pt>
                <c:pt idx="2008">
                  <c:v>1.4037031180054171E-2</c:v>
                </c:pt>
                <c:pt idx="2009">
                  <c:v>1.4040283022209721E-2</c:v>
                </c:pt>
                <c:pt idx="2010">
                  <c:v>1.4043501162044336E-2</c:v>
                </c:pt>
                <c:pt idx="2011">
                  <c:v>1.4046685599558018E-2</c:v>
                </c:pt>
                <c:pt idx="2012">
                  <c:v>1.4049836334510957E-2</c:v>
                </c:pt>
                <c:pt idx="2013">
                  <c:v>1.4052953367302834E-2</c:v>
                </c:pt>
                <c:pt idx="2014">
                  <c:v>1.4056036697693841E-2</c:v>
                </c:pt>
                <c:pt idx="2015">
                  <c:v>1.4059086325763914E-2</c:v>
                </c:pt>
                <c:pt idx="2016">
                  <c:v>1.4062102251353181E-2</c:v>
                </c:pt>
                <c:pt idx="2017">
                  <c:v>1.406508447470145E-2</c:v>
                </c:pt>
                <c:pt idx="2018">
                  <c:v>1.4068032995728785E-2</c:v>
                </c:pt>
                <c:pt idx="2019">
                  <c:v>1.4070947814195378E-2</c:v>
                </c:pt>
                <c:pt idx="2020">
                  <c:v>1.4073828930500909E-2</c:v>
                </c:pt>
                <c:pt idx="2021">
                  <c:v>1.407667634440557E-2</c:v>
                </c:pt>
                <c:pt idx="2022">
                  <c:v>1.4079490055829424E-2</c:v>
                </c:pt>
                <c:pt idx="2023">
                  <c:v>1.4082270065012281E-2</c:v>
                </c:pt>
                <c:pt idx="2024">
                  <c:v>1.4085016371794268E-2</c:v>
                </c:pt>
                <c:pt idx="2025">
                  <c:v>1.408772897625532E-2</c:v>
                </c:pt>
                <c:pt idx="2026">
                  <c:v>1.4090407878315503E-2</c:v>
                </c:pt>
                <c:pt idx="2027">
                  <c:v>1.4093053077894879E-2</c:v>
                </c:pt>
                <c:pt idx="2028">
                  <c:v>1.4095664575313194E-2</c:v>
                </c:pt>
                <c:pt idx="2029">
                  <c:v>1.4098242370330638E-2</c:v>
                </c:pt>
                <c:pt idx="2030">
                  <c:v>1.4100786462947212E-2</c:v>
                </c:pt>
                <c:pt idx="2031">
                  <c:v>1.4103296853162917E-2</c:v>
                </c:pt>
                <c:pt idx="2032">
                  <c:v>1.4105773540897815E-2</c:v>
                </c:pt>
                <c:pt idx="2033">
                  <c:v>1.4108216526471651E-2</c:v>
                </c:pt>
                <c:pt idx="2034">
                  <c:v>1.4110625809724553E-2</c:v>
                </c:pt>
                <c:pt idx="2035">
                  <c:v>1.4113001390336777E-2</c:v>
                </c:pt>
                <c:pt idx="2036">
                  <c:v>1.4115343268708003E-2</c:v>
                </c:pt>
                <c:pt idx="2037">
                  <c:v>1.4117651444758295E-2</c:v>
                </c:pt>
                <c:pt idx="2038">
                  <c:v>1.411992591832778E-2</c:v>
                </c:pt>
                <c:pt idx="2039">
                  <c:v>1.4122166689656268E-2</c:v>
                </c:pt>
                <c:pt idx="2040">
                  <c:v>1.412437375850395E-2</c:v>
                </c:pt>
                <c:pt idx="2041">
                  <c:v>1.4126547125110633E-2</c:v>
                </c:pt>
                <c:pt idx="2042">
                  <c:v>1.4128686789236511E-2</c:v>
                </c:pt>
                <c:pt idx="2043">
                  <c:v>1.4130792751041454E-2</c:v>
                </c:pt>
                <c:pt idx="2044">
                  <c:v>1.4132865010285656E-2</c:v>
                </c:pt>
                <c:pt idx="2045">
                  <c:v>1.4134903567448731E-2</c:v>
                </c:pt>
                <c:pt idx="2046">
                  <c:v>1.4136908421971128E-2</c:v>
                </c:pt>
                <c:pt idx="2047">
                  <c:v>1.4138879574332464E-2</c:v>
                </c:pt>
                <c:pt idx="2048">
                  <c:v>1.4140817024133057E-2</c:v>
                </c:pt>
                <c:pt idx="2049">
                  <c:v>1.4142720771692652E-2</c:v>
                </c:pt>
                <c:pt idx="2050">
                  <c:v>1.4144590816771441E-2</c:v>
                </c:pt>
                <c:pt idx="2051">
                  <c:v>1.4146427159609232E-2</c:v>
                </c:pt>
                <c:pt idx="2052">
                  <c:v>1.4148229800046153E-2</c:v>
                </c:pt>
                <c:pt idx="2053">
                  <c:v>1.4149998737922331E-2</c:v>
                </c:pt>
                <c:pt idx="2054">
                  <c:v>1.4151733973557512E-2</c:v>
                </c:pt>
                <c:pt idx="2055">
                  <c:v>1.4153675831671819E-2</c:v>
                </c:pt>
                <c:pt idx="2056">
                  <c:v>1.4155338847876564E-2</c:v>
                </c:pt>
                <c:pt idx="2057">
                  <c:v>1.4156968161840311E-2</c:v>
                </c:pt>
                <c:pt idx="2058">
                  <c:v>1.4158563773243316E-2</c:v>
                </c:pt>
                <c:pt idx="2059">
                  <c:v>1.416012568224545E-2</c:v>
                </c:pt>
                <c:pt idx="2060">
                  <c:v>1.4161653888926651E-2</c:v>
                </c:pt>
                <c:pt idx="2061">
                  <c:v>1.4163148393206981E-2</c:v>
                </c:pt>
                <c:pt idx="2062">
                  <c:v>1.4164609195006506E-2</c:v>
                </c:pt>
                <c:pt idx="2063">
                  <c:v>1.4166036294724904E-2</c:v>
                </c:pt>
                <c:pt idx="2064">
                  <c:v>1.416742969188256E-2</c:v>
                </c:pt>
                <c:pt idx="2065">
                  <c:v>1.4168789386559411E-2</c:v>
                </c:pt>
                <c:pt idx="2066">
                  <c:v>1.4170115378995263E-2</c:v>
                </c:pt>
                <c:pt idx="2067">
                  <c:v>1.4171407668870373E-2</c:v>
                </c:pt>
                <c:pt idx="2068">
                  <c:v>1.4172666256504485E-2</c:v>
                </c:pt>
                <c:pt idx="2069">
                  <c:v>1.4173891141737727E-2</c:v>
                </c:pt>
                <c:pt idx="2070">
                  <c:v>1.4176532175145695E-2</c:v>
                </c:pt>
                <c:pt idx="2071">
                  <c:v>1.4176239804921664E-2</c:v>
                </c:pt>
                <c:pt idx="2072">
                  <c:v>1.4177363582952296E-2</c:v>
                </c:pt>
                <c:pt idx="2073">
                  <c:v>1.4178453658661994E-2</c:v>
                </c:pt>
                <c:pt idx="2074">
                  <c:v>1.4179510031970821E-2</c:v>
                </c:pt>
                <c:pt idx="2075">
                  <c:v>1.4180532702798843E-2</c:v>
                </c:pt>
                <c:pt idx="2076">
                  <c:v>1.4181521671225994E-2</c:v>
                </c:pt>
                <c:pt idx="2077">
                  <c:v>1.4182476937412147E-2</c:v>
                </c:pt>
                <c:pt idx="2078">
                  <c:v>1.4183398501117495E-2</c:v>
                </c:pt>
                <c:pt idx="2079">
                  <c:v>1.4184286362421972E-2</c:v>
                </c:pt>
                <c:pt idx="2080">
                  <c:v>1.4185140521325579E-2</c:v>
                </c:pt>
                <c:pt idx="2081">
                  <c:v>1.4185960977828316E-2</c:v>
                </c:pt>
                <c:pt idx="2082">
                  <c:v>1.4186747731930183E-2</c:v>
                </c:pt>
                <c:pt idx="2083">
                  <c:v>1.418750078363118E-2</c:v>
                </c:pt>
                <c:pt idx="2084">
                  <c:v>1.4188220133091178E-2</c:v>
                </c:pt>
                <c:pt idx="2085">
                  <c:v>1.4188905780070371E-2</c:v>
                </c:pt>
                <c:pt idx="2086">
                  <c:v>1.4189557724488822E-2</c:v>
                </c:pt>
                <c:pt idx="2087">
                  <c:v>1.419017596674621E-2</c:v>
                </c:pt>
                <c:pt idx="2088">
                  <c:v>1.4190760506362921E-2</c:v>
                </c:pt>
                <c:pt idx="2089">
                  <c:v>1.4191311343898505E-2</c:v>
                </c:pt>
                <c:pt idx="2090">
                  <c:v>1.4191828478793411E-2</c:v>
                </c:pt>
                <c:pt idx="2091">
                  <c:v>1.4192311911367383E-2</c:v>
                </c:pt>
                <c:pt idx="2092">
                  <c:v>1.4192761641700358E-2</c:v>
                </c:pt>
                <c:pt idx="2093">
                  <c:v>1.419317766947259E-2</c:v>
                </c:pt>
                <c:pt idx="2094">
                  <c:v>1.4193559995003824E-2</c:v>
                </c:pt>
                <c:pt idx="2095">
                  <c:v>1.4193908617974316E-2</c:v>
                </c:pt>
                <c:pt idx="2096">
                  <c:v>1.419422353870381E-2</c:v>
                </c:pt>
                <c:pt idx="2097">
                  <c:v>1.4194504756872561E-2</c:v>
                </c:pt>
                <c:pt idx="2098">
                  <c:v>1.4194752272720379E-2</c:v>
                </c:pt>
                <c:pt idx="2099">
                  <c:v>1.4194966086167327E-2</c:v>
                </c:pt>
                <c:pt idx="2100">
                  <c:v>1.419514619729334E-2</c:v>
                </c:pt>
                <c:pt idx="2101">
                  <c:v>1.4195292605778675E-2</c:v>
                </c:pt>
                <c:pt idx="2102">
                  <c:v>1.4195405312182885E-2</c:v>
                </c:pt>
                <c:pt idx="2103">
                  <c:v>1.4195484316106288E-2</c:v>
                </c:pt>
                <c:pt idx="2104">
                  <c:v>1.4195529617548885E-2</c:v>
                </c:pt>
                <c:pt idx="2105">
                  <c:v>1.4195541216590613E-2</c:v>
                </c:pt>
                <c:pt idx="2106">
                  <c:v>1.4195519113311406E-2</c:v>
                </c:pt>
                <c:pt idx="2107">
                  <c:v>1.4196000702506595E-2</c:v>
                </c:pt>
                <c:pt idx="2108">
                  <c:v>1.4195901557334523E-2</c:v>
                </c:pt>
                <c:pt idx="2109">
                  <c:v>1.41957687070704E-2</c:v>
                </c:pt>
                <c:pt idx="2110">
                  <c:v>1.4195602151794162E-2</c:v>
                </c:pt>
                <c:pt idx="2111">
                  <c:v>1.4195401891479165E-2</c:v>
                </c:pt>
                <c:pt idx="2112">
                  <c:v>1.4195167926125407E-2</c:v>
                </c:pt>
                <c:pt idx="2113">
                  <c:v>1.4194900255706244E-2</c:v>
                </c:pt>
                <c:pt idx="2114">
                  <c:v>1.4194598880221676E-2</c:v>
                </c:pt>
                <c:pt idx="2115">
                  <c:v>1.4194263799698348E-2</c:v>
                </c:pt>
                <c:pt idx="2116">
                  <c:v>1.4193895014109614E-2</c:v>
                </c:pt>
                <c:pt idx="2117">
                  <c:v>1.4193492523482121E-2</c:v>
                </c:pt>
                <c:pt idx="2118">
                  <c:v>1.4193056327815867E-2</c:v>
                </c:pt>
                <c:pt idx="2119">
                  <c:v>1.4192586427030918E-2</c:v>
                </c:pt>
                <c:pt idx="2120">
                  <c:v>1.4192082821287144E-2</c:v>
                </c:pt>
                <c:pt idx="2121">
                  <c:v>1.4190745757121093E-2</c:v>
                </c:pt>
                <c:pt idx="2122">
                  <c:v>1.4190160342444358E-2</c:v>
                </c:pt>
                <c:pt idx="2123">
                  <c:v>1.4189541225286817E-2</c:v>
                </c:pt>
                <c:pt idx="2124">
                  <c:v>1.4188888405808342E-2</c:v>
                </c:pt>
                <c:pt idx="2125">
                  <c:v>1.4188201883769125E-2</c:v>
                </c:pt>
                <c:pt idx="2126">
                  <c:v>1.418748165948891E-2</c:v>
                </c:pt>
                <c:pt idx="2127">
                  <c:v>1.4186727732807825E-2</c:v>
                </c:pt>
                <c:pt idx="2128">
                  <c:v>1.4185940103725869E-2</c:v>
                </c:pt>
                <c:pt idx="2129">
                  <c:v>1.4185118772243044E-2</c:v>
                </c:pt>
                <c:pt idx="2130">
                  <c:v>1.4184263738359348E-2</c:v>
                </c:pt>
                <c:pt idx="2131">
                  <c:v>1.4183375002074783E-2</c:v>
                </c:pt>
                <c:pt idx="2132">
                  <c:v>1.4182452563549219E-2</c:v>
                </c:pt>
                <c:pt idx="2133">
                  <c:v>1.4181496422382978E-2</c:v>
                </c:pt>
                <c:pt idx="2134">
                  <c:v>1.4180506578975738E-2</c:v>
                </c:pt>
                <c:pt idx="2135">
                  <c:v>1.4179483033247564E-2</c:v>
                </c:pt>
                <c:pt idx="2136">
                  <c:v>1.4178425784878712E-2</c:v>
                </c:pt>
                <c:pt idx="2137">
                  <c:v>1.4177334834188926E-2</c:v>
                </c:pt>
                <c:pt idx="2138">
                  <c:v>1.4176210181258142E-2</c:v>
                </c:pt>
                <c:pt idx="2139">
                  <c:v>1.4175051825926488E-2</c:v>
                </c:pt>
                <c:pt idx="2140">
                  <c:v>1.4173859768034092E-2</c:v>
                </c:pt>
                <c:pt idx="2141">
                  <c:v>1.4172634007900697E-2</c:v>
                </c:pt>
                <c:pt idx="2142">
                  <c:v>1.4171374545286497E-2</c:v>
                </c:pt>
                <c:pt idx="2143">
                  <c:v>1.4170081380431299E-2</c:v>
                </c:pt>
                <c:pt idx="2144">
                  <c:v>1.4168754513095294E-2</c:v>
                </c:pt>
                <c:pt idx="2145">
                  <c:v>1.4167393943438356E-2</c:v>
                </c:pt>
                <c:pt idx="2146">
                  <c:v>1.4165999671380547E-2</c:v>
                </c:pt>
                <c:pt idx="2147">
                  <c:v>1.4164571696841932E-2</c:v>
                </c:pt>
                <c:pt idx="2148">
                  <c:v>1.4163110020062319E-2</c:v>
                </c:pt>
                <c:pt idx="2149">
                  <c:v>1.4161614640721965E-2</c:v>
                </c:pt>
                <c:pt idx="2150">
                  <c:v>1.4160085559140612E-2</c:v>
                </c:pt>
                <c:pt idx="2151">
                  <c:v>1.4158522775078453E-2</c:v>
                </c:pt>
                <c:pt idx="2152">
                  <c:v>1.415692628869536E-2</c:v>
                </c:pt>
                <c:pt idx="2153">
                  <c:v>1.4155296099991332E-2</c:v>
                </c:pt>
                <c:pt idx="2154">
                  <c:v>1.4153632208726563E-2</c:v>
                </c:pt>
                <c:pt idx="2155">
                  <c:v>1.415193461514086E-2</c:v>
                </c:pt>
                <c:pt idx="2156">
                  <c:v>1.4150203319314159E-2</c:v>
                </c:pt>
                <c:pt idx="2157">
                  <c:v>1.4148438320926715E-2</c:v>
                </c:pt>
                <c:pt idx="2158">
                  <c:v>1.4146639620218338E-2</c:v>
                </c:pt>
                <c:pt idx="2159">
                  <c:v>1.414480721710909E-2</c:v>
                </c:pt>
                <c:pt idx="2160">
                  <c:v>1.4142941111678908E-2</c:v>
                </c:pt>
                <c:pt idx="2161">
                  <c:v>1.4141041303847857E-2</c:v>
                </c:pt>
                <c:pt idx="2162">
                  <c:v>1.4139107793615935E-2</c:v>
                </c:pt>
                <c:pt idx="2163">
                  <c:v>1.4137140580983143E-2</c:v>
                </c:pt>
                <c:pt idx="2164">
                  <c:v>1.4135139666029417E-2</c:v>
                </c:pt>
                <c:pt idx="2165">
                  <c:v>1.4133105048754757E-2</c:v>
                </c:pt>
                <c:pt idx="2166">
                  <c:v>1.4131036728999291E-2</c:v>
                </c:pt>
                <c:pt idx="2167">
                  <c:v>1.4128934706842955E-2</c:v>
                </c:pt>
                <c:pt idx="2168">
                  <c:v>1.4126798982365685E-2</c:v>
                </c:pt>
                <c:pt idx="2169">
                  <c:v>1.4124629555487545E-2</c:v>
                </c:pt>
                <c:pt idx="2170">
                  <c:v>1.4122426426368406E-2</c:v>
                </c:pt>
                <c:pt idx="2171">
                  <c:v>1.4120189594768462E-2</c:v>
                </c:pt>
                <c:pt idx="2172">
                  <c:v>1.4117919060687711E-2</c:v>
                </c:pt>
                <c:pt idx="2173">
                  <c:v>1.4115614824365963E-2</c:v>
                </c:pt>
                <c:pt idx="2174">
                  <c:v>1.4113276885643344E-2</c:v>
                </c:pt>
                <c:pt idx="2175">
                  <c:v>1.4110905244519856E-2</c:v>
                </c:pt>
                <c:pt idx="2176">
                  <c:v>1.4108499901075433E-2</c:v>
                </c:pt>
                <c:pt idx="2177">
                  <c:v>1.410606085523014E-2</c:v>
                </c:pt>
                <c:pt idx="2178">
                  <c:v>1.4103588107063914E-2</c:v>
                </c:pt>
                <c:pt idx="2179">
                  <c:v>1.4101081656496817E-2</c:v>
                </c:pt>
                <c:pt idx="2180">
                  <c:v>1.409854150352885E-2</c:v>
                </c:pt>
                <c:pt idx="2181">
                  <c:v>1.4095967648239949E-2</c:v>
                </c:pt>
                <c:pt idx="2182">
                  <c:v>1.4093360090630114E-2</c:v>
                </c:pt>
                <c:pt idx="2183">
                  <c:v>1.4090718830619409E-2</c:v>
                </c:pt>
                <c:pt idx="2184">
                  <c:v>1.4088043868127897E-2</c:v>
                </c:pt>
                <c:pt idx="2185">
                  <c:v>1.4085335203395388E-2</c:v>
                </c:pt>
                <c:pt idx="2186">
                  <c:v>1.4082592836341945E-2</c:v>
                </c:pt>
                <c:pt idx="2187">
                  <c:v>1.407981676672776E-2</c:v>
                </c:pt>
                <c:pt idx="2188">
                  <c:v>1.4077006994872576E-2</c:v>
                </c:pt>
                <c:pt idx="2189">
                  <c:v>1.4074163520776395E-2</c:v>
                </c:pt>
                <c:pt idx="2190">
                  <c:v>1.4071286344199407E-2</c:v>
                </c:pt>
                <c:pt idx="2191">
                  <c:v>1.4068375465141614E-2</c:v>
                </c:pt>
                <c:pt idx="2192">
                  <c:v>1.4065430884002694E-2</c:v>
                </c:pt>
                <c:pt idx="2193">
                  <c:v>1.4062452600303033E-2</c:v>
                </c:pt>
                <c:pt idx="2194">
                  <c:v>1.4059440614202501E-2</c:v>
                </c:pt>
                <c:pt idx="2195">
                  <c:v>1.4056394925940907E-2</c:v>
                </c:pt>
                <c:pt idx="2196">
                  <c:v>1.4053315535118571E-2</c:v>
                </c:pt>
                <c:pt idx="2197">
                  <c:v>1.4050202442135173E-2</c:v>
                </c:pt>
                <c:pt idx="2198">
                  <c:v>1.4047055646750906E-2</c:v>
                </c:pt>
                <c:pt idx="2199">
                  <c:v>1.4043875148885832E-2</c:v>
                </c:pt>
                <c:pt idx="2200">
                  <c:v>1.4040660948859696E-2</c:v>
                </c:pt>
                <c:pt idx="2201">
                  <c:v>1.4037413046352754E-2</c:v>
                </c:pt>
                <c:pt idx="2202">
                  <c:v>1.4034131441524877E-2</c:v>
                </c:pt>
                <c:pt idx="2203">
                  <c:v>1.4030816134376067E-2</c:v>
                </c:pt>
                <c:pt idx="2204">
                  <c:v>1.4027467124826387E-2</c:v>
                </c:pt>
                <c:pt idx="2205">
                  <c:v>1.4024084412875837E-2</c:v>
                </c:pt>
                <c:pt idx="2206">
                  <c:v>1.4020667998764225E-2</c:v>
                </c:pt>
                <c:pt idx="2207">
                  <c:v>1.4017217882171806E-2</c:v>
                </c:pt>
                <c:pt idx="2208">
                  <c:v>1.401373406333839E-2</c:v>
                </c:pt>
                <c:pt idx="2209">
                  <c:v>1.4010216542024168E-2</c:v>
                </c:pt>
                <c:pt idx="2210">
                  <c:v>1.4006665318468947E-2</c:v>
                </c:pt>
                <c:pt idx="2211">
                  <c:v>1.4003080392512857E-2</c:v>
                </c:pt>
                <c:pt idx="2212">
                  <c:v>1.3999461764235832E-2</c:v>
                </c:pt>
                <c:pt idx="2213">
                  <c:v>1.3995809433557937E-2</c:v>
                </c:pt>
                <c:pt idx="2214">
                  <c:v>1.3992123400639045E-2</c:v>
                </c:pt>
                <c:pt idx="2215">
                  <c:v>1.3988403665399218E-2</c:v>
                </c:pt>
                <c:pt idx="2216">
                  <c:v>1.3984650227758522E-2</c:v>
                </c:pt>
                <c:pt idx="2217">
                  <c:v>1.3980863087716955E-2</c:v>
                </c:pt>
                <c:pt idx="2218">
                  <c:v>1.397704224543439E-2</c:v>
                </c:pt>
                <c:pt idx="2219">
                  <c:v>1.3973187700910827E-2</c:v>
                </c:pt>
                <c:pt idx="2220">
                  <c:v>1.3969299453906459E-2</c:v>
                </c:pt>
                <c:pt idx="2221">
                  <c:v>1.3965377504661092E-2</c:v>
                </c:pt>
                <c:pt idx="2222">
                  <c:v>1.3961421853094791E-2</c:v>
                </c:pt>
                <c:pt idx="2223">
                  <c:v>1.3957432499207556E-2</c:v>
                </c:pt>
                <c:pt idx="2224">
                  <c:v>1.3953409442839515E-2</c:v>
                </c:pt>
                <c:pt idx="2225">
                  <c:v>1.3949352684230476E-2</c:v>
                </c:pt>
                <c:pt idx="2226">
                  <c:v>1.3945262223380439E-2</c:v>
                </c:pt>
                <c:pt idx="2227">
                  <c:v>1.3941138060049596E-2</c:v>
                </c:pt>
                <c:pt idx="2228">
                  <c:v>1.3936980194397819E-2</c:v>
                </c:pt>
                <c:pt idx="2229">
                  <c:v>1.393278862658498E-2</c:v>
                </c:pt>
                <c:pt idx="2230">
                  <c:v>1.3928563356291335E-2</c:v>
                </c:pt>
                <c:pt idx="2231">
                  <c:v>1.3924304383756692E-2</c:v>
                </c:pt>
                <c:pt idx="2232">
                  <c:v>1.3920011709060987E-2</c:v>
                </c:pt>
                <c:pt idx="2233">
                  <c:v>1.3915685331804539E-2</c:v>
                </c:pt>
                <c:pt idx="2234">
                  <c:v>1.3911325252307094E-2</c:v>
                </c:pt>
                <c:pt idx="2235">
                  <c:v>1.3906931470568651E-2</c:v>
                </c:pt>
                <c:pt idx="2236">
                  <c:v>1.3902503986349402E-2</c:v>
                </c:pt>
                <c:pt idx="2237">
                  <c:v>1.389804279996909E-2</c:v>
                </c:pt>
                <c:pt idx="2238">
                  <c:v>1.3893547911347781E-2</c:v>
                </c:pt>
                <c:pt idx="2239">
                  <c:v>1.388901932016573E-2</c:v>
                </c:pt>
                <c:pt idx="2240">
                  <c:v>1.3884457026902552E-2</c:v>
                </c:pt>
                <c:pt idx="2241">
                  <c:v>1.3879861031238505E-2</c:v>
                </c:pt>
                <c:pt idx="2242">
                  <c:v>1.3875231333253524E-2</c:v>
                </c:pt>
                <c:pt idx="2243">
                  <c:v>1.387056793310748E-2</c:v>
                </c:pt>
                <c:pt idx="2244">
                  <c:v>1.3865870830480631E-2</c:v>
                </c:pt>
                <c:pt idx="2245">
                  <c:v>1.3861140025532848E-2</c:v>
                </c:pt>
                <c:pt idx="2246">
                  <c:v>1.3856375518424002E-2</c:v>
                </c:pt>
                <c:pt idx="2247">
                  <c:v>1.3851577308914287E-2</c:v>
                </c:pt>
                <c:pt idx="2248">
                  <c:v>1.3846745397083637E-2</c:v>
                </c:pt>
                <c:pt idx="2249">
                  <c:v>1.3841879783171862E-2</c:v>
                </c:pt>
                <c:pt idx="2250">
                  <c:v>1.3836980466779281E-2</c:v>
                </c:pt>
                <c:pt idx="2251">
                  <c:v>1.3832047448145701E-2</c:v>
                </c:pt>
                <c:pt idx="2252">
                  <c:v>1.3827080727111252E-2</c:v>
                </c:pt>
                <c:pt idx="2253">
                  <c:v>1.382208030391574E-2</c:v>
                </c:pt>
                <c:pt idx="2254">
                  <c:v>1.3817046178559167E-2</c:v>
                </c:pt>
                <c:pt idx="2255">
                  <c:v>1.3811978350561915E-2</c:v>
                </c:pt>
                <c:pt idx="2256">
                  <c:v>1.3806876820483538E-2</c:v>
                </c:pt>
                <c:pt idx="2257">
                  <c:v>1.3801741588164163E-2</c:v>
                </c:pt>
                <c:pt idx="2258">
                  <c:v>1.3796572653603789E-2</c:v>
                </c:pt>
                <c:pt idx="2259">
                  <c:v>1.3791370016482674E-2</c:v>
                </c:pt>
                <c:pt idx="2260">
                  <c:v>1.3786133677360368E-2</c:v>
                </c:pt>
                <c:pt idx="2261">
                  <c:v>1.3780863635757257E-2</c:v>
                </c:pt>
                <c:pt idx="2262">
                  <c:v>1.3775559892073019E-2</c:v>
                </c:pt>
                <c:pt idx="2263">
                  <c:v>1.3770222445907976E-2</c:v>
                </c:pt>
                <c:pt idx="2264">
                  <c:v>1.3764851297661806E-2</c:v>
                </c:pt>
                <c:pt idx="2265">
                  <c:v>1.3759446447094703E-2</c:v>
                </c:pt>
                <c:pt idx="2266">
                  <c:v>1.375400789412673E-2</c:v>
                </c:pt>
                <c:pt idx="2267">
                  <c:v>1.3748535638917758E-2</c:v>
                </c:pt>
                <c:pt idx="2268">
                  <c:v>1.3743029681547725E-2</c:v>
                </c:pt>
                <c:pt idx="2269">
                  <c:v>1.3737490021856757E-2</c:v>
                </c:pt>
                <c:pt idx="2270">
                  <c:v>1.3731916659844856E-2</c:v>
                </c:pt>
                <c:pt idx="2271">
                  <c:v>1.3726309595671893E-2</c:v>
                </c:pt>
                <c:pt idx="2272">
                  <c:v>1.3720668829257932E-2</c:v>
                </c:pt>
                <c:pt idx="2273">
                  <c:v>1.3714994360523036E-2</c:v>
                </c:pt>
                <c:pt idx="2274">
                  <c:v>1.3709286189467207E-2</c:v>
                </c:pt>
                <c:pt idx="2275">
                  <c:v>1.3703544316250316E-2</c:v>
                </c:pt>
                <c:pt idx="2276">
                  <c:v>1.369776874071249E-2</c:v>
                </c:pt>
                <c:pt idx="2277">
                  <c:v>1.3691959462933667E-2</c:v>
                </c:pt>
                <c:pt idx="2278">
                  <c:v>1.3686116482913846E-2</c:v>
                </c:pt>
                <c:pt idx="2279">
                  <c:v>1.3680239800653027E-2</c:v>
                </c:pt>
                <c:pt idx="2280">
                  <c:v>1.367432941615121E-2</c:v>
                </c:pt>
                <c:pt idx="2281">
                  <c:v>1.3668385329248522E-2</c:v>
                </c:pt>
                <c:pt idx="2282">
                  <c:v>1.3662407540264709E-2</c:v>
                </c:pt>
                <c:pt idx="2283">
                  <c:v>1.3656396049119834E-2</c:v>
                </c:pt>
                <c:pt idx="2284">
                  <c:v>1.3650350855733961E-2</c:v>
                </c:pt>
                <c:pt idx="2285">
                  <c:v>1.3644271959867282E-2</c:v>
                </c:pt>
                <c:pt idx="2286">
                  <c:v>1.3638159361919477E-2</c:v>
                </c:pt>
                <c:pt idx="2287">
                  <c:v>1.3632013061730675E-2</c:v>
                </c:pt>
                <c:pt idx="2288">
                  <c:v>1.3625833059141002E-2</c:v>
                </c:pt>
                <c:pt idx="2289">
                  <c:v>1.3619619354470203E-2</c:v>
                </c:pt>
                <c:pt idx="2290">
                  <c:v>1.3613371947638342E-2</c:v>
                </c:pt>
                <c:pt idx="2291">
                  <c:v>1.3607090838485547E-2</c:v>
                </c:pt>
                <c:pt idx="2292">
                  <c:v>1.3600776027091754E-2</c:v>
                </c:pt>
                <c:pt idx="2293">
                  <c:v>1.35944275135369E-2</c:v>
                </c:pt>
                <c:pt idx="2294">
                  <c:v>1.3588045297661111E-2</c:v>
                </c:pt>
                <c:pt idx="2295">
                  <c:v>1.3581629379704196E-2</c:v>
                </c:pt>
                <c:pt idx="2296">
                  <c:v>1.3575179759266476E-2</c:v>
                </c:pt>
                <c:pt idx="2297">
                  <c:v>1.3568696436827565E-2</c:v>
                </c:pt>
                <c:pt idx="2298">
                  <c:v>1.3562179412067721E-2</c:v>
                </c:pt>
                <c:pt idx="2299">
                  <c:v>1.3555628685146814E-2</c:v>
                </c:pt>
                <c:pt idx="2300">
                  <c:v>1.3549044255904974E-2</c:v>
                </c:pt>
                <c:pt idx="2301">
                  <c:v>1.354242612474188E-2</c:v>
                </c:pt>
                <c:pt idx="2302">
                  <c:v>1.3535774291097979E-2</c:v>
                </c:pt>
                <c:pt idx="2303">
                  <c:v>1.3529088755213081E-2</c:v>
                </c:pt>
                <c:pt idx="2304">
                  <c:v>1.3522369517326993E-2</c:v>
                </c:pt>
                <c:pt idx="2305">
                  <c:v>1.3515616577199907E-2</c:v>
                </c:pt>
                <c:pt idx="2306">
                  <c:v>1.3508829934751887E-2</c:v>
                </c:pt>
                <c:pt idx="2307">
                  <c:v>1.3502009590222741E-2</c:v>
                </c:pt>
                <c:pt idx="2308">
                  <c:v>1.3495155543452597E-2</c:v>
                </c:pt>
                <c:pt idx="2309">
                  <c:v>1.3488267794441455E-2</c:v>
                </c:pt>
                <c:pt idx="2310">
                  <c:v>1.3481346343109379E-2</c:v>
                </c:pt>
                <c:pt idx="2311">
                  <c:v>1.347439118985605E-2</c:v>
                </c:pt>
                <c:pt idx="2312">
                  <c:v>1.3467402334121914E-2</c:v>
                </c:pt>
                <c:pt idx="2313">
                  <c:v>1.3460379776546461E-2</c:v>
                </c:pt>
                <c:pt idx="2314">
                  <c:v>1.3453323516570137E-2</c:v>
                </c:pt>
                <c:pt idx="2315">
                  <c:v>1.3445217951471022E-2</c:v>
                </c:pt>
                <c:pt idx="2316">
                  <c:v>1.3438089472543879E-2</c:v>
                </c:pt>
                <c:pt idx="2317">
                  <c:v>1.3430927291455674E-2</c:v>
                </c:pt>
                <c:pt idx="2318">
                  <c:v>1.3423731408206407E-2</c:v>
                </c:pt>
                <c:pt idx="2319">
                  <c:v>1.3416501822716143E-2</c:v>
                </c:pt>
                <c:pt idx="2320">
                  <c:v>1.3409238535144752E-2</c:v>
                </c:pt>
                <c:pt idx="2321">
                  <c:v>1.3401941545412299E-2</c:v>
                </c:pt>
                <c:pt idx="2322">
                  <c:v>1.3394610853278976E-2</c:v>
                </c:pt>
                <c:pt idx="2323">
                  <c:v>1.33872464592244E-2</c:v>
                </c:pt>
                <c:pt idx="2324">
                  <c:v>1.3379848362928826E-2</c:v>
                </c:pt>
                <c:pt idx="2325">
                  <c:v>1.3372416564392253E-2</c:v>
                </c:pt>
                <c:pt idx="2326">
                  <c:v>1.3364951063694619E-2</c:v>
                </c:pt>
                <c:pt idx="2327">
                  <c:v>1.3357451860915859E-2</c:v>
                </c:pt>
                <c:pt idx="2328">
                  <c:v>1.3349918955896101E-2</c:v>
                </c:pt>
                <c:pt idx="2329">
                  <c:v>1.3342352348795217E-2</c:v>
                </c:pt>
                <c:pt idx="2330">
                  <c:v>1.3334752039533271E-2</c:v>
                </c:pt>
                <c:pt idx="2331">
                  <c:v>1.3327118028190199E-2</c:v>
                </c:pt>
                <c:pt idx="2332">
                  <c:v>1.3319450314526193E-2</c:v>
                </c:pt>
                <c:pt idx="2333">
                  <c:v>1.3310645945532329E-2</c:v>
                </c:pt>
                <c:pt idx="2334">
                  <c:v>1.3302906012917504E-2</c:v>
                </c:pt>
                <c:pt idx="2335">
                  <c:v>1.3295132378381425E-2</c:v>
                </c:pt>
                <c:pt idx="2336">
                  <c:v>1.3287325041684284E-2</c:v>
                </c:pt>
                <c:pt idx="2337">
                  <c:v>1.3279484002746145E-2</c:v>
                </c:pt>
                <c:pt idx="2338">
                  <c:v>1.327160926172688E-2</c:v>
                </c:pt>
                <c:pt idx="2339">
                  <c:v>1.3263700818546553E-2</c:v>
                </c:pt>
                <c:pt idx="2340">
                  <c:v>1.3255758673205165E-2</c:v>
                </c:pt>
                <c:pt idx="2341">
                  <c:v>1.3247782825862586E-2</c:v>
                </c:pt>
                <c:pt idx="2342">
                  <c:v>1.3239773276199074E-2</c:v>
                </c:pt>
                <c:pt idx="2343">
                  <c:v>1.3231730024694244E-2</c:v>
                </c:pt>
                <c:pt idx="2344">
                  <c:v>1.3223653070948416E-2</c:v>
                </c:pt>
                <c:pt idx="2345">
                  <c:v>1.3215542414881654E-2</c:v>
                </c:pt>
                <c:pt idx="2346">
                  <c:v>1.3207398056893638E-2</c:v>
                </c:pt>
                <c:pt idx="2347">
                  <c:v>1.3199219996664624E-2</c:v>
                </c:pt>
                <c:pt idx="2348">
                  <c:v>1.3191008234514356E-2</c:v>
                </c:pt>
                <c:pt idx="2349">
                  <c:v>1.3182762770043155E-2</c:v>
                </c:pt>
                <c:pt idx="2350">
                  <c:v>1.31744836036507E-2</c:v>
                </c:pt>
                <c:pt idx="2351">
                  <c:v>1.3166170735017246E-2</c:v>
                </c:pt>
                <c:pt idx="2352">
                  <c:v>1.3157824164302667E-2</c:v>
                </c:pt>
                <c:pt idx="2353">
                  <c:v>1.3149443891506962E-2</c:v>
                </c:pt>
                <c:pt idx="2354">
                  <c:v>1.3141029916630131E-2</c:v>
                </c:pt>
                <c:pt idx="2355">
                  <c:v>1.3132582239592239E-2</c:v>
                </c:pt>
                <c:pt idx="2356">
                  <c:v>1.3124100860553156E-2</c:v>
                </c:pt>
                <c:pt idx="2357">
                  <c:v>1.3115585779353012E-2</c:v>
                </c:pt>
                <c:pt idx="2358">
                  <c:v>1.3107036996071741E-2</c:v>
                </c:pt>
                <c:pt idx="2359">
                  <c:v>1.3098454510709345E-2</c:v>
                </c:pt>
                <c:pt idx="2360">
                  <c:v>1.3089838323105951E-2</c:v>
                </c:pt>
                <c:pt idx="2361">
                  <c:v>1.3081188433741175E-2</c:v>
                </c:pt>
                <c:pt idx="2362">
                  <c:v>1.3072504842055466E-2</c:v>
                </c:pt>
                <c:pt idx="2363">
                  <c:v>1.306378754828863E-2</c:v>
                </c:pt>
                <c:pt idx="2364">
                  <c:v>1.3055036552520605E-2</c:v>
                </c:pt>
                <c:pt idx="2365">
                  <c:v>1.3046251854751389E-2</c:v>
                </c:pt>
                <c:pt idx="2366">
                  <c:v>1.3037433454741176E-2</c:v>
                </c:pt>
                <c:pt idx="2367">
                  <c:v>1.3026517094445467E-2</c:v>
                </c:pt>
                <c:pt idx="2368">
                  <c:v>1.3017621017716863E-2</c:v>
                </c:pt>
                <c:pt idx="2369">
                  <c:v>1.3008691236935377E-2</c:v>
                </c:pt>
                <c:pt idx="2370">
                  <c:v>1.2999727752074364E-2</c:v>
                </c:pt>
                <c:pt idx="2371">
                  <c:v>1.2990730563213759E-2</c:v>
                </c:pt>
                <c:pt idx="2372">
                  <c:v>1.2981699670246982E-2</c:v>
                </c:pt>
                <c:pt idx="2373">
                  <c:v>1.2972635073253969E-2</c:v>
                </c:pt>
                <c:pt idx="2374">
                  <c:v>1.2963536772288009E-2</c:v>
                </c:pt>
                <c:pt idx="2375">
                  <c:v>1.2954404767269168E-2</c:v>
                </c:pt>
                <c:pt idx="2376">
                  <c:v>1.2945239058304026E-2</c:v>
                </c:pt>
                <c:pt idx="2377">
                  <c:v>1.2936039645286002E-2</c:v>
                </c:pt>
                <c:pt idx="2378">
                  <c:v>1.2926806528295032E-2</c:v>
                </c:pt>
                <c:pt idx="2379">
                  <c:v>1.2917539707331116E-2</c:v>
                </c:pt>
                <c:pt idx="2380">
                  <c:v>1.2908239182367609E-2</c:v>
                </c:pt>
                <c:pt idx="2381">
                  <c:v>1.2894432624763752E-2</c:v>
                </c:pt>
                <c:pt idx="2382">
                  <c:v>1.2885050919111407E-2</c:v>
                </c:pt>
                <c:pt idx="2383">
                  <c:v>1.2875635511617745E-2</c:v>
                </c:pt>
                <c:pt idx="2384">
                  <c:v>1.2866186401883084E-2</c:v>
                </c:pt>
                <c:pt idx="2385">
                  <c:v>1.2856703590307106E-2</c:v>
                </c:pt>
                <c:pt idx="2386">
                  <c:v>1.284718707649013E-2</c:v>
                </c:pt>
                <c:pt idx="2387">
                  <c:v>1.2837636860831836E-2</c:v>
                </c:pt>
                <c:pt idx="2388">
                  <c:v>1.2828052943172352E-2</c:v>
                </c:pt>
                <c:pt idx="2389">
                  <c:v>1.2818435323271871E-2</c:v>
                </c:pt>
                <c:pt idx="2390">
                  <c:v>1.2808784001610007E-2</c:v>
                </c:pt>
                <c:pt idx="2391">
                  <c:v>1.279909897802689E-2</c:v>
                </c:pt>
                <c:pt idx="2392">
                  <c:v>1.2789380252122839E-2</c:v>
                </c:pt>
                <c:pt idx="2393">
                  <c:v>1.2779627824457407E-2</c:v>
                </c:pt>
                <c:pt idx="2394">
                  <c:v>1.2769841694790784E-2</c:v>
                </c:pt>
                <c:pt idx="2395">
                  <c:v>1.2760021863043036E-2</c:v>
                </c:pt>
                <c:pt idx="2396">
                  <c:v>1.2750168329294098E-2</c:v>
                </c:pt>
                <c:pt idx="2397">
                  <c:v>1.2740281093623906E-2</c:v>
                </c:pt>
                <c:pt idx="2398">
                  <c:v>1.2730360155952525E-2</c:v>
                </c:pt>
                <c:pt idx="2399">
                  <c:v>1.2720405516120081E-2</c:v>
                </c:pt>
                <c:pt idx="2400">
                  <c:v>1.271041717444632E-2</c:v>
                </c:pt>
                <c:pt idx="2401">
                  <c:v>1.2700395131011177E-2</c:v>
                </c:pt>
                <c:pt idx="2402">
                  <c:v>1.2690339385335037E-2</c:v>
                </c:pt>
                <c:pt idx="2403">
                  <c:v>1.2680249937737642E-2</c:v>
                </c:pt>
                <c:pt idx="2404">
                  <c:v>1.2670126788139058E-2</c:v>
                </c:pt>
                <c:pt idx="2405">
                  <c:v>1.2659969936699156E-2</c:v>
                </c:pt>
                <c:pt idx="2406">
                  <c:v>1.2649779383178128E-2</c:v>
                </c:pt>
                <c:pt idx="2407">
                  <c:v>1.2639555127815782E-2</c:v>
                </c:pt>
                <c:pt idx="2408">
                  <c:v>1.2629297170372311E-2</c:v>
                </c:pt>
                <c:pt idx="2409">
                  <c:v>1.261900551092765E-2</c:v>
                </c:pt>
                <c:pt idx="2410">
                  <c:v>1.2608680149721607E-2</c:v>
                </c:pt>
                <c:pt idx="2411">
                  <c:v>1.2598321086434439E-2</c:v>
                </c:pt>
                <c:pt idx="2412">
                  <c:v>1.2587928321226016E-2</c:v>
                </c:pt>
                <c:pt idx="2413">
                  <c:v>1.2577501854256212E-2</c:v>
                </c:pt>
                <c:pt idx="2414">
                  <c:v>1.2567041685125346E-2</c:v>
                </c:pt>
                <c:pt idx="2415">
                  <c:v>1.2556547814073227E-2</c:v>
                </c:pt>
                <c:pt idx="2416">
                  <c:v>1.2546020241179789E-2</c:v>
                </c:pt>
                <c:pt idx="2417">
                  <c:v>1.2535458966285162E-2</c:v>
                </c:pt>
                <c:pt idx="2418">
                  <c:v>1.2524863989469281E-2</c:v>
                </c:pt>
                <c:pt idx="2419">
                  <c:v>1.2514235310732147E-2</c:v>
                </c:pt>
                <c:pt idx="2420">
                  <c:v>1.2503572929993823E-2</c:v>
                </c:pt>
                <c:pt idx="2421">
                  <c:v>1.249287684741418E-2</c:v>
                </c:pt>
                <c:pt idx="2422">
                  <c:v>1.2482147063073157E-2</c:v>
                </c:pt>
                <c:pt idx="2423">
                  <c:v>1.2471383576651007E-2</c:v>
                </c:pt>
                <c:pt idx="2424">
                  <c:v>1.2460586388307604E-2</c:v>
                </c:pt>
                <c:pt idx="2425">
                  <c:v>1.2449755498042947E-2</c:v>
                </c:pt>
                <c:pt idx="2426">
                  <c:v>1.2438890906016908E-2</c:v>
                </c:pt>
                <c:pt idx="2427">
                  <c:v>1.2427992611909744E-2</c:v>
                </c:pt>
                <c:pt idx="2428">
                  <c:v>1.2417060616121134E-2</c:v>
                </c:pt>
                <c:pt idx="2429">
                  <c:v>1.2406094918091526E-2</c:v>
                </c:pt>
                <c:pt idx="2430">
                  <c:v>1.2395095518380472E-2</c:v>
                </c:pt>
                <c:pt idx="2431">
                  <c:v>1.2384062416908037E-2</c:v>
                </c:pt>
                <c:pt idx="2432">
                  <c:v>1.2372995613354476E-2</c:v>
                </c:pt>
                <c:pt idx="2433">
                  <c:v>1.2361895108119469E-2</c:v>
                </c:pt>
                <c:pt idx="2434">
                  <c:v>1.2350760900883273E-2</c:v>
                </c:pt>
                <c:pt idx="2435">
                  <c:v>1.2339592991645887E-2</c:v>
                </c:pt>
                <c:pt idx="2436">
                  <c:v>1.2328391380727055E-2</c:v>
                </c:pt>
                <c:pt idx="2437">
                  <c:v>1.231715606788697E-2</c:v>
                </c:pt>
                <c:pt idx="2438">
                  <c:v>1.2305887053205566E-2</c:v>
                </c:pt>
                <c:pt idx="2439">
                  <c:v>1.2294584336522973E-2</c:v>
                </c:pt>
                <c:pt idx="2440">
                  <c:v>1.2283247918238871E-2</c:v>
                </c:pt>
                <c:pt idx="2441">
                  <c:v>1.2271877797873643E-2</c:v>
                </c:pt>
                <c:pt idx="2442">
                  <c:v>1.2260473975747033E-2</c:v>
                </c:pt>
                <c:pt idx="2443">
                  <c:v>1.2249036451539297E-2</c:v>
                </c:pt>
                <c:pt idx="2444">
                  <c:v>1.2237565225730052E-2</c:v>
                </c:pt>
                <c:pt idx="2445">
                  <c:v>1.2226060298079489E-2</c:v>
                </c:pt>
                <c:pt idx="2446">
                  <c:v>1.2214521668587608E-2</c:v>
                </c:pt>
                <c:pt idx="2447">
                  <c:v>1.2202949337094537E-2</c:v>
                </c:pt>
                <c:pt idx="2448">
                  <c:v>1.2191343303999957E-2</c:v>
                </c:pt>
                <c:pt idx="2449">
                  <c:v>1.2179703568984124E-2</c:v>
                </c:pt>
                <c:pt idx="2450">
                  <c:v>1.2168030132047036E-2</c:v>
                </c:pt>
                <c:pt idx="2451">
                  <c:v>1.2156322993348567E-2</c:v>
                </c:pt>
                <c:pt idx="2452">
                  <c:v>1.2144582152808781E-2</c:v>
                </c:pt>
                <c:pt idx="2453">
                  <c:v>1.2132807610427676E-2</c:v>
                </c:pt>
                <c:pt idx="2454">
                  <c:v>1.212099936628519E-2</c:v>
                </c:pt>
                <c:pt idx="2455">
                  <c:v>1.2109157420381322E-2</c:v>
                </c:pt>
                <c:pt idx="2456">
                  <c:v>1.2097281772636137E-2</c:v>
                </c:pt>
                <c:pt idx="2457">
                  <c:v>1.2085372422969698E-2</c:v>
                </c:pt>
                <c:pt idx="2458">
                  <c:v>1.2073429371701749E-2</c:v>
                </c:pt>
                <c:pt idx="2459">
                  <c:v>1.2061452618352675E-2</c:v>
                </c:pt>
                <c:pt idx="2460">
                  <c:v>1.2049442163641899E-2</c:v>
                </c:pt>
                <c:pt idx="2461">
                  <c:v>1.2037398006610189E-2</c:v>
                </c:pt>
                <c:pt idx="2462">
                  <c:v>1.2025320148136842E-2</c:v>
                </c:pt>
                <c:pt idx="2463">
                  <c:v>1.2013208587902113E-2</c:v>
                </c:pt>
                <c:pt idx="2464">
                  <c:v>1.2001063325586259E-2</c:v>
                </c:pt>
                <c:pt idx="2465">
                  <c:v>1.1988884361828767E-2</c:v>
                </c:pt>
                <c:pt idx="2466">
                  <c:v>1.1976671696229957E-2</c:v>
                </c:pt>
                <c:pt idx="2467">
                  <c:v>1.1964425328629957E-2</c:v>
                </c:pt>
                <c:pt idx="2468">
                  <c:v>1.1952145259428448E-2</c:v>
                </c:pt>
                <c:pt idx="2469">
                  <c:v>1.1939831488465558E-2</c:v>
                </c:pt>
                <c:pt idx="2470">
                  <c:v>1.1927484015741285E-2</c:v>
                </c:pt>
                <c:pt idx="2471">
                  <c:v>1.1915102841255631E-2</c:v>
                </c:pt>
                <c:pt idx="2472">
                  <c:v>1.1902687965088532E-2</c:v>
                </c:pt>
                <c:pt idx="2473">
                  <c:v>1.1890239387080115E-2</c:v>
                </c:pt>
                <c:pt idx="2474">
                  <c:v>1.187775710723038E-2</c:v>
                </c:pt>
                <c:pt idx="2475">
                  <c:v>1.1865241125859072E-2</c:v>
                </c:pt>
                <c:pt idx="2476">
                  <c:v>1.185269144256651E-2</c:v>
                </c:pt>
                <c:pt idx="2477">
                  <c:v>1.1840108057592502E-2</c:v>
                </c:pt>
                <c:pt idx="2478">
                  <c:v>1.1827490970937049E-2</c:v>
                </c:pt>
                <c:pt idx="2479">
                  <c:v>1.1814840182440278E-2</c:v>
                </c:pt>
                <c:pt idx="2480">
                  <c:v>1.1802155692341998E-2</c:v>
                </c:pt>
                <c:pt idx="2481">
                  <c:v>1.1789437500562272E-2</c:v>
                </c:pt>
                <c:pt idx="2482">
                  <c:v>1.1776685606861292E-2</c:v>
                </c:pt>
                <c:pt idx="2483">
                  <c:v>1.1763900011558803E-2</c:v>
                </c:pt>
                <c:pt idx="2484">
                  <c:v>1.1751080714654805E-2</c:v>
                </c:pt>
                <c:pt idx="2485">
                  <c:v>1.1738227715829552E-2</c:v>
                </c:pt>
                <c:pt idx="2486">
                  <c:v>1.172534101540279E-2</c:v>
                </c:pt>
                <c:pt idx="2487">
                  <c:v>1.1712420613374519E-2</c:v>
                </c:pt>
                <c:pt idx="2488">
                  <c:v>1.1699466509584866E-2</c:v>
                </c:pt>
                <c:pt idx="2489">
                  <c:v>1.1686478703953895E-2</c:v>
                </c:pt>
                <c:pt idx="2490">
                  <c:v>1.1673457196801351E-2</c:v>
                </c:pt>
                <c:pt idx="2491">
                  <c:v>1.1660401987807489E-2</c:v>
                </c:pt>
                <c:pt idx="2492">
                  <c:v>1.1647313077292054E-2</c:v>
                </c:pt>
                <c:pt idx="2493">
                  <c:v>1.1634190713856185E-2</c:v>
                </c:pt>
                <c:pt idx="2494">
                  <c:v>1.1621076210373005E-2</c:v>
                </c:pt>
                <c:pt idx="2495">
                  <c:v>1.1608001173319948E-2</c:v>
                </c:pt>
                <c:pt idx="2496">
                  <c:v>1.1594965602697016E-2</c:v>
                </c:pt>
                <c:pt idx="2497">
                  <c:v>1.1581969498424272E-2</c:v>
                </c:pt>
                <c:pt idx="2498">
                  <c:v>1.1569012860581651E-2</c:v>
                </c:pt>
                <c:pt idx="2499">
                  <c:v>1.1556095689408963E-2</c:v>
                </c:pt>
                <c:pt idx="2500">
                  <c:v>1.154321798442659E-2</c:v>
                </c:pt>
                <c:pt idx="2501">
                  <c:v>1.1530379745954278E-2</c:v>
                </c:pt>
                <c:pt idx="2502">
                  <c:v>1.1517580973992025E-2</c:v>
                </c:pt>
                <c:pt idx="2503">
                  <c:v>1.1504821668379961E-2</c:v>
                </c:pt>
                <c:pt idx="2504">
                  <c:v>1.1492101829038148E-2</c:v>
                </c:pt>
                <c:pt idx="2505">
                  <c:v>1.1479421456366268E-2</c:v>
                </c:pt>
                <c:pt idx="2506">
                  <c:v>1.1466780550044575E-2</c:v>
                </c:pt>
                <c:pt idx="2507">
                  <c:v>1.1454179110073071E-2</c:v>
                </c:pt>
                <c:pt idx="2508">
                  <c:v>1.1441617136371818E-2</c:v>
                </c:pt>
                <c:pt idx="2509">
                  <c:v>1.1429094629500369E-2</c:v>
                </c:pt>
                <c:pt idx="2510">
                  <c:v>1.1416611588579428E-2</c:v>
                </c:pt>
                <c:pt idx="2511">
                  <c:v>1.1404168014168548E-2</c:v>
                </c:pt>
                <c:pt idx="2512">
                  <c:v>1.1391763906267727E-2</c:v>
                </c:pt>
                <c:pt idx="2513">
                  <c:v>1.1379399264717094E-2</c:v>
                </c:pt>
                <c:pt idx="2514">
                  <c:v>1.1367074089356777E-2</c:v>
                </c:pt>
                <c:pt idx="2515">
                  <c:v>1.1354788380426584E-2</c:v>
                </c:pt>
                <c:pt idx="2516">
                  <c:v>1.1342542138086387E-2</c:v>
                </c:pt>
                <c:pt idx="2517">
                  <c:v>1.1330335362016442E-2</c:v>
                </c:pt>
                <c:pt idx="2518">
                  <c:v>1.1318168052216748E-2</c:v>
                </c:pt>
                <c:pt idx="2519">
                  <c:v>1.1306040208927115E-2</c:v>
                </c:pt>
                <c:pt idx="2520">
                  <c:v>1.1293951831907734E-2</c:v>
                </c:pt>
                <c:pt idx="2521">
                  <c:v>1.1281902921158604E-2</c:v>
                </c:pt>
                <c:pt idx="2522">
                  <c:v>1.1269893476839599E-2</c:v>
                </c:pt>
                <c:pt idx="2523">
                  <c:v>1.1257923498710909E-2</c:v>
                </c:pt>
                <c:pt idx="2524">
                  <c:v>1.1245992987092279E-2</c:v>
                </c:pt>
                <c:pt idx="2525">
                  <c:v>1.1234101941823837E-2</c:v>
                </c:pt>
                <c:pt idx="2526">
                  <c:v>1.1222250362745712E-2</c:v>
                </c:pt>
                <c:pt idx="2527">
                  <c:v>1.1210438250177646E-2</c:v>
                </c:pt>
                <c:pt idx="2528">
                  <c:v>1.1198665603799896E-2</c:v>
                </c:pt>
                <c:pt idx="2529">
                  <c:v>1.1186932423772333E-2</c:v>
                </c:pt>
                <c:pt idx="2530">
                  <c:v>1.1175238709935087E-2</c:v>
                </c:pt>
                <c:pt idx="2531">
                  <c:v>1.1163584462607901E-2</c:v>
                </c:pt>
                <c:pt idx="2532">
                  <c:v>1.1151969681550966E-2</c:v>
                </c:pt>
                <c:pt idx="2533">
                  <c:v>1.1140394366684347E-2</c:v>
                </c:pt>
                <c:pt idx="2534">
                  <c:v>1.1128858518167917E-2</c:v>
                </c:pt>
                <c:pt idx="2535">
                  <c:v>1.111736213608161E-2</c:v>
                </c:pt>
                <c:pt idx="2536">
                  <c:v>1.1105905220105683E-2</c:v>
                </c:pt>
                <c:pt idx="2537">
                  <c:v>1.109448777055988E-2</c:v>
                </c:pt>
                <c:pt idx="2538">
                  <c:v>1.1083109787124457E-2</c:v>
                </c:pt>
                <c:pt idx="2539">
                  <c:v>1.1071771270119157E-2</c:v>
                </c:pt>
                <c:pt idx="2540">
                  <c:v>1.1060472219224238E-2</c:v>
                </c:pt>
                <c:pt idx="2541">
                  <c:v>1.1049212634759442E-2</c:v>
                </c:pt>
                <c:pt idx="2542">
                  <c:v>1.1037992516644834E-2</c:v>
                </c:pt>
                <c:pt idx="2543">
                  <c:v>1.1026811864640607E-2</c:v>
                </c:pt>
                <c:pt idx="2544">
                  <c:v>1.1015670678986567E-2</c:v>
                </c:pt>
                <c:pt idx="2545">
                  <c:v>1.1004568959522842E-2</c:v>
                </c:pt>
                <c:pt idx="2546">
                  <c:v>1.0993506706249434E-2</c:v>
                </c:pt>
                <c:pt idx="2547">
                  <c:v>1.0982483919246278E-2</c:v>
                </c:pt>
                <c:pt idx="2548">
                  <c:v>1.0971500598593309E-2</c:v>
                </c:pt>
                <c:pt idx="2549">
                  <c:v>1.0960556744130656E-2</c:v>
                </c:pt>
                <c:pt idx="2550">
                  <c:v>1.0949652355938255E-2</c:v>
                </c:pt>
                <c:pt idx="2551">
                  <c:v>1.093878743393617E-2</c:v>
                </c:pt>
                <c:pt idx="2552">
                  <c:v>1.0927961978124401E-2</c:v>
                </c:pt>
                <c:pt idx="2553">
                  <c:v>1.0917175988662819E-2</c:v>
                </c:pt>
                <c:pt idx="2554">
                  <c:v>1.0906429465391554E-2</c:v>
                </c:pt>
                <c:pt idx="2555">
                  <c:v>1.0895722408310604E-2</c:v>
                </c:pt>
                <c:pt idx="2556">
                  <c:v>1.0885054817499906E-2</c:v>
                </c:pt>
                <c:pt idx="2557">
                  <c:v>1.0874426692879524E-2</c:v>
                </c:pt>
                <c:pt idx="2558">
                  <c:v>1.0863838034449458E-2</c:v>
                </c:pt>
                <c:pt idx="2559">
                  <c:v>1.0853288842209707E-2</c:v>
                </c:pt>
                <c:pt idx="2560">
                  <c:v>1.0842779116240209E-2</c:v>
                </c:pt>
                <c:pt idx="2561">
                  <c:v>1.0832308856461026E-2</c:v>
                </c:pt>
                <c:pt idx="2562">
                  <c:v>1.0821878062792223E-2</c:v>
                </c:pt>
                <c:pt idx="2563">
                  <c:v>1.0811486735473608E-2</c:v>
                </c:pt>
                <c:pt idx="2564">
                  <c:v>1.0801134874265372E-2</c:v>
                </c:pt>
                <c:pt idx="2565">
                  <c:v>1.0790822479087581E-2</c:v>
                </c:pt>
                <c:pt idx="2566">
                  <c:v>1.0780549550180041E-2</c:v>
                </c:pt>
                <c:pt idx="2567">
                  <c:v>1.0770316087622689E-2</c:v>
                </c:pt>
                <c:pt idx="2568">
                  <c:v>1.0760122091095781E-2</c:v>
                </c:pt>
                <c:pt idx="2569">
                  <c:v>1.0749967560839124E-2</c:v>
                </c:pt>
                <c:pt idx="2570">
                  <c:v>1.0739852496612912E-2</c:v>
                </c:pt>
                <c:pt idx="2571">
                  <c:v>1.0729776898656951E-2</c:v>
                </c:pt>
                <c:pt idx="2572">
                  <c:v>1.0719740766891306E-2</c:v>
                </c:pt>
                <c:pt idx="2573">
                  <c:v>1.0709744101236041E-2</c:v>
                </c:pt>
                <c:pt idx="2574">
                  <c:v>1.0699786901771091E-2</c:v>
                </c:pt>
                <c:pt idx="2575">
                  <c:v>1.0688455571017386E-2</c:v>
                </c:pt>
                <c:pt idx="2576">
                  <c:v>1.0678582941743286E-2</c:v>
                </c:pt>
                <c:pt idx="2577">
                  <c:v>1.0668749778819375E-2</c:v>
                </c:pt>
                <c:pt idx="2578">
                  <c:v>1.0658956082005844E-2</c:v>
                </c:pt>
                <c:pt idx="2579">
                  <c:v>1.0649201851382628E-2</c:v>
                </c:pt>
                <c:pt idx="2580">
                  <c:v>1.063948708670992E-2</c:v>
                </c:pt>
                <c:pt idx="2581">
                  <c:v>1.0629811788067656E-2</c:v>
                </c:pt>
                <c:pt idx="2582">
                  <c:v>1.0620175955695643E-2</c:v>
                </c:pt>
                <c:pt idx="2583">
                  <c:v>1.0610579589593883E-2</c:v>
                </c:pt>
                <c:pt idx="2584">
                  <c:v>1.0601022689602502E-2</c:v>
                </c:pt>
                <c:pt idx="2585">
                  <c:v>1.0591505255481692E-2</c:v>
                </c:pt>
                <c:pt idx="2586">
                  <c:v>1.0582027287631135E-2</c:v>
                </c:pt>
                <c:pt idx="2587">
                  <c:v>1.0572588785970893E-2</c:v>
                </c:pt>
                <c:pt idx="2588">
                  <c:v>1.0563189750421031E-2</c:v>
                </c:pt>
                <c:pt idx="2589">
                  <c:v>1.0553830180821677E-2</c:v>
                </c:pt>
                <c:pt idx="2590">
                  <c:v>1.0544510077412639E-2</c:v>
                </c:pt>
                <c:pt idx="2591">
                  <c:v>1.0535229440273852E-2</c:v>
                </c:pt>
                <c:pt idx="2592">
                  <c:v>1.0525988269005637E-2</c:v>
                </c:pt>
                <c:pt idx="2593">
                  <c:v>1.0516786563927738E-2</c:v>
                </c:pt>
                <c:pt idx="2594">
                  <c:v>1.0507624324960219E-2</c:v>
                </c:pt>
                <c:pt idx="2595">
                  <c:v>1.0498501551863271E-2</c:v>
                </c:pt>
                <c:pt idx="2596">
                  <c:v>1.0489418245036575E-2</c:v>
                </c:pt>
                <c:pt idx="2597">
                  <c:v>1.0480374404480131E-2</c:v>
                </c:pt>
                <c:pt idx="2598">
                  <c:v>1.0471370029874194E-2</c:v>
                </c:pt>
                <c:pt idx="2599">
                  <c:v>1.0462405121138829E-2</c:v>
                </c:pt>
                <c:pt idx="2600">
                  <c:v>1.0453479678673716E-2</c:v>
                </c:pt>
                <c:pt idx="2601">
                  <c:v>1.0444593702159111E-2</c:v>
                </c:pt>
                <c:pt idx="2602">
                  <c:v>1.0435747191914757E-2</c:v>
                </c:pt>
                <c:pt idx="2603">
                  <c:v>1.0426940147620911E-2</c:v>
                </c:pt>
                <c:pt idx="2604">
                  <c:v>1.0418172569437445E-2</c:v>
                </c:pt>
                <c:pt idx="2605">
                  <c:v>1.0409444457284422E-2</c:v>
                </c:pt>
                <c:pt idx="2606">
                  <c:v>1.0400755811161844E-2</c:v>
                </c:pt>
                <c:pt idx="2607">
                  <c:v>1.0392106630989772E-2</c:v>
                </c:pt>
                <c:pt idx="2608">
                  <c:v>1.0383496917167889E-2</c:v>
                </c:pt>
                <c:pt idx="2609">
                  <c:v>1.0374926669136642E-2</c:v>
                </c:pt>
                <c:pt idx="2610">
                  <c:v>1.0366395887215774E-2</c:v>
                </c:pt>
                <c:pt idx="2611">
                  <c:v>1.0357904571245413E-2</c:v>
                </c:pt>
                <c:pt idx="2612">
                  <c:v>1.0349452721705177E-2</c:v>
                </c:pt>
                <c:pt idx="2613">
                  <c:v>1.0341040337795704E-2</c:v>
                </c:pt>
                <c:pt idx="2614">
                  <c:v>1.0332667420076547E-2</c:v>
                </c:pt>
                <c:pt idx="2615">
                  <c:v>1.0324333968387833E-2</c:v>
                </c:pt>
                <c:pt idx="2616">
                  <c:v>1.0316039982729563E-2</c:v>
                </c:pt>
                <c:pt idx="2617">
                  <c:v>1.0307785463021801E-2</c:v>
                </c:pt>
                <c:pt idx="2618">
                  <c:v>1.0299570409504355E-2</c:v>
                </c:pt>
                <c:pt idx="2619">
                  <c:v>1.029139482185748E-2</c:v>
                </c:pt>
                <c:pt idx="2620">
                  <c:v>1.0283258700241049E-2</c:v>
                </c:pt>
                <c:pt idx="2621">
                  <c:v>1.0275162044655062E-2</c:v>
                </c:pt>
                <c:pt idx="2622">
                  <c:v>1.0267104855179454E-2</c:v>
                </c:pt>
                <c:pt idx="2623">
                  <c:v>1.0259087131654354E-2</c:v>
                </c:pt>
                <c:pt idx="2624">
                  <c:v>1.0251108874159698E-2</c:v>
                </c:pt>
                <c:pt idx="2625">
                  <c:v>1.0243170082695485E-2</c:v>
                </c:pt>
                <c:pt idx="2626">
                  <c:v>1.023527075718178E-2</c:v>
                </c:pt>
                <c:pt idx="2627">
                  <c:v>1.0226291282338096E-2</c:v>
                </c:pt>
                <c:pt idx="2628">
                  <c:v>1.0218476526775433E-2</c:v>
                </c:pt>
                <c:pt idx="2629">
                  <c:v>1.021070123732315E-2</c:v>
                </c:pt>
                <c:pt idx="2630">
                  <c:v>1.0202965413661502E-2</c:v>
                </c:pt>
                <c:pt idx="2631">
                  <c:v>1.019526905619017E-2</c:v>
                </c:pt>
                <c:pt idx="2632">
                  <c:v>1.0187612164669346E-2</c:v>
                </c:pt>
                <c:pt idx="2633">
                  <c:v>1.0179994739178966E-2</c:v>
                </c:pt>
                <c:pt idx="2634">
                  <c:v>1.0172416779479221E-2</c:v>
                </c:pt>
                <c:pt idx="2635">
                  <c:v>1.0164878285969792E-2</c:v>
                </c:pt>
                <c:pt idx="2636">
                  <c:v>1.015737925841087E-2</c:v>
                </c:pt>
                <c:pt idx="2637">
                  <c:v>1.014991969672252E-2</c:v>
                </c:pt>
                <c:pt idx="2638">
                  <c:v>1.0142499601064614E-2</c:v>
                </c:pt>
                <c:pt idx="2639">
                  <c:v>1.0135118971357215E-2</c:v>
                </c:pt>
                <c:pt idx="2640">
                  <c:v>1.0127777807760197E-2</c:v>
                </c:pt>
                <c:pt idx="2641">
                  <c:v>1.0120476109873877E-2</c:v>
                </c:pt>
                <c:pt idx="2642">
                  <c:v>1.0111714998821242E-2</c:v>
                </c:pt>
                <c:pt idx="2643">
                  <c:v>1.0105991112192569E-2</c:v>
                </c:pt>
                <c:pt idx="2644">
                  <c:v>1.0098807812397581E-2</c:v>
                </c:pt>
                <c:pt idx="2645">
                  <c:v>1.0091663978393228E-2</c:v>
                </c:pt>
                <c:pt idx="2646">
                  <c:v>1.0084559610499255E-2</c:v>
                </c:pt>
                <c:pt idx="2647">
                  <c:v>1.0077494708475854E-2</c:v>
                </c:pt>
                <c:pt idx="2648">
                  <c:v>1.0070469272482896E-2</c:v>
                </c:pt>
                <c:pt idx="2649">
                  <c:v>1.0063483302440446E-2</c:v>
                </c:pt>
                <c:pt idx="2650">
                  <c:v>1.0056536798268567E-2</c:v>
                </c:pt>
                <c:pt idx="2651">
                  <c:v>1.004962975996726E-2</c:v>
                </c:pt>
                <c:pt idx="2652">
                  <c:v>1.0042762187696397E-2</c:v>
                </c:pt>
                <c:pt idx="2653">
                  <c:v>1.0035934081376041E-2</c:v>
                </c:pt>
                <c:pt idx="2654">
                  <c:v>1.0029145441006193E-2</c:v>
                </c:pt>
                <c:pt idx="2655">
                  <c:v>1.0022396266506917E-2</c:v>
                </c:pt>
                <c:pt idx="2656">
                  <c:v>1.0015686557878212E-2</c:v>
                </c:pt>
                <c:pt idx="2657">
                  <c:v>1.0009016315439823E-2</c:v>
                </c:pt>
                <c:pt idx="2658">
                  <c:v>1.0002385538712133E-2</c:v>
                </c:pt>
                <c:pt idx="2659">
                  <c:v>9.9957942278550149E-3</c:v>
                </c:pt>
                <c:pt idx="2660">
                  <c:v>9.9892423830283406E-3</c:v>
                </c:pt>
                <c:pt idx="2661">
                  <c:v>9.9827300040722378E-3</c:v>
                </c:pt>
                <c:pt idx="2662">
                  <c:v>9.9762570910666426E-3</c:v>
                </c:pt>
                <c:pt idx="2663">
                  <c:v>9.9698236440115551E-3</c:v>
                </c:pt>
                <c:pt idx="2664">
                  <c:v>9.9634296629069752E-3</c:v>
                </c:pt>
                <c:pt idx="2665">
                  <c:v>9.9570751475930308E-3</c:v>
                </c:pt>
                <c:pt idx="2666">
                  <c:v>9.9507600983095301E-3</c:v>
                </c:pt>
                <c:pt idx="2667">
                  <c:v>9.9444845149765371E-3</c:v>
                </c:pt>
                <c:pt idx="2668">
                  <c:v>9.9382483975141156E-3</c:v>
                </c:pt>
                <c:pt idx="2669">
                  <c:v>9.9320517458423296E-3</c:v>
                </c:pt>
                <c:pt idx="2670">
                  <c:v>9.9258945599611792E-3</c:v>
                </c:pt>
                <c:pt idx="2671">
                  <c:v>9.9197768401904085E-3</c:v>
                </c:pt>
                <c:pt idx="2672">
                  <c:v>9.9136985862102733E-3</c:v>
                </c:pt>
                <c:pt idx="2673">
                  <c:v>9.9076597981806458E-3</c:v>
                </c:pt>
                <c:pt idx="2674">
                  <c:v>9.9016604761015259E-3</c:v>
                </c:pt>
                <c:pt idx="2675">
                  <c:v>9.8957006198130415E-3</c:v>
                </c:pt>
                <c:pt idx="2676">
                  <c:v>9.8897802294750647E-3</c:v>
                </c:pt>
                <c:pt idx="2677">
                  <c:v>9.8838993050076596E-3</c:v>
                </c:pt>
                <c:pt idx="2678">
                  <c:v>9.878057846490762E-3</c:v>
                </c:pt>
                <c:pt idx="2679">
                  <c:v>9.8708762970289854E-3</c:v>
                </c:pt>
                <c:pt idx="2680">
                  <c:v>9.8651247308456647E-3</c:v>
                </c:pt>
                <c:pt idx="2681">
                  <c:v>9.8594126330375786E-3</c:v>
                </c:pt>
                <c:pt idx="2682">
                  <c:v>9.8537400032849831E-3</c:v>
                </c:pt>
                <c:pt idx="2683">
                  <c:v>9.8481068418010409E-3</c:v>
                </c:pt>
                <c:pt idx="2684">
                  <c:v>9.8425131485058159E-3</c:v>
                </c:pt>
                <c:pt idx="2685">
                  <c:v>9.8369589234525989E-3</c:v>
                </c:pt>
                <c:pt idx="2686">
                  <c:v>9.8314441665614538E-3</c:v>
                </c:pt>
                <c:pt idx="2687">
                  <c:v>9.8259688779123167E-3</c:v>
                </c:pt>
                <c:pt idx="2688">
                  <c:v>9.8205330574252514E-3</c:v>
                </c:pt>
                <c:pt idx="2689">
                  <c:v>9.8151367050736127E-3</c:v>
                </c:pt>
                <c:pt idx="2690">
                  <c:v>9.8097798209373366E-3</c:v>
                </c:pt>
                <c:pt idx="2691">
                  <c:v>9.8044624049897777E-3</c:v>
                </c:pt>
                <c:pt idx="2692">
                  <c:v>9.7966676943528341E-3</c:v>
                </c:pt>
                <c:pt idx="2693">
                  <c:v>9.7914464138249002E-3</c:v>
                </c:pt>
                <c:pt idx="2694">
                  <c:v>9.7862645990076658E-3</c:v>
                </c:pt>
                <c:pt idx="2695">
                  <c:v>9.7811222500610029E-3</c:v>
                </c:pt>
                <c:pt idx="2696">
                  <c:v>9.7760193670648476E-3</c:v>
                </c:pt>
                <c:pt idx="2697">
                  <c:v>9.7709559496994558E-3</c:v>
                </c:pt>
                <c:pt idx="2698">
                  <c:v>9.7659319985243798E-3</c:v>
                </c:pt>
                <c:pt idx="2699">
                  <c:v>9.7609475129800671E-3</c:v>
                </c:pt>
                <c:pt idx="2700">
                  <c:v>9.756002493146454E-3</c:v>
                </c:pt>
                <c:pt idx="2701">
                  <c:v>9.7510969395031566E-3</c:v>
                </c:pt>
                <c:pt idx="2702">
                  <c:v>9.7462308514106866E-3</c:v>
                </c:pt>
                <c:pt idx="2703">
                  <c:v>9.7414042295085324E-3</c:v>
                </c:pt>
                <c:pt idx="2704">
                  <c:v>9.7366170731572055E-3</c:v>
                </c:pt>
                <c:pt idx="2705">
                  <c:v>9.7318693825965141E-3</c:v>
                </c:pt>
                <c:pt idx="2706">
                  <c:v>9.7271611580662665E-3</c:v>
                </c:pt>
                <c:pt idx="2707">
                  <c:v>9.7224923992467183E-3</c:v>
                </c:pt>
                <c:pt idx="2708">
                  <c:v>9.7178631062178056E-3</c:v>
                </c:pt>
                <c:pt idx="2709">
                  <c:v>9.7132732791394005E-3</c:v>
                </c:pt>
                <c:pt idx="2710">
                  <c:v>9.708722917851631E-3</c:v>
                </c:pt>
                <c:pt idx="2711">
                  <c:v>9.704212022434433E-3</c:v>
                </c:pt>
                <c:pt idx="2712">
                  <c:v>9.6997405927279345E-3</c:v>
                </c:pt>
                <c:pt idx="2713">
                  <c:v>9.6953086288920076E-3</c:v>
                </c:pt>
                <c:pt idx="2714">
                  <c:v>9.6909161309266523E-3</c:v>
                </c:pt>
                <c:pt idx="2715">
                  <c:v>9.6865630987519324E-3</c:v>
                </c:pt>
                <c:pt idx="2716">
                  <c:v>9.6822495324477842E-3</c:v>
                </c:pt>
                <c:pt idx="2717">
                  <c:v>9.6779754319342715E-3</c:v>
                </c:pt>
                <c:pt idx="2718">
                  <c:v>9.6737407972913303E-3</c:v>
                </c:pt>
                <c:pt idx="2719">
                  <c:v>9.6695456284390247E-3</c:v>
                </c:pt>
                <c:pt idx="2720">
                  <c:v>9.6653899252174824E-3</c:v>
                </c:pt>
                <c:pt idx="2721">
                  <c:v>9.6612736881063199E-3</c:v>
                </c:pt>
                <c:pt idx="2722">
                  <c:v>9.6571969164660487E-3</c:v>
                </c:pt>
                <c:pt idx="2723">
                  <c:v>9.6531596108562212E-3</c:v>
                </c:pt>
                <c:pt idx="2724">
                  <c:v>9.6491617711169653E-3</c:v>
                </c:pt>
                <c:pt idx="2725">
                  <c:v>9.6452033970884088E-3</c:v>
                </c:pt>
                <c:pt idx="2726">
                  <c:v>9.6412844888504878E-3</c:v>
                </c:pt>
                <c:pt idx="2727">
                  <c:v>9.6374050464032024E-3</c:v>
                </c:pt>
                <c:pt idx="2728">
                  <c:v>9.6335650697465525E-3</c:v>
                </c:pt>
                <c:pt idx="2729">
                  <c:v>9.6297645590404102E-3</c:v>
                </c:pt>
                <c:pt idx="2730">
                  <c:v>9.6260035141249034E-3</c:v>
                </c:pt>
                <c:pt idx="2731">
                  <c:v>9.62228193484016E-3</c:v>
                </c:pt>
                <c:pt idx="2732">
                  <c:v>9.6185998215059243E-3</c:v>
                </c:pt>
                <c:pt idx="2733">
                  <c:v>9.614957173882388E-3</c:v>
                </c:pt>
                <c:pt idx="2734">
                  <c:v>9.6113539920494873E-3</c:v>
                </c:pt>
                <c:pt idx="2735">
                  <c:v>9.6077902760871581E-3</c:v>
                </c:pt>
                <c:pt idx="2736">
                  <c:v>9.6042660259154644E-3</c:v>
                </c:pt>
                <c:pt idx="2737">
                  <c:v>9.6007812415344063E-3</c:v>
                </c:pt>
                <c:pt idx="2738">
                  <c:v>9.5973359228640476E-3</c:v>
                </c:pt>
                <c:pt idx="2739">
                  <c:v>9.5939300701441965E-3</c:v>
                </c:pt>
                <c:pt idx="2740">
                  <c:v>9.5905636830551089E-3</c:v>
                </c:pt>
                <c:pt idx="2741">
                  <c:v>9.5872367618365928E-3</c:v>
                </c:pt>
                <c:pt idx="2742">
                  <c:v>9.5839493064087122E-3</c:v>
                </c:pt>
                <c:pt idx="2743">
                  <c:v>9.5807013166115951E-3</c:v>
                </c:pt>
                <c:pt idx="2744">
                  <c:v>9.5774927927649856E-3</c:v>
                </c:pt>
                <c:pt idx="2745">
                  <c:v>9.5743237347090115E-3</c:v>
                </c:pt>
                <c:pt idx="2746">
                  <c:v>9.5711941424436731E-3</c:v>
                </c:pt>
                <c:pt idx="2747">
                  <c:v>9.568104015889034E-3</c:v>
                </c:pt>
                <c:pt idx="2748">
                  <c:v>9.5650533551250305E-3</c:v>
                </c:pt>
                <c:pt idx="2749">
                  <c:v>9.5620421602315986E-3</c:v>
                </c:pt>
                <c:pt idx="2750">
                  <c:v>9.5590704311288022E-3</c:v>
                </c:pt>
                <c:pt idx="2751">
                  <c:v>9.5561381676567692E-3</c:v>
                </c:pt>
                <c:pt idx="2752">
                  <c:v>9.5532453699753717E-3</c:v>
                </c:pt>
                <c:pt idx="2753">
                  <c:v>9.5503920380846097E-3</c:v>
                </c:pt>
                <c:pt idx="2754">
                  <c:v>9.5475781720644193E-3</c:v>
                </c:pt>
                <c:pt idx="2755">
                  <c:v>9.5448037716749923E-3</c:v>
                </c:pt>
                <c:pt idx="2756">
                  <c:v>9.5420688370762008E-3</c:v>
                </c:pt>
                <c:pt idx="2757">
                  <c:v>9.539373368507853E-3</c:v>
                </c:pt>
                <c:pt idx="2758">
                  <c:v>9.5367173655702686E-3</c:v>
                </c:pt>
                <c:pt idx="2759">
                  <c:v>9.5341008282634476E-3</c:v>
                </c:pt>
                <c:pt idx="2760">
                  <c:v>9.5315237568271982E-3</c:v>
                </c:pt>
                <c:pt idx="2761">
                  <c:v>9.5289861512615204E-3</c:v>
                </c:pt>
                <c:pt idx="2762">
                  <c:v>9.5264880113266059E-3</c:v>
                </c:pt>
                <c:pt idx="2763">
                  <c:v>9.5240293372622631E-3</c:v>
                </c:pt>
                <c:pt idx="2764">
                  <c:v>9.5216101287487476E-3</c:v>
                </c:pt>
                <c:pt idx="2765">
                  <c:v>9.5192303862656757E-3</c:v>
                </c:pt>
                <c:pt idx="2766">
                  <c:v>9.5168901095732394E-3</c:v>
                </c:pt>
                <c:pt idx="2767">
                  <c:v>9.5145892982717584E-3</c:v>
                </c:pt>
                <c:pt idx="2768">
                  <c:v>9.5123279532405292E-3</c:v>
                </c:pt>
                <c:pt idx="2769">
                  <c:v>9.5101060736002552E-3</c:v>
                </c:pt>
                <c:pt idx="2770">
                  <c:v>9.5079236598305528E-3</c:v>
                </c:pt>
                <c:pt idx="2771">
                  <c:v>9.5057807118514859E-3</c:v>
                </c:pt>
                <c:pt idx="2772">
                  <c:v>9.5036772295031824E-3</c:v>
                </c:pt>
                <c:pt idx="2773">
                  <c:v>9.5016132131053865E-3</c:v>
                </c:pt>
                <c:pt idx="2774">
                  <c:v>9.4995886623383541E-3</c:v>
                </c:pt>
                <c:pt idx="2775">
                  <c:v>9.4976035772820211E-3</c:v>
                </c:pt>
                <c:pt idx="2776">
                  <c:v>9.4956579581761957E-3</c:v>
                </c:pt>
                <c:pt idx="2777">
                  <c:v>9.4937518046211977E-3</c:v>
                </c:pt>
                <c:pt idx="2778">
                  <c:v>9.4918851170966434E-3</c:v>
                </c:pt>
                <c:pt idx="2779">
                  <c:v>9.4900578952028525E-3</c:v>
                </c:pt>
                <c:pt idx="2780">
                  <c:v>9.488270139019761E-3</c:v>
                </c:pt>
                <c:pt idx="2781">
                  <c:v>9.486521848547369E-3</c:v>
                </c:pt>
                <c:pt idx="2782">
                  <c:v>9.4848130238656125E-3</c:v>
                </c:pt>
                <c:pt idx="2783">
                  <c:v>9.4831436648945555E-3</c:v>
                </c:pt>
                <c:pt idx="2784">
                  <c:v>9.4815137717940701E-3</c:v>
                </c:pt>
                <c:pt idx="2785">
                  <c:v>9.479923344244412E-3</c:v>
                </c:pt>
                <c:pt idx="2786">
                  <c:v>9.4783723827251976E-3</c:v>
                </c:pt>
                <c:pt idx="2787">
                  <c:v>9.4768608869166826E-3</c:v>
                </c:pt>
                <c:pt idx="2788">
                  <c:v>9.4753888567389311E-3</c:v>
                </c:pt>
                <c:pt idx="2789">
                  <c:v>9.473956292351815E-3</c:v>
                </c:pt>
                <c:pt idx="2790">
                  <c:v>9.4725631937553345E-3</c:v>
                </c:pt>
                <c:pt idx="2791">
                  <c:v>9.4712095607896174E-3</c:v>
                </c:pt>
                <c:pt idx="2792">
                  <c:v>9.4698953936145358E-3</c:v>
                </c:pt>
                <c:pt idx="2793">
                  <c:v>9.4686206922300897E-3</c:v>
                </c:pt>
                <c:pt idx="2794">
                  <c:v>9.4673854567162152E-3</c:v>
                </c:pt>
                <c:pt idx="2795">
                  <c:v>9.4661896867531681E-3</c:v>
                </c:pt>
                <c:pt idx="2796">
                  <c:v>9.4650333826606925E-3</c:v>
                </c:pt>
                <c:pt idx="2797">
                  <c:v>9.4639165441989803E-3</c:v>
                </c:pt>
                <c:pt idx="2798">
                  <c:v>9.4628391716078397E-3</c:v>
                </c:pt>
                <c:pt idx="2799">
                  <c:v>9.4618012646474625E-3</c:v>
                </c:pt>
                <c:pt idx="2800">
                  <c:v>9.4608028235576569E-3</c:v>
                </c:pt>
                <c:pt idx="2801">
                  <c:v>9.4598438481785507E-3</c:v>
                </c:pt>
                <c:pt idx="2802">
                  <c:v>9.458924338510144E-3</c:v>
                </c:pt>
                <c:pt idx="2803">
                  <c:v>9.4580442946323728E-3</c:v>
                </c:pt>
                <c:pt idx="2804">
                  <c:v>9.4572037163853651E-3</c:v>
                </c:pt>
                <c:pt idx="2805">
                  <c:v>9.4564026039289928E-3</c:v>
                </c:pt>
                <c:pt idx="2806">
                  <c:v>9.4556409573431921E-3</c:v>
                </c:pt>
                <c:pt idx="2807">
                  <c:v>9.4549187763881548E-3</c:v>
                </c:pt>
                <c:pt idx="2808">
                  <c:v>9.454236061223753E-3</c:v>
                </c:pt>
                <c:pt idx="2809">
                  <c:v>9.4535928118499868E-3</c:v>
                </c:pt>
                <c:pt idx="2810">
                  <c:v>9.45298902818692E-3</c:v>
                </c:pt>
                <c:pt idx="2811">
                  <c:v>9.4524247101546166E-3</c:v>
                </c:pt>
                <c:pt idx="2812">
                  <c:v>9.4518998579129487E-3</c:v>
                </c:pt>
                <c:pt idx="2813">
                  <c:v>9.4514144715418524E-3</c:v>
                </c:pt>
                <c:pt idx="2814">
                  <c:v>9.4509685508015195E-3</c:v>
                </c:pt>
                <c:pt idx="2815">
                  <c:v>9.4505620959317582E-3</c:v>
                </c:pt>
                <c:pt idx="2816">
                  <c:v>9.4501951065328882E-3</c:v>
                </c:pt>
                <c:pt idx="2817">
                  <c:v>9.4498675830045897E-3</c:v>
                </c:pt>
                <c:pt idx="2818">
                  <c:v>9.4495795253468629E-3</c:v>
                </c:pt>
                <c:pt idx="2819">
                  <c:v>9.4493309333998354E-3</c:v>
                </c:pt>
                <c:pt idx="2820">
                  <c:v>9.4491218071635075E-3</c:v>
                </c:pt>
                <c:pt idx="2821">
                  <c:v>9.4489521465579429E-3</c:v>
                </c:pt>
                <c:pt idx="2822">
                  <c:v>9.4488219518229499E-3</c:v>
                </c:pt>
                <c:pt idx="2823">
                  <c:v>9.4487312228785925E-3</c:v>
                </c:pt>
                <c:pt idx="2824">
                  <c:v>9.4486799595649984E-3</c:v>
                </c:pt>
                <c:pt idx="2825">
                  <c:v>9.4486681619621038E-3</c:v>
                </c:pt>
                <c:pt idx="2826">
                  <c:v>9.4486958301498447E-3</c:v>
                </c:pt>
                <c:pt idx="2827">
                  <c:v>9.4487629641282211E-3</c:v>
                </c:pt>
                <c:pt idx="2828">
                  <c:v>9.448869563737361E-3</c:v>
                </c:pt>
                <c:pt idx="2829">
                  <c:v>9.4490156292970084E-3</c:v>
                </c:pt>
                <c:pt idx="2830">
                  <c:v>9.4492011604874193E-3</c:v>
                </c:pt>
                <c:pt idx="2831">
                  <c:v>9.4494261573085936E-3</c:v>
                </c:pt>
                <c:pt idx="2832">
                  <c:v>9.4496906199204034E-3</c:v>
                </c:pt>
                <c:pt idx="2833">
                  <c:v>9.4499945484827208E-3</c:v>
                </c:pt>
                <c:pt idx="2834">
                  <c:v>9.4503379425159295E-3</c:v>
                </c:pt>
                <c:pt idx="2835">
                  <c:v>9.4507208024197098E-3</c:v>
                </c:pt>
                <c:pt idx="2836">
                  <c:v>9.4511431280341895E-3</c:v>
                </c:pt>
                <c:pt idx="2837">
                  <c:v>9.4516049195192409E-3</c:v>
                </c:pt>
                <c:pt idx="2838">
                  <c:v>9.4521061764751835E-3</c:v>
                </c:pt>
                <c:pt idx="2839">
                  <c:v>9.4526468994615698E-3</c:v>
                </c:pt>
                <c:pt idx="2840">
                  <c:v>9.4532270879987834E-3</c:v>
                </c:pt>
                <c:pt idx="2841">
                  <c:v>9.4538467424865047E-3</c:v>
                </c:pt>
                <c:pt idx="2842">
                  <c:v>9.4545058624451173E-3</c:v>
                </c:pt>
                <c:pt idx="2843">
                  <c:v>9.4552044481943653E-3</c:v>
                </c:pt>
                <c:pt idx="2844">
                  <c:v>9.4559425000539932E-3</c:v>
                </c:pt>
                <c:pt idx="2845">
                  <c:v>9.4567200173045762E-3</c:v>
                </c:pt>
                <c:pt idx="2846">
                  <c:v>9.4575370001859227E-3</c:v>
                </c:pt>
                <c:pt idx="2847">
                  <c:v>9.4583934490177768E-3</c:v>
                </c:pt>
                <c:pt idx="2848">
                  <c:v>9.4592893636402664E-3</c:v>
                </c:pt>
                <c:pt idx="2849">
                  <c:v>9.4602247439734555E-3</c:v>
                </c:pt>
                <c:pt idx="2850">
                  <c:v>9.461199590017344E-3</c:v>
                </c:pt>
                <c:pt idx="2851">
                  <c:v>9.4622139019318041E-3</c:v>
                </c:pt>
                <c:pt idx="2852">
                  <c:v>9.4632676795569637E-3</c:v>
                </c:pt>
                <c:pt idx="2853">
                  <c:v>9.4643609228128867E-3</c:v>
                </c:pt>
                <c:pt idx="2854">
                  <c:v>9.4654936317795091E-3</c:v>
                </c:pt>
                <c:pt idx="2855">
                  <c:v>9.4666658066167031E-3</c:v>
                </c:pt>
                <c:pt idx="2856">
                  <c:v>9.4678774473244687E-3</c:v>
                </c:pt>
                <c:pt idx="2857">
                  <c:v>9.4691285535031255E-3</c:v>
                </c:pt>
                <c:pt idx="2858">
                  <c:v>9.470419125552354E-3</c:v>
                </c:pt>
                <c:pt idx="2859">
                  <c:v>9.471749163392218E-3</c:v>
                </c:pt>
                <c:pt idx="2860">
                  <c:v>9.4731186669427814E-3</c:v>
                </c:pt>
                <c:pt idx="2861">
                  <c:v>9.4745276362040443E-3</c:v>
                </c:pt>
                <c:pt idx="2862">
                  <c:v>9.4759760712559427E-3</c:v>
                </c:pt>
                <c:pt idx="2863">
                  <c:v>9.4774639721784126E-3</c:v>
                </c:pt>
                <c:pt idx="2864">
                  <c:v>9.47899133865171E-3</c:v>
                </c:pt>
                <c:pt idx="2865">
                  <c:v>9.4805581709955788E-3</c:v>
                </c:pt>
                <c:pt idx="2866">
                  <c:v>9.4821644690501472E-3</c:v>
                </c:pt>
                <c:pt idx="2867">
                  <c:v>9.483810232815415E-3</c:v>
                </c:pt>
                <c:pt idx="2868">
                  <c:v>9.4854954623713184E-3</c:v>
                </c:pt>
                <c:pt idx="2869">
                  <c:v>9.4872201577977933E-3</c:v>
                </c:pt>
                <c:pt idx="2870">
                  <c:v>9.4889843189349676E-3</c:v>
                </c:pt>
                <c:pt idx="2871">
                  <c:v>9.4907879457029054E-3</c:v>
                </c:pt>
                <c:pt idx="2872">
                  <c:v>9.4926310381815426E-3</c:v>
                </c:pt>
                <c:pt idx="2873">
                  <c:v>9.4945135966106875E-3</c:v>
                </c:pt>
                <c:pt idx="2874">
                  <c:v>9.4964356208304679E-3</c:v>
                </c:pt>
                <c:pt idx="2875">
                  <c:v>9.4983971106010756E-3</c:v>
                </c:pt>
                <c:pt idx="2876">
                  <c:v>9.5003980662422549E-3</c:v>
                </c:pt>
                <c:pt idx="2877">
                  <c:v>9.5024384876740697E-3</c:v>
                </c:pt>
                <c:pt idx="2878">
                  <c:v>9.504518374736648E-3</c:v>
                </c:pt>
                <c:pt idx="2879">
                  <c:v>9.5066377276697978E-3</c:v>
                </c:pt>
                <c:pt idx="2880">
                  <c:v>9.5087965464735191E-3</c:v>
                </c:pt>
                <c:pt idx="2881">
                  <c:v>9.5109948309080039E-3</c:v>
                </c:pt>
                <c:pt idx="2882">
                  <c:v>9.5132325809732521E-3</c:v>
                </c:pt>
                <c:pt idx="2883">
                  <c:v>9.5155097969090718E-3</c:v>
                </c:pt>
                <c:pt idx="2884">
                  <c:v>9.5178264786355271E-3</c:v>
                </c:pt>
                <c:pt idx="2885">
                  <c:v>9.5201826261526179E-3</c:v>
                </c:pt>
                <c:pt idx="2886">
                  <c:v>9.5225782393804081E-3</c:v>
                </c:pt>
                <c:pt idx="2887">
                  <c:v>9.5253644087556211E-3</c:v>
                </c:pt>
                <c:pt idx="2888">
                  <c:v>9.527844591374901E-3</c:v>
                </c:pt>
                <c:pt idx="2889">
                  <c:v>9.5303642399446886E-3</c:v>
                </c:pt>
                <c:pt idx="2890">
                  <c:v>9.5329233542251757E-3</c:v>
                </c:pt>
                <c:pt idx="2891">
                  <c:v>9.5355219342163622E-3</c:v>
                </c:pt>
                <c:pt idx="2892">
                  <c:v>9.5381599801580563E-3</c:v>
                </c:pt>
                <c:pt idx="2893">
                  <c:v>9.5408374917305139E-3</c:v>
                </c:pt>
                <c:pt idx="2894">
                  <c:v>9.5435544692534791E-3</c:v>
                </c:pt>
                <c:pt idx="2895">
                  <c:v>9.5463109122473355E-3</c:v>
                </c:pt>
                <c:pt idx="2896">
                  <c:v>9.5491068212716357E-3</c:v>
                </c:pt>
                <c:pt idx="2897">
                  <c:v>9.5519421959266992E-3</c:v>
                </c:pt>
                <c:pt idx="2898">
                  <c:v>9.5548170362924623E-3</c:v>
                </c:pt>
                <c:pt idx="2899">
                  <c:v>9.557731342688669E-3</c:v>
                </c:pt>
                <c:pt idx="2900">
                  <c:v>9.5606851147955751E-3</c:v>
                </c:pt>
                <c:pt idx="2901">
                  <c:v>9.5636783525332447E-3</c:v>
                </c:pt>
                <c:pt idx="2902">
                  <c:v>9.5667110562214219E-3</c:v>
                </c:pt>
                <c:pt idx="2903">
                  <c:v>9.5697832255403625E-3</c:v>
                </c:pt>
                <c:pt idx="2904">
                  <c:v>9.5728948608098108E-3</c:v>
                </c:pt>
                <c:pt idx="2905">
                  <c:v>9.5760459617899585E-3</c:v>
                </c:pt>
                <c:pt idx="2906">
                  <c:v>9.5792365284008696E-3</c:v>
                </c:pt>
                <c:pt idx="2907">
                  <c:v>9.5824665610422244E-3</c:v>
                </c:pt>
                <c:pt idx="2908">
                  <c:v>9.5857360593942786E-3</c:v>
                </c:pt>
                <c:pt idx="2909">
                  <c:v>9.5890450233770963E-3</c:v>
                </c:pt>
                <c:pt idx="2910">
                  <c:v>9.5923934533903576E-3</c:v>
                </c:pt>
                <c:pt idx="2911">
                  <c:v>9.5957813490343824E-3</c:v>
                </c:pt>
                <c:pt idx="2912">
                  <c:v>9.5992087103891066E-3</c:v>
                </c:pt>
                <c:pt idx="2913">
                  <c:v>9.6026755377742745E-3</c:v>
                </c:pt>
                <c:pt idx="2914">
                  <c:v>9.6061818309500779E-3</c:v>
                </c:pt>
                <c:pt idx="2915">
                  <c:v>9.6097275896767087E-3</c:v>
                </c:pt>
                <c:pt idx="2916">
                  <c:v>9.6133128143538471E-3</c:v>
                </c:pt>
                <c:pt idx="2917">
                  <c:v>9.616937504741685E-3</c:v>
                </c:pt>
                <c:pt idx="2918">
                  <c:v>9.6206016610800305E-3</c:v>
                </c:pt>
                <c:pt idx="2919">
                  <c:v>9.6243052831290754E-3</c:v>
                </c:pt>
                <c:pt idx="2920">
                  <c:v>9.6280483708088838E-3</c:v>
                </c:pt>
                <c:pt idx="2921">
                  <c:v>9.6318309245191358E-3</c:v>
                </c:pt>
                <c:pt idx="2922">
                  <c:v>9.6356529440200234E-3</c:v>
                </c:pt>
                <c:pt idx="2923">
                  <c:v>9.6395144292316104E-3</c:v>
                </c:pt>
                <c:pt idx="2924">
                  <c:v>9.643415380313769E-3</c:v>
                </c:pt>
                <c:pt idx="2925">
                  <c:v>9.6473557971066271E-3</c:v>
                </c:pt>
                <c:pt idx="2926">
                  <c:v>9.6513356798499927E-3</c:v>
                </c:pt>
                <c:pt idx="2927">
                  <c:v>9.655355028383994E-3</c:v>
                </c:pt>
                <c:pt idx="2928">
                  <c:v>9.6594138426286946E-3</c:v>
                </c:pt>
                <c:pt idx="2929">
                  <c:v>9.6635121227439669E-3</c:v>
                </c:pt>
                <c:pt idx="2930">
                  <c:v>9.6676498686498746E-3</c:v>
                </c:pt>
                <c:pt idx="2931">
                  <c:v>9.671827080426354E-3</c:v>
                </c:pt>
                <c:pt idx="2932">
                  <c:v>9.6760437580734049E-3</c:v>
                </c:pt>
                <c:pt idx="2933">
                  <c:v>9.6802999014311553E-3</c:v>
                </c:pt>
                <c:pt idx="2934">
                  <c:v>9.6845955105795412E-3</c:v>
                </c:pt>
                <c:pt idx="2935">
                  <c:v>9.6889305854386265E-3</c:v>
                </c:pt>
                <c:pt idx="2936">
                  <c:v>9.6933051264080916E-3</c:v>
                </c:pt>
                <c:pt idx="2937">
                  <c:v>9.6977191330083201E-3</c:v>
                </c:pt>
                <c:pt idx="2938">
                  <c:v>9.7021726056389923E-3</c:v>
                </c:pt>
                <c:pt idx="2939">
                  <c:v>9.7073106139777821E-3</c:v>
                </c:pt>
                <c:pt idx="2940">
                  <c:v>9.711848655999944E-3</c:v>
                </c:pt>
                <c:pt idx="2941">
                  <c:v>9.7164261639726135E-3</c:v>
                </c:pt>
                <c:pt idx="2942">
                  <c:v>9.7210431375760464E-3</c:v>
                </c:pt>
                <c:pt idx="2943">
                  <c:v>9.7256995772099231E-3</c:v>
                </c:pt>
                <c:pt idx="2944">
                  <c:v>9.7303954828742434E-3</c:v>
                </c:pt>
                <c:pt idx="2945">
                  <c:v>9.7351308540893911E-3</c:v>
                </c:pt>
                <c:pt idx="2946">
                  <c:v>9.7399056911751103E-3</c:v>
                </c:pt>
                <c:pt idx="2947">
                  <c:v>9.744719993971529E-3</c:v>
                </c:pt>
                <c:pt idx="2948">
                  <c:v>9.7495737627983914E-3</c:v>
                </c:pt>
                <c:pt idx="2949">
                  <c:v>9.7544669974158893E-3</c:v>
                </c:pt>
                <c:pt idx="2950">
                  <c:v>9.7593996980638309E-3</c:v>
                </c:pt>
                <c:pt idx="2951">
                  <c:v>9.7643718643425359E-3</c:v>
                </c:pt>
                <c:pt idx="2952">
                  <c:v>9.7693834964118764E-3</c:v>
                </c:pt>
                <c:pt idx="2953">
                  <c:v>9.7764167670018054E-3</c:v>
                </c:pt>
                <c:pt idx="2954">
                  <c:v>9.7795251584020804E-3</c:v>
                </c:pt>
                <c:pt idx="2955">
                  <c:v>9.7846551879232635E-3</c:v>
                </c:pt>
                <c:pt idx="2956">
                  <c:v>9.7898246836347624E-3</c:v>
                </c:pt>
                <c:pt idx="2957">
                  <c:v>9.7967960283629196E-3</c:v>
                </c:pt>
                <c:pt idx="2958">
                  <c:v>9.8020560179001848E-3</c:v>
                </c:pt>
                <c:pt idx="2959">
                  <c:v>9.8073554756528125E-3</c:v>
                </c:pt>
                <c:pt idx="2960">
                  <c:v>9.8126944015675122E-3</c:v>
                </c:pt>
                <c:pt idx="2961">
                  <c:v>9.8180727956709291E-3</c:v>
                </c:pt>
                <c:pt idx="2962">
                  <c:v>9.8234906579097725E-3</c:v>
                </c:pt>
                <c:pt idx="2963">
                  <c:v>9.8289479883906239E-3</c:v>
                </c:pt>
                <c:pt idx="2964">
                  <c:v>9.8344447870069018E-3</c:v>
                </c:pt>
                <c:pt idx="2965">
                  <c:v>9.8399810538385424E-3</c:v>
                </c:pt>
                <c:pt idx="2966">
                  <c:v>9.8455567888855455E-3</c:v>
                </c:pt>
                <c:pt idx="2967">
                  <c:v>9.8511719921479113E-3</c:v>
                </c:pt>
                <c:pt idx="2968">
                  <c:v>9.8568266635989943E-3</c:v>
                </c:pt>
                <c:pt idx="2969">
                  <c:v>9.8625208032654399E-3</c:v>
                </c:pt>
                <c:pt idx="2970">
                  <c:v>9.8682544111206028E-3</c:v>
                </c:pt>
                <c:pt idx="2971">
                  <c:v>9.8740274872977096E-3</c:v>
                </c:pt>
                <c:pt idx="2972">
                  <c:v>9.879840031610243E-3</c:v>
                </c:pt>
                <c:pt idx="2973">
                  <c:v>9.8856920442447205E-3</c:v>
                </c:pt>
                <c:pt idx="2974">
                  <c:v>9.8915835250679152E-3</c:v>
                </c:pt>
                <c:pt idx="2975">
                  <c:v>9.8975144741597632E-3</c:v>
                </c:pt>
                <c:pt idx="2976">
                  <c:v>9.9034848914936191E-3</c:v>
                </c:pt>
                <c:pt idx="2977">
                  <c:v>9.9094947771227737E-3</c:v>
                </c:pt>
                <c:pt idx="2978">
                  <c:v>9.9155441309672909E-3</c:v>
                </c:pt>
                <c:pt idx="2979">
                  <c:v>9.9216329531603975E-3</c:v>
                </c:pt>
                <c:pt idx="2980">
                  <c:v>9.9277612435688667E-3</c:v>
                </c:pt>
                <c:pt idx="2981">
                  <c:v>9.9339290023525706E-3</c:v>
                </c:pt>
                <c:pt idx="2982">
                  <c:v>9.9401362293516371E-3</c:v>
                </c:pt>
                <c:pt idx="2983">
                  <c:v>9.9463829246460023E-3</c:v>
                </c:pt>
                <c:pt idx="2984">
                  <c:v>9.9526690882356661E-3</c:v>
                </c:pt>
                <c:pt idx="2985">
                  <c:v>9.9589947202005646E-3</c:v>
                </c:pt>
                <c:pt idx="2986">
                  <c:v>9.9653598204874072E-3</c:v>
                </c:pt>
                <c:pt idx="2987">
                  <c:v>9.9717643890429031E-3</c:v>
                </c:pt>
                <c:pt idx="2988">
                  <c:v>9.9782084259469883E-3</c:v>
                </c:pt>
                <c:pt idx="2989">
                  <c:v>9.9846919312263083E-3</c:v>
                </c:pt>
                <c:pt idx="2990">
                  <c:v>9.9912149047742815E-3</c:v>
                </c:pt>
                <c:pt idx="2991">
                  <c:v>9.999381564922416E-3</c:v>
                </c:pt>
                <c:pt idx="2992">
                  <c:v>1.0005994384414407E-2</c:v>
                </c:pt>
                <c:pt idx="2993">
                  <c:v>1.0012646669856906E-2</c:v>
                </c:pt>
                <c:pt idx="2994">
                  <c:v>1.0019338421169977E-2</c:v>
                </c:pt>
                <c:pt idx="2995">
                  <c:v>1.0026069638433555E-2</c:v>
                </c:pt>
                <c:pt idx="2996">
                  <c:v>1.003284032164764E-2</c:v>
                </c:pt>
                <c:pt idx="2997">
                  <c:v>1.0039650470732298E-2</c:v>
                </c:pt>
                <c:pt idx="2998">
                  <c:v>1.0046500085767462E-2</c:v>
                </c:pt>
                <c:pt idx="2999">
                  <c:v>1.0053389166833071E-2</c:v>
                </c:pt>
                <c:pt idx="3000">
                  <c:v>1.0060317713769251E-2</c:v>
                </c:pt>
                <c:pt idx="3001">
                  <c:v>1.0067285726735875E-2</c:v>
                </c:pt>
                <c:pt idx="3002">
                  <c:v>1.0074293205573071E-2</c:v>
                </c:pt>
                <c:pt idx="3003">
                  <c:v>1.0081340150360774E-2</c:v>
                </c:pt>
                <c:pt idx="3004">
                  <c:v>1.0089442127210191E-2</c:v>
                </c:pt>
                <c:pt idx="3005">
                  <c:v>1.0096573641709128E-2</c:v>
                </c:pt>
                <c:pt idx="3006">
                  <c:v>1.0103744622478317E-2</c:v>
                </c:pt>
                <c:pt idx="3007">
                  <c:v>1.0110955069118077E-2</c:v>
                </c:pt>
                <c:pt idx="3008">
                  <c:v>1.0118204981708345E-2</c:v>
                </c:pt>
                <c:pt idx="3009">
                  <c:v>1.0125494360249121E-2</c:v>
                </c:pt>
                <c:pt idx="3010">
                  <c:v>1.0132823204740404E-2</c:v>
                </c:pt>
                <c:pt idx="3011">
                  <c:v>1.0140191515262131E-2</c:v>
                </c:pt>
                <c:pt idx="3012">
                  <c:v>1.0147599291574494E-2</c:v>
                </c:pt>
                <c:pt idx="3013">
                  <c:v>1.0155045254300887E-2</c:v>
                </c:pt>
                <c:pt idx="3014">
                  <c:v>1.0162493566747699E-2</c:v>
                </c:pt>
                <c:pt idx="3015">
                  <c:v>1.0169927591023864E-2</c:v>
                </c:pt>
                <c:pt idx="3016">
                  <c:v>1.0177347327129382E-2</c:v>
                </c:pt>
                <c:pt idx="3017">
                  <c:v>1.0184752775224126E-2</c:v>
                </c:pt>
                <c:pt idx="3018">
                  <c:v>1.0192143934988351E-2</c:v>
                </c:pt>
                <c:pt idx="3019">
                  <c:v>1.0199520806501994E-2</c:v>
                </c:pt>
                <c:pt idx="3020">
                  <c:v>1.0206883390004862E-2</c:v>
                </c:pt>
                <c:pt idx="3021">
                  <c:v>1.0214231685017339E-2</c:v>
                </c:pt>
                <c:pt idx="3022">
                  <c:v>1.0221565692098977E-2</c:v>
                </c:pt>
                <c:pt idx="3023">
                  <c:v>1.0228885410690225E-2</c:v>
                </c:pt>
                <c:pt idx="3024">
                  <c:v>1.0236190841190762E-2</c:v>
                </c:pt>
                <c:pt idx="3025">
                  <c:v>1.0243481983680525E-2</c:v>
                </c:pt>
                <c:pt idx="3026">
                  <c:v>1.0250758837759832E-2</c:v>
                </c:pt>
                <c:pt idx="3027">
                  <c:v>1.0258021403668494E-2</c:v>
                </c:pt>
                <c:pt idx="3028">
                  <c:v>1.0265269681406508E-2</c:v>
                </c:pt>
                <c:pt idx="3029">
                  <c:v>1.0272503670814004E-2</c:v>
                </c:pt>
                <c:pt idx="3030">
                  <c:v>1.0279723372210725E-2</c:v>
                </c:pt>
                <c:pt idx="3031">
                  <c:v>1.0286928785356864E-2</c:v>
                </c:pt>
                <c:pt idx="3032">
                  <c:v>1.0294119910332356E-2</c:v>
                </c:pt>
                <c:pt idx="3033">
                  <c:v>1.0301296746897393E-2</c:v>
                </c:pt>
                <c:pt idx="3034">
                  <c:v>1.0308459295451655E-2</c:v>
                </c:pt>
                <c:pt idx="3035">
                  <c:v>1.0315607555595463E-2</c:v>
                </c:pt>
                <c:pt idx="3036">
                  <c:v>1.0322741527568624E-2</c:v>
                </c:pt>
                <c:pt idx="3037">
                  <c:v>1.0329861211371139E-2</c:v>
                </c:pt>
                <c:pt idx="3038">
                  <c:v>1.0336966607082942E-2</c:v>
                </c:pt>
                <c:pt idx="3039">
                  <c:v>1.0344057714464228E-2</c:v>
                </c:pt>
                <c:pt idx="3040">
                  <c:v>1.0351134533514994E-2</c:v>
                </c:pt>
                <c:pt idx="3041">
                  <c:v>1.0358197064634922E-2</c:v>
                </c:pt>
                <c:pt idx="3042">
                  <c:v>1.0365245307184523E-2</c:v>
                </c:pt>
                <c:pt idx="3043">
                  <c:v>1.0372279261723349E-2</c:v>
                </c:pt>
                <c:pt idx="3044">
                  <c:v>1.0379298928011593E-2</c:v>
                </c:pt>
                <c:pt idx="3045">
                  <c:v>1.038630430612919E-2</c:v>
                </c:pt>
                <c:pt idx="3046">
                  <c:v>1.0393295396076141E-2</c:v>
                </c:pt>
                <c:pt idx="3047">
                  <c:v>1.0400272197692573E-2</c:v>
                </c:pt>
                <c:pt idx="3048">
                  <c:v>1.0407234711058422E-2</c:v>
                </c:pt>
                <c:pt idx="3049">
                  <c:v>1.0414182936093752E-2</c:v>
                </c:pt>
                <c:pt idx="3050">
                  <c:v>1.0421116873038372E-2</c:v>
                </c:pt>
                <c:pt idx="3051">
                  <c:v>1.0428036521812345E-2</c:v>
                </c:pt>
                <c:pt idx="3052">
                  <c:v>1.0434941882175863E-2</c:v>
                </c:pt>
                <c:pt idx="3053">
                  <c:v>1.0441832954688479E-2</c:v>
                </c:pt>
                <c:pt idx="3054">
                  <c:v>1.0448709738630768E-2</c:v>
                </c:pt>
                <c:pt idx="3055">
                  <c:v>1.0455572234322474E-2</c:v>
                </c:pt>
                <c:pt idx="3056">
                  <c:v>1.0462420442003406E-2</c:v>
                </c:pt>
                <c:pt idx="3057">
                  <c:v>1.0469254361433755E-2</c:v>
                </c:pt>
                <c:pt idx="3058">
                  <c:v>1.0476073992453649E-2</c:v>
                </c:pt>
                <c:pt idx="3059">
                  <c:v>1.0482879335143025E-2</c:v>
                </c:pt>
                <c:pt idx="3060">
                  <c:v>1.0489670389901562E-2</c:v>
                </c:pt>
                <c:pt idx="3061">
                  <c:v>1.0496447156409516E-2</c:v>
                </c:pt>
                <c:pt idx="3062">
                  <c:v>1.0503209634507016E-2</c:v>
                </c:pt>
                <c:pt idx="3063">
                  <c:v>1.0509957824433869E-2</c:v>
                </c:pt>
                <c:pt idx="3064">
                  <c:v>1.0516691726190075E-2</c:v>
                </c:pt>
                <c:pt idx="3065">
                  <c:v>1.0523411339615762E-2</c:v>
                </c:pt>
                <c:pt idx="3066">
                  <c:v>1.0530116664790867E-2</c:v>
                </c:pt>
                <c:pt idx="3067">
                  <c:v>1.0536807701795325E-2</c:v>
                </c:pt>
                <c:pt idx="3068">
                  <c:v>1.0543484450389329E-2</c:v>
                </c:pt>
                <c:pt idx="3069">
                  <c:v>1.055014691113243E-2</c:v>
                </c:pt>
                <c:pt idx="3070">
                  <c:v>1.055679508338514E-2</c:v>
                </c:pt>
                <c:pt idx="3071">
                  <c:v>1.0563428967387267E-2</c:v>
                </c:pt>
                <c:pt idx="3072">
                  <c:v>1.0570048563058876E-2</c:v>
                </c:pt>
                <c:pt idx="3073">
                  <c:v>1.0576653870559838E-2</c:v>
                </c:pt>
                <c:pt idx="3074">
                  <c:v>1.0583244889890153E-2</c:v>
                </c:pt>
                <c:pt idx="3075">
                  <c:v>1.0589821621049822E-2</c:v>
                </c:pt>
                <c:pt idx="3076">
                  <c:v>1.05963840637191E-2</c:v>
                </c:pt>
                <c:pt idx="3077">
                  <c:v>1.0602932218217731E-2</c:v>
                </c:pt>
                <c:pt idx="3078">
                  <c:v>1.0609466084625652E-2</c:v>
                </c:pt>
                <c:pt idx="3079">
                  <c:v>1.0615985662543181E-2</c:v>
                </c:pt>
                <c:pt idx="3080">
                  <c:v>1.0622490952449937E-2</c:v>
                </c:pt>
                <c:pt idx="3081">
                  <c:v>1.0628981953866301E-2</c:v>
                </c:pt>
                <c:pt idx="3082">
                  <c:v>1.0635458667112019E-2</c:v>
                </c:pt>
                <c:pt idx="3083">
                  <c:v>1.0641921092267026E-2</c:v>
                </c:pt>
                <c:pt idx="3084">
                  <c:v>1.0648369229091514E-2</c:v>
                </c:pt>
                <c:pt idx="3085">
                  <c:v>1.0654803077505548E-2</c:v>
                </c:pt>
                <c:pt idx="3086">
                  <c:v>1.0661222637748935E-2</c:v>
                </c:pt>
                <c:pt idx="3087">
                  <c:v>1.0667627909901611E-2</c:v>
                </c:pt>
                <c:pt idx="3088">
                  <c:v>1.0674018893643833E-2</c:v>
                </c:pt>
                <c:pt idx="3089">
                  <c:v>1.0680395589135472E-2</c:v>
                </c:pt>
                <c:pt idx="3090">
                  <c:v>1.0686757996376528E-2</c:v>
                </c:pt>
                <c:pt idx="3091">
                  <c:v>1.0693106115287065E-2</c:v>
                </c:pt>
                <c:pt idx="3092">
                  <c:v>1.0699439946026956E-2</c:v>
                </c:pt>
                <c:pt idx="3093">
                  <c:v>1.0705759488516264E-2</c:v>
                </c:pt>
                <c:pt idx="3094">
                  <c:v>1.071206474275499E-2</c:v>
                </c:pt>
                <c:pt idx="3095">
                  <c:v>1.0718355708743132E-2</c:v>
                </c:pt>
                <c:pt idx="3096">
                  <c:v>1.0724632386480693E-2</c:v>
                </c:pt>
                <c:pt idx="3097">
                  <c:v>1.0730894775727862E-2</c:v>
                </c:pt>
                <c:pt idx="3098">
                  <c:v>1.073714287688432E-2</c:v>
                </c:pt>
                <c:pt idx="3099">
                  <c:v>1.0743376689790196E-2</c:v>
                </c:pt>
                <c:pt idx="3100">
                  <c:v>1.0749596214445489E-2</c:v>
                </c:pt>
                <c:pt idx="3101">
                  <c:v>1.0755801450930136E-2</c:v>
                </c:pt>
                <c:pt idx="3102">
                  <c:v>1.0761992398924392E-2</c:v>
                </c:pt>
                <c:pt idx="3103">
                  <c:v>1.0768169058907873E-2</c:v>
                </c:pt>
                <c:pt idx="3104">
                  <c:v>1.0774331430480899E-2</c:v>
                </c:pt>
                <c:pt idx="3105">
                  <c:v>1.0780479513643471E-2</c:v>
                </c:pt>
                <c:pt idx="3106">
                  <c:v>1.0786613308715332E-2</c:v>
                </c:pt>
                <c:pt idx="3107">
                  <c:v>1.0792732815376738E-2</c:v>
                </c:pt>
                <c:pt idx="3108">
                  <c:v>1.0798838034027369E-2</c:v>
                </c:pt>
                <c:pt idx="3109">
                  <c:v>1.080492896418761E-2</c:v>
                </c:pt>
                <c:pt idx="3110">
                  <c:v>1.0811005606177204E-2</c:v>
                </c:pt>
                <c:pt idx="3111">
                  <c:v>1.0817067959756343E-2</c:v>
                </c:pt>
                <c:pt idx="3112">
                  <c:v>1.0823116025164836E-2</c:v>
                </c:pt>
                <c:pt idx="3113">
                  <c:v>1.082914980224281E-2</c:v>
                </c:pt>
                <c:pt idx="3114">
                  <c:v>1.0835169291070201E-2</c:v>
                </c:pt>
                <c:pt idx="3115">
                  <c:v>1.084117449164701E-2</c:v>
                </c:pt>
                <c:pt idx="3116">
                  <c:v>1.08471654038933E-2</c:v>
                </c:pt>
                <c:pt idx="3117">
                  <c:v>1.0853142027889007E-2</c:v>
                </c:pt>
                <c:pt idx="3118">
                  <c:v>1.0859104363714067E-2</c:v>
                </c:pt>
                <c:pt idx="3119">
                  <c:v>1.0865052411128673E-2</c:v>
                </c:pt>
                <c:pt idx="3120">
                  <c:v>1.087098617021276E-2</c:v>
                </c:pt>
                <c:pt idx="3121">
                  <c:v>1.0876905641206136E-2</c:v>
                </c:pt>
                <c:pt idx="3122">
                  <c:v>1.0882810823868994E-2</c:v>
                </c:pt>
                <c:pt idx="3123">
                  <c:v>1.0888701718121396E-2</c:v>
                </c:pt>
                <c:pt idx="3124">
                  <c:v>1.0894578324203152E-2</c:v>
                </c:pt>
                <c:pt idx="3125">
                  <c:v>1.0900440641874454E-2</c:v>
                </c:pt>
                <c:pt idx="3126">
                  <c:v>1.0906288671455044E-2</c:v>
                </c:pt>
                <c:pt idx="3127">
                  <c:v>1.091212241262518E-2</c:v>
                </c:pt>
                <c:pt idx="3128">
                  <c:v>1.0917941865464798E-2</c:v>
                </c:pt>
                <c:pt idx="3129">
                  <c:v>1.0923747030213704E-2</c:v>
                </c:pt>
                <c:pt idx="3130">
                  <c:v>1.092953790647222E-2</c:v>
                </c:pt>
                <c:pt idx="3131">
                  <c:v>1.0935314494560089E-2</c:v>
                </c:pt>
                <c:pt idx="3132">
                  <c:v>1.0941076794317439E-2</c:v>
                </c:pt>
                <c:pt idx="3133">
                  <c:v>1.0946824805824207E-2</c:v>
                </c:pt>
                <c:pt idx="3134">
                  <c:v>1.0952558529000456E-2</c:v>
                </c:pt>
                <c:pt idx="3135">
                  <c:v>1.0958277963926122E-2</c:v>
                </c:pt>
                <c:pt idx="3136">
                  <c:v>1.0963983110601205E-2</c:v>
                </c:pt>
                <c:pt idx="3137">
                  <c:v>1.0969673968785898E-2</c:v>
                </c:pt>
                <c:pt idx="3138">
                  <c:v>1.0975350538799944E-2</c:v>
                </c:pt>
                <c:pt idx="3139">
                  <c:v>1.0981012820563407E-2</c:v>
                </c:pt>
                <c:pt idx="3140">
                  <c:v>1.0986660813996352E-2</c:v>
                </c:pt>
                <c:pt idx="3141">
                  <c:v>1.0992294519098778E-2</c:v>
                </c:pt>
                <c:pt idx="3142">
                  <c:v>1.0997913936030557E-2</c:v>
                </c:pt>
                <c:pt idx="3143">
                  <c:v>1.1003519064551881E-2</c:v>
                </c:pt>
                <c:pt idx="3144">
                  <c:v>1.1009109904822623E-2</c:v>
                </c:pt>
                <c:pt idx="3145">
                  <c:v>1.1014686456762846E-2</c:v>
                </c:pt>
                <c:pt idx="3146">
                  <c:v>1.1020248720452486E-2</c:v>
                </c:pt>
                <c:pt idx="3147">
                  <c:v>1.1025796695811607E-2</c:v>
                </c:pt>
                <c:pt idx="3148">
                  <c:v>1.103133038284021E-2</c:v>
                </c:pt>
                <c:pt idx="3149">
                  <c:v>1.103684978161823E-2</c:v>
                </c:pt>
                <c:pt idx="3150">
                  <c:v>1.1042354891985795E-2</c:v>
                </c:pt>
                <c:pt idx="3151">
                  <c:v>1.1047845714182714E-2</c:v>
                </c:pt>
                <c:pt idx="3152">
                  <c:v>1.1053322248049113E-2</c:v>
                </c:pt>
                <c:pt idx="3153">
                  <c:v>1.105878449366493E-2</c:v>
                </c:pt>
                <c:pt idx="3154">
                  <c:v>1.1064232450870293E-2</c:v>
                </c:pt>
                <c:pt idx="3155">
                  <c:v>1.1069666119825072E-2</c:v>
                </c:pt>
                <c:pt idx="3156">
                  <c:v>1.1075085500529269E-2</c:v>
                </c:pt>
                <c:pt idx="3157">
                  <c:v>1.1080490592823011E-2</c:v>
                </c:pt>
                <c:pt idx="3158">
                  <c:v>1.1085881396866171E-2</c:v>
                </c:pt>
                <c:pt idx="3159">
                  <c:v>1.109125791281862E-2</c:v>
                </c:pt>
                <c:pt idx="3160">
                  <c:v>1.1096620139960933E-2</c:v>
                </c:pt>
                <c:pt idx="3161">
                  <c:v>1.1101968079092472E-2</c:v>
                </c:pt>
                <c:pt idx="3162">
                  <c:v>1.1107301729973429E-2</c:v>
                </c:pt>
                <c:pt idx="3163">
                  <c:v>1.1112621092363995E-2</c:v>
                </c:pt>
                <c:pt idx="3164">
                  <c:v>1.111792616666385E-2</c:v>
                </c:pt>
                <c:pt idx="3165">
                  <c:v>1.1123971612727601E-2</c:v>
                </c:pt>
                <c:pt idx="3166">
                  <c:v>1.1129246069199183E-2</c:v>
                </c:pt>
                <c:pt idx="3167">
                  <c:v>1.1134506237340247E-2</c:v>
                </c:pt>
                <c:pt idx="3168">
                  <c:v>1.1139752116910984E-2</c:v>
                </c:pt>
                <c:pt idx="3169">
                  <c:v>1.1144983708550882E-2</c:v>
                </c:pt>
                <c:pt idx="3170">
                  <c:v>1.1150201011620453E-2</c:v>
                </c:pt>
                <c:pt idx="3171">
                  <c:v>1.1155404026439442E-2</c:v>
                </c:pt>
                <c:pt idx="3172">
                  <c:v>1.1160592752847975E-2</c:v>
                </c:pt>
                <c:pt idx="3173">
                  <c:v>1.1165767191085862E-2</c:v>
                </c:pt>
                <c:pt idx="3174">
                  <c:v>1.1170927340993231E-2</c:v>
                </c:pt>
                <c:pt idx="3175">
                  <c:v>1.117607320257008E-2</c:v>
                </c:pt>
                <c:pt idx="3176">
                  <c:v>1.1181204775736475E-2</c:v>
                </c:pt>
                <c:pt idx="3177">
                  <c:v>1.1186322060812159E-2</c:v>
                </c:pt>
                <c:pt idx="3178">
                  <c:v>1.1191425057317517E-2</c:v>
                </c:pt>
                <c:pt idx="3179">
                  <c:v>1.1196513765732163E-2</c:v>
                </c:pt>
                <c:pt idx="3180">
                  <c:v>1.1201588185576483E-2</c:v>
                </c:pt>
                <c:pt idx="3181">
                  <c:v>1.1206648317250156E-2</c:v>
                </c:pt>
                <c:pt idx="3182">
                  <c:v>1.1211694160673247E-2</c:v>
                </c:pt>
                <c:pt idx="3183">
                  <c:v>1.1216725715685882E-2</c:v>
                </c:pt>
                <c:pt idx="3184">
                  <c:v>1.1221742982447935E-2</c:v>
                </c:pt>
                <c:pt idx="3185">
                  <c:v>1.1226745960799533E-2</c:v>
                </c:pt>
                <c:pt idx="3186">
                  <c:v>1.1231734650820613E-2</c:v>
                </c:pt>
                <c:pt idx="3187">
                  <c:v>1.1236709052431237E-2</c:v>
                </c:pt>
                <c:pt idx="3188">
                  <c:v>1.1241669165951151E-2</c:v>
                </c:pt>
                <c:pt idx="3189">
                  <c:v>1.1246614990980675E-2</c:v>
                </c:pt>
                <c:pt idx="3190">
                  <c:v>1.1251546527679679E-2</c:v>
                </c:pt>
                <c:pt idx="3191">
                  <c:v>1.1256463776048165E-2</c:v>
                </c:pt>
                <c:pt idx="3192">
                  <c:v>1.1261366736246003E-2</c:v>
                </c:pt>
                <c:pt idx="3193">
                  <c:v>1.1266255408113324E-2</c:v>
                </c:pt>
                <c:pt idx="3194">
                  <c:v>1.1271129791490253E-2</c:v>
                </c:pt>
                <c:pt idx="3195">
                  <c:v>1.1275989886536664E-2</c:v>
                </c:pt>
                <c:pt idx="3196">
                  <c:v>1.1280835693412428E-2</c:v>
                </c:pt>
                <c:pt idx="3197">
                  <c:v>1.1285667211877737E-2</c:v>
                </c:pt>
                <c:pt idx="3198">
                  <c:v>1.1290484442092463E-2</c:v>
                </c:pt>
                <c:pt idx="3199">
                  <c:v>1.1295972351978989E-2</c:v>
                </c:pt>
                <c:pt idx="3200">
                  <c:v>1.1300758964205571E-2</c:v>
                </c:pt>
                <c:pt idx="3201">
                  <c:v>1.1305531288181569E-2</c:v>
                </c:pt>
                <c:pt idx="3202">
                  <c:v>1.131028932382705E-2</c:v>
                </c:pt>
                <c:pt idx="3203">
                  <c:v>1.1315033070982139E-2</c:v>
                </c:pt>
                <c:pt idx="3204">
                  <c:v>1.1319762529966582E-2</c:v>
                </c:pt>
                <c:pt idx="3205">
                  <c:v>1.1324477700700442E-2</c:v>
                </c:pt>
                <c:pt idx="3206">
                  <c:v>1.1329178582863975E-2</c:v>
                </c:pt>
                <c:pt idx="3207">
                  <c:v>1.1333865176936797E-2</c:v>
                </c:pt>
                <c:pt idx="3208">
                  <c:v>1.1338537482519229E-2</c:v>
                </c:pt>
                <c:pt idx="3209">
                  <c:v>1.1343195499851078E-2</c:v>
                </c:pt>
                <c:pt idx="3210">
                  <c:v>1.1347839228692536E-2</c:v>
                </c:pt>
                <c:pt idx="3211">
                  <c:v>1.1352468669283411E-2</c:v>
                </c:pt>
                <c:pt idx="3212">
                  <c:v>1.1357083821623704E-2</c:v>
                </c:pt>
                <c:pt idx="3213">
                  <c:v>1.1361684685473605E-2</c:v>
                </c:pt>
                <c:pt idx="3214">
                  <c:v>1.1368296717051862E-2</c:v>
                </c:pt>
                <c:pt idx="3215">
                  <c:v>1.1370843548341725E-2</c:v>
                </c:pt>
                <c:pt idx="3216">
                  <c:v>1.137540154720007E-2</c:v>
                </c:pt>
                <c:pt idx="3217">
                  <c:v>1.1379945257807833E-2</c:v>
                </c:pt>
                <c:pt idx="3218">
                  <c:v>1.1384474680165013E-2</c:v>
                </c:pt>
                <c:pt idx="3219">
                  <c:v>1.138898981387193E-2</c:v>
                </c:pt>
                <c:pt idx="3220">
                  <c:v>1.1393490659488137E-2</c:v>
                </c:pt>
                <c:pt idx="3221">
                  <c:v>1.1397977216613953E-2</c:v>
                </c:pt>
                <c:pt idx="3222">
                  <c:v>1.1402449485569122E-2</c:v>
                </c:pt>
                <c:pt idx="3223">
                  <c:v>1.1406907465953964E-2</c:v>
                </c:pt>
                <c:pt idx="3224">
                  <c:v>1.1411351158168159E-2</c:v>
                </c:pt>
                <c:pt idx="3225">
                  <c:v>1.14157805619719E-2</c:v>
                </c:pt>
                <c:pt idx="3226">
                  <c:v>1.1420195677604994E-2</c:v>
                </c:pt>
                <c:pt idx="3227">
                  <c:v>1.1424596504587825E-2</c:v>
                </c:pt>
                <c:pt idx="3228">
                  <c:v>1.1428983043400009E-2</c:v>
                </c:pt>
                <c:pt idx="3229">
                  <c:v>1.1433355294041547E-2</c:v>
                </c:pt>
                <c:pt idx="3230">
                  <c:v>1.143771325587295E-2</c:v>
                </c:pt>
                <c:pt idx="3231">
                  <c:v>1.144205692985345E-2</c:v>
                </c:pt>
                <c:pt idx="3232">
                  <c:v>1.1446386315183688E-2</c:v>
                </c:pt>
                <c:pt idx="3233">
                  <c:v>1.1450701412183406E-2</c:v>
                </c:pt>
                <c:pt idx="3234">
                  <c:v>1.1455002220932542E-2</c:v>
                </c:pt>
                <c:pt idx="3235">
                  <c:v>1.1459288741271223E-2</c:v>
                </c:pt>
                <c:pt idx="3236">
                  <c:v>1.1463560973119513E-2</c:v>
                </c:pt>
                <c:pt idx="3237">
                  <c:v>1.1467818916877093E-2</c:v>
                </c:pt>
                <c:pt idx="3238">
                  <c:v>1.1472062572144281E-2</c:v>
                </c:pt>
                <c:pt idx="3239">
                  <c:v>1.1476291939080951E-2</c:v>
                </c:pt>
                <c:pt idx="3240">
                  <c:v>1.1480507017527231E-2</c:v>
                </c:pt>
                <c:pt idx="3241">
                  <c:v>1.1484707807882799E-2</c:v>
                </c:pt>
                <c:pt idx="3242">
                  <c:v>1.1488894309747977E-2</c:v>
                </c:pt>
                <c:pt idx="3243">
                  <c:v>1.14930665232027E-2</c:v>
                </c:pt>
                <c:pt idx="3244">
                  <c:v>1.1497224448486776E-2</c:v>
                </c:pt>
                <c:pt idx="3245">
                  <c:v>1.1501368085440333E-2</c:v>
                </c:pt>
                <c:pt idx="3246">
                  <c:v>1.15054974339035E-2</c:v>
                </c:pt>
                <c:pt idx="3247">
                  <c:v>1.1509612493876276E-2</c:v>
                </c:pt>
                <c:pt idx="3248">
                  <c:v>1.1513713265758341E-2</c:v>
                </c:pt>
                <c:pt idx="3249">
                  <c:v>1.1517799748990143E-2</c:v>
                </c:pt>
                <c:pt idx="3250">
                  <c:v>1.1521871944131234E-2</c:v>
                </c:pt>
                <c:pt idx="3251">
                  <c:v>1.1527455628765892E-2</c:v>
                </c:pt>
                <c:pt idx="3252">
                  <c:v>1.1531495423424687E-2</c:v>
                </c:pt>
                <c:pt idx="3253">
                  <c:v>1.1535520928926957E-2</c:v>
                </c:pt>
                <c:pt idx="3254">
                  <c:v>1.1539532145219411E-2</c:v>
                </c:pt>
                <c:pt idx="3255">
                  <c:v>1.1543529072355341E-2</c:v>
                </c:pt>
                <c:pt idx="3256">
                  <c:v>1.15475117103081E-2</c:v>
                </c:pt>
                <c:pt idx="3257">
                  <c:v>1.1551480059024399E-2</c:v>
                </c:pt>
                <c:pt idx="3258">
                  <c:v>1.1555434118530883E-2</c:v>
                </c:pt>
                <c:pt idx="3259">
                  <c:v>1.1559373888907487E-2</c:v>
                </c:pt>
                <c:pt idx="3260">
                  <c:v>1.1563299370127567E-2</c:v>
                </c:pt>
                <c:pt idx="3261">
                  <c:v>1.156721056208454E-2</c:v>
                </c:pt>
                <c:pt idx="3262">
                  <c:v>1.1571107464858343E-2</c:v>
                </c:pt>
                <c:pt idx="3263">
                  <c:v>1.1574990078369041E-2</c:v>
                </c:pt>
                <c:pt idx="3264">
                  <c:v>1.1580139475970697E-2</c:v>
                </c:pt>
                <c:pt idx="3265">
                  <c:v>1.1583987139758278E-2</c:v>
                </c:pt>
                <c:pt idx="3266">
                  <c:v>1.1587820515055469E-2</c:v>
                </c:pt>
                <c:pt idx="3267">
                  <c:v>1.1591639601862269E-2</c:v>
                </c:pt>
                <c:pt idx="3268">
                  <c:v>1.1595444400418486E-2</c:v>
                </c:pt>
                <c:pt idx="3269">
                  <c:v>1.1599234910644185E-2</c:v>
                </c:pt>
                <c:pt idx="3270">
                  <c:v>1.1603011132539365E-2</c:v>
                </c:pt>
                <c:pt idx="3271">
                  <c:v>1.1606773065864218E-2</c:v>
                </c:pt>
                <c:pt idx="3272">
                  <c:v>1.161052071109836E-2</c:v>
                </c:pt>
                <c:pt idx="3273">
                  <c:v>1.1614254067922047E-2</c:v>
                </c:pt>
                <c:pt idx="3274">
                  <c:v>1.1617973136175408E-2</c:v>
                </c:pt>
                <c:pt idx="3275">
                  <c:v>1.1621677916018314E-2</c:v>
                </c:pt>
                <c:pt idx="3276">
                  <c:v>1.1625368407610637E-2</c:v>
                </c:pt>
                <c:pt idx="3277">
                  <c:v>1.1629044610952377E-2</c:v>
                </c:pt>
                <c:pt idx="3278">
                  <c:v>1.1632706525803727E-2</c:v>
                </c:pt>
                <c:pt idx="3279">
                  <c:v>1.1636354152244621E-2</c:v>
                </c:pt>
                <c:pt idx="3280">
                  <c:v>1.1639987490434933E-2</c:v>
                </c:pt>
                <c:pt idx="3281">
                  <c:v>1.1643606540134854E-2</c:v>
                </c:pt>
                <c:pt idx="3282">
                  <c:v>1.1647211301584193E-2</c:v>
                </c:pt>
                <c:pt idx="3283">
                  <c:v>1.165080177454314E-2</c:v>
                </c:pt>
                <c:pt idx="3284">
                  <c:v>1.1654377959251505E-2</c:v>
                </c:pt>
                <c:pt idx="3285">
                  <c:v>1.1657939855469479E-2</c:v>
                </c:pt>
                <c:pt idx="3286">
                  <c:v>1.1661487463197062E-2</c:v>
                </c:pt>
                <c:pt idx="3287">
                  <c:v>1.1665020782913871E-2</c:v>
                </c:pt>
                <c:pt idx="3288">
                  <c:v>1.166853981390048E-2</c:v>
                </c:pt>
                <c:pt idx="3289">
                  <c:v>1.1672044556716443E-2</c:v>
                </c:pt>
                <c:pt idx="3290">
                  <c:v>1.1675535011201887E-2</c:v>
                </c:pt>
                <c:pt idx="3291">
                  <c:v>1.1679011177117005E-2</c:v>
                </c:pt>
                <c:pt idx="3292">
                  <c:v>1.1682473054701603E-2</c:v>
                </c:pt>
                <c:pt idx="3293">
                  <c:v>1.1685920643875747E-2</c:v>
                </c:pt>
                <c:pt idx="3294">
                  <c:v>1.1689353944879244E-2</c:v>
                </c:pt>
                <c:pt idx="3295">
                  <c:v>1.169277295739235E-2</c:v>
                </c:pt>
                <c:pt idx="3296">
                  <c:v>1.1696177681415065E-2</c:v>
                </c:pt>
                <c:pt idx="3297">
                  <c:v>1.1699568117187198E-2</c:v>
                </c:pt>
                <c:pt idx="3298">
                  <c:v>1.1702944264628812E-2</c:v>
                </c:pt>
                <c:pt idx="3299">
                  <c:v>1.1706306123659971E-2</c:v>
                </c:pt>
                <c:pt idx="3300">
                  <c:v>1.1709653694040867E-2</c:v>
                </c:pt>
                <c:pt idx="3301">
                  <c:v>1.1712986976331052E-2</c:v>
                </c:pt>
                <c:pt idx="3302">
                  <c:v>1.1716305970210783E-2</c:v>
                </c:pt>
                <c:pt idx="3303">
                  <c:v>1.1719610675839931E-2</c:v>
                </c:pt>
                <c:pt idx="3304">
                  <c:v>1.172290109273888E-2</c:v>
                </c:pt>
                <c:pt idx="3305">
                  <c:v>1.1726177221547118E-2</c:v>
                </c:pt>
                <c:pt idx="3306">
                  <c:v>1.1729439061864966E-2</c:v>
                </c:pt>
                <c:pt idx="3307">
                  <c:v>1.1732686613772358E-2</c:v>
                </c:pt>
                <c:pt idx="3308">
                  <c:v>1.1735919877269296E-2</c:v>
                </c:pt>
                <c:pt idx="3309">
                  <c:v>1.1739138852515651E-2</c:v>
                </c:pt>
                <c:pt idx="3310">
                  <c:v>1.1742343539271616E-2</c:v>
                </c:pt>
                <c:pt idx="3311">
                  <c:v>1.1745533937617125E-2</c:v>
                </c:pt>
                <c:pt idx="3312">
                  <c:v>1.1748710047791988E-2</c:v>
                </c:pt>
                <c:pt idx="3313">
                  <c:v>1.175187186947646E-2</c:v>
                </c:pt>
                <c:pt idx="3314">
                  <c:v>1.1755019402510669E-2</c:v>
                </c:pt>
                <c:pt idx="3315">
                  <c:v>1.1758152647454168E-2</c:v>
                </c:pt>
                <c:pt idx="3316">
                  <c:v>1.1761271603827339E-2</c:v>
                </c:pt>
                <c:pt idx="3317">
                  <c:v>1.1764376271949928E-2</c:v>
                </c:pt>
                <c:pt idx="3318">
                  <c:v>1.1767466651741998E-2</c:v>
                </c:pt>
                <c:pt idx="3319">
                  <c:v>1.1770542743043677E-2</c:v>
                </c:pt>
                <c:pt idx="3320">
                  <c:v>1.1773604546094774E-2</c:v>
                </c:pt>
                <c:pt idx="3321">
                  <c:v>1.1776652060575543E-2</c:v>
                </c:pt>
                <c:pt idx="3322">
                  <c:v>1.1779685286565922E-2</c:v>
                </c:pt>
                <c:pt idx="3323">
                  <c:v>1.1782704224305718E-2</c:v>
                </c:pt>
                <c:pt idx="3324">
                  <c:v>1.1785708873874867E-2</c:v>
                </c:pt>
                <c:pt idx="3325">
                  <c:v>1.1788699234633881E-2</c:v>
                </c:pt>
                <c:pt idx="3326">
                  <c:v>1.1791675307302185E-2</c:v>
                </c:pt>
                <c:pt idx="3327">
                  <c:v>1.1794637091719906E-2</c:v>
                </c:pt>
                <c:pt idx="3328">
                  <c:v>1.1797584587247556E-2</c:v>
                </c:pt>
                <c:pt idx="3329">
                  <c:v>1.1800517794844367E-2</c:v>
                </c:pt>
                <c:pt idx="3330">
                  <c:v>1.1803436714030724E-2</c:v>
                </c:pt>
                <c:pt idx="3331">
                  <c:v>1.1806341344566817E-2</c:v>
                </c:pt>
                <c:pt idx="3332">
                  <c:v>1.1809231686852328E-2</c:v>
                </c:pt>
                <c:pt idx="3333">
                  <c:v>1.1812107740567512E-2</c:v>
                </c:pt>
                <c:pt idx="3334">
                  <c:v>1.181496950611205E-2</c:v>
                </c:pt>
                <c:pt idx="3335">
                  <c:v>1.1817816983166196E-2</c:v>
                </c:pt>
                <c:pt idx="3336">
                  <c:v>1.1820650171889824E-2</c:v>
                </c:pt>
                <c:pt idx="3337">
                  <c:v>1.1823469072202997E-2</c:v>
                </c:pt>
                <c:pt idx="3338">
                  <c:v>1.1826273684025779E-2</c:v>
                </c:pt>
                <c:pt idx="3339">
                  <c:v>1.1829064007597978E-2</c:v>
                </c:pt>
                <c:pt idx="3340">
                  <c:v>1.1831840042759723E-2</c:v>
                </c:pt>
                <c:pt idx="3341">
                  <c:v>1.1834601789431076E-2</c:v>
                </c:pt>
                <c:pt idx="3342">
                  <c:v>1.1837349247691975E-2</c:v>
                </c:pt>
                <c:pt idx="3343">
                  <c:v>1.1840082417622355E-2</c:v>
                </c:pt>
                <c:pt idx="3344">
                  <c:v>1.184280129914228E-2</c:v>
                </c:pt>
                <c:pt idx="3345">
                  <c:v>1.1845505892331687E-2</c:v>
                </c:pt>
                <c:pt idx="3346">
                  <c:v>1.1848196197030703E-2</c:v>
                </c:pt>
                <c:pt idx="3347">
                  <c:v>1.1850872213319263E-2</c:v>
                </c:pt>
                <c:pt idx="3348">
                  <c:v>1.1853533941277306E-2</c:v>
                </c:pt>
                <c:pt idx="3349">
                  <c:v>1.1856181380824893E-2</c:v>
                </c:pt>
                <c:pt idx="3350">
                  <c:v>1.1858814531962025E-2</c:v>
                </c:pt>
                <c:pt idx="3351">
                  <c:v>1.1861433394688703E-2</c:v>
                </c:pt>
                <c:pt idx="3352">
                  <c:v>1.1864037969164798E-2</c:v>
                </c:pt>
                <c:pt idx="3353">
                  <c:v>1.1866628255070566E-2</c:v>
                </c:pt>
                <c:pt idx="3354">
                  <c:v>1.1869204252326071E-2</c:v>
                </c:pt>
                <c:pt idx="3355">
                  <c:v>1.1871765961650738E-2</c:v>
                </c:pt>
                <c:pt idx="3356">
                  <c:v>1.1874313382325141E-2</c:v>
                </c:pt>
                <c:pt idx="3357">
                  <c:v>1.1876846514828898E-2</c:v>
                </c:pt>
                <c:pt idx="3358">
                  <c:v>1.1879365358762328E-2</c:v>
                </c:pt>
                <c:pt idx="3359">
                  <c:v>1.1881869914285303E-2</c:v>
                </c:pt>
                <c:pt idx="3360">
                  <c:v>1.1884360181317888E-2</c:v>
                </c:pt>
                <c:pt idx="3361">
                  <c:v>1.188683616009989E-2</c:v>
                </c:pt>
                <c:pt idx="3362">
                  <c:v>1.1889297850471436E-2</c:v>
                </c:pt>
                <c:pt idx="3363">
                  <c:v>1.1891745252352592E-2</c:v>
                </c:pt>
                <c:pt idx="3364">
                  <c:v>1.1894178366143038E-2</c:v>
                </c:pt>
                <c:pt idx="3365">
                  <c:v>1.1896597191203284E-2</c:v>
                </c:pt>
                <c:pt idx="3366">
                  <c:v>1.1899001727933012E-2</c:v>
                </c:pt>
                <c:pt idx="3367">
                  <c:v>1.1901391976172349E-2</c:v>
                </c:pt>
                <c:pt idx="3368">
                  <c:v>1.1903767936081167E-2</c:v>
                </c:pt>
                <c:pt idx="3369">
                  <c:v>1.1906129607659466E-2</c:v>
                </c:pt>
                <c:pt idx="3370">
                  <c:v>1.1908476990907246E-2</c:v>
                </c:pt>
                <c:pt idx="3371">
                  <c:v>1.1910810085424828E-2</c:v>
                </c:pt>
                <c:pt idx="3372">
                  <c:v>1.1913128891851699E-2</c:v>
                </c:pt>
                <c:pt idx="3373">
                  <c:v>1.1915433409868115E-2</c:v>
                </c:pt>
                <c:pt idx="3374">
                  <c:v>1.191772363939414E-2</c:v>
                </c:pt>
                <c:pt idx="3375">
                  <c:v>1.1919999580269902E-2</c:v>
                </c:pt>
                <c:pt idx="3376">
                  <c:v>1.1922261233054954E-2</c:v>
                </c:pt>
                <c:pt idx="3377">
                  <c:v>1.1924508597429551E-2</c:v>
                </c:pt>
                <c:pt idx="3378">
                  <c:v>1.1926741673153884E-2</c:v>
                </c:pt>
                <c:pt idx="3379">
                  <c:v>1.1928960460627636E-2</c:v>
                </c:pt>
                <c:pt idx="3380">
                  <c:v>1.1931164959690932E-2</c:v>
                </c:pt>
                <c:pt idx="3381">
                  <c:v>1.1933355170583582E-2</c:v>
                </c:pt>
                <c:pt idx="3382">
                  <c:v>1.1935531092746032E-2</c:v>
                </c:pt>
                <c:pt idx="3383">
                  <c:v>1.1937692726577964E-2</c:v>
                </c:pt>
                <c:pt idx="3384">
                  <c:v>1.1939840072159313E-2</c:v>
                </c:pt>
                <c:pt idx="3385">
                  <c:v>1.1941973129170336E-2</c:v>
                </c:pt>
                <c:pt idx="3386">
                  <c:v>1.1944091897690967E-2</c:v>
                </c:pt>
                <c:pt idx="3387">
                  <c:v>1.194619637788108E-2</c:v>
                </c:pt>
                <c:pt idx="3388">
                  <c:v>1.1948286569740674E-2</c:v>
                </c:pt>
                <c:pt idx="3389">
                  <c:v>1.1950362473189813E-2</c:v>
                </c:pt>
                <c:pt idx="3390">
                  <c:v>1.1952424088228497E-2</c:v>
                </c:pt>
                <c:pt idx="3391">
                  <c:v>1.1954471414776791E-2</c:v>
                </c:pt>
                <c:pt idx="3392">
                  <c:v>1.1956504452994565E-2</c:v>
                </c:pt>
                <c:pt idx="3393">
                  <c:v>1.1958523202721949E-2</c:v>
                </c:pt>
                <c:pt idx="3394">
                  <c:v>1.196052766419875E-2</c:v>
                </c:pt>
                <c:pt idx="3395">
                  <c:v>1.1962517836945352E-2</c:v>
                </c:pt>
                <c:pt idx="3396">
                  <c:v>1.1964493721601244E-2</c:v>
                </c:pt>
                <c:pt idx="3397">
                  <c:v>1.1966455317686808E-2</c:v>
                </c:pt>
                <c:pt idx="3398">
                  <c:v>1.1968402625361918E-2</c:v>
                </c:pt>
                <c:pt idx="3399">
                  <c:v>1.1970335644706509E-2</c:v>
                </c:pt>
                <c:pt idx="3400">
                  <c:v>1.1972254375720581E-2</c:v>
                </c:pt>
                <c:pt idx="3401">
                  <c:v>1.1974158818084391E-2</c:v>
                </c:pt>
                <c:pt idx="3402">
                  <c:v>1.1976048972197617E-2</c:v>
                </c:pt>
                <c:pt idx="3403">
                  <c:v>1.1977924837820453E-2</c:v>
                </c:pt>
                <c:pt idx="3404">
                  <c:v>1.197978641511277E-2</c:v>
                </c:pt>
                <c:pt idx="3405">
                  <c:v>1.1981633703994632E-2</c:v>
                </c:pt>
                <c:pt idx="3406">
                  <c:v>1.1983466704386103E-2</c:v>
                </c:pt>
                <c:pt idx="3407">
                  <c:v>1.198528541636712E-2</c:v>
                </c:pt>
                <c:pt idx="3408">
                  <c:v>1.1987089839937681E-2</c:v>
                </c:pt>
                <c:pt idx="3409">
                  <c:v>1.1988879975017852E-2</c:v>
                </c:pt>
                <c:pt idx="3410">
                  <c:v>1.1990655822007312E-2</c:v>
                </c:pt>
                <c:pt idx="3411">
                  <c:v>1.1992417380186637E-2</c:v>
                </c:pt>
                <c:pt idx="3412">
                  <c:v>1.1994164650195316E-2</c:v>
                </c:pt>
                <c:pt idx="3413">
                  <c:v>1.199589763179354E-2</c:v>
                </c:pt>
                <c:pt idx="3414">
                  <c:v>1.1997616325061244E-2</c:v>
                </c:pt>
                <c:pt idx="3415">
                  <c:v>1.1999320729518814E-2</c:v>
                </c:pt>
                <c:pt idx="3416">
                  <c:v>1.2001010845805737E-2</c:v>
                </c:pt>
                <c:pt idx="3417">
                  <c:v>1.2002686673682206E-2</c:v>
                </c:pt>
                <c:pt idx="3418">
                  <c:v>1.2004348213148219E-2</c:v>
                </c:pt>
                <c:pt idx="3419">
                  <c:v>1.2005995464123842E-2</c:v>
                </c:pt>
                <c:pt idx="3420">
                  <c:v>1.2007628426928818E-2</c:v>
                </c:pt>
                <c:pt idx="3421">
                  <c:v>1.2009247101163467E-2</c:v>
                </c:pt>
                <c:pt idx="3422">
                  <c:v>1.2010851486987661E-2</c:v>
                </c:pt>
                <c:pt idx="3423">
                  <c:v>1.2012441584241529E-2</c:v>
                </c:pt>
                <c:pt idx="3424">
                  <c:v>1.201401739332475E-2</c:v>
                </c:pt>
                <c:pt idx="3425">
                  <c:v>1.2015578913677771E-2</c:v>
                </c:pt>
                <c:pt idx="3426">
                  <c:v>1.2017126145940082E-2</c:v>
                </c:pt>
                <c:pt idx="3427">
                  <c:v>1.2018659089632067E-2</c:v>
                </c:pt>
                <c:pt idx="3428">
                  <c:v>1.2020177744913596E-2</c:v>
                </c:pt>
                <c:pt idx="3429">
                  <c:v>1.2021682111784671E-2</c:v>
                </c:pt>
                <c:pt idx="3430">
                  <c:v>1.202317219024529E-2</c:v>
                </c:pt>
                <c:pt idx="3431">
                  <c:v>1.2024647980295455E-2</c:v>
                </c:pt>
                <c:pt idx="3432">
                  <c:v>1.2026109481935165E-2</c:v>
                </c:pt>
                <c:pt idx="3433">
                  <c:v>1.2027556695164421E-2</c:v>
                </c:pt>
                <c:pt idx="3434">
                  <c:v>1.2028989619903285E-2</c:v>
                </c:pt>
                <c:pt idx="3435">
                  <c:v>1.2030408256311631E-2</c:v>
                </c:pt>
                <c:pt idx="3436">
                  <c:v>1.2031812604229586E-2</c:v>
                </c:pt>
                <c:pt idx="3437">
                  <c:v>1.2033202663737086E-2</c:v>
                </c:pt>
                <c:pt idx="3438">
                  <c:v>1.2034578434914067E-2</c:v>
                </c:pt>
                <c:pt idx="3439">
                  <c:v>1.2035939917600658E-2</c:v>
                </c:pt>
                <c:pt idx="3440">
                  <c:v>1.2037287111876793E-2</c:v>
                </c:pt>
                <c:pt idx="3441">
                  <c:v>1.2038620017662538E-2</c:v>
                </c:pt>
                <c:pt idx="3442">
                  <c:v>1.20399386351977E-2</c:v>
                </c:pt>
                <c:pt idx="3443">
                  <c:v>1.2041242964162535E-2</c:v>
                </c:pt>
                <c:pt idx="3444">
                  <c:v>1.2042533004796852E-2</c:v>
                </c:pt>
                <c:pt idx="3445">
                  <c:v>1.2043808756940777E-2</c:v>
                </c:pt>
                <c:pt idx="3446">
                  <c:v>1.2045070220754184E-2</c:v>
                </c:pt>
                <c:pt idx="3447">
                  <c:v>1.2046317395997264E-2</c:v>
                </c:pt>
                <c:pt idx="3448">
                  <c:v>1.2047550282989761E-2</c:v>
                </c:pt>
                <c:pt idx="3449">
                  <c:v>1.2048768881571803E-2</c:v>
                </c:pt>
                <c:pt idx="3450">
                  <c:v>1.2049973191583518E-2</c:v>
                </c:pt>
                <c:pt idx="3451">
                  <c:v>1.2051163213184779E-2</c:v>
                </c:pt>
                <c:pt idx="3452">
                  <c:v>1.2052338946375585E-2</c:v>
                </c:pt>
                <c:pt idx="3453">
                  <c:v>1.2053500391315808E-2</c:v>
                </c:pt>
                <c:pt idx="3454">
                  <c:v>1.205464754776564E-2</c:v>
                </c:pt>
                <c:pt idx="3455">
                  <c:v>1.2055780415645145E-2</c:v>
                </c:pt>
                <c:pt idx="3456">
                  <c:v>1.2056898995194132E-2</c:v>
                </c:pt>
                <c:pt idx="3457">
                  <c:v>1.2058003286332664E-2</c:v>
                </c:pt>
                <c:pt idx="3458">
                  <c:v>1.2059093289060741E-2</c:v>
                </c:pt>
                <c:pt idx="3459">
                  <c:v>1.2060321510425354E-2</c:v>
                </c:pt>
                <c:pt idx="3460">
                  <c:v>1.206138089508535E-2</c:v>
                </c:pt>
                <c:pt idx="3461">
                  <c:v>1.2062425991334891E-2</c:v>
                </c:pt>
                <c:pt idx="3462">
                  <c:v>1.2063456799173977E-2</c:v>
                </c:pt>
                <c:pt idx="3463">
                  <c:v>1.2064473318442737E-2</c:v>
                </c:pt>
                <c:pt idx="3464">
                  <c:v>1.2065475549460913E-2</c:v>
                </c:pt>
                <c:pt idx="3465">
                  <c:v>1.2066463492068635E-2</c:v>
                </c:pt>
                <c:pt idx="3466">
                  <c:v>1.2067437146185966E-2</c:v>
                </c:pt>
                <c:pt idx="3467">
                  <c:v>1.2068396511892843E-2</c:v>
                </c:pt>
                <c:pt idx="3468">
                  <c:v>1.2069341589109328E-2</c:v>
                </c:pt>
                <c:pt idx="3469">
                  <c:v>1.2070272377995295E-2</c:v>
                </c:pt>
                <c:pt idx="3470">
                  <c:v>1.2071188878470807E-2</c:v>
                </c:pt>
                <c:pt idx="3471">
                  <c:v>1.2072091090455928E-2</c:v>
                </c:pt>
                <c:pt idx="3472">
                  <c:v>1.2072979014030594E-2</c:v>
                </c:pt>
                <c:pt idx="3473">
                  <c:v>1.2073852649274741E-2</c:v>
                </c:pt>
                <c:pt idx="3474">
                  <c:v>1.2074711996028498E-2</c:v>
                </c:pt>
                <c:pt idx="3475">
                  <c:v>1.2075557054291863E-2</c:v>
                </c:pt>
                <c:pt idx="3476">
                  <c:v>1.207638782422471E-2</c:v>
                </c:pt>
                <c:pt idx="3477">
                  <c:v>1.2077204305667166E-2</c:v>
                </c:pt>
                <c:pt idx="3478">
                  <c:v>1.2078006498699168E-2</c:v>
                </c:pt>
                <c:pt idx="3479">
                  <c:v>1.2078794403240778E-2</c:v>
                </c:pt>
                <c:pt idx="3480">
                  <c:v>1.207956801945187E-2</c:v>
                </c:pt>
                <c:pt idx="3481">
                  <c:v>1.2080327347252506E-2</c:v>
                </c:pt>
                <c:pt idx="3482">
                  <c:v>1.2081072386562752E-2</c:v>
                </c:pt>
                <c:pt idx="3483">
                  <c:v>1.2081803137622416E-2</c:v>
                </c:pt>
                <c:pt idx="3484">
                  <c:v>1.2082519600111752E-2</c:v>
                </c:pt>
                <c:pt idx="3485">
                  <c:v>1.2083221774270569E-2</c:v>
                </c:pt>
                <c:pt idx="3486">
                  <c:v>1.208390965985906E-2</c:v>
                </c:pt>
                <c:pt idx="3487">
                  <c:v>1.2084583257117032E-2</c:v>
                </c:pt>
                <c:pt idx="3488">
                  <c:v>1.2085242565884613E-2</c:v>
                </c:pt>
                <c:pt idx="3489">
                  <c:v>1.2085887586241739E-2</c:v>
                </c:pt>
                <c:pt idx="3490">
                  <c:v>1.2086518318188411E-2</c:v>
                </c:pt>
                <c:pt idx="3491">
                  <c:v>1.2087134761644691E-2</c:v>
                </c:pt>
                <c:pt idx="3492">
                  <c:v>1.2087736916850389E-2</c:v>
                </c:pt>
                <c:pt idx="3493">
                  <c:v>1.2088324783405824E-2</c:v>
                </c:pt>
                <c:pt idx="3494">
                  <c:v>1.2088898361790612E-2</c:v>
                </c:pt>
                <c:pt idx="3495">
                  <c:v>1.2089457651605073E-2</c:v>
                </c:pt>
                <c:pt idx="3496">
                  <c:v>1.209000265300908E-2</c:v>
                </c:pt>
                <c:pt idx="3497">
                  <c:v>1.2090533365922695E-2</c:v>
                </c:pt>
                <c:pt idx="3498">
                  <c:v>1.2091049790505792E-2</c:v>
                </c:pt>
                <c:pt idx="3499">
                  <c:v>1.2091551926598498E-2</c:v>
                </c:pt>
                <c:pt idx="3500">
                  <c:v>1.2092039774360686E-2</c:v>
                </c:pt>
                <c:pt idx="3501">
                  <c:v>1.2092513333632482E-2</c:v>
                </c:pt>
                <c:pt idx="3502">
                  <c:v>1.2092972604413887E-2</c:v>
                </c:pt>
                <c:pt idx="3503">
                  <c:v>1.209341758694471E-2</c:v>
                </c:pt>
                <c:pt idx="3504">
                  <c:v>1.2093848280905206E-2</c:v>
                </c:pt>
                <c:pt idx="3505">
                  <c:v>1.2094264686455247E-2</c:v>
                </c:pt>
                <c:pt idx="3506">
                  <c:v>1.209466680367477E-2</c:v>
                </c:pt>
                <c:pt idx="3507">
                  <c:v>1.2095054632323965E-2</c:v>
                </c:pt>
                <c:pt idx="3508">
                  <c:v>1.2095428172562706E-2</c:v>
                </c:pt>
                <c:pt idx="3509">
                  <c:v>1.2095787424470927E-2</c:v>
                </c:pt>
                <c:pt idx="3510">
                  <c:v>1.2096132387888758E-2</c:v>
                </c:pt>
                <c:pt idx="3511">
                  <c:v>1.2096509135801625E-2</c:v>
                </c:pt>
                <c:pt idx="3512">
                  <c:v>1.2096823481071439E-2</c:v>
                </c:pt>
                <c:pt idx="3513">
                  <c:v>1.2097123538170607E-2</c:v>
                </c:pt>
                <c:pt idx="3514">
                  <c:v>1.2097409306699447E-2</c:v>
                </c:pt>
                <c:pt idx="3515">
                  <c:v>1.2097680786817833E-2</c:v>
                </c:pt>
                <c:pt idx="3516">
                  <c:v>1.2097937978445827E-2</c:v>
                </c:pt>
                <c:pt idx="3517">
                  <c:v>1.2098180881743303E-2</c:v>
                </c:pt>
                <c:pt idx="3518">
                  <c:v>1.2098409496550389E-2</c:v>
                </c:pt>
                <c:pt idx="3519">
                  <c:v>1.2098623822867083E-2</c:v>
                </c:pt>
                <c:pt idx="3520">
                  <c:v>1.2098823860933194E-2</c:v>
                </c:pt>
                <c:pt idx="3521">
                  <c:v>1.2099009610508915E-2</c:v>
                </c:pt>
                <c:pt idx="3522">
                  <c:v>1.2099181071514309E-2</c:v>
                </c:pt>
                <c:pt idx="3523">
                  <c:v>1.209933824426912E-2</c:v>
                </c:pt>
                <c:pt idx="3524">
                  <c:v>1.209948112853354E-2</c:v>
                </c:pt>
                <c:pt idx="3525">
                  <c:v>1.2100456918334501E-2</c:v>
                </c:pt>
                <c:pt idx="3526">
                  <c:v>1.2099724031831016E-2</c:v>
                </c:pt>
                <c:pt idx="3527">
                  <c:v>1.20998240507042E-2</c:v>
                </c:pt>
                <c:pt idx="3528">
                  <c:v>1.2099909781406737E-2</c:v>
                </c:pt>
                <c:pt idx="3529">
                  <c:v>1.2099981223538947E-2</c:v>
                </c:pt>
                <c:pt idx="3530">
                  <c:v>1.2100038377180766E-2</c:v>
                </c:pt>
                <c:pt idx="3531">
                  <c:v>1.2100081242412131E-2</c:v>
                </c:pt>
                <c:pt idx="3532">
                  <c:v>1.2100109819312976E-2</c:v>
                </c:pt>
                <c:pt idx="3533">
                  <c:v>1.2100124107803367E-2</c:v>
                </c:pt>
              </c:numCache>
            </c:numRef>
          </c:val>
          <c:smooth val="0"/>
        </c:ser>
        <c:dLbls>
          <c:showLegendKey val="0"/>
          <c:showVal val="0"/>
          <c:showCatName val="0"/>
          <c:showSerName val="0"/>
          <c:showPercent val="0"/>
          <c:showBubbleSize val="0"/>
        </c:dLbls>
        <c:marker val="1"/>
        <c:smooth val="0"/>
        <c:axId val="433804416"/>
        <c:axId val="433805952"/>
      </c:lineChart>
      <c:dateAx>
        <c:axId val="433804416"/>
        <c:scaling>
          <c:orientation val="minMax"/>
          <c:max val="43979"/>
          <c:min val="42004"/>
        </c:scaling>
        <c:delete val="0"/>
        <c:axPos val="b"/>
        <c:numFmt formatCode="[$-409]mmm\-yy;@" sourceLinked="0"/>
        <c:majorTickMark val="out"/>
        <c:minorTickMark val="none"/>
        <c:tickLblPos val="low"/>
        <c:txPr>
          <a:bodyPr rot="-2700000"/>
          <a:lstStyle/>
          <a:p>
            <a:pPr>
              <a:defRPr/>
            </a:pPr>
            <a:endParaRPr lang="en-US"/>
          </a:p>
        </c:txPr>
        <c:crossAx val="433805952"/>
        <c:crosses val="autoZero"/>
        <c:auto val="1"/>
        <c:lblOffset val="100"/>
        <c:baseTimeUnit val="days"/>
        <c:majorUnit val="6"/>
        <c:majorTimeUnit val="months"/>
        <c:minorUnit val="1"/>
        <c:minorTimeUnit val="years"/>
      </c:dateAx>
      <c:valAx>
        <c:axId val="433805952"/>
        <c:scaling>
          <c:orientation val="minMax"/>
          <c:max val="9.0000000000000011E-3"/>
          <c:min val="-2E-3"/>
        </c:scaling>
        <c:delete val="0"/>
        <c:axPos val="l"/>
        <c:majorGridlines/>
        <c:numFmt formatCode="0.00%" sourceLinked="0"/>
        <c:majorTickMark val="out"/>
        <c:minorTickMark val="none"/>
        <c:tickLblPos val="nextTo"/>
        <c:crossAx val="433804416"/>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514350</xdr:colOff>
          <xdr:row>22</xdr:row>
          <xdr:rowOff>19050</xdr:rowOff>
        </xdr:from>
        <xdr:to>
          <xdr:col>10</xdr:col>
          <xdr:colOff>238125</xdr:colOff>
          <xdr:row>24</xdr:row>
          <xdr:rowOff>9525</xdr:rowOff>
        </xdr:to>
        <xdr:sp macro="" textlink="">
          <xdr:nvSpPr>
            <xdr:cNvPr id="9217" name="Length2"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19</xdr:row>
          <xdr:rowOff>9525</xdr:rowOff>
        </xdr:from>
        <xdr:to>
          <xdr:col>10</xdr:col>
          <xdr:colOff>238125</xdr:colOff>
          <xdr:row>21</xdr:row>
          <xdr:rowOff>0</xdr:rowOff>
        </xdr:to>
        <xdr:sp macro="" textlink="">
          <xdr:nvSpPr>
            <xdr:cNvPr id="9218" name="Length1" hidden="1">
              <a:extLst>
                <a:ext uri="{63B3BB69-23CF-44E3-9099-C40C66FF867C}">
                  <a14:compatExt spid="_x0000_s921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25</xdr:row>
          <xdr:rowOff>19050</xdr:rowOff>
        </xdr:from>
        <xdr:to>
          <xdr:col>10</xdr:col>
          <xdr:colOff>238125</xdr:colOff>
          <xdr:row>27</xdr:row>
          <xdr:rowOff>9525</xdr:rowOff>
        </xdr:to>
        <xdr:sp macro="" textlink="">
          <xdr:nvSpPr>
            <xdr:cNvPr id="9219" name="Length3" hidden="1">
              <a:extLst>
                <a:ext uri="{63B3BB69-23CF-44E3-9099-C40C66FF867C}">
                  <a14:compatExt spid="_x0000_s921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16</xdr:row>
          <xdr:rowOff>28575</xdr:rowOff>
        </xdr:from>
        <xdr:to>
          <xdr:col>10</xdr:col>
          <xdr:colOff>238125</xdr:colOff>
          <xdr:row>18</xdr:row>
          <xdr:rowOff>19050</xdr:rowOff>
        </xdr:to>
        <xdr:sp macro="" textlink="">
          <xdr:nvSpPr>
            <xdr:cNvPr id="9221" name="Length0" hidden="1">
              <a:extLst>
                <a:ext uri="{63B3BB69-23CF-44E3-9099-C40C66FF867C}">
                  <a14:compatExt spid="_x0000_s922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0</xdr:colOff>
      <xdr:row>9</xdr:row>
      <xdr:rowOff>38098</xdr:rowOff>
    </xdr:from>
    <xdr:to>
      <xdr:col>8</xdr:col>
      <xdr:colOff>361950</xdr:colOff>
      <xdr:row>32</xdr:row>
      <xdr:rowOff>142874</xdr:rowOff>
    </xdr:to>
    <xdr:graphicFrame macro="">
      <xdr:nvGraphicFramePr>
        <xdr:cNvPr id="3"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514350</xdr:colOff>
          <xdr:row>37</xdr:row>
          <xdr:rowOff>38100</xdr:rowOff>
        </xdr:from>
        <xdr:to>
          <xdr:col>10</xdr:col>
          <xdr:colOff>238125</xdr:colOff>
          <xdr:row>39</xdr:row>
          <xdr:rowOff>28575</xdr:rowOff>
        </xdr:to>
        <xdr:sp macro="" textlink="">
          <xdr:nvSpPr>
            <xdr:cNvPr id="9223" name="Length7" hidden="1">
              <a:extLst>
                <a:ext uri="{63B3BB69-23CF-44E3-9099-C40C66FF867C}">
                  <a14:compatExt spid="_x0000_s922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34</xdr:row>
          <xdr:rowOff>38100</xdr:rowOff>
        </xdr:from>
        <xdr:to>
          <xdr:col>10</xdr:col>
          <xdr:colOff>238125</xdr:colOff>
          <xdr:row>36</xdr:row>
          <xdr:rowOff>19050</xdr:rowOff>
        </xdr:to>
        <xdr:sp macro="" textlink="">
          <xdr:nvSpPr>
            <xdr:cNvPr id="9224" name="Length6" hidden="1">
              <a:extLst>
                <a:ext uri="{63B3BB69-23CF-44E3-9099-C40C66FF867C}">
                  <a14:compatExt spid="_x0000_s92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31</xdr:row>
          <xdr:rowOff>28575</xdr:rowOff>
        </xdr:from>
        <xdr:to>
          <xdr:col>10</xdr:col>
          <xdr:colOff>238125</xdr:colOff>
          <xdr:row>33</xdr:row>
          <xdr:rowOff>19050</xdr:rowOff>
        </xdr:to>
        <xdr:sp macro="" textlink="">
          <xdr:nvSpPr>
            <xdr:cNvPr id="9225" name="Length5" hidden="1">
              <a:extLst>
                <a:ext uri="{63B3BB69-23CF-44E3-9099-C40C66FF867C}">
                  <a14:compatExt spid="_x0000_s92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28</xdr:row>
          <xdr:rowOff>28575</xdr:rowOff>
        </xdr:from>
        <xdr:to>
          <xdr:col>10</xdr:col>
          <xdr:colOff>238125</xdr:colOff>
          <xdr:row>30</xdr:row>
          <xdr:rowOff>19050</xdr:rowOff>
        </xdr:to>
        <xdr:sp macro="" textlink="">
          <xdr:nvSpPr>
            <xdr:cNvPr id="9226" name="Length4" hidden="1">
              <a:extLst>
                <a:ext uri="{63B3BB69-23CF-44E3-9099-C40C66FF867C}">
                  <a14:compatExt spid="_x0000_s92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8">
          <cell r="E8" t="str">
            <v>EURON#0000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L29"/>
  <sheetViews>
    <sheetView tabSelected="1" workbookViewId="0">
      <selection activeCell="D11" sqref="D11"/>
    </sheetView>
  </sheetViews>
  <sheetFormatPr defaultColWidth="8" defaultRowHeight="11.25" outlineLevelCol="1" x14ac:dyDescent="0.2"/>
  <cols>
    <col min="1" max="2" width="2.7109375" style="86" customWidth="1"/>
    <col min="3" max="3" width="18" style="86" bestFit="1" customWidth="1"/>
    <col min="4" max="4" width="23.85546875" style="86" bestFit="1" customWidth="1"/>
    <col min="5" max="6" width="15.7109375" style="86" hidden="1" customWidth="1" outlineLevel="1"/>
    <col min="7" max="7" width="2.7109375" style="86" customWidth="1" collapsed="1"/>
    <col min="8" max="9" width="2.7109375" style="86" customWidth="1"/>
    <col min="10" max="10" width="18.5703125" style="86" bestFit="1" customWidth="1"/>
    <col min="11" max="11" width="11.7109375" style="86" customWidth="1"/>
    <col min="12" max="12" width="2.7109375" style="86" customWidth="1"/>
    <col min="13" max="16384" width="8" style="86"/>
  </cols>
  <sheetData>
    <row r="1" spans="2:12" ht="12" thickBot="1" x14ac:dyDescent="0.25">
      <c r="B1" s="86" t="str">
        <f>_xll.qlxlVersion(TRUE,Trigger)</f>
        <v>QuantLibXL 1.6.0 - MS VC++ (version unknown) - Multithreaded Dynamic Runtime library - Release Configuration - May 27 2015 15:45:21</v>
      </c>
    </row>
    <row r="2" spans="2:12" ht="18.75" thickBot="1" x14ac:dyDescent="0.3">
      <c r="B2" s="257" t="s">
        <v>74</v>
      </c>
      <c r="C2" s="258"/>
      <c r="D2" s="258"/>
      <c r="E2" s="258"/>
      <c r="F2" s="258"/>
      <c r="G2" s="259"/>
      <c r="I2" s="257" t="s">
        <v>86</v>
      </c>
      <c r="J2" s="258"/>
      <c r="K2" s="258"/>
      <c r="L2" s="260"/>
    </row>
    <row r="3" spans="2:12" x14ac:dyDescent="0.2">
      <c r="B3" s="32"/>
      <c r="C3" s="56"/>
      <c r="D3" s="31"/>
      <c r="E3" s="31"/>
      <c r="F3" s="31"/>
      <c r="G3" s="30"/>
      <c r="I3" s="78"/>
      <c r="J3" s="81"/>
      <c r="K3" s="81"/>
      <c r="L3" s="80"/>
    </row>
    <row r="4" spans="2:12" x14ac:dyDescent="0.2">
      <c r="B4" s="32"/>
      <c r="C4" s="55" t="s">
        <v>73</v>
      </c>
      <c r="D4" s="43" t="s">
        <v>71</v>
      </c>
      <c r="E4" s="31"/>
      <c r="F4" s="31"/>
      <c r="G4" s="30"/>
      <c r="I4" s="78"/>
      <c r="J4" s="77" t="s">
        <v>85</v>
      </c>
      <c r="K4" s="71" t="b">
        <v>0</v>
      </c>
      <c r="L4" s="76"/>
    </row>
    <row r="5" spans="2:12" x14ac:dyDescent="0.2">
      <c r="B5" s="32"/>
      <c r="C5" s="53" t="s">
        <v>72</v>
      </c>
      <c r="D5" s="33"/>
      <c r="E5" s="31"/>
      <c r="F5" s="31"/>
      <c r="G5" s="30"/>
      <c r="I5" s="78"/>
      <c r="J5" s="77" t="s">
        <v>84</v>
      </c>
      <c r="K5" s="79"/>
      <c r="L5" s="76"/>
    </row>
    <row r="6" spans="2:12" x14ac:dyDescent="0.2">
      <c r="B6" s="32"/>
      <c r="C6" s="53" t="s">
        <v>70</v>
      </c>
      <c r="D6" s="33" t="s">
        <v>69</v>
      </c>
      <c r="E6" s="31"/>
      <c r="F6" s="31"/>
      <c r="G6" s="30"/>
      <c r="I6" s="78"/>
      <c r="J6" s="77" t="s">
        <v>83</v>
      </c>
      <c r="K6" s="68" t="b">
        <v>1</v>
      </c>
      <c r="L6" s="76"/>
    </row>
    <row r="7" spans="2:12" ht="12" thickBot="1" x14ac:dyDescent="0.25">
      <c r="B7" s="32"/>
      <c r="C7" s="53" t="s">
        <v>68</v>
      </c>
      <c r="D7" s="33" t="s">
        <v>67</v>
      </c>
      <c r="E7" s="31"/>
      <c r="F7" s="31"/>
      <c r="G7" s="30"/>
      <c r="I7" s="75"/>
      <c r="J7" s="74"/>
      <c r="K7" s="74"/>
      <c r="L7" s="73"/>
    </row>
    <row r="8" spans="2:12" ht="12" thickBot="1" x14ac:dyDescent="0.25">
      <c r="B8" s="32"/>
      <c r="C8" s="53" t="s">
        <v>66</v>
      </c>
      <c r="D8" s="54" t="s">
        <v>65</v>
      </c>
      <c r="E8" s="31"/>
      <c r="F8" s="31"/>
      <c r="G8" s="30"/>
      <c r="I8" s="87"/>
      <c r="J8" s="87"/>
      <c r="K8" s="87"/>
      <c r="L8" s="87"/>
    </row>
    <row r="9" spans="2:12" ht="18.75" thickBot="1" x14ac:dyDescent="0.3">
      <c r="B9" s="32"/>
      <c r="C9" s="53" t="s">
        <v>64</v>
      </c>
      <c r="D9" s="33" t="str">
        <f>Currency&amp;"_YC"&amp;IndexTenor&amp;"RH"</f>
        <v>EUR_YCONRH</v>
      </c>
      <c r="E9" s="31"/>
      <c r="F9" s="31"/>
      <c r="G9" s="30"/>
      <c r="I9" s="257" t="s">
        <v>82</v>
      </c>
      <c r="J9" s="258"/>
      <c r="K9" s="258"/>
      <c r="L9" s="260"/>
    </row>
    <row r="10" spans="2:12" ht="12.75" x14ac:dyDescent="0.2">
      <c r="B10" s="32"/>
      <c r="C10" s="52" t="s">
        <v>63</v>
      </c>
      <c r="D10" s="33" t="b">
        <v>1</v>
      </c>
      <c r="E10" s="31"/>
      <c r="F10" s="31"/>
      <c r="G10" s="30"/>
      <c r="I10" s="70"/>
      <c r="J10" s="72"/>
      <c r="K10" s="72"/>
      <c r="L10" s="67"/>
    </row>
    <row r="11" spans="2:12" ht="12.75" x14ac:dyDescent="0.2">
      <c r="B11" s="32"/>
      <c r="C11" s="52" t="s">
        <v>62</v>
      </c>
      <c r="D11" s="51"/>
      <c r="E11" s="31"/>
      <c r="F11" s="31"/>
      <c r="G11" s="30"/>
      <c r="I11" s="70"/>
      <c r="J11" s="69" t="s">
        <v>81</v>
      </c>
      <c r="K11" s="71" t="s">
        <v>80</v>
      </c>
      <c r="L11" s="67"/>
    </row>
    <row r="12" spans="2:12" ht="12.75" x14ac:dyDescent="0.2">
      <c r="B12" s="32"/>
      <c r="C12" s="50" t="s">
        <v>61</v>
      </c>
      <c r="D12" s="128" t="b">
        <v>1</v>
      </c>
      <c r="E12" s="31"/>
      <c r="F12" s="31"/>
      <c r="G12" s="30"/>
      <c r="I12" s="70"/>
      <c r="J12" s="69" t="s">
        <v>79</v>
      </c>
      <c r="K12" s="68" t="s">
        <v>78</v>
      </c>
      <c r="L12" s="67"/>
    </row>
    <row r="13" spans="2:12" ht="12.75" x14ac:dyDescent="0.2">
      <c r="B13" s="32"/>
      <c r="C13" s="37"/>
      <c r="D13" s="37"/>
      <c r="E13" s="31"/>
      <c r="F13" s="31"/>
      <c r="G13" s="30"/>
      <c r="I13" s="70"/>
      <c r="J13" s="69" t="s">
        <v>96</v>
      </c>
      <c r="K13" s="71" t="s">
        <v>93</v>
      </c>
      <c r="L13" s="67"/>
    </row>
    <row r="14" spans="2:12" ht="12.75" x14ac:dyDescent="0.2">
      <c r="B14" s="32"/>
      <c r="C14" s="47" t="s">
        <v>60</v>
      </c>
      <c r="D14" s="49" t="str">
        <f>_xll.qlCompositeDiscountCurve(D16,YieldCurve1st,YieldCurve2nd,MaxECB,E28,F28,Permanent,_xll.ohTrigger(YieldCurve1st,YieldCurve2nd),ObjectOverwrite)</f>
        <v>_EURONON#0019</v>
      </c>
      <c r="E14" s="49" t="str">
        <f>_xll.qlPiecewiseYieldCurve($E16,NDays,Calendar,_xll.ohPack(Selected!K3:K55),DayCounter,JumpQuotes,JumpDates,Accuracy,TraitsID,Interpolator1st,Permanent,,ObjectOverwrite)</f>
        <v>_EURFirstON#0111</v>
      </c>
      <c r="F14" s="49" t="str">
        <f>_xll.qlPiecewiseYieldCurve($F16,NDays,Calendar,_xll.ohPack(Selected!D3:D55),DayCounter,JumpQuotes,JumpDates,Accuracy,TraitsID,Interpolator2nd,Permanent,,ObjectOverwrite)</f>
        <v>_EURSecondON#0103</v>
      </c>
      <c r="G14" s="30"/>
      <c r="I14" s="70"/>
      <c r="J14" s="69" t="s">
        <v>95</v>
      </c>
      <c r="K14" s="71" t="str">
        <f>PROPER(Currency)&amp;"YC"</f>
        <v>EurYC</v>
      </c>
      <c r="L14" s="67"/>
    </row>
    <row r="15" spans="2:12" ht="12.75" x14ac:dyDescent="0.2">
      <c r="B15" s="32"/>
      <c r="C15" s="39" t="s">
        <v>0</v>
      </c>
      <c r="D15" s="48" t="str">
        <f>_xll.ohRangeRetrieveError(D14)</f>
        <v/>
      </c>
      <c r="E15" s="48" t="str">
        <f>_xll.ohRangeRetrieveError(YieldCurve1st)</f>
        <v/>
      </c>
      <c r="F15" s="48" t="str">
        <f>_xll.ohRangeRetrieveError(YieldCurve2nd)</f>
        <v/>
      </c>
      <c r="G15" s="30"/>
      <c r="I15" s="70"/>
      <c r="J15" s="69" t="s">
        <v>94</v>
      </c>
      <c r="K15" s="71" t="str">
        <f>PROPER(Currency)&amp;"YCSTD"</f>
        <v>EurYCSTD</v>
      </c>
      <c r="L15" s="67"/>
    </row>
    <row r="16" spans="2:12" ht="13.5" thickBot="1" x14ac:dyDescent="0.25">
      <c r="B16" s="32"/>
      <c r="C16" s="47" t="s">
        <v>59</v>
      </c>
      <c r="D16" s="46" t="str">
        <f>"_"&amp;Currency&amp;"ON"&amp;IndexTenor</f>
        <v>_EURONON</v>
      </c>
      <c r="E16" s="46" t="str">
        <f>"_"&amp;Currency&amp;"First"&amp;IndexTenor</f>
        <v>_EURFirstON</v>
      </c>
      <c r="F16" s="46" t="str">
        <f>"_"&amp;Currency&amp;"Second"&amp;IndexTenor</f>
        <v>_EURSecondON</v>
      </c>
      <c r="G16" s="30"/>
      <c r="I16" s="66"/>
      <c r="J16" s="65"/>
      <c r="K16" s="65"/>
      <c r="L16" s="64"/>
    </row>
    <row r="17" spans="2:7" x14ac:dyDescent="0.2">
      <c r="B17" s="32"/>
      <c r="C17" s="41" t="s">
        <v>58</v>
      </c>
      <c r="D17" s="45">
        <v>0</v>
      </c>
      <c r="E17" s="45"/>
      <c r="F17" s="45"/>
      <c r="G17" s="30"/>
    </row>
    <row r="18" spans="2:7" x14ac:dyDescent="0.2">
      <c r="B18" s="32"/>
      <c r="C18" s="41" t="s">
        <v>57</v>
      </c>
      <c r="D18" s="44" t="s">
        <v>56</v>
      </c>
      <c r="E18" s="44"/>
      <c r="F18" s="44"/>
      <c r="G18" s="30"/>
    </row>
    <row r="19" spans="2:7" x14ac:dyDescent="0.2">
      <c r="B19" s="32"/>
      <c r="C19" s="41" t="s">
        <v>55</v>
      </c>
      <c r="D19" s="44"/>
      <c r="E19" s="44"/>
      <c r="F19" s="44"/>
      <c r="G19" s="30"/>
    </row>
    <row r="20" spans="2:7" x14ac:dyDescent="0.2">
      <c r="B20" s="32"/>
      <c r="C20" s="41" t="s">
        <v>54</v>
      </c>
      <c r="D20" s="42" t="e">
        <f>NA()</f>
        <v>#N/A</v>
      </c>
      <c r="E20" s="42"/>
      <c r="F20" s="42"/>
      <c r="G20" s="30"/>
    </row>
    <row r="21" spans="2:7" x14ac:dyDescent="0.2">
      <c r="B21" s="32"/>
      <c r="C21" s="41" t="s">
        <v>53</v>
      </c>
      <c r="D21" s="40" t="s">
        <v>52</v>
      </c>
      <c r="E21" s="40"/>
      <c r="F21" s="40"/>
      <c r="G21" s="30"/>
    </row>
    <row r="22" spans="2:7" x14ac:dyDescent="0.2">
      <c r="B22" s="32"/>
      <c r="C22" s="39" t="s">
        <v>51</v>
      </c>
      <c r="D22" s="349" t="s">
        <v>150</v>
      </c>
      <c r="E22" s="38" t="s">
        <v>143</v>
      </c>
      <c r="F22" s="38" t="s">
        <v>132</v>
      </c>
      <c r="G22" s="30"/>
    </row>
    <row r="23" spans="2:7" x14ac:dyDescent="0.2">
      <c r="B23" s="32"/>
      <c r="C23" s="37"/>
      <c r="D23" s="37"/>
      <c r="E23" s="37"/>
      <c r="F23" s="31"/>
      <c r="G23" s="30"/>
    </row>
    <row r="24" spans="2:7" x14ac:dyDescent="0.2">
      <c r="B24" s="32"/>
      <c r="C24" s="36">
        <f>_xll.qlTermStructureReferenceDate(YieldCurve)</f>
        <v>42152</v>
      </c>
      <c r="D24" s="35">
        <f>_xll.qlYieldTSDiscount(YieldCurve,C24)</f>
        <v>1</v>
      </c>
      <c r="E24" s="35"/>
      <c r="F24" s="35"/>
      <c r="G24" s="30"/>
    </row>
    <row r="25" spans="2:7" x14ac:dyDescent="0.2">
      <c r="B25" s="32"/>
      <c r="C25" s="34">
        <f>_xll.qlTermStructureMaxDate(YieldCurve)</f>
        <v>64073</v>
      </c>
      <c r="D25" s="33">
        <f>_xll.qlYieldTSDiscount(YieldCurve,C25)</f>
        <v>0.48748022052289375</v>
      </c>
      <c r="E25" s="33"/>
      <c r="F25" s="33"/>
      <c r="G25" s="30"/>
    </row>
    <row r="26" spans="2:7" x14ac:dyDescent="0.2">
      <c r="B26" s="32"/>
      <c r="C26" s="90" t="s">
        <v>0</v>
      </c>
      <c r="D26" s="91" t="str">
        <f>_xll.ohRangeRetrieveError(Selected!J2)</f>
        <v/>
      </c>
      <c r="E26" s="91"/>
      <c r="F26" s="91"/>
      <c r="G26" s="30"/>
    </row>
    <row r="27" spans="2:7" x14ac:dyDescent="0.2">
      <c r="B27" s="32"/>
      <c r="C27" s="129" t="str">
        <f>[1]Euribor!$E$8</f>
        <v>EURON#0000</v>
      </c>
      <c r="D27" s="130" t="b">
        <f>_xll.qlRelinkableHandleLinkTo(C27,YieldCurve)</f>
        <v>1</v>
      </c>
      <c r="E27" s="130"/>
      <c r="F27" s="130"/>
      <c r="G27" s="30"/>
    </row>
    <row r="28" spans="2:7" x14ac:dyDescent="0.2">
      <c r="B28" s="32"/>
      <c r="C28" s="131" t="s">
        <v>116</v>
      </c>
      <c r="D28" s="92" t="str">
        <f>E28&amp;" / "&amp;F28</f>
        <v>FALSE / FALSE</v>
      </c>
      <c r="E28" s="92" t="b">
        <v>0</v>
      </c>
      <c r="F28" s="92" t="b">
        <v>0</v>
      </c>
      <c r="G28" s="30"/>
    </row>
    <row r="29" spans="2:7" ht="12" thickBot="1" x14ac:dyDescent="0.25">
      <c r="B29" s="29"/>
      <c r="C29" s="88"/>
      <c r="D29" s="89"/>
      <c r="E29" s="28"/>
      <c r="F29" s="28"/>
      <c r="G29" s="27"/>
    </row>
  </sheetData>
  <mergeCells count="3">
    <mergeCell ref="B2:G2"/>
    <mergeCell ref="I2:L2"/>
    <mergeCell ref="I9:L9"/>
  </mergeCells>
  <dataValidations count="8">
    <dataValidation type="list" allowBlank="1" showInputMessage="1" showErrorMessage="1" sqref="E22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49 IX65550 ST65550 ACP65550 AML65550 AWH65550 BGD65550 BPZ65550 BZV65550 CJR65550 CTN65550 DDJ65550 DNF65550 DXB65550 EGX65550 EQT65550 FAP65550 FKL65550 FUH65550 GED65550 GNZ65550 GXV65550 HHR65550 HRN65550 IBJ65550 ILF65550 IVB65550 JEX65550 JOT65550 JYP65550 KIL65550 KSH65550 LCD65550 LLZ65550 LVV65550 MFR65550 MPN65550 MZJ65550 NJF65550 NTB65550 OCX65550 OMT65550 OWP65550 PGL65550 PQH65550 QAD65550 QJZ65550 QTV65550 RDR65550 RNN65550 RXJ65550 SHF65550 SRB65550 TAX65550 TKT65550 TUP65550 UEL65550 UOH65550 UYD65550 VHZ65550 VRV65550 WBR65550 WLN65550 WVJ65550 D131085 IX131086 ST131086 ACP131086 AML131086 AWH131086 BGD131086 BPZ131086 BZV131086 CJR131086 CTN131086 DDJ131086 DNF131086 DXB131086 EGX131086 EQT131086 FAP131086 FKL131086 FUH131086 GED131086 GNZ131086 GXV131086 HHR131086 HRN131086 IBJ131086 ILF131086 IVB131086 JEX131086 JOT131086 JYP131086 KIL131086 KSH131086 LCD131086 LLZ131086 LVV131086 MFR131086 MPN131086 MZJ131086 NJF131086 NTB131086 OCX131086 OMT131086 OWP131086 PGL131086 PQH131086 QAD131086 QJZ131086 QTV131086 RDR131086 RNN131086 RXJ131086 SHF131086 SRB131086 TAX131086 TKT131086 TUP131086 UEL131086 UOH131086 UYD131086 VHZ131086 VRV131086 WBR131086 WLN131086 WVJ131086 D196621 IX196622 ST196622 ACP196622 AML196622 AWH196622 BGD196622 BPZ196622 BZV196622 CJR196622 CTN196622 DDJ196622 DNF196622 DXB196622 EGX196622 EQT196622 FAP196622 FKL196622 FUH196622 GED196622 GNZ196622 GXV196622 HHR196622 HRN196622 IBJ196622 ILF196622 IVB196622 JEX196622 JOT196622 JYP196622 KIL196622 KSH196622 LCD196622 LLZ196622 LVV196622 MFR196622 MPN196622 MZJ196622 NJF196622 NTB196622 OCX196622 OMT196622 OWP196622 PGL196622 PQH196622 QAD196622 QJZ196622 QTV196622 RDR196622 RNN196622 RXJ196622 SHF196622 SRB196622 TAX196622 TKT196622 TUP196622 UEL196622 UOH196622 UYD196622 VHZ196622 VRV196622 WBR196622 WLN196622 WVJ196622 D262157 IX262158 ST262158 ACP262158 AML262158 AWH262158 BGD262158 BPZ262158 BZV262158 CJR262158 CTN262158 DDJ262158 DNF262158 DXB262158 EGX262158 EQT262158 FAP262158 FKL262158 FUH262158 GED262158 GNZ262158 GXV262158 HHR262158 HRN262158 IBJ262158 ILF262158 IVB262158 JEX262158 JOT262158 JYP262158 KIL262158 KSH262158 LCD262158 LLZ262158 LVV262158 MFR262158 MPN262158 MZJ262158 NJF262158 NTB262158 OCX262158 OMT262158 OWP262158 PGL262158 PQH262158 QAD262158 QJZ262158 QTV262158 RDR262158 RNN262158 RXJ262158 SHF262158 SRB262158 TAX262158 TKT262158 TUP262158 UEL262158 UOH262158 UYD262158 VHZ262158 VRV262158 WBR262158 WLN262158 WVJ262158 D327693 IX327694 ST327694 ACP327694 AML327694 AWH327694 BGD327694 BPZ327694 BZV327694 CJR327694 CTN327694 DDJ327694 DNF327694 DXB327694 EGX327694 EQT327694 FAP327694 FKL327694 FUH327694 GED327694 GNZ327694 GXV327694 HHR327694 HRN327694 IBJ327694 ILF327694 IVB327694 JEX327694 JOT327694 JYP327694 KIL327694 KSH327694 LCD327694 LLZ327694 LVV327694 MFR327694 MPN327694 MZJ327694 NJF327694 NTB327694 OCX327694 OMT327694 OWP327694 PGL327694 PQH327694 QAD327694 QJZ327694 QTV327694 RDR327694 RNN327694 RXJ327694 SHF327694 SRB327694 TAX327694 TKT327694 TUP327694 UEL327694 UOH327694 UYD327694 VHZ327694 VRV327694 WBR327694 WLN327694 WVJ327694 D393229 IX393230 ST393230 ACP393230 AML393230 AWH393230 BGD393230 BPZ393230 BZV393230 CJR393230 CTN393230 DDJ393230 DNF393230 DXB393230 EGX393230 EQT393230 FAP393230 FKL393230 FUH393230 GED393230 GNZ393230 GXV393230 HHR393230 HRN393230 IBJ393230 ILF393230 IVB393230 JEX393230 JOT393230 JYP393230 KIL393230 KSH393230 LCD393230 LLZ393230 LVV393230 MFR393230 MPN393230 MZJ393230 NJF393230 NTB393230 OCX393230 OMT393230 OWP393230 PGL393230 PQH393230 QAD393230 QJZ393230 QTV393230 RDR393230 RNN393230 RXJ393230 SHF393230 SRB393230 TAX393230 TKT393230 TUP393230 UEL393230 UOH393230 UYD393230 VHZ393230 VRV393230 WBR393230 WLN393230 WVJ393230 D458765 IX458766 ST458766 ACP458766 AML458766 AWH458766 BGD458766 BPZ458766 BZV458766 CJR458766 CTN458766 DDJ458766 DNF458766 DXB458766 EGX458766 EQT458766 FAP458766 FKL458766 FUH458766 GED458766 GNZ458766 GXV458766 HHR458766 HRN458766 IBJ458766 ILF458766 IVB458766 JEX458766 JOT458766 JYP458766 KIL458766 KSH458766 LCD458766 LLZ458766 LVV458766 MFR458766 MPN458766 MZJ458766 NJF458766 NTB458766 OCX458766 OMT458766 OWP458766 PGL458766 PQH458766 QAD458766 QJZ458766 QTV458766 RDR458766 RNN458766 RXJ458766 SHF458766 SRB458766 TAX458766 TKT458766 TUP458766 UEL458766 UOH458766 UYD458766 VHZ458766 VRV458766 WBR458766 WLN458766 WVJ458766 D524301 IX524302 ST524302 ACP524302 AML524302 AWH524302 BGD524302 BPZ524302 BZV524302 CJR524302 CTN524302 DDJ524302 DNF524302 DXB524302 EGX524302 EQT524302 FAP524302 FKL524302 FUH524302 GED524302 GNZ524302 GXV524302 HHR524302 HRN524302 IBJ524302 ILF524302 IVB524302 JEX524302 JOT524302 JYP524302 KIL524302 KSH524302 LCD524302 LLZ524302 LVV524302 MFR524302 MPN524302 MZJ524302 NJF524302 NTB524302 OCX524302 OMT524302 OWP524302 PGL524302 PQH524302 QAD524302 QJZ524302 QTV524302 RDR524302 RNN524302 RXJ524302 SHF524302 SRB524302 TAX524302 TKT524302 TUP524302 UEL524302 UOH524302 UYD524302 VHZ524302 VRV524302 WBR524302 WLN524302 WVJ524302 D589837 IX589838 ST589838 ACP589838 AML589838 AWH589838 BGD589838 BPZ589838 BZV589838 CJR589838 CTN589838 DDJ589838 DNF589838 DXB589838 EGX589838 EQT589838 FAP589838 FKL589838 FUH589838 GED589838 GNZ589838 GXV589838 HHR589838 HRN589838 IBJ589838 ILF589838 IVB589838 JEX589838 JOT589838 JYP589838 KIL589838 KSH589838 LCD589838 LLZ589838 LVV589838 MFR589838 MPN589838 MZJ589838 NJF589838 NTB589838 OCX589838 OMT589838 OWP589838 PGL589838 PQH589838 QAD589838 QJZ589838 QTV589838 RDR589838 RNN589838 RXJ589838 SHF589838 SRB589838 TAX589838 TKT589838 TUP589838 UEL589838 UOH589838 UYD589838 VHZ589838 VRV589838 WBR589838 WLN589838 WVJ589838 D655373 IX655374 ST655374 ACP655374 AML655374 AWH655374 BGD655374 BPZ655374 BZV655374 CJR655374 CTN655374 DDJ655374 DNF655374 DXB655374 EGX655374 EQT655374 FAP655374 FKL655374 FUH655374 GED655374 GNZ655374 GXV655374 HHR655374 HRN655374 IBJ655374 ILF655374 IVB655374 JEX655374 JOT655374 JYP655374 KIL655374 KSH655374 LCD655374 LLZ655374 LVV655374 MFR655374 MPN655374 MZJ655374 NJF655374 NTB655374 OCX655374 OMT655374 OWP655374 PGL655374 PQH655374 QAD655374 QJZ655374 QTV655374 RDR655374 RNN655374 RXJ655374 SHF655374 SRB655374 TAX655374 TKT655374 TUP655374 UEL655374 UOH655374 UYD655374 VHZ655374 VRV655374 WBR655374 WLN655374 WVJ655374 D720909 IX720910 ST720910 ACP720910 AML720910 AWH720910 BGD720910 BPZ720910 BZV720910 CJR720910 CTN720910 DDJ720910 DNF720910 DXB720910 EGX720910 EQT720910 FAP720910 FKL720910 FUH720910 GED720910 GNZ720910 GXV720910 HHR720910 HRN720910 IBJ720910 ILF720910 IVB720910 JEX720910 JOT720910 JYP720910 KIL720910 KSH720910 LCD720910 LLZ720910 LVV720910 MFR720910 MPN720910 MZJ720910 NJF720910 NTB720910 OCX720910 OMT720910 OWP720910 PGL720910 PQH720910 QAD720910 QJZ720910 QTV720910 RDR720910 RNN720910 RXJ720910 SHF720910 SRB720910 TAX720910 TKT720910 TUP720910 UEL720910 UOH720910 UYD720910 VHZ720910 VRV720910 WBR720910 WLN720910 WVJ720910 D786445 IX786446 ST786446 ACP786446 AML786446 AWH786446 BGD786446 BPZ786446 BZV786446 CJR786446 CTN786446 DDJ786446 DNF786446 DXB786446 EGX786446 EQT786446 FAP786446 FKL786446 FUH786446 GED786446 GNZ786446 GXV786446 HHR786446 HRN786446 IBJ786446 ILF786446 IVB786446 JEX786446 JOT786446 JYP786446 KIL786446 KSH786446 LCD786446 LLZ786446 LVV786446 MFR786446 MPN786446 MZJ786446 NJF786446 NTB786446 OCX786446 OMT786446 OWP786446 PGL786446 PQH786446 QAD786446 QJZ786446 QTV786446 RDR786446 RNN786446 RXJ786446 SHF786446 SRB786446 TAX786446 TKT786446 TUP786446 UEL786446 UOH786446 UYD786446 VHZ786446 VRV786446 WBR786446 WLN786446 WVJ786446 D851981 IX851982 ST851982 ACP851982 AML851982 AWH851982 BGD851982 BPZ851982 BZV851982 CJR851982 CTN851982 DDJ851982 DNF851982 DXB851982 EGX851982 EQT851982 FAP851982 FKL851982 FUH851982 GED851982 GNZ851982 GXV851982 HHR851982 HRN851982 IBJ851982 ILF851982 IVB851982 JEX851982 JOT851982 JYP851982 KIL851982 KSH851982 LCD851982 LLZ851982 LVV851982 MFR851982 MPN851982 MZJ851982 NJF851982 NTB851982 OCX851982 OMT851982 OWP851982 PGL851982 PQH851982 QAD851982 QJZ851982 QTV851982 RDR851982 RNN851982 RXJ851982 SHF851982 SRB851982 TAX851982 TKT851982 TUP851982 UEL851982 UOH851982 UYD851982 VHZ851982 VRV851982 WBR851982 WLN851982 WVJ851982 D917517 IX917518 ST917518 ACP917518 AML917518 AWH917518 BGD917518 BPZ917518 BZV917518 CJR917518 CTN917518 DDJ917518 DNF917518 DXB917518 EGX917518 EQT917518 FAP917518 FKL917518 FUH917518 GED917518 GNZ917518 GXV917518 HHR917518 HRN917518 IBJ917518 ILF917518 IVB917518 JEX917518 JOT917518 JYP917518 KIL917518 KSH917518 LCD917518 LLZ917518 LVV917518 MFR917518 MPN917518 MZJ917518 NJF917518 NTB917518 OCX917518 OMT917518 OWP917518 PGL917518 PQH917518 QAD917518 QJZ917518 QTV917518 RDR917518 RNN917518 RXJ917518 SHF917518 SRB917518 TAX917518 TKT917518 TUP917518 UEL917518 UOH917518 UYD917518 VHZ917518 VRV917518 WBR917518 WLN917518 WVJ917518 D983053 IX983054 ST983054 ACP983054 AML983054 AWH983054 BGD983054 BPZ983054 BZV983054 CJR983054 CTN983054 DDJ983054 DNF983054 DXB983054 EGX983054 EQT983054 FAP983054 FKL983054 FUH983054 GED983054 GNZ983054 GXV983054 HHR983054 HRN983054 IBJ983054 ILF983054 IVB983054 JEX983054 JOT983054 JYP983054 KIL983054 KSH983054 LCD983054 LLZ983054 LVV983054 MFR983054 MPN983054 MZJ983054 NJF983054 NTB983054 OCX983054 OMT983054 OWP983054 PGL983054 PQH983054 QAD983054 QJZ983054 QTV983054 RDR983054 RNN983054 RXJ983054 SHF983054 SRB983054 TAX983054 TKT983054 TUP983054 UEL983054 UOH983054 UYD983054 VHZ983054 VRV983054 WBR983054 WLN983054 WVJ983054">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48 IX65549 ST65549 ACP65549 AML65549 AWH65549 BGD65549 BPZ65549 BZV65549 CJR65549 CTN65549 DDJ65549 DNF65549 DXB65549 EGX65549 EQT65549 FAP65549 FKL65549 FUH65549 GED65549 GNZ65549 GXV65549 HHR65549 HRN65549 IBJ65549 ILF65549 IVB65549 JEX65549 JOT65549 JYP65549 KIL65549 KSH65549 LCD65549 LLZ65549 LVV65549 MFR65549 MPN65549 MZJ65549 NJF65549 NTB65549 OCX65549 OMT65549 OWP65549 PGL65549 PQH65549 QAD65549 QJZ65549 QTV65549 RDR65549 RNN65549 RXJ65549 SHF65549 SRB65549 TAX65549 TKT65549 TUP65549 UEL65549 UOH65549 UYD65549 VHZ65549 VRV65549 WBR65549 WLN65549 WVJ65549 D131084 IX131085 ST131085 ACP131085 AML131085 AWH131085 BGD131085 BPZ131085 BZV131085 CJR131085 CTN131085 DDJ131085 DNF131085 DXB131085 EGX131085 EQT131085 FAP131085 FKL131085 FUH131085 GED131085 GNZ131085 GXV131085 HHR131085 HRN131085 IBJ131085 ILF131085 IVB131085 JEX131085 JOT131085 JYP131085 KIL131085 KSH131085 LCD131085 LLZ131085 LVV131085 MFR131085 MPN131085 MZJ131085 NJF131085 NTB131085 OCX131085 OMT131085 OWP131085 PGL131085 PQH131085 QAD131085 QJZ131085 QTV131085 RDR131085 RNN131085 RXJ131085 SHF131085 SRB131085 TAX131085 TKT131085 TUP131085 UEL131085 UOH131085 UYD131085 VHZ131085 VRV131085 WBR131085 WLN131085 WVJ131085 D196620 IX196621 ST196621 ACP196621 AML196621 AWH196621 BGD196621 BPZ196621 BZV196621 CJR196621 CTN196621 DDJ196621 DNF196621 DXB196621 EGX196621 EQT196621 FAP196621 FKL196621 FUH196621 GED196621 GNZ196621 GXV196621 HHR196621 HRN196621 IBJ196621 ILF196621 IVB196621 JEX196621 JOT196621 JYP196621 KIL196621 KSH196621 LCD196621 LLZ196621 LVV196621 MFR196621 MPN196621 MZJ196621 NJF196621 NTB196621 OCX196621 OMT196621 OWP196621 PGL196621 PQH196621 QAD196621 QJZ196621 QTV196621 RDR196621 RNN196621 RXJ196621 SHF196621 SRB196621 TAX196621 TKT196621 TUP196621 UEL196621 UOH196621 UYD196621 VHZ196621 VRV196621 WBR196621 WLN196621 WVJ196621 D262156 IX262157 ST262157 ACP262157 AML262157 AWH262157 BGD262157 BPZ262157 BZV262157 CJR262157 CTN262157 DDJ262157 DNF262157 DXB262157 EGX262157 EQT262157 FAP262157 FKL262157 FUH262157 GED262157 GNZ262157 GXV262157 HHR262157 HRN262157 IBJ262157 ILF262157 IVB262157 JEX262157 JOT262157 JYP262157 KIL262157 KSH262157 LCD262157 LLZ262157 LVV262157 MFR262157 MPN262157 MZJ262157 NJF262157 NTB262157 OCX262157 OMT262157 OWP262157 PGL262157 PQH262157 QAD262157 QJZ262157 QTV262157 RDR262157 RNN262157 RXJ262157 SHF262157 SRB262157 TAX262157 TKT262157 TUP262157 UEL262157 UOH262157 UYD262157 VHZ262157 VRV262157 WBR262157 WLN262157 WVJ262157 D327692 IX327693 ST327693 ACP327693 AML327693 AWH327693 BGD327693 BPZ327693 BZV327693 CJR327693 CTN327693 DDJ327693 DNF327693 DXB327693 EGX327693 EQT327693 FAP327693 FKL327693 FUH327693 GED327693 GNZ327693 GXV327693 HHR327693 HRN327693 IBJ327693 ILF327693 IVB327693 JEX327693 JOT327693 JYP327693 KIL327693 KSH327693 LCD327693 LLZ327693 LVV327693 MFR327693 MPN327693 MZJ327693 NJF327693 NTB327693 OCX327693 OMT327693 OWP327693 PGL327693 PQH327693 QAD327693 QJZ327693 QTV327693 RDR327693 RNN327693 RXJ327693 SHF327693 SRB327693 TAX327693 TKT327693 TUP327693 UEL327693 UOH327693 UYD327693 VHZ327693 VRV327693 WBR327693 WLN327693 WVJ327693 D393228 IX393229 ST393229 ACP393229 AML393229 AWH393229 BGD393229 BPZ393229 BZV393229 CJR393229 CTN393229 DDJ393229 DNF393229 DXB393229 EGX393229 EQT393229 FAP393229 FKL393229 FUH393229 GED393229 GNZ393229 GXV393229 HHR393229 HRN393229 IBJ393229 ILF393229 IVB393229 JEX393229 JOT393229 JYP393229 KIL393229 KSH393229 LCD393229 LLZ393229 LVV393229 MFR393229 MPN393229 MZJ393229 NJF393229 NTB393229 OCX393229 OMT393229 OWP393229 PGL393229 PQH393229 QAD393229 QJZ393229 QTV393229 RDR393229 RNN393229 RXJ393229 SHF393229 SRB393229 TAX393229 TKT393229 TUP393229 UEL393229 UOH393229 UYD393229 VHZ393229 VRV393229 WBR393229 WLN393229 WVJ393229 D458764 IX458765 ST458765 ACP458765 AML458765 AWH458765 BGD458765 BPZ458765 BZV458765 CJR458765 CTN458765 DDJ458765 DNF458765 DXB458765 EGX458765 EQT458765 FAP458765 FKL458765 FUH458765 GED458765 GNZ458765 GXV458765 HHR458765 HRN458765 IBJ458765 ILF458765 IVB458765 JEX458765 JOT458765 JYP458765 KIL458765 KSH458765 LCD458765 LLZ458765 LVV458765 MFR458765 MPN458765 MZJ458765 NJF458765 NTB458765 OCX458765 OMT458765 OWP458765 PGL458765 PQH458765 QAD458765 QJZ458765 QTV458765 RDR458765 RNN458765 RXJ458765 SHF458765 SRB458765 TAX458765 TKT458765 TUP458765 UEL458765 UOH458765 UYD458765 VHZ458765 VRV458765 WBR458765 WLN458765 WVJ458765 D524300 IX524301 ST524301 ACP524301 AML524301 AWH524301 BGD524301 BPZ524301 BZV524301 CJR524301 CTN524301 DDJ524301 DNF524301 DXB524301 EGX524301 EQT524301 FAP524301 FKL524301 FUH524301 GED524301 GNZ524301 GXV524301 HHR524301 HRN524301 IBJ524301 ILF524301 IVB524301 JEX524301 JOT524301 JYP524301 KIL524301 KSH524301 LCD524301 LLZ524301 LVV524301 MFR524301 MPN524301 MZJ524301 NJF524301 NTB524301 OCX524301 OMT524301 OWP524301 PGL524301 PQH524301 QAD524301 QJZ524301 QTV524301 RDR524301 RNN524301 RXJ524301 SHF524301 SRB524301 TAX524301 TKT524301 TUP524301 UEL524301 UOH524301 UYD524301 VHZ524301 VRV524301 WBR524301 WLN524301 WVJ524301 D589836 IX589837 ST589837 ACP589837 AML589837 AWH589837 BGD589837 BPZ589837 BZV589837 CJR589837 CTN589837 DDJ589837 DNF589837 DXB589837 EGX589837 EQT589837 FAP589837 FKL589837 FUH589837 GED589837 GNZ589837 GXV589837 HHR589837 HRN589837 IBJ589837 ILF589837 IVB589837 JEX589837 JOT589837 JYP589837 KIL589837 KSH589837 LCD589837 LLZ589837 LVV589837 MFR589837 MPN589837 MZJ589837 NJF589837 NTB589837 OCX589837 OMT589837 OWP589837 PGL589837 PQH589837 QAD589837 QJZ589837 QTV589837 RDR589837 RNN589837 RXJ589837 SHF589837 SRB589837 TAX589837 TKT589837 TUP589837 UEL589837 UOH589837 UYD589837 VHZ589837 VRV589837 WBR589837 WLN589837 WVJ589837 D655372 IX655373 ST655373 ACP655373 AML655373 AWH655373 BGD655373 BPZ655373 BZV655373 CJR655373 CTN655373 DDJ655373 DNF655373 DXB655373 EGX655373 EQT655373 FAP655373 FKL655373 FUH655373 GED655373 GNZ655373 GXV655373 HHR655373 HRN655373 IBJ655373 ILF655373 IVB655373 JEX655373 JOT655373 JYP655373 KIL655373 KSH655373 LCD655373 LLZ655373 LVV655373 MFR655373 MPN655373 MZJ655373 NJF655373 NTB655373 OCX655373 OMT655373 OWP655373 PGL655373 PQH655373 QAD655373 QJZ655373 QTV655373 RDR655373 RNN655373 RXJ655373 SHF655373 SRB655373 TAX655373 TKT655373 TUP655373 UEL655373 UOH655373 UYD655373 VHZ655373 VRV655373 WBR655373 WLN655373 WVJ655373 D720908 IX720909 ST720909 ACP720909 AML720909 AWH720909 BGD720909 BPZ720909 BZV720909 CJR720909 CTN720909 DDJ720909 DNF720909 DXB720909 EGX720909 EQT720909 FAP720909 FKL720909 FUH720909 GED720909 GNZ720909 GXV720909 HHR720909 HRN720909 IBJ720909 ILF720909 IVB720909 JEX720909 JOT720909 JYP720909 KIL720909 KSH720909 LCD720909 LLZ720909 LVV720909 MFR720909 MPN720909 MZJ720909 NJF720909 NTB720909 OCX720909 OMT720909 OWP720909 PGL720909 PQH720909 QAD720909 QJZ720909 QTV720909 RDR720909 RNN720909 RXJ720909 SHF720909 SRB720909 TAX720909 TKT720909 TUP720909 UEL720909 UOH720909 UYD720909 VHZ720909 VRV720909 WBR720909 WLN720909 WVJ720909 D786444 IX786445 ST786445 ACP786445 AML786445 AWH786445 BGD786445 BPZ786445 BZV786445 CJR786445 CTN786445 DDJ786445 DNF786445 DXB786445 EGX786445 EQT786445 FAP786445 FKL786445 FUH786445 GED786445 GNZ786445 GXV786445 HHR786445 HRN786445 IBJ786445 ILF786445 IVB786445 JEX786445 JOT786445 JYP786445 KIL786445 KSH786445 LCD786445 LLZ786445 LVV786445 MFR786445 MPN786445 MZJ786445 NJF786445 NTB786445 OCX786445 OMT786445 OWP786445 PGL786445 PQH786445 QAD786445 QJZ786445 QTV786445 RDR786445 RNN786445 RXJ786445 SHF786445 SRB786445 TAX786445 TKT786445 TUP786445 UEL786445 UOH786445 UYD786445 VHZ786445 VRV786445 WBR786445 WLN786445 WVJ786445 D851980 IX851981 ST851981 ACP851981 AML851981 AWH851981 BGD851981 BPZ851981 BZV851981 CJR851981 CTN851981 DDJ851981 DNF851981 DXB851981 EGX851981 EQT851981 FAP851981 FKL851981 FUH851981 GED851981 GNZ851981 GXV851981 HHR851981 HRN851981 IBJ851981 ILF851981 IVB851981 JEX851981 JOT851981 JYP851981 KIL851981 KSH851981 LCD851981 LLZ851981 LVV851981 MFR851981 MPN851981 MZJ851981 NJF851981 NTB851981 OCX851981 OMT851981 OWP851981 PGL851981 PQH851981 QAD851981 QJZ851981 QTV851981 RDR851981 RNN851981 RXJ851981 SHF851981 SRB851981 TAX851981 TKT851981 TUP851981 UEL851981 UOH851981 UYD851981 VHZ851981 VRV851981 WBR851981 WLN851981 WVJ851981 D917516 IX917517 ST917517 ACP917517 AML917517 AWH917517 BGD917517 BPZ917517 BZV917517 CJR917517 CTN917517 DDJ917517 DNF917517 DXB917517 EGX917517 EQT917517 FAP917517 FKL917517 FUH917517 GED917517 GNZ917517 GXV917517 HHR917517 HRN917517 IBJ917517 ILF917517 IVB917517 JEX917517 JOT917517 JYP917517 KIL917517 KSH917517 LCD917517 LLZ917517 LVV917517 MFR917517 MPN917517 MZJ917517 NJF917517 NTB917517 OCX917517 OMT917517 OWP917517 PGL917517 PQH917517 QAD917517 QJZ917517 QTV917517 RDR917517 RNN917517 RXJ917517 SHF917517 SRB917517 TAX917517 TKT917517 TUP917517 UEL917517 UOH917517 UYD917517 VHZ917517 VRV917517 WBR917517 WLN917517 WVJ917517 D983052 IX983053 ST983053 ACP983053 AML983053 AWH983053 BGD983053 BPZ983053 BZV983053 CJR983053 CTN983053 DDJ983053 DNF983053 DXB983053 EGX983053 EQT983053 FAP983053 FKL983053 FUH983053 GED983053 GNZ983053 GXV983053 HHR983053 HRN983053 IBJ983053 ILF983053 IVB983053 JEX983053 JOT983053 JYP983053 KIL983053 KSH983053 LCD983053 LLZ983053 LVV983053 MFR983053 MPN983053 MZJ983053 NJF983053 NTB983053 OCX983053 OMT983053 OWP983053 PGL983053 PQH983053 QAD983053 QJZ983053 QTV983053 RDR983053 RNN983053 RXJ983053 SHF983053 SRB983053 TAX983053 TKT983053 TUP983053 UEL983053 UOH983053 UYD983053 VHZ983053 VRV983053 WBR983053 WLN983053 WVJ983053 D21">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43 IX65544 ST65544 ACP65544 AML65544 AWH65544 BGD65544 BPZ65544 BZV65544 CJR65544 CTN65544 DDJ65544 DNF65544 DXB65544 EGX65544 EQT65544 FAP65544 FKL65544 FUH65544 GED65544 GNZ65544 GXV65544 HHR65544 HRN65544 IBJ65544 ILF65544 IVB65544 JEX65544 JOT65544 JYP65544 KIL65544 KSH65544 LCD65544 LLZ65544 LVV65544 MFR65544 MPN65544 MZJ65544 NJF65544 NTB65544 OCX65544 OMT65544 OWP65544 PGL65544 PQH65544 QAD65544 QJZ65544 QTV65544 RDR65544 RNN65544 RXJ65544 SHF65544 SRB65544 TAX65544 TKT65544 TUP65544 UEL65544 UOH65544 UYD65544 VHZ65544 VRV65544 WBR65544 WLN65544 WVJ65544 D131079 IX131080 ST131080 ACP131080 AML131080 AWH131080 BGD131080 BPZ131080 BZV131080 CJR131080 CTN131080 DDJ131080 DNF131080 DXB131080 EGX131080 EQT131080 FAP131080 FKL131080 FUH131080 GED131080 GNZ131080 GXV131080 HHR131080 HRN131080 IBJ131080 ILF131080 IVB131080 JEX131080 JOT131080 JYP131080 KIL131080 KSH131080 LCD131080 LLZ131080 LVV131080 MFR131080 MPN131080 MZJ131080 NJF131080 NTB131080 OCX131080 OMT131080 OWP131080 PGL131080 PQH131080 QAD131080 QJZ131080 QTV131080 RDR131080 RNN131080 RXJ131080 SHF131080 SRB131080 TAX131080 TKT131080 TUP131080 UEL131080 UOH131080 UYD131080 VHZ131080 VRV131080 WBR131080 WLN131080 WVJ131080 D196615 IX196616 ST196616 ACP196616 AML196616 AWH196616 BGD196616 BPZ196616 BZV196616 CJR196616 CTN196616 DDJ196616 DNF196616 DXB196616 EGX196616 EQT196616 FAP196616 FKL196616 FUH196616 GED196616 GNZ196616 GXV196616 HHR196616 HRN196616 IBJ196616 ILF196616 IVB196616 JEX196616 JOT196616 JYP196616 KIL196616 KSH196616 LCD196616 LLZ196616 LVV196616 MFR196616 MPN196616 MZJ196616 NJF196616 NTB196616 OCX196616 OMT196616 OWP196616 PGL196616 PQH196616 QAD196616 QJZ196616 QTV196616 RDR196616 RNN196616 RXJ196616 SHF196616 SRB196616 TAX196616 TKT196616 TUP196616 UEL196616 UOH196616 UYD196616 VHZ196616 VRV196616 WBR196616 WLN196616 WVJ196616 D262151 IX262152 ST262152 ACP262152 AML262152 AWH262152 BGD262152 BPZ262152 BZV262152 CJR262152 CTN262152 DDJ262152 DNF262152 DXB262152 EGX262152 EQT262152 FAP262152 FKL262152 FUH262152 GED262152 GNZ262152 GXV262152 HHR262152 HRN262152 IBJ262152 ILF262152 IVB262152 JEX262152 JOT262152 JYP262152 KIL262152 KSH262152 LCD262152 LLZ262152 LVV262152 MFR262152 MPN262152 MZJ262152 NJF262152 NTB262152 OCX262152 OMT262152 OWP262152 PGL262152 PQH262152 QAD262152 QJZ262152 QTV262152 RDR262152 RNN262152 RXJ262152 SHF262152 SRB262152 TAX262152 TKT262152 TUP262152 UEL262152 UOH262152 UYD262152 VHZ262152 VRV262152 WBR262152 WLN262152 WVJ262152 D327687 IX327688 ST327688 ACP327688 AML327688 AWH327688 BGD327688 BPZ327688 BZV327688 CJR327688 CTN327688 DDJ327688 DNF327688 DXB327688 EGX327688 EQT327688 FAP327688 FKL327688 FUH327688 GED327688 GNZ327688 GXV327688 HHR327688 HRN327688 IBJ327688 ILF327688 IVB327688 JEX327688 JOT327688 JYP327688 KIL327688 KSH327688 LCD327688 LLZ327688 LVV327688 MFR327688 MPN327688 MZJ327688 NJF327688 NTB327688 OCX327688 OMT327688 OWP327688 PGL327688 PQH327688 QAD327688 QJZ327688 QTV327688 RDR327688 RNN327688 RXJ327688 SHF327688 SRB327688 TAX327688 TKT327688 TUP327688 UEL327688 UOH327688 UYD327688 VHZ327688 VRV327688 WBR327688 WLN327688 WVJ327688 D393223 IX393224 ST393224 ACP393224 AML393224 AWH393224 BGD393224 BPZ393224 BZV393224 CJR393224 CTN393224 DDJ393224 DNF393224 DXB393224 EGX393224 EQT393224 FAP393224 FKL393224 FUH393224 GED393224 GNZ393224 GXV393224 HHR393224 HRN393224 IBJ393224 ILF393224 IVB393224 JEX393224 JOT393224 JYP393224 KIL393224 KSH393224 LCD393224 LLZ393224 LVV393224 MFR393224 MPN393224 MZJ393224 NJF393224 NTB393224 OCX393224 OMT393224 OWP393224 PGL393224 PQH393224 QAD393224 QJZ393224 QTV393224 RDR393224 RNN393224 RXJ393224 SHF393224 SRB393224 TAX393224 TKT393224 TUP393224 UEL393224 UOH393224 UYD393224 VHZ393224 VRV393224 WBR393224 WLN393224 WVJ393224 D458759 IX458760 ST458760 ACP458760 AML458760 AWH458760 BGD458760 BPZ458760 BZV458760 CJR458760 CTN458760 DDJ458760 DNF458760 DXB458760 EGX458760 EQT458760 FAP458760 FKL458760 FUH458760 GED458760 GNZ458760 GXV458760 HHR458760 HRN458760 IBJ458760 ILF458760 IVB458760 JEX458760 JOT458760 JYP458760 KIL458760 KSH458760 LCD458760 LLZ458760 LVV458760 MFR458760 MPN458760 MZJ458760 NJF458760 NTB458760 OCX458760 OMT458760 OWP458760 PGL458760 PQH458760 QAD458760 QJZ458760 QTV458760 RDR458760 RNN458760 RXJ458760 SHF458760 SRB458760 TAX458760 TKT458760 TUP458760 UEL458760 UOH458760 UYD458760 VHZ458760 VRV458760 WBR458760 WLN458760 WVJ458760 D524295 IX524296 ST524296 ACP524296 AML524296 AWH524296 BGD524296 BPZ524296 BZV524296 CJR524296 CTN524296 DDJ524296 DNF524296 DXB524296 EGX524296 EQT524296 FAP524296 FKL524296 FUH524296 GED524296 GNZ524296 GXV524296 HHR524296 HRN524296 IBJ524296 ILF524296 IVB524296 JEX524296 JOT524296 JYP524296 KIL524296 KSH524296 LCD524296 LLZ524296 LVV524296 MFR524296 MPN524296 MZJ524296 NJF524296 NTB524296 OCX524296 OMT524296 OWP524296 PGL524296 PQH524296 QAD524296 QJZ524296 QTV524296 RDR524296 RNN524296 RXJ524296 SHF524296 SRB524296 TAX524296 TKT524296 TUP524296 UEL524296 UOH524296 UYD524296 VHZ524296 VRV524296 WBR524296 WLN524296 WVJ524296 D589831 IX589832 ST589832 ACP589832 AML589832 AWH589832 BGD589832 BPZ589832 BZV589832 CJR589832 CTN589832 DDJ589832 DNF589832 DXB589832 EGX589832 EQT589832 FAP589832 FKL589832 FUH589832 GED589832 GNZ589832 GXV589832 HHR589832 HRN589832 IBJ589832 ILF589832 IVB589832 JEX589832 JOT589832 JYP589832 KIL589832 KSH589832 LCD589832 LLZ589832 LVV589832 MFR589832 MPN589832 MZJ589832 NJF589832 NTB589832 OCX589832 OMT589832 OWP589832 PGL589832 PQH589832 QAD589832 QJZ589832 QTV589832 RDR589832 RNN589832 RXJ589832 SHF589832 SRB589832 TAX589832 TKT589832 TUP589832 UEL589832 UOH589832 UYD589832 VHZ589832 VRV589832 WBR589832 WLN589832 WVJ589832 D655367 IX655368 ST655368 ACP655368 AML655368 AWH655368 BGD655368 BPZ655368 BZV655368 CJR655368 CTN655368 DDJ655368 DNF655368 DXB655368 EGX655368 EQT655368 FAP655368 FKL655368 FUH655368 GED655368 GNZ655368 GXV655368 HHR655368 HRN655368 IBJ655368 ILF655368 IVB655368 JEX655368 JOT655368 JYP655368 KIL655368 KSH655368 LCD655368 LLZ655368 LVV655368 MFR655368 MPN655368 MZJ655368 NJF655368 NTB655368 OCX655368 OMT655368 OWP655368 PGL655368 PQH655368 QAD655368 QJZ655368 QTV655368 RDR655368 RNN655368 RXJ655368 SHF655368 SRB655368 TAX655368 TKT655368 TUP655368 UEL655368 UOH655368 UYD655368 VHZ655368 VRV655368 WBR655368 WLN655368 WVJ655368 D720903 IX720904 ST720904 ACP720904 AML720904 AWH720904 BGD720904 BPZ720904 BZV720904 CJR720904 CTN720904 DDJ720904 DNF720904 DXB720904 EGX720904 EQT720904 FAP720904 FKL720904 FUH720904 GED720904 GNZ720904 GXV720904 HHR720904 HRN720904 IBJ720904 ILF720904 IVB720904 JEX720904 JOT720904 JYP720904 KIL720904 KSH720904 LCD720904 LLZ720904 LVV720904 MFR720904 MPN720904 MZJ720904 NJF720904 NTB720904 OCX720904 OMT720904 OWP720904 PGL720904 PQH720904 QAD720904 QJZ720904 QTV720904 RDR720904 RNN720904 RXJ720904 SHF720904 SRB720904 TAX720904 TKT720904 TUP720904 UEL720904 UOH720904 UYD720904 VHZ720904 VRV720904 WBR720904 WLN720904 WVJ720904 D786439 IX786440 ST786440 ACP786440 AML786440 AWH786440 BGD786440 BPZ786440 BZV786440 CJR786440 CTN786440 DDJ786440 DNF786440 DXB786440 EGX786440 EQT786440 FAP786440 FKL786440 FUH786440 GED786440 GNZ786440 GXV786440 HHR786440 HRN786440 IBJ786440 ILF786440 IVB786440 JEX786440 JOT786440 JYP786440 KIL786440 KSH786440 LCD786440 LLZ786440 LVV786440 MFR786440 MPN786440 MZJ786440 NJF786440 NTB786440 OCX786440 OMT786440 OWP786440 PGL786440 PQH786440 QAD786440 QJZ786440 QTV786440 RDR786440 RNN786440 RXJ786440 SHF786440 SRB786440 TAX786440 TKT786440 TUP786440 UEL786440 UOH786440 UYD786440 VHZ786440 VRV786440 WBR786440 WLN786440 WVJ786440 D851975 IX851976 ST851976 ACP851976 AML851976 AWH851976 BGD851976 BPZ851976 BZV851976 CJR851976 CTN851976 DDJ851976 DNF851976 DXB851976 EGX851976 EQT851976 FAP851976 FKL851976 FUH851976 GED851976 GNZ851976 GXV851976 HHR851976 HRN851976 IBJ851976 ILF851976 IVB851976 JEX851976 JOT851976 JYP851976 KIL851976 KSH851976 LCD851976 LLZ851976 LVV851976 MFR851976 MPN851976 MZJ851976 NJF851976 NTB851976 OCX851976 OMT851976 OWP851976 PGL851976 PQH851976 QAD851976 QJZ851976 QTV851976 RDR851976 RNN851976 RXJ851976 SHF851976 SRB851976 TAX851976 TKT851976 TUP851976 UEL851976 UOH851976 UYD851976 VHZ851976 VRV851976 WBR851976 WLN851976 WVJ851976 D917511 IX917512 ST917512 ACP917512 AML917512 AWH917512 BGD917512 BPZ917512 BZV917512 CJR917512 CTN917512 DDJ917512 DNF917512 DXB917512 EGX917512 EQT917512 FAP917512 FKL917512 FUH917512 GED917512 GNZ917512 GXV917512 HHR917512 HRN917512 IBJ917512 ILF917512 IVB917512 JEX917512 JOT917512 JYP917512 KIL917512 KSH917512 LCD917512 LLZ917512 LVV917512 MFR917512 MPN917512 MZJ917512 NJF917512 NTB917512 OCX917512 OMT917512 OWP917512 PGL917512 PQH917512 QAD917512 QJZ917512 QTV917512 RDR917512 RNN917512 RXJ917512 SHF917512 SRB917512 TAX917512 TKT917512 TUP917512 UEL917512 UOH917512 UYD917512 VHZ917512 VRV917512 WBR917512 WLN917512 WVJ917512 D983047 IX983048 ST983048 ACP983048 AML983048 AWH983048 BGD983048 BPZ983048 BZV983048 CJR983048 CTN983048 DDJ983048 DNF983048 DXB983048 EGX983048 EQT983048 FAP983048 FKL983048 FUH983048 GED983048 GNZ983048 GXV983048 HHR983048 HRN983048 IBJ983048 ILF983048 IVB983048 JEX983048 JOT983048 JYP983048 KIL983048 KSH983048 LCD983048 LLZ983048 LVV983048 MFR983048 MPN983048 MZJ983048 NJF983048 NTB983048 OCX983048 OMT983048 OWP983048 PGL983048 PQH983048 QAD983048 QJZ983048 QTV983048 RDR983048 RNN983048 RXJ983048 SHF983048 SRB983048 TAX983048 TKT983048 TUP983048 UEL983048 UOH983048 UYD983048 VHZ983048 VRV983048 WBR983048 WLN983048 WVJ983048">
      <formula1>"Actual/Actual (ISDA),Actual/360,30/360 (Bond Basis),30E/360 (Eurobond Basis),Actual/365 (Fixed),Actual/Actual (ISMA),Actual/Actual (AFB),'1/1,30/360 (Italian),Simple"</formula1>
    </dataValidation>
    <dataValidation type="list" allowBlank="1" showInputMessage="1" showErrorMessage="1" sqref="D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28 IX65529 ST65529 ACP65529 AML65529 AWH65529 BGD65529 BPZ65529 BZV65529 CJR65529 CTN65529 DDJ65529 DNF65529 DXB65529 EGX65529 EQT65529 FAP65529 FKL65529 FUH65529 GED65529 GNZ65529 GXV65529 HHR65529 HRN65529 IBJ65529 ILF65529 IVB65529 JEX65529 JOT65529 JYP65529 KIL65529 KSH65529 LCD65529 LLZ65529 LVV65529 MFR65529 MPN65529 MZJ65529 NJF65529 NTB65529 OCX65529 OMT65529 OWP65529 PGL65529 PQH65529 QAD65529 QJZ65529 QTV65529 RDR65529 RNN65529 RXJ65529 SHF65529 SRB65529 TAX65529 TKT65529 TUP65529 UEL65529 UOH65529 UYD65529 VHZ65529 VRV65529 WBR65529 WLN65529 WVJ65529 D131064 IX131065 ST131065 ACP131065 AML131065 AWH131065 BGD131065 BPZ131065 BZV131065 CJR131065 CTN131065 DDJ131065 DNF131065 DXB131065 EGX131065 EQT131065 FAP131065 FKL131065 FUH131065 GED131065 GNZ131065 GXV131065 HHR131065 HRN131065 IBJ131065 ILF131065 IVB131065 JEX131065 JOT131065 JYP131065 KIL131065 KSH131065 LCD131065 LLZ131065 LVV131065 MFR131065 MPN131065 MZJ131065 NJF131065 NTB131065 OCX131065 OMT131065 OWP131065 PGL131065 PQH131065 QAD131065 QJZ131065 QTV131065 RDR131065 RNN131065 RXJ131065 SHF131065 SRB131065 TAX131065 TKT131065 TUP131065 UEL131065 UOH131065 UYD131065 VHZ131065 VRV131065 WBR131065 WLN131065 WVJ131065 D196600 IX196601 ST196601 ACP196601 AML196601 AWH196601 BGD196601 BPZ196601 BZV196601 CJR196601 CTN196601 DDJ196601 DNF196601 DXB196601 EGX196601 EQT196601 FAP196601 FKL196601 FUH196601 GED196601 GNZ196601 GXV196601 HHR196601 HRN196601 IBJ196601 ILF196601 IVB196601 JEX196601 JOT196601 JYP196601 KIL196601 KSH196601 LCD196601 LLZ196601 LVV196601 MFR196601 MPN196601 MZJ196601 NJF196601 NTB196601 OCX196601 OMT196601 OWP196601 PGL196601 PQH196601 QAD196601 QJZ196601 QTV196601 RDR196601 RNN196601 RXJ196601 SHF196601 SRB196601 TAX196601 TKT196601 TUP196601 UEL196601 UOH196601 UYD196601 VHZ196601 VRV196601 WBR196601 WLN196601 WVJ196601 D262136 IX262137 ST262137 ACP262137 AML262137 AWH262137 BGD262137 BPZ262137 BZV262137 CJR262137 CTN262137 DDJ262137 DNF262137 DXB262137 EGX262137 EQT262137 FAP262137 FKL262137 FUH262137 GED262137 GNZ262137 GXV262137 HHR262137 HRN262137 IBJ262137 ILF262137 IVB262137 JEX262137 JOT262137 JYP262137 KIL262137 KSH262137 LCD262137 LLZ262137 LVV262137 MFR262137 MPN262137 MZJ262137 NJF262137 NTB262137 OCX262137 OMT262137 OWP262137 PGL262137 PQH262137 QAD262137 QJZ262137 QTV262137 RDR262137 RNN262137 RXJ262137 SHF262137 SRB262137 TAX262137 TKT262137 TUP262137 UEL262137 UOH262137 UYD262137 VHZ262137 VRV262137 WBR262137 WLN262137 WVJ262137 D327672 IX327673 ST327673 ACP327673 AML327673 AWH327673 BGD327673 BPZ327673 BZV327673 CJR327673 CTN327673 DDJ327673 DNF327673 DXB327673 EGX327673 EQT327673 FAP327673 FKL327673 FUH327673 GED327673 GNZ327673 GXV327673 HHR327673 HRN327673 IBJ327673 ILF327673 IVB327673 JEX327673 JOT327673 JYP327673 KIL327673 KSH327673 LCD327673 LLZ327673 LVV327673 MFR327673 MPN327673 MZJ327673 NJF327673 NTB327673 OCX327673 OMT327673 OWP327673 PGL327673 PQH327673 QAD327673 QJZ327673 QTV327673 RDR327673 RNN327673 RXJ327673 SHF327673 SRB327673 TAX327673 TKT327673 TUP327673 UEL327673 UOH327673 UYD327673 VHZ327673 VRV327673 WBR327673 WLN327673 WVJ327673 D393208 IX393209 ST393209 ACP393209 AML393209 AWH393209 BGD393209 BPZ393209 BZV393209 CJR393209 CTN393209 DDJ393209 DNF393209 DXB393209 EGX393209 EQT393209 FAP393209 FKL393209 FUH393209 GED393209 GNZ393209 GXV393209 HHR393209 HRN393209 IBJ393209 ILF393209 IVB393209 JEX393209 JOT393209 JYP393209 KIL393209 KSH393209 LCD393209 LLZ393209 LVV393209 MFR393209 MPN393209 MZJ393209 NJF393209 NTB393209 OCX393209 OMT393209 OWP393209 PGL393209 PQH393209 QAD393209 QJZ393209 QTV393209 RDR393209 RNN393209 RXJ393209 SHF393209 SRB393209 TAX393209 TKT393209 TUP393209 UEL393209 UOH393209 UYD393209 VHZ393209 VRV393209 WBR393209 WLN393209 WVJ393209 D458744 IX458745 ST458745 ACP458745 AML458745 AWH458745 BGD458745 BPZ458745 BZV458745 CJR458745 CTN458745 DDJ458745 DNF458745 DXB458745 EGX458745 EQT458745 FAP458745 FKL458745 FUH458745 GED458745 GNZ458745 GXV458745 HHR458745 HRN458745 IBJ458745 ILF458745 IVB458745 JEX458745 JOT458745 JYP458745 KIL458745 KSH458745 LCD458745 LLZ458745 LVV458745 MFR458745 MPN458745 MZJ458745 NJF458745 NTB458745 OCX458745 OMT458745 OWP458745 PGL458745 PQH458745 QAD458745 QJZ458745 QTV458745 RDR458745 RNN458745 RXJ458745 SHF458745 SRB458745 TAX458745 TKT458745 TUP458745 UEL458745 UOH458745 UYD458745 VHZ458745 VRV458745 WBR458745 WLN458745 WVJ458745 D524280 IX524281 ST524281 ACP524281 AML524281 AWH524281 BGD524281 BPZ524281 BZV524281 CJR524281 CTN524281 DDJ524281 DNF524281 DXB524281 EGX524281 EQT524281 FAP524281 FKL524281 FUH524281 GED524281 GNZ524281 GXV524281 HHR524281 HRN524281 IBJ524281 ILF524281 IVB524281 JEX524281 JOT524281 JYP524281 KIL524281 KSH524281 LCD524281 LLZ524281 LVV524281 MFR524281 MPN524281 MZJ524281 NJF524281 NTB524281 OCX524281 OMT524281 OWP524281 PGL524281 PQH524281 QAD524281 QJZ524281 QTV524281 RDR524281 RNN524281 RXJ524281 SHF524281 SRB524281 TAX524281 TKT524281 TUP524281 UEL524281 UOH524281 UYD524281 VHZ524281 VRV524281 WBR524281 WLN524281 WVJ524281 D589816 IX589817 ST589817 ACP589817 AML589817 AWH589817 BGD589817 BPZ589817 BZV589817 CJR589817 CTN589817 DDJ589817 DNF589817 DXB589817 EGX589817 EQT589817 FAP589817 FKL589817 FUH589817 GED589817 GNZ589817 GXV589817 HHR589817 HRN589817 IBJ589817 ILF589817 IVB589817 JEX589817 JOT589817 JYP589817 KIL589817 KSH589817 LCD589817 LLZ589817 LVV589817 MFR589817 MPN589817 MZJ589817 NJF589817 NTB589817 OCX589817 OMT589817 OWP589817 PGL589817 PQH589817 QAD589817 QJZ589817 QTV589817 RDR589817 RNN589817 RXJ589817 SHF589817 SRB589817 TAX589817 TKT589817 TUP589817 UEL589817 UOH589817 UYD589817 VHZ589817 VRV589817 WBR589817 WLN589817 WVJ589817 D655352 IX655353 ST655353 ACP655353 AML655353 AWH655353 BGD655353 BPZ655353 BZV655353 CJR655353 CTN655353 DDJ655353 DNF655353 DXB655353 EGX655353 EQT655353 FAP655353 FKL655353 FUH655353 GED655353 GNZ655353 GXV655353 HHR655353 HRN655353 IBJ655353 ILF655353 IVB655353 JEX655353 JOT655353 JYP655353 KIL655353 KSH655353 LCD655353 LLZ655353 LVV655353 MFR655353 MPN655353 MZJ655353 NJF655353 NTB655353 OCX655353 OMT655353 OWP655353 PGL655353 PQH655353 QAD655353 QJZ655353 QTV655353 RDR655353 RNN655353 RXJ655353 SHF655353 SRB655353 TAX655353 TKT655353 TUP655353 UEL655353 UOH655353 UYD655353 VHZ655353 VRV655353 WBR655353 WLN655353 WVJ655353 D720888 IX720889 ST720889 ACP720889 AML720889 AWH720889 BGD720889 BPZ720889 BZV720889 CJR720889 CTN720889 DDJ720889 DNF720889 DXB720889 EGX720889 EQT720889 FAP720889 FKL720889 FUH720889 GED720889 GNZ720889 GXV720889 HHR720889 HRN720889 IBJ720889 ILF720889 IVB720889 JEX720889 JOT720889 JYP720889 KIL720889 KSH720889 LCD720889 LLZ720889 LVV720889 MFR720889 MPN720889 MZJ720889 NJF720889 NTB720889 OCX720889 OMT720889 OWP720889 PGL720889 PQH720889 QAD720889 QJZ720889 QTV720889 RDR720889 RNN720889 RXJ720889 SHF720889 SRB720889 TAX720889 TKT720889 TUP720889 UEL720889 UOH720889 UYD720889 VHZ720889 VRV720889 WBR720889 WLN720889 WVJ720889 D786424 IX786425 ST786425 ACP786425 AML786425 AWH786425 BGD786425 BPZ786425 BZV786425 CJR786425 CTN786425 DDJ786425 DNF786425 DXB786425 EGX786425 EQT786425 FAP786425 FKL786425 FUH786425 GED786425 GNZ786425 GXV786425 HHR786425 HRN786425 IBJ786425 ILF786425 IVB786425 JEX786425 JOT786425 JYP786425 KIL786425 KSH786425 LCD786425 LLZ786425 LVV786425 MFR786425 MPN786425 MZJ786425 NJF786425 NTB786425 OCX786425 OMT786425 OWP786425 PGL786425 PQH786425 QAD786425 QJZ786425 QTV786425 RDR786425 RNN786425 RXJ786425 SHF786425 SRB786425 TAX786425 TKT786425 TUP786425 UEL786425 UOH786425 UYD786425 VHZ786425 VRV786425 WBR786425 WLN786425 WVJ786425 D851960 IX851961 ST851961 ACP851961 AML851961 AWH851961 BGD851961 BPZ851961 BZV851961 CJR851961 CTN851961 DDJ851961 DNF851961 DXB851961 EGX851961 EQT851961 FAP851961 FKL851961 FUH851961 GED851961 GNZ851961 GXV851961 HHR851961 HRN851961 IBJ851961 ILF851961 IVB851961 JEX851961 JOT851961 JYP851961 KIL851961 KSH851961 LCD851961 LLZ851961 LVV851961 MFR851961 MPN851961 MZJ851961 NJF851961 NTB851961 OCX851961 OMT851961 OWP851961 PGL851961 PQH851961 QAD851961 QJZ851961 QTV851961 RDR851961 RNN851961 RXJ851961 SHF851961 SRB851961 TAX851961 TKT851961 TUP851961 UEL851961 UOH851961 UYD851961 VHZ851961 VRV851961 WBR851961 WLN851961 WVJ851961 D917496 IX917497 ST917497 ACP917497 AML917497 AWH917497 BGD917497 BPZ917497 BZV917497 CJR917497 CTN917497 DDJ917497 DNF917497 DXB917497 EGX917497 EQT917497 FAP917497 FKL917497 FUH917497 GED917497 GNZ917497 GXV917497 HHR917497 HRN917497 IBJ917497 ILF917497 IVB917497 JEX917497 JOT917497 JYP917497 KIL917497 KSH917497 LCD917497 LLZ917497 LVV917497 MFR917497 MPN917497 MZJ917497 NJF917497 NTB917497 OCX917497 OMT917497 OWP917497 PGL917497 PQH917497 QAD917497 QJZ917497 QTV917497 RDR917497 RNN917497 RXJ917497 SHF917497 SRB917497 TAX917497 TKT917497 TUP917497 UEL917497 UOH917497 UYD917497 VHZ917497 VRV917497 WBR917497 WLN917497 WVJ917497 D983032 IX983033 ST983033 ACP983033 AML983033 AWH983033 BGD983033 BPZ983033 BZV983033 CJR983033 CTN983033 DDJ983033 DNF983033 DXB983033 EGX983033 EQT983033 FAP983033 FKL983033 FUH983033 GED983033 GNZ983033 GXV983033 HHR983033 HRN983033 IBJ983033 ILF983033 IVB983033 JEX983033 JOT983033 JYP983033 KIL983033 KSH983033 LCD983033 LLZ983033 LVV983033 MFR983033 MPN983033 MZJ983033 NJF983033 NTB983033 OCX983033 OMT983033 OWP983033 PGL983033 PQH983033 QAD983033 QJZ983033 QTV983033 RDR983033 RNN983033 RXJ983033 SHF983033 SRB983033 TAX983033 TKT983033 TUP983033 UEL983033 UOH983033 UYD983033 VHZ983033 VRV983033 WBR983033 WLN983033 WVJ983033">
      <formula1>"EUR,USD,GBP,JPY,CHF"</formula1>
    </dataValidation>
    <dataValidation type="list" allowBlank="1" showInputMessage="1" showErrorMessage="1" sqref="D1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42 IX65543 ST65543 ACP65543 AML65543 AWH65543 BGD65543 BPZ65543 BZV65543 CJR65543 CTN65543 DDJ65543 DNF65543 DXB65543 EGX65543 EQT65543 FAP65543 FKL65543 FUH65543 GED65543 GNZ65543 GXV65543 HHR65543 HRN65543 IBJ65543 ILF65543 IVB65543 JEX65543 JOT65543 JYP65543 KIL65543 KSH65543 LCD65543 LLZ65543 LVV65543 MFR65543 MPN65543 MZJ65543 NJF65543 NTB65543 OCX65543 OMT65543 OWP65543 PGL65543 PQH65543 QAD65543 QJZ65543 QTV65543 RDR65543 RNN65543 RXJ65543 SHF65543 SRB65543 TAX65543 TKT65543 TUP65543 UEL65543 UOH65543 UYD65543 VHZ65543 VRV65543 WBR65543 WLN65543 WVJ65543 D131078 IX131079 ST131079 ACP131079 AML131079 AWH131079 BGD131079 BPZ131079 BZV131079 CJR131079 CTN131079 DDJ131079 DNF131079 DXB131079 EGX131079 EQT131079 FAP131079 FKL131079 FUH131079 GED131079 GNZ131079 GXV131079 HHR131079 HRN131079 IBJ131079 ILF131079 IVB131079 JEX131079 JOT131079 JYP131079 KIL131079 KSH131079 LCD131079 LLZ131079 LVV131079 MFR131079 MPN131079 MZJ131079 NJF131079 NTB131079 OCX131079 OMT131079 OWP131079 PGL131079 PQH131079 QAD131079 QJZ131079 QTV131079 RDR131079 RNN131079 RXJ131079 SHF131079 SRB131079 TAX131079 TKT131079 TUP131079 UEL131079 UOH131079 UYD131079 VHZ131079 VRV131079 WBR131079 WLN131079 WVJ131079 D196614 IX196615 ST196615 ACP196615 AML196615 AWH196615 BGD196615 BPZ196615 BZV196615 CJR196615 CTN196615 DDJ196615 DNF196615 DXB196615 EGX196615 EQT196615 FAP196615 FKL196615 FUH196615 GED196615 GNZ196615 GXV196615 HHR196615 HRN196615 IBJ196615 ILF196615 IVB196615 JEX196615 JOT196615 JYP196615 KIL196615 KSH196615 LCD196615 LLZ196615 LVV196615 MFR196615 MPN196615 MZJ196615 NJF196615 NTB196615 OCX196615 OMT196615 OWP196615 PGL196615 PQH196615 QAD196615 QJZ196615 QTV196615 RDR196615 RNN196615 RXJ196615 SHF196615 SRB196615 TAX196615 TKT196615 TUP196615 UEL196615 UOH196615 UYD196615 VHZ196615 VRV196615 WBR196615 WLN196615 WVJ196615 D262150 IX262151 ST262151 ACP262151 AML262151 AWH262151 BGD262151 BPZ262151 BZV262151 CJR262151 CTN262151 DDJ262151 DNF262151 DXB262151 EGX262151 EQT262151 FAP262151 FKL262151 FUH262151 GED262151 GNZ262151 GXV262151 HHR262151 HRN262151 IBJ262151 ILF262151 IVB262151 JEX262151 JOT262151 JYP262151 KIL262151 KSH262151 LCD262151 LLZ262151 LVV262151 MFR262151 MPN262151 MZJ262151 NJF262151 NTB262151 OCX262151 OMT262151 OWP262151 PGL262151 PQH262151 QAD262151 QJZ262151 QTV262151 RDR262151 RNN262151 RXJ262151 SHF262151 SRB262151 TAX262151 TKT262151 TUP262151 UEL262151 UOH262151 UYD262151 VHZ262151 VRV262151 WBR262151 WLN262151 WVJ262151 D327686 IX327687 ST327687 ACP327687 AML327687 AWH327687 BGD327687 BPZ327687 BZV327687 CJR327687 CTN327687 DDJ327687 DNF327687 DXB327687 EGX327687 EQT327687 FAP327687 FKL327687 FUH327687 GED327687 GNZ327687 GXV327687 HHR327687 HRN327687 IBJ327687 ILF327687 IVB327687 JEX327687 JOT327687 JYP327687 KIL327687 KSH327687 LCD327687 LLZ327687 LVV327687 MFR327687 MPN327687 MZJ327687 NJF327687 NTB327687 OCX327687 OMT327687 OWP327687 PGL327687 PQH327687 QAD327687 QJZ327687 QTV327687 RDR327687 RNN327687 RXJ327687 SHF327687 SRB327687 TAX327687 TKT327687 TUP327687 UEL327687 UOH327687 UYD327687 VHZ327687 VRV327687 WBR327687 WLN327687 WVJ327687 D393222 IX393223 ST393223 ACP393223 AML393223 AWH393223 BGD393223 BPZ393223 BZV393223 CJR393223 CTN393223 DDJ393223 DNF393223 DXB393223 EGX393223 EQT393223 FAP393223 FKL393223 FUH393223 GED393223 GNZ393223 GXV393223 HHR393223 HRN393223 IBJ393223 ILF393223 IVB393223 JEX393223 JOT393223 JYP393223 KIL393223 KSH393223 LCD393223 LLZ393223 LVV393223 MFR393223 MPN393223 MZJ393223 NJF393223 NTB393223 OCX393223 OMT393223 OWP393223 PGL393223 PQH393223 QAD393223 QJZ393223 QTV393223 RDR393223 RNN393223 RXJ393223 SHF393223 SRB393223 TAX393223 TKT393223 TUP393223 UEL393223 UOH393223 UYD393223 VHZ393223 VRV393223 WBR393223 WLN393223 WVJ393223 D458758 IX458759 ST458759 ACP458759 AML458759 AWH458759 BGD458759 BPZ458759 BZV458759 CJR458759 CTN458759 DDJ458759 DNF458759 DXB458759 EGX458759 EQT458759 FAP458759 FKL458759 FUH458759 GED458759 GNZ458759 GXV458759 HHR458759 HRN458759 IBJ458759 ILF458759 IVB458759 JEX458759 JOT458759 JYP458759 KIL458759 KSH458759 LCD458759 LLZ458759 LVV458759 MFR458759 MPN458759 MZJ458759 NJF458759 NTB458759 OCX458759 OMT458759 OWP458759 PGL458759 PQH458759 QAD458759 QJZ458759 QTV458759 RDR458759 RNN458759 RXJ458759 SHF458759 SRB458759 TAX458759 TKT458759 TUP458759 UEL458759 UOH458759 UYD458759 VHZ458759 VRV458759 WBR458759 WLN458759 WVJ458759 D524294 IX524295 ST524295 ACP524295 AML524295 AWH524295 BGD524295 BPZ524295 BZV524295 CJR524295 CTN524295 DDJ524295 DNF524295 DXB524295 EGX524295 EQT524295 FAP524295 FKL524295 FUH524295 GED524295 GNZ524295 GXV524295 HHR524295 HRN524295 IBJ524295 ILF524295 IVB524295 JEX524295 JOT524295 JYP524295 KIL524295 KSH524295 LCD524295 LLZ524295 LVV524295 MFR524295 MPN524295 MZJ524295 NJF524295 NTB524295 OCX524295 OMT524295 OWP524295 PGL524295 PQH524295 QAD524295 QJZ524295 QTV524295 RDR524295 RNN524295 RXJ524295 SHF524295 SRB524295 TAX524295 TKT524295 TUP524295 UEL524295 UOH524295 UYD524295 VHZ524295 VRV524295 WBR524295 WLN524295 WVJ524295 D589830 IX589831 ST589831 ACP589831 AML589831 AWH589831 BGD589831 BPZ589831 BZV589831 CJR589831 CTN589831 DDJ589831 DNF589831 DXB589831 EGX589831 EQT589831 FAP589831 FKL589831 FUH589831 GED589831 GNZ589831 GXV589831 HHR589831 HRN589831 IBJ589831 ILF589831 IVB589831 JEX589831 JOT589831 JYP589831 KIL589831 KSH589831 LCD589831 LLZ589831 LVV589831 MFR589831 MPN589831 MZJ589831 NJF589831 NTB589831 OCX589831 OMT589831 OWP589831 PGL589831 PQH589831 QAD589831 QJZ589831 QTV589831 RDR589831 RNN589831 RXJ589831 SHF589831 SRB589831 TAX589831 TKT589831 TUP589831 UEL589831 UOH589831 UYD589831 VHZ589831 VRV589831 WBR589831 WLN589831 WVJ589831 D655366 IX655367 ST655367 ACP655367 AML655367 AWH655367 BGD655367 BPZ655367 BZV655367 CJR655367 CTN655367 DDJ655367 DNF655367 DXB655367 EGX655367 EQT655367 FAP655367 FKL655367 FUH655367 GED655367 GNZ655367 GXV655367 HHR655367 HRN655367 IBJ655367 ILF655367 IVB655367 JEX655367 JOT655367 JYP655367 KIL655367 KSH655367 LCD655367 LLZ655367 LVV655367 MFR655367 MPN655367 MZJ655367 NJF655367 NTB655367 OCX655367 OMT655367 OWP655367 PGL655367 PQH655367 QAD655367 QJZ655367 QTV655367 RDR655367 RNN655367 RXJ655367 SHF655367 SRB655367 TAX655367 TKT655367 TUP655367 UEL655367 UOH655367 UYD655367 VHZ655367 VRV655367 WBR655367 WLN655367 WVJ655367 D720902 IX720903 ST720903 ACP720903 AML720903 AWH720903 BGD720903 BPZ720903 BZV720903 CJR720903 CTN720903 DDJ720903 DNF720903 DXB720903 EGX720903 EQT720903 FAP720903 FKL720903 FUH720903 GED720903 GNZ720903 GXV720903 HHR720903 HRN720903 IBJ720903 ILF720903 IVB720903 JEX720903 JOT720903 JYP720903 KIL720903 KSH720903 LCD720903 LLZ720903 LVV720903 MFR720903 MPN720903 MZJ720903 NJF720903 NTB720903 OCX720903 OMT720903 OWP720903 PGL720903 PQH720903 QAD720903 QJZ720903 QTV720903 RDR720903 RNN720903 RXJ720903 SHF720903 SRB720903 TAX720903 TKT720903 TUP720903 UEL720903 UOH720903 UYD720903 VHZ720903 VRV720903 WBR720903 WLN720903 WVJ720903 D786438 IX786439 ST786439 ACP786439 AML786439 AWH786439 BGD786439 BPZ786439 BZV786439 CJR786439 CTN786439 DDJ786439 DNF786439 DXB786439 EGX786439 EQT786439 FAP786439 FKL786439 FUH786439 GED786439 GNZ786439 GXV786439 HHR786439 HRN786439 IBJ786439 ILF786439 IVB786439 JEX786439 JOT786439 JYP786439 KIL786439 KSH786439 LCD786439 LLZ786439 LVV786439 MFR786439 MPN786439 MZJ786439 NJF786439 NTB786439 OCX786439 OMT786439 OWP786439 PGL786439 PQH786439 QAD786439 QJZ786439 QTV786439 RDR786439 RNN786439 RXJ786439 SHF786439 SRB786439 TAX786439 TKT786439 TUP786439 UEL786439 UOH786439 UYD786439 VHZ786439 VRV786439 WBR786439 WLN786439 WVJ786439 D851974 IX851975 ST851975 ACP851975 AML851975 AWH851975 BGD851975 BPZ851975 BZV851975 CJR851975 CTN851975 DDJ851975 DNF851975 DXB851975 EGX851975 EQT851975 FAP851975 FKL851975 FUH851975 GED851975 GNZ851975 GXV851975 HHR851975 HRN851975 IBJ851975 ILF851975 IVB851975 JEX851975 JOT851975 JYP851975 KIL851975 KSH851975 LCD851975 LLZ851975 LVV851975 MFR851975 MPN851975 MZJ851975 NJF851975 NTB851975 OCX851975 OMT851975 OWP851975 PGL851975 PQH851975 QAD851975 QJZ851975 QTV851975 RDR851975 RNN851975 RXJ851975 SHF851975 SRB851975 TAX851975 TKT851975 TUP851975 UEL851975 UOH851975 UYD851975 VHZ851975 VRV851975 WBR851975 WLN851975 WVJ851975 D917510 IX917511 ST917511 ACP917511 AML917511 AWH917511 BGD917511 BPZ917511 BZV917511 CJR917511 CTN917511 DDJ917511 DNF917511 DXB917511 EGX917511 EQT917511 FAP917511 FKL917511 FUH917511 GED917511 GNZ917511 GXV917511 HHR917511 HRN917511 IBJ917511 ILF917511 IVB917511 JEX917511 JOT917511 JYP917511 KIL917511 KSH917511 LCD917511 LLZ917511 LVV917511 MFR917511 MPN917511 MZJ917511 NJF917511 NTB917511 OCX917511 OMT917511 OWP917511 PGL917511 PQH917511 QAD917511 QJZ917511 QTV917511 RDR917511 RNN917511 RXJ917511 SHF917511 SRB917511 TAX917511 TKT917511 TUP917511 UEL917511 UOH917511 UYD917511 VHZ917511 VRV917511 WBR917511 WLN917511 WVJ917511 D983046 IX983047 ST983047 ACP983047 AML983047 AWH983047 BGD983047 BPZ983047 BZV983047 CJR983047 CTN983047 DDJ983047 DNF983047 DXB983047 EGX983047 EQT983047 FAP983047 FKL983047 FUH983047 GED983047 GNZ983047 GXV983047 HHR983047 HRN983047 IBJ983047 ILF983047 IVB983047 JEX983047 JOT983047 JYP983047 KIL983047 KSH983047 LCD983047 LLZ983047 LVV983047 MFR983047 MPN983047 MZJ983047 NJF983047 NTB983047 OCX983047 OMT983047 OWP983047 PGL983047 PQH983047 QAD983047 QJZ983047 QTV983047 RDR983047 RNN983047 RXJ983047 SHF983047 SRB983047 TAX983047 TKT983047 TUP983047 UEL983047 UOH983047 UYD983047 VHZ983047 VRV983047 WBR983047 WLN983047 WVJ983047">
      <formula1>"TARGET,UnitedKingdom::Exchange,UnitedKingdom::Metals,UnitedKingdom::Settlement,UnitedStates::GovernmentBond,UnitedStates::NERC,UnitedStates::NYSE,UnitedStates::Settlement,Switzerland,Japan,Italy::Exchange"</formula1>
    </dataValidation>
    <dataValidation type="list" showInputMessage="1" showErrorMessage="1" sqref="K11">
      <formula1>"Libor,ibor"</formula1>
    </dataValidation>
    <dataValidation type="list" allowBlank="1" showInputMessage="1" showErrorMessage="1" sqref="K13">
      <formula1>"Actual/Actual (ISDA),Actual/360,30/360 (Bond Basis),30E/360 (Eurobond Basis),Actual/365 (Fixed),Actual/Actual (ISMA),Actual/Actual (AFB),1/1,30/360 (Italian),Simple"</formula1>
    </dataValidation>
    <dataValidation type="list" allowBlank="1" showInputMessage="1" showErrorMessage="1" sqref="F22">
      <formula1>"BackwardFlat,ForwardFlat,Linear,LogLinear,Parabolic,LogParabolic,MonotonicParabolic,MonotonicLogParabolic,CubicNaturalSpline,MonotonicCubicNaturalSpline,LogCubicNaturalSpline,MonotonicLogCubicNaturalSpline,KrugerCubic,KrugerLogCubic,FritschButlandCubic,FritschButlandLogCubic"</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65"/>
  <sheetViews>
    <sheetView topLeftCell="C1" workbookViewId="0">
      <selection activeCell="C1" sqref="C1"/>
    </sheetView>
  </sheetViews>
  <sheetFormatPr defaultRowHeight="11.25" outlineLevelCol="1" x14ac:dyDescent="0.2"/>
  <cols>
    <col min="1" max="2" width="15.140625" style="2" hidden="1" customWidth="1" outlineLevel="1"/>
    <col min="3" max="3" width="21.42578125" style="2" bestFit="1" customWidth="1" collapsed="1"/>
    <col min="4" max="4" width="11" style="2" bestFit="1" customWidth="1"/>
    <col min="5" max="5" width="11" style="2" hidden="1" customWidth="1" outlineLevel="1"/>
    <col min="6" max="6" width="12.7109375" style="2" customWidth="1" collapsed="1"/>
    <col min="7" max="7" width="8.85546875" style="2" customWidth="1"/>
    <col min="8" max="8" width="9" style="2" bestFit="1" customWidth="1"/>
    <col min="9" max="10" width="17.28515625" style="2" bestFit="1" customWidth="1"/>
    <col min="11" max="11" width="2.7109375" style="1" bestFit="1" customWidth="1"/>
    <col min="12" max="12" width="18.28515625" style="1" bestFit="1" customWidth="1"/>
    <col min="13" max="16384" width="9.140625" style="1"/>
  </cols>
  <sheetData>
    <row r="1" spans="1:10" ht="22.5" customHeight="1" x14ac:dyDescent="0.2">
      <c r="A1" s="294" t="s">
        <v>147</v>
      </c>
      <c r="B1" s="294" t="s">
        <v>148</v>
      </c>
      <c r="C1" s="294" t="s">
        <v>119</v>
      </c>
      <c r="D1" s="294" t="s">
        <v>50</v>
      </c>
      <c r="E1" s="294" t="s">
        <v>149</v>
      </c>
      <c r="F1" s="294" t="s">
        <v>49</v>
      </c>
      <c r="G1" s="294" t="s">
        <v>48</v>
      </c>
      <c r="H1" s="294" t="s">
        <v>47</v>
      </c>
      <c r="I1" s="294" t="s">
        <v>7</v>
      </c>
      <c r="J1" s="294" t="s">
        <v>6</v>
      </c>
    </row>
    <row r="2" spans="1:10" ht="11.25" customHeight="1" x14ac:dyDescent="0.2">
      <c r="A2" s="318" t="str">
        <f>Deposits!F3</f>
        <v>obj_00839#0031</v>
      </c>
      <c r="B2" s="318" t="str">
        <f>Deposits!G3</f>
        <v>obj_0053d#0023</v>
      </c>
      <c r="C2" s="26" t="str">
        <f>_xll.qlRateHelperQuoteName(A2)</f>
        <v>EUROND_Quote</v>
      </c>
      <c r="D2" s="25">
        <f>_xll.qlRateHelperQuoteValue($A2,Trigger)</f>
        <v>-1E-3</v>
      </c>
      <c r="E2" s="333" t="b">
        <f>IF(F2,J2&lt;=MaxECB,FALSE)</f>
        <v>1</v>
      </c>
      <c r="F2" s="24" t="b">
        <v>1</v>
      </c>
      <c r="G2" s="24">
        <v>70</v>
      </c>
      <c r="H2" s="24">
        <v>1</v>
      </c>
      <c r="I2" s="169">
        <f>_xll.qlRateHelperEarliestDate($A2,Trigger)</f>
        <v>42152</v>
      </c>
      <c r="J2" s="170">
        <f>_xll.qlRateHelperLatestDate($A2,Trigger)</f>
        <v>42153</v>
      </c>
    </row>
    <row r="3" spans="1:10" x14ac:dyDescent="0.2">
      <c r="A3" s="319" t="str">
        <f>Deposits!F4</f>
        <v>obj_00838#0021</v>
      </c>
      <c r="B3" s="319" t="str">
        <f>Deposits!G4</f>
        <v>obj_00516#0023</v>
      </c>
      <c r="C3" s="23" t="str">
        <f>_xll.qlRateHelperQuoteName(A3)</f>
        <v>EURTND_Quote</v>
      </c>
      <c r="D3" s="22">
        <f>_xll.qlRateHelperQuoteValue($A3,Trigger)</f>
        <v>-7.000000000000001E-4</v>
      </c>
      <c r="E3" s="334" t="b">
        <f>IF(F3,J3&lt;=MaxECB,FALSE)</f>
        <v>1</v>
      </c>
      <c r="F3" s="19" t="b">
        <v>1</v>
      </c>
      <c r="G3" s="19">
        <v>70</v>
      </c>
      <c r="H3" s="19">
        <v>1</v>
      </c>
      <c r="I3" s="165">
        <f>_xll.qlRateHelperEarliestDate($A3,Trigger)</f>
        <v>42152</v>
      </c>
      <c r="J3" s="166">
        <f>_xll.qlRateHelperLatestDate($A3,Trigger)</f>
        <v>42153</v>
      </c>
    </row>
    <row r="4" spans="1:10" x14ac:dyDescent="0.2">
      <c r="A4" s="320" t="str">
        <f>Deposits!F5</f>
        <v>obj_00837#0021</v>
      </c>
      <c r="B4" s="320" t="str">
        <f>Deposits!G5</f>
        <v>obj_00515#0025</v>
      </c>
      <c r="C4" s="21" t="str">
        <f>_xll.qlRateHelperQuoteName(A4)</f>
        <v>EURSND_Quote</v>
      </c>
      <c r="D4" s="20">
        <f>_xll.qlRateHelperQuoteValue($A4,Trigger)</f>
        <v>-1E-3</v>
      </c>
      <c r="E4" s="335" t="b">
        <f>IF(F4,J4&lt;=MaxECB,FALSE)</f>
        <v>0</v>
      </c>
      <c r="F4" s="18" t="b">
        <v>0</v>
      </c>
      <c r="G4" s="18">
        <v>70</v>
      </c>
      <c r="H4" s="18">
        <v>1</v>
      </c>
      <c r="I4" s="167">
        <f>_xll.qlRateHelperEarliestDate($A4,Trigger)</f>
        <v>42152</v>
      </c>
      <c r="J4" s="168">
        <f>_xll.qlRateHelperLatestDate($A4,Trigger)</f>
        <v>42153</v>
      </c>
    </row>
    <row r="5" spans="1:10" x14ac:dyDescent="0.2">
      <c r="A5" s="318" t="str">
        <f>Swaps!G40</f>
        <v>obj_00871#0014</v>
      </c>
      <c r="B5" s="321" t="str">
        <f>Swaps!H40</f>
        <v>obj_00545#0026</v>
      </c>
      <c r="C5" s="26" t="str">
        <f>_xll.qlRateHelperQuoteName(A5)</f>
        <v>EURECBOISJUN15_Quote</v>
      </c>
      <c r="D5" s="25">
        <f>_xll.qlRateHelperQuoteValue($A5,Trigger)</f>
        <v>-1.23E-3</v>
      </c>
      <c r="E5" s="333" t="b">
        <f>IF(F5,J5&lt;=MaxECB,FALSE)</f>
        <v>1</v>
      </c>
      <c r="F5" s="24" t="b">
        <f>IF(ISERROR(D5),FALSE,TRUE)</f>
        <v>1</v>
      </c>
      <c r="G5" s="24">
        <v>70</v>
      </c>
      <c r="H5" s="24">
        <v>7</v>
      </c>
      <c r="I5" s="169">
        <f>_xll.qlRateHelperEarliestDate($A5,Trigger)</f>
        <v>42165</v>
      </c>
      <c r="J5" s="170">
        <f>_xll.qlRateHelperLatestDate($A5,Trigger)</f>
        <v>42207</v>
      </c>
    </row>
    <row r="6" spans="1:10" x14ac:dyDescent="0.2">
      <c r="A6" s="319" t="str">
        <f>Swaps!G41</f>
        <v>obj_00874#0014</v>
      </c>
      <c r="B6" s="322" t="str">
        <f>Swaps!H41</f>
        <v>obj_00540#0026</v>
      </c>
      <c r="C6" s="23" t="str">
        <f>_xll.qlRateHelperQuoteName(A6)</f>
        <v>EURECBOISJUL15_Quote</v>
      </c>
      <c r="D6" s="22">
        <f>_xll.qlRateHelperQuoteValue($A6,Trigger)</f>
        <v>-1.2700000000000001E-3</v>
      </c>
      <c r="E6" s="334" t="b">
        <f>IF(F6,J6&lt;=MaxECB,FALSE)</f>
        <v>1</v>
      </c>
      <c r="F6" s="19" t="b">
        <f t="shared" ref="F6:F13" si="0">IF(ISERROR(D6),FALSE,TRUE)</f>
        <v>1</v>
      </c>
      <c r="G6" s="19">
        <v>70</v>
      </c>
      <c r="H6" s="19">
        <v>7</v>
      </c>
      <c r="I6" s="165">
        <f>_xll.qlRateHelperEarliestDate($A6,Trigger)</f>
        <v>42207</v>
      </c>
      <c r="J6" s="166">
        <f>_xll.qlRateHelperLatestDate($A6,Trigger)</f>
        <v>42256</v>
      </c>
    </row>
    <row r="7" spans="1:10" x14ac:dyDescent="0.2">
      <c r="A7" s="319" t="str">
        <f>Swaps!G42</f>
        <v>obj_00873#0014</v>
      </c>
      <c r="B7" s="322" t="str">
        <f>Swaps!H42</f>
        <v>obj_0053f#0026</v>
      </c>
      <c r="C7" s="23" t="str">
        <f>_xll.qlRateHelperQuoteName(A7)</f>
        <v>EURECBOISSEP15_Quote</v>
      </c>
      <c r="D7" s="22">
        <f>_xll.qlRateHelperQuoteValue($A7,Trigger)</f>
        <v>-1.34E-3</v>
      </c>
      <c r="E7" s="334" t="b">
        <f>IF(F7,J7&lt;=MaxECB,FALSE)</f>
        <v>1</v>
      </c>
      <c r="F7" s="19" t="b">
        <f t="shared" si="0"/>
        <v>1</v>
      </c>
      <c r="G7" s="19">
        <v>70</v>
      </c>
      <c r="H7" s="19">
        <v>7</v>
      </c>
      <c r="I7" s="165">
        <f>_xll.qlRateHelperEarliestDate($A7,Trigger)</f>
        <v>42256</v>
      </c>
      <c r="J7" s="166">
        <f>_xll.qlRateHelperLatestDate($A7,Trigger)</f>
        <v>42305</v>
      </c>
    </row>
    <row r="8" spans="1:10" x14ac:dyDescent="0.2">
      <c r="A8" s="319" t="str">
        <f>Swaps!G43</f>
        <v>obj_00872#0014</v>
      </c>
      <c r="B8" s="322" t="str">
        <f>Swaps!H43</f>
        <v>obj_0053e#0026</v>
      </c>
      <c r="C8" s="23" t="str">
        <f>_xll.qlRateHelperQuoteName(A8)</f>
        <v>EURECBOISOCT15_Quote</v>
      </c>
      <c r="D8" s="22">
        <f>_xll.qlRateHelperQuoteValue($A8,Trigger)</f>
        <v>-1.3800000000000002E-3</v>
      </c>
      <c r="E8" s="334" t="b">
        <f>IF(F8,J8&lt;=MaxECB,FALSE)</f>
        <v>1</v>
      </c>
      <c r="F8" s="19" t="b">
        <f t="shared" si="0"/>
        <v>1</v>
      </c>
      <c r="G8" s="19">
        <v>70</v>
      </c>
      <c r="H8" s="19">
        <v>7</v>
      </c>
      <c r="I8" s="165">
        <f>_xll.qlRateHelperEarliestDate($A8,Trigger)</f>
        <v>42305</v>
      </c>
      <c r="J8" s="166">
        <f>_xll.qlRateHelperLatestDate($A8,Trigger)</f>
        <v>42347</v>
      </c>
    </row>
    <row r="9" spans="1:10" x14ac:dyDescent="0.2">
      <c r="A9" s="319" t="str">
        <f>Swaps!G44</f>
        <v>obj_00878#0014</v>
      </c>
      <c r="B9" s="322" t="str">
        <f>Swaps!H44</f>
        <v>obj_00544#0026</v>
      </c>
      <c r="C9" s="23" t="str">
        <f>_xll.qlRateHelperQuoteName(A9)</f>
        <v>EURECBOISDEC15_Quote</v>
      </c>
      <c r="D9" s="22">
        <f>_xll.qlRateHelperQuoteValue($A9,Trigger)</f>
        <v>-1.33E-3</v>
      </c>
      <c r="E9" s="334" t="b">
        <f>IF(F9,J9&lt;=MaxECB,FALSE)</f>
        <v>1</v>
      </c>
      <c r="F9" s="19" t="b">
        <f t="shared" si="0"/>
        <v>1</v>
      </c>
      <c r="G9" s="19">
        <v>70</v>
      </c>
      <c r="H9" s="19">
        <v>7</v>
      </c>
      <c r="I9" s="165">
        <f>_xll.qlRateHelperEarliestDate($A9,Trigger)</f>
        <v>42347</v>
      </c>
      <c r="J9" s="166">
        <f>_xll.qlRateHelperLatestDate($A9,Trigger)</f>
        <v>42395</v>
      </c>
    </row>
    <row r="10" spans="1:10" x14ac:dyDescent="0.2">
      <c r="A10" s="319" t="str">
        <f>Swaps!G45</f>
        <v>obj_00877#0014</v>
      </c>
      <c r="B10" s="322" t="str">
        <f>Swaps!H45</f>
        <v>obj_00541#0026</v>
      </c>
      <c r="C10" s="23" t="str">
        <f>_xll.qlRateHelperQuoteName(A10)</f>
        <v>EURECBOISJAN16_Quote</v>
      </c>
      <c r="D10" s="22">
        <f>_xll.qlRateHelperQuoteValue($A10,Trigger)</f>
        <v>-1.3500000000000001E-3</v>
      </c>
      <c r="E10" s="334" t="b">
        <f>IF(F10,J10&lt;=MaxECB,FALSE)</f>
        <v>1</v>
      </c>
      <c r="F10" s="19" t="b">
        <f t="shared" si="0"/>
        <v>1</v>
      </c>
      <c r="G10" s="19">
        <v>70</v>
      </c>
      <c r="H10" s="19">
        <v>7</v>
      </c>
      <c r="I10" s="165">
        <f>_xll.qlRateHelperEarliestDate($A10,Trigger)</f>
        <v>42395</v>
      </c>
      <c r="J10" s="166">
        <f>_xll.qlRateHelperLatestDate($A10,Trigger)</f>
        <v>42445</v>
      </c>
    </row>
    <row r="11" spans="1:10" x14ac:dyDescent="0.2">
      <c r="A11" s="319" t="str">
        <f>Swaps!G46</f>
        <v>obj_00876#0014</v>
      </c>
      <c r="B11" s="322" t="str">
        <f>Swaps!H46</f>
        <v>obj_00543#0026</v>
      </c>
      <c r="C11" s="23" t="str">
        <f>_xll.qlRateHelperQuoteName(A11)</f>
        <v>EURECBOISMAR16_Quote</v>
      </c>
      <c r="D11" s="22">
        <f>_xll.qlRateHelperQuoteValue($A11,Trigger)</f>
        <v>-1.2700000000000001E-3</v>
      </c>
      <c r="E11" s="334" t="b">
        <f>IF(F11,J11&lt;=MaxECB,FALSE)</f>
        <v>1</v>
      </c>
      <c r="F11" s="19" t="b">
        <f t="shared" si="0"/>
        <v>1</v>
      </c>
      <c r="G11" s="19">
        <v>70</v>
      </c>
      <c r="H11" s="19">
        <v>7</v>
      </c>
      <c r="I11" s="165">
        <f>_xll.qlRateHelperEarliestDate($A11,Trigger)</f>
        <v>42445</v>
      </c>
      <c r="J11" s="166">
        <f>_xll.qlRateHelperLatestDate($A11,Trigger)</f>
        <v>42487</v>
      </c>
    </row>
    <row r="12" spans="1:10" x14ac:dyDescent="0.2">
      <c r="A12" s="319" t="str">
        <f>Swaps!G47</f>
        <v>obj_00875#0014</v>
      </c>
      <c r="B12" s="322" t="str">
        <f>Swaps!H47</f>
        <v>obj_00542#0027</v>
      </c>
      <c r="C12" s="23" t="str">
        <f>_xll.qlRateHelperQuoteName(A12)</f>
        <v>EURECBOISAPR16_Quote</v>
      </c>
      <c r="D12" s="22">
        <f>_xll.qlRateHelperQuoteValue($A12,Trigger)</f>
        <v>-1.2800000000000001E-3</v>
      </c>
      <c r="E12" s="334" t="b">
        <f>IF(F12,J12&lt;=MaxECB,FALSE)</f>
        <v>1</v>
      </c>
      <c r="F12" s="19" t="b">
        <f t="shared" si="0"/>
        <v>1</v>
      </c>
      <c r="G12" s="19">
        <v>70</v>
      </c>
      <c r="H12" s="19">
        <v>7</v>
      </c>
      <c r="I12" s="165">
        <f>_xll.qlRateHelperEarliestDate($A12,Trigger)</f>
        <v>42487</v>
      </c>
      <c r="J12" s="166">
        <f>_xll.qlRateHelperLatestDate($A12,Trigger)</f>
        <v>42529</v>
      </c>
    </row>
    <row r="13" spans="1:10" x14ac:dyDescent="0.2">
      <c r="A13" s="320" t="e">
        <f>Swaps!G48</f>
        <v>#NUM!</v>
      </c>
      <c r="B13" s="323" t="e">
        <f>Swaps!H48</f>
        <v>#NUM!</v>
      </c>
      <c r="C13" s="21" t="e">
        <f>_xll.qlRateHelperQuoteName(A13)</f>
        <v>#VALUE!</v>
      </c>
      <c r="D13" s="20" t="e">
        <f>_xll.qlRateHelperQuoteValue($A13,Trigger)</f>
        <v>#VALUE!</v>
      </c>
      <c r="E13" s="335" t="b">
        <f>IF(F13,J13&lt;=MaxECB,FALSE)</f>
        <v>0</v>
      </c>
      <c r="F13" s="18" t="b">
        <f t="shared" si="0"/>
        <v>0</v>
      </c>
      <c r="G13" s="18">
        <v>70</v>
      </c>
      <c r="H13" s="18">
        <v>7</v>
      </c>
      <c r="I13" s="167" t="e">
        <f>_xll.qlRateHelperEarliestDate($A13,Trigger)</f>
        <v>#VALUE!</v>
      </c>
      <c r="J13" s="168" t="e">
        <f>_xll.qlRateHelperLatestDate($A13,Trigger)</f>
        <v>#VALUE!</v>
      </c>
    </row>
    <row r="14" spans="1:10" x14ac:dyDescent="0.2">
      <c r="A14" s="318" t="str">
        <f>'IMM Eonia'!J3</f>
        <v>obj_00849#0015</v>
      </c>
      <c r="B14" s="321" t="str">
        <f>'IMM Eonia'!K3</f>
        <v>obj_00800#0018</v>
      </c>
      <c r="C14" s="26" t="str">
        <f>_xll.qlRateHelperQuoteName(A14)</f>
        <v>EUROISM5_Quote</v>
      </c>
      <c r="D14" s="297">
        <f>_xll.qlRateHelperQuoteValue($A14,Trigger)</f>
        <v>100.12950000000001</v>
      </c>
      <c r="E14" s="336" t="b">
        <f>IF(F14,J14&lt;=MaxECB,FALSE)</f>
        <v>0</v>
      </c>
      <c r="F14" s="24" t="b">
        <v>0</v>
      </c>
      <c r="G14" s="24">
        <v>70</v>
      </c>
      <c r="H14" s="24">
        <v>7</v>
      </c>
      <c r="I14" s="169">
        <f>_xll.qlRateHelperEarliestDate($A14,Trigger)</f>
        <v>42172</v>
      </c>
      <c r="J14" s="170">
        <f>_xll.qlRateHelperLatestDate($A14,Trigger)</f>
        <v>42264</v>
      </c>
    </row>
    <row r="15" spans="1:10" x14ac:dyDescent="0.2">
      <c r="A15" s="319" t="str">
        <f>'IMM Eonia'!J4</f>
        <v>obj_0084c#0015</v>
      </c>
      <c r="B15" s="322" t="str">
        <f>'IMM Eonia'!K4</f>
        <v>obj_00801#0018</v>
      </c>
      <c r="C15" s="23" t="str">
        <f>_xll.qlRateHelperQuoteName(A15)</f>
        <v>EUROISU5_Quote</v>
      </c>
      <c r="D15" s="235">
        <f>_xll.qlRateHelperQuoteValue($A15,Trigger)</f>
        <v>100.1395</v>
      </c>
      <c r="E15" s="337" t="b">
        <f>IF(F15,J15&lt;=MaxECB,FALSE)</f>
        <v>0</v>
      </c>
      <c r="F15" s="19" t="b">
        <v>0</v>
      </c>
      <c r="G15" s="19">
        <v>60</v>
      </c>
      <c r="H15" s="19">
        <v>7</v>
      </c>
      <c r="I15" s="165">
        <f>_xll.qlRateHelperEarliestDate($A15,Trigger)</f>
        <v>42263</v>
      </c>
      <c r="J15" s="166">
        <f>_xll.qlRateHelperLatestDate($A15,Trigger)</f>
        <v>42354</v>
      </c>
    </row>
    <row r="16" spans="1:10" x14ac:dyDescent="0.2">
      <c r="A16" s="319" t="str">
        <f>'IMM Eonia'!J5</f>
        <v>obj_0084b#0015</v>
      </c>
      <c r="B16" s="322" t="str">
        <f>'IMM Eonia'!K5</f>
        <v>obj_007ff#0018</v>
      </c>
      <c r="C16" s="23" t="str">
        <f>_xll.qlRateHelperQuoteName(A16)</f>
        <v>EUROISZ5_Quote</v>
      </c>
      <c r="D16" s="235">
        <f>_xll.qlRateHelperQuoteValue($A16,Trigger)</f>
        <v>100.1315</v>
      </c>
      <c r="E16" s="337" t="b">
        <f>IF(F16,J16&lt;=MaxECB,FALSE)</f>
        <v>0</v>
      </c>
      <c r="F16" s="19" t="b">
        <v>0</v>
      </c>
      <c r="G16" s="19">
        <v>60</v>
      </c>
      <c r="H16" s="19">
        <v>7</v>
      </c>
      <c r="I16" s="165">
        <f>_xll.qlRateHelperEarliestDate($A16,Trigger)</f>
        <v>42354</v>
      </c>
      <c r="J16" s="166">
        <f>_xll.qlRateHelperLatestDate($A16,Trigger)</f>
        <v>42445</v>
      </c>
    </row>
    <row r="17" spans="1:10" x14ac:dyDescent="0.2">
      <c r="A17" s="319" t="str">
        <f>'IMM Eonia'!J6</f>
        <v>obj_0084a#0015</v>
      </c>
      <c r="B17" s="322" t="str">
        <f>'IMM Eonia'!K6</f>
        <v>obj_00517#0019</v>
      </c>
      <c r="C17" s="23" t="str">
        <f>_xll.qlRateHelperQuoteName(A17)</f>
        <v>EUROISH6_Quote</v>
      </c>
      <c r="D17" s="235">
        <f>_xll.qlRateHelperQuoteValue($A17,Trigger)</f>
        <v>100.12950000000001</v>
      </c>
      <c r="E17" s="337" t="b">
        <f>IF(F17,J17&lt;=MaxECB,FALSE)</f>
        <v>0</v>
      </c>
      <c r="F17" s="19" t="b">
        <v>0</v>
      </c>
      <c r="G17" s="19">
        <v>50</v>
      </c>
      <c r="H17" s="19">
        <v>7</v>
      </c>
      <c r="I17" s="165">
        <f>_xll.qlRateHelperEarliestDate($A17,Trigger)</f>
        <v>42445</v>
      </c>
      <c r="J17" s="166">
        <f>_xll.qlRateHelperLatestDate($A17,Trigger)</f>
        <v>42537</v>
      </c>
    </row>
    <row r="18" spans="1:10" x14ac:dyDescent="0.2">
      <c r="A18" s="320" t="e">
        <f>'IMM Eonia'!J7</f>
        <v>#NUM!</v>
      </c>
      <c r="B18" s="323" t="e">
        <f>'IMM Eonia'!K7</f>
        <v>#NUM!</v>
      </c>
      <c r="C18" s="21" t="e">
        <f>_xll.qlRateHelperQuoteName(A18)</f>
        <v>#VALUE!</v>
      </c>
      <c r="D18" s="298" t="e">
        <f>_xll.qlRateHelperQuoteValue($A18,Trigger)</f>
        <v>#VALUE!</v>
      </c>
      <c r="E18" s="338" t="b">
        <f>IF(F18,J18&lt;=MaxECB,FALSE)</f>
        <v>0</v>
      </c>
      <c r="F18" s="18" t="b">
        <v>0</v>
      </c>
      <c r="G18" s="18">
        <v>50</v>
      </c>
      <c r="H18" s="18">
        <v>7</v>
      </c>
      <c r="I18" s="167" t="e">
        <f>_xll.qlRateHelperEarliestDate($A18,Trigger)</f>
        <v>#VALUE!</v>
      </c>
      <c r="J18" s="168" t="e">
        <f>_xll.qlRateHelperLatestDate($A18,Trigger)</f>
        <v>#VALUE!</v>
      </c>
    </row>
    <row r="19" spans="1:10" x14ac:dyDescent="0.2">
      <c r="A19" s="324" t="str">
        <f>Swaps!G4</f>
        <v>obj_0084d#0016</v>
      </c>
      <c r="B19" s="324" t="str">
        <f>Swaps!H4</f>
        <v>obj_0051c#0031</v>
      </c>
      <c r="C19" s="291" t="str">
        <f>_xll.qlRateHelperQuoteName(A19)</f>
        <v>EUREONSW_Quote</v>
      </c>
      <c r="D19" s="25">
        <f>_xll.qlRateHelperQuoteValue($A19,Trigger)</f>
        <v>-1.2000000000000001E-3</v>
      </c>
      <c r="E19" s="333" t="b">
        <f>IF(F19,J19&lt;=MaxECB,FALSE)</f>
        <v>1</v>
      </c>
      <c r="F19" s="24" t="b">
        <v>1</v>
      </c>
      <c r="G19" s="24">
        <v>50</v>
      </c>
      <c r="H19" s="24">
        <v>1</v>
      </c>
      <c r="I19" s="169">
        <f>_xll.qlRateHelperEarliestDate($A19,Trigger)</f>
        <v>42156</v>
      </c>
      <c r="J19" s="170">
        <f>_xll.qlRateHelperLatestDate($A19,Trigger)</f>
        <v>42163</v>
      </c>
    </row>
    <row r="20" spans="1:10" x14ac:dyDescent="0.2">
      <c r="A20" s="325" t="str">
        <f>Swaps!G5</f>
        <v>obj_0086d#0015</v>
      </c>
      <c r="B20" s="325" t="str">
        <f>Swaps!H5</f>
        <v>obj_0051d#0028</v>
      </c>
      <c r="C20" s="292" t="str">
        <f>_xll.qlRateHelperQuoteName(A20)</f>
        <v>EUREON2W_Quote</v>
      </c>
      <c r="D20" s="22">
        <f>_xll.qlRateHelperQuoteValue($A20,Trigger)</f>
        <v>-1.1800000000000001E-3</v>
      </c>
      <c r="E20" s="334" t="b">
        <f>IF(F20,J20&lt;=MaxECB,FALSE)</f>
        <v>1</v>
      </c>
      <c r="F20" s="19" t="b">
        <v>1</v>
      </c>
      <c r="G20" s="19">
        <v>50</v>
      </c>
      <c r="H20" s="19">
        <v>1</v>
      </c>
      <c r="I20" s="165">
        <f>_xll.qlRateHelperEarliestDate($A20,Trigger)</f>
        <v>42156</v>
      </c>
      <c r="J20" s="166">
        <f>_xll.qlRateHelperLatestDate($A20,Trigger)</f>
        <v>42170</v>
      </c>
    </row>
    <row r="21" spans="1:10" x14ac:dyDescent="0.2">
      <c r="A21" s="325" t="str">
        <f>Swaps!G6</f>
        <v>obj_0085e#0015</v>
      </c>
      <c r="B21" s="325" t="str">
        <f>Swaps!H6</f>
        <v>obj_0051f#0028</v>
      </c>
      <c r="C21" s="292" t="str">
        <f>_xll.qlRateHelperQuoteName(A21)</f>
        <v>EUREON3W_Quote</v>
      </c>
      <c r="D21" s="22">
        <f>_xll.qlRateHelperQuoteValue($A21,Trigger)</f>
        <v>-1.17E-3</v>
      </c>
      <c r="E21" s="334" t="b">
        <f>IF(F21,J21&lt;=MaxECB,FALSE)</f>
        <v>1</v>
      </c>
      <c r="F21" s="19" t="b">
        <v>1</v>
      </c>
      <c r="G21" s="19">
        <v>50</v>
      </c>
      <c r="H21" s="19">
        <v>1</v>
      </c>
      <c r="I21" s="165">
        <f>_xll.qlRateHelperEarliestDate($A21,Trigger)</f>
        <v>42156</v>
      </c>
      <c r="J21" s="166">
        <f>_xll.qlRateHelperLatestDate($A21,Trigger)</f>
        <v>42177</v>
      </c>
    </row>
    <row r="22" spans="1:10" x14ac:dyDescent="0.2">
      <c r="A22" s="325" t="str">
        <f>Swaps!G7</f>
        <v>obj_0086a#0015</v>
      </c>
      <c r="B22" s="325" t="str">
        <f>Swaps!H7</f>
        <v>obj_00526#0028</v>
      </c>
      <c r="C22" s="292" t="str">
        <f>_xll.qlRateHelperQuoteName(A22)</f>
        <v>EUREON1M_Quote</v>
      </c>
      <c r="D22" s="22">
        <f>_xll.qlRateHelperQuoteValue($A22,Trigger)</f>
        <v>-1.14E-3</v>
      </c>
      <c r="E22" s="334" t="b">
        <f>IF(F22,J22&lt;=MaxECB,FALSE)</f>
        <v>0</v>
      </c>
      <c r="F22" s="19" t="b">
        <v>0</v>
      </c>
      <c r="G22" s="19">
        <v>50</v>
      </c>
      <c r="H22" s="19">
        <v>1</v>
      </c>
      <c r="I22" s="165">
        <f>_xll.qlRateHelperEarliestDate($A22,Trigger)</f>
        <v>42156</v>
      </c>
      <c r="J22" s="166">
        <f>_xll.qlRateHelperLatestDate($A22,Trigger)</f>
        <v>42186</v>
      </c>
    </row>
    <row r="23" spans="1:10" x14ac:dyDescent="0.2">
      <c r="A23" s="325" t="str">
        <f>Swaps!G8</f>
        <v>obj_00868#0015</v>
      </c>
      <c r="B23" s="325" t="str">
        <f>Swaps!H8</f>
        <v>obj_00530#0028</v>
      </c>
      <c r="C23" s="292" t="str">
        <f>_xll.qlRateHelperQuoteName(A23)</f>
        <v>EUREON2M_Quote</v>
      </c>
      <c r="D23" s="22">
        <f>_xll.qlRateHelperQuoteValue($A23,Trigger)</f>
        <v>-1.2099999999999999E-3</v>
      </c>
      <c r="E23" s="334" t="b">
        <f>IF(F23,J23&lt;=MaxECB,FALSE)</f>
        <v>0</v>
      </c>
      <c r="F23" s="19" t="b">
        <v>0</v>
      </c>
      <c r="G23" s="19">
        <v>50</v>
      </c>
      <c r="H23" s="19">
        <v>1</v>
      </c>
      <c r="I23" s="165">
        <f>_xll.qlRateHelperEarliestDate($A23,Trigger)</f>
        <v>42156</v>
      </c>
      <c r="J23" s="166">
        <f>_xll.qlRateHelperLatestDate($A23,Trigger)</f>
        <v>42219</v>
      </c>
    </row>
    <row r="24" spans="1:10" x14ac:dyDescent="0.2">
      <c r="A24" s="325" t="str">
        <f>Swaps!G9</f>
        <v>obj_00866#0015</v>
      </c>
      <c r="B24" s="325" t="str">
        <f>Swaps!H9</f>
        <v>obj_00521#0028</v>
      </c>
      <c r="C24" s="292" t="str">
        <f>_xll.qlRateHelperQuoteName(A24)</f>
        <v>EUREON3M_Quote</v>
      </c>
      <c r="D24" s="22">
        <f>_xll.qlRateHelperQuoteValue($A24,Trigger)</f>
        <v>-1.24E-3</v>
      </c>
      <c r="E24" s="334" t="b">
        <f>IF(F24,J24&lt;=MaxECB,FALSE)</f>
        <v>0</v>
      </c>
      <c r="F24" s="19" t="b">
        <v>0</v>
      </c>
      <c r="G24" s="19">
        <v>50</v>
      </c>
      <c r="H24" s="19">
        <v>1</v>
      </c>
      <c r="I24" s="165">
        <f>_xll.qlRateHelperEarliestDate($A24,Trigger)</f>
        <v>42156</v>
      </c>
      <c r="J24" s="166">
        <f>_xll.qlRateHelperLatestDate($A24,Trigger)</f>
        <v>42248</v>
      </c>
    </row>
    <row r="25" spans="1:10" x14ac:dyDescent="0.2">
      <c r="A25" s="325" t="str">
        <f>Swaps!G10</f>
        <v>obj_00859#0015</v>
      </c>
      <c r="B25" s="325" t="str">
        <f>Swaps!H10</f>
        <v>obj_00527#0028</v>
      </c>
      <c r="C25" s="292" t="str">
        <f>_xll.qlRateHelperQuoteName(A25)</f>
        <v>EUREON4M_Quote</v>
      </c>
      <c r="D25" s="22">
        <f>_xll.qlRateHelperQuoteValue($A25,Trigger)</f>
        <v>-1.2600000000000001E-3</v>
      </c>
      <c r="E25" s="334" t="b">
        <f>IF(F25,J25&lt;=MaxECB,FALSE)</f>
        <v>0</v>
      </c>
      <c r="F25" s="19" t="b">
        <v>0</v>
      </c>
      <c r="G25" s="19">
        <v>50</v>
      </c>
      <c r="H25" s="19">
        <v>1</v>
      </c>
      <c r="I25" s="165">
        <f>_xll.qlRateHelperEarliestDate($A25,Trigger)</f>
        <v>42156</v>
      </c>
      <c r="J25" s="166">
        <f>_xll.qlRateHelperLatestDate($A25,Trigger)</f>
        <v>42278</v>
      </c>
    </row>
    <row r="26" spans="1:10" x14ac:dyDescent="0.2">
      <c r="A26" s="325" t="str">
        <f>Swaps!G11</f>
        <v>obj_00851#0015</v>
      </c>
      <c r="B26" s="325" t="str">
        <f>Swaps!H11</f>
        <v>obj_00523#0028</v>
      </c>
      <c r="C26" s="292" t="str">
        <f>_xll.qlRateHelperQuoteName(A26)</f>
        <v>EUREON5M_Quote</v>
      </c>
      <c r="D26" s="22">
        <f>_xll.qlRateHelperQuoteValue($A26,Trigger)</f>
        <v>-1.2700000000000001E-3</v>
      </c>
      <c r="E26" s="334" t="b">
        <f>IF(F26,J26&lt;=MaxECB,FALSE)</f>
        <v>0</v>
      </c>
      <c r="F26" s="19" t="b">
        <v>0</v>
      </c>
      <c r="G26" s="19">
        <v>50</v>
      </c>
      <c r="H26" s="19">
        <v>1</v>
      </c>
      <c r="I26" s="165">
        <f>_xll.qlRateHelperEarliestDate($A26,Trigger)</f>
        <v>42156</v>
      </c>
      <c r="J26" s="166">
        <f>_xll.qlRateHelperLatestDate($A26,Trigger)</f>
        <v>42310</v>
      </c>
    </row>
    <row r="27" spans="1:10" x14ac:dyDescent="0.2">
      <c r="A27" s="325" t="str">
        <f>Swaps!G12</f>
        <v>obj_00862#0015</v>
      </c>
      <c r="B27" s="325" t="str">
        <f>Swaps!H12</f>
        <v>obj_0052f#0028</v>
      </c>
      <c r="C27" s="292" t="str">
        <f>_xll.qlRateHelperQuoteName(A27)</f>
        <v>EUREON6M_Quote</v>
      </c>
      <c r="D27" s="22">
        <f>_xll.qlRateHelperQuoteValue($A27,Trigger)</f>
        <v>-1.2999999999999999E-3</v>
      </c>
      <c r="E27" s="334" t="b">
        <f>IF(F27,J27&lt;=MaxECB,FALSE)</f>
        <v>0</v>
      </c>
      <c r="F27" s="19" t="b">
        <v>0</v>
      </c>
      <c r="G27" s="19">
        <v>50</v>
      </c>
      <c r="H27" s="19">
        <v>1</v>
      </c>
      <c r="I27" s="165">
        <f>_xll.qlRateHelperEarliestDate($A27,Trigger)</f>
        <v>42156</v>
      </c>
      <c r="J27" s="166">
        <f>_xll.qlRateHelperLatestDate($A27,Trigger)</f>
        <v>42339</v>
      </c>
    </row>
    <row r="28" spans="1:10" x14ac:dyDescent="0.2">
      <c r="A28" s="325" t="str">
        <f>Swaps!G13</f>
        <v>obj_00860#0015</v>
      </c>
      <c r="B28" s="325" t="str">
        <f>Swaps!H13</f>
        <v>obj_00525#0028</v>
      </c>
      <c r="C28" s="292" t="str">
        <f>_xll.qlRateHelperQuoteName(A28)</f>
        <v>EUREON7M_Quote</v>
      </c>
      <c r="D28" s="22">
        <f>_xll.qlRateHelperQuoteValue($A28,Trigger)</f>
        <v>-1.2700000000000001E-3</v>
      </c>
      <c r="E28" s="334" t="b">
        <f>IF(F28,J28&lt;=MaxECB,FALSE)</f>
        <v>0</v>
      </c>
      <c r="F28" s="19" t="b">
        <v>0</v>
      </c>
      <c r="G28" s="19">
        <v>50</v>
      </c>
      <c r="H28" s="19">
        <v>1</v>
      </c>
      <c r="I28" s="165">
        <f>_xll.qlRateHelperEarliestDate($A28,Trigger)</f>
        <v>42156</v>
      </c>
      <c r="J28" s="166">
        <f>_xll.qlRateHelperLatestDate($A28,Trigger)</f>
        <v>42373</v>
      </c>
    </row>
    <row r="29" spans="1:10" x14ac:dyDescent="0.2">
      <c r="A29" s="325" t="str">
        <f>Swaps!G14</f>
        <v>obj_0086f#0015</v>
      </c>
      <c r="B29" s="325" t="str">
        <f>Swaps!H14</f>
        <v>obj_0052d#0028</v>
      </c>
      <c r="C29" s="292" t="str">
        <f>_xll.qlRateHelperQuoteName(A29)</f>
        <v>EUREON8M_Quote</v>
      </c>
      <c r="D29" s="22">
        <f>_xll.qlRateHelperQuoteValue($A29,Trigger)</f>
        <v>-1.2999999999999999E-3</v>
      </c>
      <c r="E29" s="334" t="b">
        <f>IF(F29,J29&lt;=MaxECB,FALSE)</f>
        <v>0</v>
      </c>
      <c r="F29" s="19" t="b">
        <v>0</v>
      </c>
      <c r="G29" s="19">
        <v>50</v>
      </c>
      <c r="H29" s="19">
        <v>1</v>
      </c>
      <c r="I29" s="165">
        <f>_xll.qlRateHelperEarliestDate($A29,Trigger)</f>
        <v>42156</v>
      </c>
      <c r="J29" s="166">
        <f>_xll.qlRateHelperLatestDate($A29,Trigger)</f>
        <v>42401</v>
      </c>
    </row>
    <row r="30" spans="1:10" x14ac:dyDescent="0.2">
      <c r="A30" s="325" t="str">
        <f>Swaps!G15</f>
        <v>obj_0085c#0015</v>
      </c>
      <c r="B30" s="325" t="str">
        <f>Swaps!H15</f>
        <v>obj_00520#0028</v>
      </c>
      <c r="C30" s="292" t="str">
        <f>_xll.qlRateHelperQuoteName(A30)</f>
        <v>EUREON9M_Quote</v>
      </c>
      <c r="D30" s="22">
        <f>_xll.qlRateHelperQuoteValue($A30,Trigger)</f>
        <v>-1.31E-3</v>
      </c>
      <c r="E30" s="334" t="b">
        <f>IF(F30,J30&lt;=MaxECB,FALSE)</f>
        <v>0</v>
      </c>
      <c r="F30" s="19" t="b">
        <v>0</v>
      </c>
      <c r="G30" s="19">
        <v>50</v>
      </c>
      <c r="H30" s="19">
        <v>1</v>
      </c>
      <c r="I30" s="165">
        <f>_xll.qlRateHelperEarliestDate($A30,Trigger)</f>
        <v>42156</v>
      </c>
      <c r="J30" s="166">
        <f>_xll.qlRateHelperLatestDate($A30,Trigger)</f>
        <v>42430</v>
      </c>
    </row>
    <row r="31" spans="1:10" x14ac:dyDescent="0.2">
      <c r="A31" s="325" t="str">
        <f>Swaps!G16</f>
        <v>obj_0085a#0015</v>
      </c>
      <c r="B31" s="325" t="str">
        <f>Swaps!H16</f>
        <v>obj_00529#0028</v>
      </c>
      <c r="C31" s="292" t="str">
        <f>_xll.qlRateHelperQuoteName(A31)</f>
        <v>EUREON10M_Quote</v>
      </c>
      <c r="D31" s="22">
        <f>_xll.qlRateHelperQuoteValue($A31,Trigger)</f>
        <v>-1.31E-3</v>
      </c>
      <c r="E31" s="334" t="b">
        <f>IF(F31,J31&lt;=MaxECB,FALSE)</f>
        <v>0</v>
      </c>
      <c r="F31" s="19" t="b">
        <v>0</v>
      </c>
      <c r="G31" s="19">
        <v>50</v>
      </c>
      <c r="H31" s="19">
        <v>1</v>
      </c>
      <c r="I31" s="165">
        <f>_xll.qlRateHelperEarliestDate($A31,Trigger)</f>
        <v>42156</v>
      </c>
      <c r="J31" s="166">
        <f>_xll.qlRateHelperLatestDate($A31,Trigger)</f>
        <v>42461</v>
      </c>
    </row>
    <row r="32" spans="1:10" x14ac:dyDescent="0.2">
      <c r="A32" s="325" t="str">
        <f>Swaps!G17</f>
        <v>obj_00865#0015</v>
      </c>
      <c r="B32" s="325" t="str">
        <f>Swaps!H17</f>
        <v>obj_00522#0028</v>
      </c>
      <c r="C32" s="292" t="str">
        <f>_xll.qlRateHelperQuoteName(A32)</f>
        <v>EUREON11M_Quote</v>
      </c>
      <c r="D32" s="22">
        <f>_xll.qlRateHelperQuoteValue($A32,Trigger)</f>
        <v>-1.2999999999999999E-3</v>
      </c>
      <c r="E32" s="334" t="b">
        <f>IF(F32,J32&lt;=MaxECB,FALSE)</f>
        <v>0</v>
      </c>
      <c r="F32" s="19" t="b">
        <v>0</v>
      </c>
      <c r="G32" s="19">
        <v>50</v>
      </c>
      <c r="H32" s="19">
        <v>1</v>
      </c>
      <c r="I32" s="165">
        <f>_xll.qlRateHelperEarliestDate($A32,Trigger)</f>
        <v>42156</v>
      </c>
      <c r="J32" s="166">
        <f>_xll.qlRateHelperLatestDate($A32,Trigger)</f>
        <v>42492</v>
      </c>
    </row>
    <row r="33" spans="1:10" x14ac:dyDescent="0.2">
      <c r="A33" s="325" t="str">
        <f>Swaps!G18</f>
        <v>obj_00858#0015</v>
      </c>
      <c r="B33" s="325" t="str">
        <f>Swaps!H18</f>
        <v>obj_00524#0028</v>
      </c>
      <c r="C33" s="292" t="str">
        <f>_xll.qlRateHelperQuoteName(A33)</f>
        <v>EUREON1Y_Quote</v>
      </c>
      <c r="D33" s="22">
        <f>_xll.qlRateHelperQuoteValue($A33,Trigger)</f>
        <v>-1.2999999999999999E-3</v>
      </c>
      <c r="E33" s="334" t="b">
        <f>IF(F33,J33&lt;=MaxECB,FALSE)</f>
        <v>0</v>
      </c>
      <c r="F33" s="19" t="b">
        <v>0</v>
      </c>
      <c r="G33" s="19">
        <v>50</v>
      </c>
      <c r="H33" s="19">
        <v>1</v>
      </c>
      <c r="I33" s="165">
        <f>_xll.qlRateHelperEarliestDate($A33,Trigger)</f>
        <v>42156</v>
      </c>
      <c r="J33" s="166">
        <f>_xll.qlRateHelperLatestDate($A33,Trigger)</f>
        <v>42522</v>
      </c>
    </row>
    <row r="34" spans="1:10" x14ac:dyDescent="0.2">
      <c r="A34" s="325" t="str">
        <f>Swaps!G19</f>
        <v>obj_00850#0015</v>
      </c>
      <c r="B34" s="325" t="str">
        <f>Swaps!H19</f>
        <v>obj_0052c#0028</v>
      </c>
      <c r="C34" s="292" t="str">
        <f>_xll.qlRateHelperQuoteName(A34)</f>
        <v>EUREON15M_Quote</v>
      </c>
      <c r="D34" s="22">
        <f>_xll.qlRateHelperQuoteValue($A34,Trigger)</f>
        <v>-1.2900000000000001E-3</v>
      </c>
      <c r="E34" s="334" t="b">
        <f>IF(F34,J34&lt;=MaxECB,FALSE)</f>
        <v>0</v>
      </c>
      <c r="F34" s="19" t="b">
        <v>1</v>
      </c>
      <c r="G34" s="19">
        <v>50</v>
      </c>
      <c r="H34" s="19">
        <v>1</v>
      </c>
      <c r="I34" s="165">
        <f>_xll.qlRateHelperEarliestDate($A34,Trigger)</f>
        <v>42156</v>
      </c>
      <c r="J34" s="166">
        <f>_xll.qlRateHelperLatestDate($A34,Trigger)</f>
        <v>42614</v>
      </c>
    </row>
    <row r="35" spans="1:10" x14ac:dyDescent="0.2">
      <c r="A35" s="325" t="str">
        <f>Swaps!G20</f>
        <v>obj_0086e#0015</v>
      </c>
      <c r="B35" s="325" t="str">
        <f>Swaps!H20</f>
        <v>obj_0051e#0028</v>
      </c>
      <c r="C35" s="292" t="str">
        <f>_xll.qlRateHelperQuoteName(A35)</f>
        <v>EUREON18M_Quote</v>
      </c>
      <c r="D35" s="22">
        <f>_xll.qlRateHelperQuoteValue($A35,Trigger)</f>
        <v>-1.2700000000000001E-3</v>
      </c>
      <c r="E35" s="334" t="b">
        <f>IF(F35,J35&lt;=MaxECB,FALSE)</f>
        <v>0</v>
      </c>
      <c r="F35" s="19" t="b">
        <v>1</v>
      </c>
      <c r="G35" s="19">
        <v>50</v>
      </c>
      <c r="H35" s="19">
        <v>1</v>
      </c>
      <c r="I35" s="165">
        <f>_xll.qlRateHelperEarliestDate($A35,Trigger)</f>
        <v>42156</v>
      </c>
      <c r="J35" s="166">
        <f>_xll.qlRateHelperLatestDate($A35,Trigger)</f>
        <v>42705</v>
      </c>
    </row>
    <row r="36" spans="1:10" x14ac:dyDescent="0.2">
      <c r="A36" s="325" t="str">
        <f>Swaps!G21</f>
        <v>obj_00855#0015</v>
      </c>
      <c r="B36" s="325" t="str">
        <f>Swaps!H21</f>
        <v>obj_0052b#0028</v>
      </c>
      <c r="C36" s="292" t="str">
        <f>_xll.qlRateHelperQuoteName(A36)</f>
        <v>EUREON21M_Quote</v>
      </c>
      <c r="D36" s="22">
        <f>_xll.qlRateHelperQuoteValue($A36,Trigger)</f>
        <v>-1.23E-3</v>
      </c>
      <c r="E36" s="334" t="b">
        <f>IF(F36,J36&lt;=MaxECB,FALSE)</f>
        <v>0</v>
      </c>
      <c r="F36" s="19" t="b">
        <v>1</v>
      </c>
      <c r="G36" s="19">
        <v>50</v>
      </c>
      <c r="H36" s="19">
        <v>1</v>
      </c>
      <c r="I36" s="165">
        <f>_xll.qlRateHelperEarliestDate($A36,Trigger)</f>
        <v>42156</v>
      </c>
      <c r="J36" s="166">
        <f>_xll.qlRateHelperLatestDate($A36,Trigger)</f>
        <v>42795</v>
      </c>
    </row>
    <row r="37" spans="1:10" x14ac:dyDescent="0.2">
      <c r="A37" s="325" t="str">
        <f>Swaps!G22</f>
        <v>obj_00854#0015</v>
      </c>
      <c r="B37" s="325" t="str">
        <f>Swaps!H22</f>
        <v>obj_00539#0028</v>
      </c>
      <c r="C37" s="292" t="str">
        <f>_xll.qlRateHelperQuoteName(A37)</f>
        <v>EUREON2Y_Quote</v>
      </c>
      <c r="D37" s="22">
        <f>_xll.qlRateHelperQuoteValue($A37,Trigger)</f>
        <v>-1.16E-3</v>
      </c>
      <c r="E37" s="334" t="b">
        <f>IF(F37,J37&lt;=MaxECB,FALSE)</f>
        <v>0</v>
      </c>
      <c r="F37" s="19" t="b">
        <v>1</v>
      </c>
      <c r="G37" s="19">
        <v>50</v>
      </c>
      <c r="H37" s="19">
        <v>1</v>
      </c>
      <c r="I37" s="165">
        <f>_xll.qlRateHelperEarliestDate($A37,Trigger)</f>
        <v>42156</v>
      </c>
      <c r="J37" s="166">
        <f>_xll.qlRateHelperLatestDate($A37,Trigger)</f>
        <v>42887</v>
      </c>
    </row>
    <row r="38" spans="1:10" x14ac:dyDescent="0.2">
      <c r="A38" s="325" t="str">
        <f>Swaps!G23</f>
        <v>obj_00853#0015</v>
      </c>
      <c r="B38" s="325" t="str">
        <f>Swaps!H23</f>
        <v>obj_00531#0028</v>
      </c>
      <c r="C38" s="292" t="str">
        <f>_xll.qlRateHelperQuoteName(A38)</f>
        <v>EUREON3Y_Quote</v>
      </c>
      <c r="D38" s="22">
        <f>_xll.qlRateHelperQuoteValue($A38,Trigger)</f>
        <v>-6.9000000000000008E-4</v>
      </c>
      <c r="E38" s="334" t="b">
        <f>IF(F38,J38&lt;=MaxECB,FALSE)</f>
        <v>0</v>
      </c>
      <c r="F38" s="19" t="b">
        <v>1</v>
      </c>
      <c r="G38" s="19">
        <v>50</v>
      </c>
      <c r="H38" s="19">
        <v>1</v>
      </c>
      <c r="I38" s="165">
        <f>_xll.qlRateHelperEarliestDate($A38,Trigger)</f>
        <v>42156</v>
      </c>
      <c r="J38" s="166">
        <f>_xll.qlRateHelperLatestDate($A38,Trigger)</f>
        <v>43252</v>
      </c>
    </row>
    <row r="39" spans="1:10" x14ac:dyDescent="0.2">
      <c r="A39" s="325" t="str">
        <f>Swaps!G24</f>
        <v>obj_00867#0015</v>
      </c>
      <c r="B39" s="325" t="str">
        <f>Swaps!H24</f>
        <v>obj_0053a#0028</v>
      </c>
      <c r="C39" s="292" t="str">
        <f>_xll.qlRateHelperQuoteName(A39)</f>
        <v>EUREON4Y_Quote</v>
      </c>
      <c r="D39" s="22">
        <f>_xll.qlRateHelperQuoteValue($A39,Trigger)</f>
        <v>1.6000000000000001E-4</v>
      </c>
      <c r="E39" s="334" t="b">
        <f>IF(F39,J39&lt;=MaxECB,FALSE)</f>
        <v>0</v>
      </c>
      <c r="F39" s="19" t="b">
        <v>1</v>
      </c>
      <c r="G39" s="19">
        <v>50</v>
      </c>
      <c r="H39" s="19">
        <v>1</v>
      </c>
      <c r="I39" s="165">
        <f>_xll.qlRateHelperEarliestDate($A39,Trigger)</f>
        <v>42156</v>
      </c>
      <c r="J39" s="166">
        <f>_xll.qlRateHelperLatestDate($A39,Trigger)</f>
        <v>43619</v>
      </c>
    </row>
    <row r="40" spans="1:10" x14ac:dyDescent="0.2">
      <c r="A40" s="325" t="str">
        <f>Swaps!G25</f>
        <v>obj_00864#0015</v>
      </c>
      <c r="B40" s="325" t="str">
        <f>Swaps!H25</f>
        <v>obj_00528#0029</v>
      </c>
      <c r="C40" s="292" t="str">
        <f>_xll.qlRateHelperQuoteName(A40)</f>
        <v>EUREON5Y_Quote</v>
      </c>
      <c r="D40" s="22">
        <f>_xll.qlRateHelperQuoteValue($A40,Trigger)</f>
        <v>1.1899999999999999E-3</v>
      </c>
      <c r="E40" s="334" t="b">
        <f>IF(F40,J40&lt;=MaxECB,FALSE)</f>
        <v>0</v>
      </c>
      <c r="F40" s="19" t="b">
        <v>1</v>
      </c>
      <c r="G40" s="19">
        <v>50</v>
      </c>
      <c r="H40" s="19">
        <v>1</v>
      </c>
      <c r="I40" s="165">
        <f>_xll.qlRateHelperEarliestDate($A40,Trigger)</f>
        <v>42156</v>
      </c>
      <c r="J40" s="166">
        <f>_xll.qlRateHelperLatestDate($A40,Trigger)</f>
        <v>43983</v>
      </c>
    </row>
    <row r="41" spans="1:10" x14ac:dyDescent="0.2">
      <c r="A41" s="325" t="str">
        <f>Swaps!G26</f>
        <v>obj_00857#0015</v>
      </c>
      <c r="B41" s="322" t="str">
        <f>Swaps!H26</f>
        <v>obj_0083d#0019</v>
      </c>
      <c r="C41" s="292" t="str">
        <f>_xll.qlRateHelperQuoteName(A41)</f>
        <v>EUREON6Y_Quote</v>
      </c>
      <c r="D41" s="22">
        <f>_xll.qlRateHelperQuoteValue($A41,Trigger)</f>
        <v>2.33E-3</v>
      </c>
      <c r="E41" s="334" t="b">
        <f>IF(F41,J41&lt;=MaxECB,FALSE)</f>
        <v>0</v>
      </c>
      <c r="F41" s="19" t="b">
        <v>1</v>
      </c>
      <c r="G41" s="19">
        <v>50</v>
      </c>
      <c r="H41" s="19">
        <v>1</v>
      </c>
      <c r="I41" s="165">
        <f>_xll.qlRateHelperEarliestDate($A41,Trigger)</f>
        <v>42156</v>
      </c>
      <c r="J41" s="166">
        <f>_xll.qlRateHelperLatestDate($A41,Trigger)</f>
        <v>44348</v>
      </c>
    </row>
    <row r="42" spans="1:10" x14ac:dyDescent="0.2">
      <c r="A42" s="325" t="str">
        <f>Swaps!G27</f>
        <v>obj_0084f#0015</v>
      </c>
      <c r="B42" s="322" t="str">
        <f>Swaps!H27</f>
        <v>obj_00841#0019</v>
      </c>
      <c r="C42" s="292" t="str">
        <f>_xll.qlRateHelperQuoteName(A42)</f>
        <v>EUREON7Y_Quote</v>
      </c>
      <c r="D42" s="22">
        <f>_xll.qlRateHelperQuoteValue($A42,Trigger)</f>
        <v>3.4799999999999996E-3</v>
      </c>
      <c r="E42" s="334" t="b">
        <f>IF(F42,J42&lt;=MaxECB,FALSE)</f>
        <v>0</v>
      </c>
      <c r="F42" s="19" t="b">
        <v>1</v>
      </c>
      <c r="G42" s="19">
        <v>50</v>
      </c>
      <c r="H42" s="19">
        <v>1</v>
      </c>
      <c r="I42" s="165">
        <f>_xll.qlRateHelperEarliestDate($A42,Trigger)</f>
        <v>42156</v>
      </c>
      <c r="J42" s="166">
        <f>_xll.qlRateHelperLatestDate($A42,Trigger)</f>
        <v>44713</v>
      </c>
    </row>
    <row r="43" spans="1:10" x14ac:dyDescent="0.2">
      <c r="A43" s="325" t="str">
        <f>Swaps!G28</f>
        <v>obj_00870#0015</v>
      </c>
      <c r="B43" s="322" t="str">
        <f>Swaps!H28</f>
        <v>obj_0083c#0019</v>
      </c>
      <c r="C43" s="292" t="str">
        <f>_xll.qlRateHelperQuoteName(A43)</f>
        <v>EUREON8Y_Quote</v>
      </c>
      <c r="D43" s="22">
        <f>_xll.qlRateHelperQuoteValue($A43,Trigger)</f>
        <v>4.5699999999999994E-3</v>
      </c>
      <c r="E43" s="334" t="b">
        <f>IF(F43,J43&lt;=MaxECB,FALSE)</f>
        <v>0</v>
      </c>
      <c r="F43" s="19" t="b">
        <v>1</v>
      </c>
      <c r="G43" s="19">
        <v>50</v>
      </c>
      <c r="H43" s="19">
        <v>1</v>
      </c>
      <c r="I43" s="165">
        <f>_xll.qlRateHelperEarliestDate($A43,Trigger)</f>
        <v>42156</v>
      </c>
      <c r="J43" s="166">
        <f>_xll.qlRateHelperLatestDate($A43,Trigger)</f>
        <v>45078</v>
      </c>
    </row>
    <row r="44" spans="1:10" x14ac:dyDescent="0.2">
      <c r="A44" s="325" t="str">
        <f>Swaps!G29</f>
        <v>obj_0085f#0015</v>
      </c>
      <c r="B44" s="322" t="str">
        <f>Swaps!H29</f>
        <v>obj_00844#0019</v>
      </c>
      <c r="C44" s="292" t="str">
        <f>_xll.qlRateHelperQuoteName(A44)</f>
        <v>EUREON9Y_Quote</v>
      </c>
      <c r="D44" s="22">
        <f>_xll.qlRateHelperQuoteValue($A44,Trigger)</f>
        <v>5.5499999999999994E-3</v>
      </c>
      <c r="E44" s="334" t="b">
        <f>IF(F44,J44&lt;=MaxECB,FALSE)</f>
        <v>0</v>
      </c>
      <c r="F44" s="19" t="b">
        <v>1</v>
      </c>
      <c r="G44" s="19">
        <v>50</v>
      </c>
      <c r="H44" s="19">
        <v>1</v>
      </c>
      <c r="I44" s="165">
        <f>_xll.qlRateHelperEarliestDate($A44,Trigger)</f>
        <v>42156</v>
      </c>
      <c r="J44" s="166">
        <f>_xll.qlRateHelperLatestDate($A44,Trigger)</f>
        <v>45446</v>
      </c>
    </row>
    <row r="45" spans="1:10" x14ac:dyDescent="0.2">
      <c r="A45" s="325" t="str">
        <f>Swaps!G30</f>
        <v>obj_0086b#0015</v>
      </c>
      <c r="B45" s="322" t="str">
        <f>Swaps!H30</f>
        <v>obj_0083f#0019</v>
      </c>
      <c r="C45" s="292" t="str">
        <f>_xll.qlRateHelperQuoteName(A45)</f>
        <v>EUREON10Y_Quote</v>
      </c>
      <c r="D45" s="22">
        <f>_xll.qlRateHelperQuoteValue($A45,Trigger)</f>
        <v>6.4200000000000004E-3</v>
      </c>
      <c r="E45" s="334" t="b">
        <f>IF(F45,J45&lt;=MaxECB,FALSE)</f>
        <v>0</v>
      </c>
      <c r="F45" s="19" t="b">
        <v>1</v>
      </c>
      <c r="G45" s="19">
        <v>50</v>
      </c>
      <c r="H45" s="19">
        <v>1</v>
      </c>
      <c r="I45" s="165">
        <f>_xll.qlRateHelperEarliestDate($A45,Trigger)</f>
        <v>42156</v>
      </c>
      <c r="J45" s="166">
        <f>_xll.qlRateHelperLatestDate($A45,Trigger)</f>
        <v>45810</v>
      </c>
    </row>
    <row r="46" spans="1:10" x14ac:dyDescent="0.2">
      <c r="A46" s="325" t="str">
        <f>Swaps!G31</f>
        <v>obj_00869#0015</v>
      </c>
      <c r="B46" s="322" t="str">
        <f>Swaps!H31</f>
        <v>obj_0083b#0019</v>
      </c>
      <c r="C46" s="292" t="str">
        <f>_xll.qlRateHelperQuoteName(A46)</f>
        <v>EUREON11Y_Quote</v>
      </c>
      <c r="D46" s="22">
        <f>_xll.qlRateHelperQuoteValue($A46,Trigger)</f>
        <v>7.2199999999999999E-3</v>
      </c>
      <c r="E46" s="334" t="b">
        <f>IF(F46,J46&lt;=MaxECB,FALSE)</f>
        <v>0</v>
      </c>
      <c r="F46" s="19" t="b">
        <v>1</v>
      </c>
      <c r="G46" s="19">
        <v>50</v>
      </c>
      <c r="H46" s="19">
        <v>1</v>
      </c>
      <c r="I46" s="165">
        <f>_xll.qlRateHelperEarliestDate($A46,Trigger)</f>
        <v>42156</v>
      </c>
      <c r="J46" s="166">
        <f>_xll.qlRateHelperLatestDate($A46,Trigger)</f>
        <v>46174</v>
      </c>
    </row>
    <row r="47" spans="1:10" x14ac:dyDescent="0.2">
      <c r="A47" s="325" t="str">
        <f>Swaps!G32</f>
        <v>obj_00852#0015</v>
      </c>
      <c r="B47" s="322" t="str">
        <f>Swaps!H32</f>
        <v>obj_00847#0019</v>
      </c>
      <c r="C47" s="292" t="str">
        <f>_xll.qlRateHelperQuoteName(A47)</f>
        <v>EUREON12Y_Quote</v>
      </c>
      <c r="D47" s="22">
        <f>_xll.qlRateHelperQuoteValue($A47,Trigger)</f>
        <v>7.9000000000000008E-3</v>
      </c>
      <c r="E47" s="334" t="b">
        <f>IF(F47,J47&lt;=MaxECB,FALSE)</f>
        <v>0</v>
      </c>
      <c r="F47" s="19" t="b">
        <v>1</v>
      </c>
      <c r="G47" s="19">
        <v>50</v>
      </c>
      <c r="H47" s="19">
        <v>1</v>
      </c>
      <c r="I47" s="165">
        <f>_xll.qlRateHelperEarliestDate($A47,Trigger)</f>
        <v>42156</v>
      </c>
      <c r="J47" s="166">
        <f>_xll.qlRateHelperLatestDate($A47,Trigger)</f>
        <v>46539</v>
      </c>
    </row>
    <row r="48" spans="1:10" x14ac:dyDescent="0.2">
      <c r="A48" s="325" t="str">
        <f>Swaps!G33</f>
        <v>obj_00863#0015</v>
      </c>
      <c r="B48" s="322" t="str">
        <f>Swaps!H33</f>
        <v>obj_00842#0019</v>
      </c>
      <c r="C48" s="292" t="str">
        <f>_xll.qlRateHelperQuoteName(A48)</f>
        <v>EUREON15Y_Quote</v>
      </c>
      <c r="D48" s="22">
        <f>_xll.qlRateHelperQuoteValue($A48,Trigger)</f>
        <v>9.4500000000000001E-3</v>
      </c>
      <c r="E48" s="334" t="b">
        <f>IF(F48,J48&lt;=MaxECB,FALSE)</f>
        <v>0</v>
      </c>
      <c r="F48" s="19" t="b">
        <v>1</v>
      </c>
      <c r="G48" s="19">
        <v>50</v>
      </c>
      <c r="H48" s="19">
        <v>1</v>
      </c>
      <c r="I48" s="165">
        <f>_xll.qlRateHelperEarliestDate($A48,Trigger)</f>
        <v>42156</v>
      </c>
      <c r="J48" s="166">
        <f>_xll.qlRateHelperLatestDate($A48,Trigger)</f>
        <v>47637</v>
      </c>
    </row>
    <row r="49" spans="1:11" x14ac:dyDescent="0.2">
      <c r="A49" s="325" t="str">
        <f>Swaps!G34</f>
        <v>obj_00856#0015</v>
      </c>
      <c r="B49" s="322" t="str">
        <f>Swaps!H34</f>
        <v>obj_00846#0019</v>
      </c>
      <c r="C49" s="292" t="str">
        <f>_xll.qlRateHelperQuoteName(A49)</f>
        <v>EUREON20Y_Quote</v>
      </c>
      <c r="D49" s="22">
        <f>_xll.qlRateHelperQuoteValue($A49,Trigger)</f>
        <v>1.0840000000000001E-2</v>
      </c>
      <c r="E49" s="334" t="b">
        <f>IF(F49,J49&lt;=MaxECB,FALSE)</f>
        <v>0</v>
      </c>
      <c r="F49" s="19" t="b">
        <v>1</v>
      </c>
      <c r="G49" s="19">
        <v>50</v>
      </c>
      <c r="H49" s="19">
        <v>1</v>
      </c>
      <c r="I49" s="165">
        <f>_xll.qlRateHelperEarliestDate($A49,Trigger)</f>
        <v>42156</v>
      </c>
      <c r="J49" s="166">
        <f>_xll.qlRateHelperLatestDate($A49,Trigger)</f>
        <v>49461</v>
      </c>
    </row>
    <row r="50" spans="1:11" x14ac:dyDescent="0.2">
      <c r="A50" s="325" t="str">
        <f>Swaps!G35</f>
        <v>obj_0084e#0015</v>
      </c>
      <c r="B50" s="322" t="str">
        <f>Swaps!H35</f>
        <v>obj_00845#0019</v>
      </c>
      <c r="C50" s="292" t="str">
        <f>_xll.qlRateHelperQuoteName(A50)</f>
        <v>EUREON25Y_Quote</v>
      </c>
      <c r="D50" s="22">
        <f>_xll.qlRateHelperQuoteValue($A50,Trigger)</f>
        <v>1.1339999999999999E-2</v>
      </c>
      <c r="E50" s="334" t="b">
        <f>IF(F50,J50&lt;=MaxECB,FALSE)</f>
        <v>0</v>
      </c>
      <c r="F50" s="19" t="b">
        <v>1</v>
      </c>
      <c r="G50" s="19">
        <v>50</v>
      </c>
      <c r="H50" s="19">
        <v>1</v>
      </c>
      <c r="I50" s="165">
        <f>_xll.qlRateHelperEarliestDate($A50,Trigger)</f>
        <v>42156</v>
      </c>
      <c r="J50" s="166">
        <f>_xll.qlRateHelperLatestDate($A50,Trigger)</f>
        <v>51288</v>
      </c>
    </row>
    <row r="51" spans="1:11" x14ac:dyDescent="0.2">
      <c r="A51" s="325" t="str">
        <f>Swaps!G36</f>
        <v>obj_00861#0015</v>
      </c>
      <c r="B51" s="322" t="str">
        <f>Swaps!H36</f>
        <v>obj_00840#0019</v>
      </c>
      <c r="C51" s="292" t="str">
        <f>_xll.qlRateHelperQuoteName(A51)</f>
        <v>EUREON30Y_Quote</v>
      </c>
      <c r="D51" s="22">
        <f>_xll.qlRateHelperQuoteValue($A51,Trigger)</f>
        <v>1.1650000000000001E-2</v>
      </c>
      <c r="E51" s="334" t="b">
        <f>IF(F51,J51&lt;=MaxECB,FALSE)</f>
        <v>0</v>
      </c>
      <c r="F51" s="19" t="b">
        <v>1</v>
      </c>
      <c r="G51" s="19">
        <v>50</v>
      </c>
      <c r="H51" s="19">
        <v>1</v>
      </c>
      <c r="I51" s="165">
        <f>_xll.qlRateHelperEarliestDate($A51,Trigger)</f>
        <v>42156</v>
      </c>
      <c r="J51" s="166">
        <f>_xll.qlRateHelperLatestDate($A51,Trigger)</f>
        <v>53114</v>
      </c>
    </row>
    <row r="52" spans="1:11" x14ac:dyDescent="0.2">
      <c r="A52" s="325" t="str">
        <f>Swaps!G37</f>
        <v>obj_0086c#0015</v>
      </c>
      <c r="B52" s="322" t="str">
        <f>Swaps!H37</f>
        <v>obj_00843#0019</v>
      </c>
      <c r="C52" s="292" t="str">
        <f>_xll.qlRateHelperQuoteName(A52)</f>
        <v>EUREON40Y_Quote</v>
      </c>
      <c r="D52" s="22">
        <f>_xll.qlRateHelperQuoteValue($A52,Trigger)</f>
        <v>1.205E-2</v>
      </c>
      <c r="E52" s="334" t="b">
        <f>IF(F52,J52&lt;=MaxECB,FALSE)</f>
        <v>0</v>
      </c>
      <c r="F52" s="19" t="b">
        <v>1</v>
      </c>
      <c r="G52" s="19">
        <v>50</v>
      </c>
      <c r="H52" s="19">
        <v>1</v>
      </c>
      <c r="I52" s="165">
        <f>_xll.qlRateHelperEarliestDate($A52,Trigger)</f>
        <v>42156</v>
      </c>
      <c r="J52" s="166">
        <f>_xll.qlRateHelperLatestDate($A52,Trigger)</f>
        <v>56766</v>
      </c>
    </row>
    <row r="53" spans="1:11" x14ac:dyDescent="0.2">
      <c r="A53" s="325" t="str">
        <f>Swaps!G38</f>
        <v>obj_0085d#0015</v>
      </c>
      <c r="B53" s="322" t="str">
        <f>Swaps!H38</f>
        <v>obj_0083e#0019</v>
      </c>
      <c r="C53" s="292" t="str">
        <f>_xll.qlRateHelperQuoteName(A53)</f>
        <v>EUREON50Y_Quote</v>
      </c>
      <c r="D53" s="22">
        <f>_xll.qlRateHelperQuoteValue($A53,Trigger)</f>
        <v>1.175E-2</v>
      </c>
      <c r="E53" s="334" t="b">
        <f>IF(F53,J53&lt;=MaxECB,FALSE)</f>
        <v>0</v>
      </c>
      <c r="F53" s="19" t="b">
        <v>1</v>
      </c>
      <c r="G53" s="19">
        <v>50</v>
      </c>
      <c r="H53" s="19">
        <v>1</v>
      </c>
      <c r="I53" s="165">
        <f>_xll.qlRateHelperEarliestDate($A53,Trigger)</f>
        <v>42156</v>
      </c>
      <c r="J53" s="166">
        <f>_xll.qlRateHelperLatestDate($A53,Trigger)</f>
        <v>60419</v>
      </c>
    </row>
    <row r="54" spans="1:11" x14ac:dyDescent="0.2">
      <c r="A54" s="326" t="str">
        <f>Swaps!G39</f>
        <v>obj_0085b#0015</v>
      </c>
      <c r="B54" s="323" t="str">
        <f>Swaps!H39</f>
        <v>obj_0083a#0019</v>
      </c>
      <c r="C54" s="293" t="str">
        <f>_xll.qlRateHelperQuoteName(A54)</f>
        <v>EUREON60Y_Quote</v>
      </c>
      <c r="D54" s="20">
        <f>_xll.qlRateHelperQuoteValue($A54,Trigger)</f>
        <v>1.1720000000000001E-2</v>
      </c>
      <c r="E54" s="335" t="b">
        <f>IF(F54,J54&lt;=MaxECB,FALSE)</f>
        <v>0</v>
      </c>
      <c r="F54" s="18" t="b">
        <v>1</v>
      </c>
      <c r="G54" s="18">
        <v>50</v>
      </c>
      <c r="H54" s="18">
        <v>1</v>
      </c>
      <c r="I54" s="167">
        <f>_xll.qlRateHelperEarliestDate($A54,Trigger)</f>
        <v>42156</v>
      </c>
      <c r="J54" s="168">
        <f>_xll.qlRateHelperLatestDate($A54,Trigger)</f>
        <v>64073</v>
      </c>
    </row>
    <row r="55" spans="1:11" x14ac:dyDescent="0.2">
      <c r="A55" s="296"/>
      <c r="B55" s="295"/>
      <c r="C55" s="330"/>
      <c r="D55" s="330"/>
      <c r="E55" s="330"/>
      <c r="F55" s="330"/>
      <c r="G55" s="330"/>
      <c r="H55" s="330"/>
      <c r="I55" s="330"/>
      <c r="J55" s="330"/>
    </row>
    <row r="56" spans="1:11" x14ac:dyDescent="0.2">
      <c r="A56" s="327"/>
      <c r="B56" s="328"/>
      <c r="C56" s="330"/>
      <c r="D56" s="330"/>
      <c r="E56" s="330"/>
      <c r="F56" s="330"/>
      <c r="G56" s="330"/>
      <c r="H56" s="330"/>
      <c r="I56" s="330"/>
      <c r="J56" s="330"/>
      <c r="K56" s="329"/>
    </row>
    <row r="57" spans="1:11" x14ac:dyDescent="0.2">
      <c r="A57" s="327"/>
      <c r="B57" s="328"/>
      <c r="C57" s="330"/>
      <c r="D57" s="330"/>
      <c r="E57" s="330"/>
      <c r="F57" s="330"/>
      <c r="G57" s="330"/>
      <c r="H57" s="330"/>
      <c r="I57" s="330"/>
      <c r="J57" s="330"/>
      <c r="K57" s="329"/>
    </row>
    <row r="58" spans="1:11" x14ac:dyDescent="0.2">
      <c r="A58" s="327"/>
      <c r="B58" s="328"/>
      <c r="C58" s="330"/>
      <c r="D58" s="330"/>
      <c r="E58" s="330"/>
      <c r="F58" s="330"/>
      <c r="G58" s="330"/>
      <c r="H58" s="330"/>
      <c r="I58" s="330"/>
      <c r="J58" s="330"/>
      <c r="K58" s="329"/>
    </row>
    <row r="59" spans="1:11" x14ac:dyDescent="0.2">
      <c r="A59" s="327"/>
      <c r="B59" s="328"/>
      <c r="C59" s="330"/>
      <c r="D59" s="330"/>
      <c r="E59" s="330"/>
      <c r="F59" s="330"/>
      <c r="G59" s="330"/>
      <c r="H59" s="330"/>
      <c r="I59" s="330"/>
      <c r="J59" s="330"/>
      <c r="K59" s="329"/>
    </row>
    <row r="60" spans="1:11" x14ac:dyDescent="0.2">
      <c r="A60" s="330"/>
      <c r="B60" s="330"/>
      <c r="C60" s="330"/>
      <c r="D60" s="330"/>
      <c r="E60" s="330"/>
      <c r="F60" s="330"/>
      <c r="G60" s="330"/>
      <c r="H60" s="330"/>
      <c r="I60" s="330"/>
      <c r="J60" s="330"/>
      <c r="K60" s="329"/>
    </row>
    <row r="61" spans="1:11" x14ac:dyDescent="0.2">
      <c r="A61" s="330"/>
      <c r="B61" s="330"/>
      <c r="C61" s="330"/>
      <c r="D61" s="330"/>
      <c r="E61" s="330"/>
      <c r="F61" s="330"/>
      <c r="G61" s="330"/>
      <c r="H61" s="330"/>
      <c r="I61" s="330"/>
      <c r="J61" s="330"/>
      <c r="K61" s="329"/>
    </row>
    <row r="62" spans="1:11" x14ac:dyDescent="0.2">
      <c r="A62" s="330"/>
      <c r="B62" s="330"/>
      <c r="C62" s="330"/>
      <c r="D62" s="330"/>
      <c r="E62" s="330"/>
      <c r="F62" s="330"/>
      <c r="G62" s="330"/>
      <c r="H62" s="330"/>
      <c r="I62" s="330"/>
      <c r="J62" s="330"/>
      <c r="K62" s="329"/>
    </row>
    <row r="63" spans="1:11" x14ac:dyDescent="0.2">
      <c r="A63" s="330"/>
      <c r="B63" s="330"/>
      <c r="C63" s="330"/>
      <c r="D63" s="330"/>
      <c r="E63" s="330"/>
      <c r="F63" s="330"/>
      <c r="G63" s="330"/>
      <c r="H63" s="330"/>
      <c r="I63" s="330"/>
      <c r="J63" s="330"/>
      <c r="K63" s="329"/>
    </row>
    <row r="64" spans="1:11" x14ac:dyDescent="0.2">
      <c r="A64" s="330"/>
      <c r="B64" s="330"/>
      <c r="C64" s="330"/>
      <c r="D64" s="330"/>
      <c r="E64" s="330"/>
      <c r="F64" s="330"/>
      <c r="G64" s="330"/>
      <c r="H64" s="330"/>
      <c r="I64" s="330"/>
      <c r="J64" s="330"/>
      <c r="K64" s="329"/>
    </row>
    <row r="65" spans="1:11" x14ac:dyDescent="0.2">
      <c r="A65" s="330"/>
      <c r="B65" s="330"/>
      <c r="C65" s="330"/>
      <c r="D65" s="330"/>
      <c r="E65" s="330"/>
      <c r="F65" s="330"/>
      <c r="G65" s="330"/>
      <c r="H65" s="330"/>
      <c r="I65" s="330"/>
      <c r="J65" s="330"/>
      <c r="K65" s="329"/>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O127"/>
  <sheetViews>
    <sheetView topLeftCell="A2" workbookViewId="0">
      <selection activeCell="G2" sqref="G2"/>
    </sheetView>
  </sheetViews>
  <sheetFormatPr defaultRowHeight="11.25" outlineLevelRow="1" outlineLevelCol="1" x14ac:dyDescent="0.2"/>
  <cols>
    <col min="1" max="1" width="24.42578125" style="1" bestFit="1" customWidth="1"/>
    <col min="2" max="2" width="9" style="1" bestFit="1" customWidth="1"/>
    <col min="3" max="3" width="5.5703125" style="1" customWidth="1"/>
    <col min="4" max="4" width="13.140625" style="327" hidden="1" customWidth="1" outlineLevel="1"/>
    <col min="5" max="5" width="21.42578125" style="327" bestFit="1" customWidth="1" collapsed="1"/>
    <col min="6" max="6" width="9" style="327" bestFit="1" customWidth="1"/>
    <col min="7" max="7" width="8" style="327" bestFit="1" customWidth="1"/>
    <col min="8" max="9" width="17.28515625" style="327" bestFit="1" customWidth="1"/>
    <col min="10" max="10" width="13.28515625" style="328" customWidth="1"/>
    <col min="11" max="11" width="10" style="328" hidden="1" customWidth="1" outlineLevel="1"/>
    <col min="12" max="12" width="13.28515625" style="328" customWidth="1" collapsed="1"/>
    <col min="13" max="13" width="13.28515625" style="328" customWidth="1"/>
    <col min="14" max="14" width="13.140625" style="1" bestFit="1" customWidth="1"/>
    <col min="15" max="15" width="12" style="1" bestFit="1" customWidth="1"/>
    <col min="16" max="16384" width="9.140625" style="1"/>
  </cols>
  <sheetData>
    <row r="1" spans="1:15" ht="23.25" hidden="1" outlineLevel="1" thickBot="1" x14ac:dyDescent="0.25">
      <c r="D1" s="344" t="s">
        <v>151</v>
      </c>
      <c r="E1" s="342"/>
      <c r="F1" s="342"/>
      <c r="G1" s="342"/>
      <c r="H1" s="342"/>
      <c r="I1" s="343"/>
      <c r="J1" s="345" t="str">
        <f>"Composite "&amp;TraitsID</f>
        <v>Composite Discount</v>
      </c>
      <c r="K1" s="346"/>
      <c r="L1" s="346" t="str">
        <f>"First Curve "&amp;TraitsID</f>
        <v>First Curve Discount</v>
      </c>
      <c r="M1" s="346" t="str">
        <f>"Second Curve "&amp;TraitsID</f>
        <v>Second Curve Discount</v>
      </c>
    </row>
    <row r="2" spans="1:15" ht="24" customHeight="1" collapsed="1" thickBot="1" x14ac:dyDescent="0.25">
      <c r="A2" s="261" t="s">
        <v>10</v>
      </c>
      <c r="B2" s="262"/>
      <c r="D2" s="243" t="s">
        <v>9</v>
      </c>
      <c r="E2" s="17" t="s">
        <v>117</v>
      </c>
      <c r="F2" s="16" t="s">
        <v>8</v>
      </c>
      <c r="G2" s="16"/>
      <c r="H2" s="16" t="s">
        <v>7</v>
      </c>
      <c r="I2" s="15" t="s">
        <v>6</v>
      </c>
      <c r="J2" s="352">
        <f>_xll.qlYieldTSDiscount(YieldCurve,H3)</f>
        <v>1</v>
      </c>
      <c r="K2" s="353"/>
      <c r="L2" s="354">
        <f t="array" ref="L2:L55">_xll.qlPiecewiseYieldCurveData(YieldCurve1st)</f>
        <v>1</v>
      </c>
      <c r="M2" s="355">
        <f t="array" ref="M2:M55">_xll.qlPiecewiseYieldCurveData(YieldCurve2nd)</f>
        <v>1</v>
      </c>
      <c r="N2" s="347"/>
    </row>
    <row r="3" spans="1:15" x14ac:dyDescent="0.2">
      <c r="A3" s="14" t="s">
        <v>5</v>
      </c>
      <c r="B3" s="13">
        <v>8</v>
      </c>
      <c r="C3" s="57"/>
      <c r="D3" s="359" t="str">
        <f t="array" ref="D3:D55">_xll.qlRateHelperSelection(_xll.ohFilter(RateHelpers,RateHelpersIncluded),_xll.ohFilter(RateHelpersPriority,RateHelpersIncluded),nIMMFutures,nSerialFutures,FrontFuturesRollingDays,DepoInclusionCriteria,_xll.ohFilter(MinDistance,RateHelpersIncluded),Trigger)</f>
        <v>obj_0053d</v>
      </c>
      <c r="E3" s="359" t="str">
        <f>_xll.qlRateHelperQuoteName($D3)</f>
        <v>EUROND_Quote</v>
      </c>
      <c r="F3" s="360">
        <f>_xll.qlRateHelperRate($D3)</f>
        <v>-1E-3</v>
      </c>
      <c r="G3" s="360" t="str">
        <f>IF(ISERROR(_xll.qlSwapRateHelperSpread($D3)),IF(ISERROR(_xll.qlFuturesRateHelperConvexityAdjustment($D3)),"--",_xll.qlFuturesRateHelperConvexityAdjustment($D3)),_xll.qlSwapRateHelperSpread($D3))</f>
        <v>--</v>
      </c>
      <c r="H3" s="361">
        <f>_xll.qlRateHelperEarliestDate($D3)</f>
        <v>42152</v>
      </c>
      <c r="I3" s="362">
        <f>_xll.qlRateHelperLatestDate($D3)</f>
        <v>42153</v>
      </c>
      <c r="J3" s="348">
        <f t="array" ref="J3:J55">_xll.qlYieldTSDiscount(YieldCurve,_xll.ohPack(I3:I55))</f>
        <v>1.0000019444482253</v>
      </c>
      <c r="K3" s="341" t="str">
        <f t="array" ref="K3:K55">_xll.qlRateHelperSelection(_xll.ohFilter(RateHelpers1st,RateHelpersIncluded1st),_xll.ohFilter(RateHelpersPriority,RateHelpersIncluded1st),nIMMFutures,nSerialFutures,FrontFuturesRollingDays,DepoInclusionCriteria,_xll.ohFilter(MinDistance,RateHelpersIncluded1st),Trigger)</f>
        <v>obj_00838</v>
      </c>
      <c r="L3" s="340">
        <v>1.0000019444482253</v>
      </c>
      <c r="M3" s="356">
        <v>1.0000027777854938</v>
      </c>
      <c r="N3" s="347"/>
      <c r="O3" s="347"/>
    </row>
    <row r="4" spans="1:15" x14ac:dyDescent="0.2">
      <c r="A4" s="11" t="s">
        <v>4</v>
      </c>
      <c r="B4" s="12">
        <v>1</v>
      </c>
      <c r="C4" s="57"/>
      <c r="D4" s="10" t="str">
        <v>obj_00516</v>
      </c>
      <c r="E4" s="10" t="str">
        <f>_xll.qlRateHelperQuoteName($D4)</f>
        <v>EURTND_Quote</v>
      </c>
      <c r="F4" s="9">
        <f>_xll.qlRateHelperRate($D4)</f>
        <v>-7.000000000000001E-4</v>
      </c>
      <c r="G4" s="9" t="str">
        <f>IF(ISERROR(_xll.qlSwapRateHelperSpread($D4)),IF(ISERROR(_xll.qlFuturesRateHelperConvexityAdjustment($D4)),"--",_xll.qlFuturesRateHelperConvexityAdjustment($D4)),_xll.qlSwapRateHelperSpread($D4))</f>
        <v>--</v>
      </c>
      <c r="H4" s="8">
        <f>_xll.qlRateHelperEarliestDate($D4)</f>
        <v>42153</v>
      </c>
      <c r="I4" s="7">
        <f>_xll.qlRateHelperLatestDate($D4)</f>
        <v>42156</v>
      </c>
      <c r="J4" s="348">
        <v>1.0000082445901446</v>
      </c>
      <c r="K4" s="341" t="str">
        <v>obj_0084d</v>
      </c>
      <c r="L4" s="340">
        <v>1.0000352787908449</v>
      </c>
      <c r="M4" s="356">
        <v>1.0000123112146224</v>
      </c>
      <c r="N4" s="347"/>
      <c r="O4" s="347"/>
    </row>
    <row r="5" spans="1:15" x14ac:dyDescent="0.2">
      <c r="A5" s="11" t="s">
        <v>3</v>
      </c>
      <c r="B5" s="12">
        <v>2</v>
      </c>
      <c r="C5" s="57"/>
      <c r="D5" s="10" t="str">
        <v>obj_0051c</v>
      </c>
      <c r="E5" s="10" t="str">
        <f>_xll.qlRateHelperQuoteName($D5)</f>
        <v>EUREONSW_Quote</v>
      </c>
      <c r="F5" s="9">
        <f>_xll.qlRateHelperRate($D5)</f>
        <v>-1.2000000000000001E-3</v>
      </c>
      <c r="G5" s="9" t="str">
        <f>IF(ISERROR(_xll.qlSwapRateHelperSpread($D5)),IF(ISERROR(_xll.qlFuturesRateHelperConvexityAdjustment($D5)),"--",_xll.qlFuturesRateHelperConvexityAdjustment($D5)),_xll.qlSwapRateHelperSpread($D5))</f>
        <v>--</v>
      </c>
      <c r="H5" s="8">
        <f>_xll.qlRateHelperEarliestDate($D5)</f>
        <v>42156</v>
      </c>
      <c r="I5" s="7">
        <f>_xll.qlRateHelperLatestDate($D5)</f>
        <v>42163</v>
      </c>
      <c r="J5" s="348">
        <v>1.0000315786603133</v>
      </c>
      <c r="K5" s="341" t="str">
        <v>obj_0086d</v>
      </c>
      <c r="L5" s="340">
        <v>1.000057836177267</v>
      </c>
      <c r="M5" s="356">
        <v>1.0000356453797432</v>
      </c>
      <c r="N5" s="347"/>
      <c r="O5" s="347"/>
    </row>
    <row r="6" spans="1:15" ht="12" thickBot="1" x14ac:dyDescent="0.25">
      <c r="A6" s="132" t="s">
        <v>2</v>
      </c>
      <c r="B6" s="133" t="s">
        <v>1</v>
      </c>
      <c r="C6" s="57"/>
      <c r="D6" s="10" t="str">
        <v>obj_0051d</v>
      </c>
      <c r="E6" s="10" t="str">
        <f>_xll.qlRateHelperQuoteName($D6)</f>
        <v>EUREON2W_Quote</v>
      </c>
      <c r="F6" s="9">
        <f>_xll.qlRateHelperRate($D6)</f>
        <v>-1.1800000000000001E-3</v>
      </c>
      <c r="G6" s="9" t="str">
        <f>IF(ISERROR(_xll.qlSwapRateHelperSpread($D6)),IF(ISERROR(_xll.qlFuturesRateHelperConvexityAdjustment($D6)),"--",_xll.qlFuturesRateHelperConvexityAdjustment($D6)),_xll.qlSwapRateHelperSpread($D6))</f>
        <v>--</v>
      </c>
      <c r="H6" s="8">
        <f>_xll.qlRateHelperEarliestDate($D6)</f>
        <v>42156</v>
      </c>
      <c r="I6" s="7">
        <f>_xll.qlRateHelperLatestDate($D6)</f>
        <v>42170</v>
      </c>
      <c r="J6" s="348">
        <v>1.0000541359632731</v>
      </c>
      <c r="K6" s="341" t="str">
        <v>obj_0085e</v>
      </c>
      <c r="L6" s="340">
        <v>1.0000802001079971</v>
      </c>
      <c r="M6" s="356">
        <v>1.0000582027743719</v>
      </c>
      <c r="N6" s="347"/>
      <c r="O6" s="347"/>
    </row>
    <row r="7" spans="1:15" x14ac:dyDescent="0.2">
      <c r="C7" s="57"/>
      <c r="D7" s="10" t="str">
        <v>obj_0051f</v>
      </c>
      <c r="E7" s="10" t="str">
        <f>_xll.qlRateHelperQuoteName($D7)</f>
        <v>EUREON3W_Quote</v>
      </c>
      <c r="F7" s="9">
        <f>_xll.qlRateHelperRate($D7)</f>
        <v>-1.17E-3</v>
      </c>
      <c r="G7" s="9" t="str">
        <f>IF(ISERROR(_xll.qlSwapRateHelperSpread($D7)),IF(ISERROR(_xll.qlFuturesRateHelperConvexityAdjustment($D7)),"--",_xll.qlFuturesRateHelperConvexityAdjustment($D7)),_xll.qlSwapRateHelperSpread($D7))</f>
        <v>--</v>
      </c>
      <c r="H7" s="8">
        <f>_xll.qlRateHelperEarliestDate($D7)</f>
        <v>42156</v>
      </c>
      <c r="I7" s="7">
        <f>_xll.qlRateHelperLatestDate($D7)</f>
        <v>42177</v>
      </c>
      <c r="J7" s="348">
        <v>1.0000764998112568</v>
      </c>
      <c r="K7" s="341" t="str">
        <v>obj_00871</v>
      </c>
      <c r="L7" s="340">
        <v>1.0001912514373996</v>
      </c>
      <c r="M7" s="356">
        <v>1.0000805667133006</v>
      </c>
      <c r="N7" s="347"/>
      <c r="O7" s="347"/>
    </row>
    <row r="8" spans="1:15" x14ac:dyDescent="0.2">
      <c r="B8" s="236"/>
      <c r="C8" s="57"/>
      <c r="D8" s="10" t="str">
        <v>obj_00545</v>
      </c>
      <c r="E8" s="10" t="str">
        <f>_xll.qlRateHelperQuoteName($D8)</f>
        <v>EURECBOISJUN15_Quote</v>
      </c>
      <c r="F8" s="9">
        <f>_xll.qlRateHelperRate($D8)</f>
        <v>-1.23E-3</v>
      </c>
      <c r="G8" s="9" t="str">
        <f>IF(ISERROR(_xll.qlSwapRateHelperSpread($D8)),IF(ISERROR(_xll.qlFuturesRateHelperConvexityAdjustment($D8)),"--",_xll.qlFuturesRateHelperConvexityAdjustment($D8)),_xll.qlSwapRateHelperSpread($D8))</f>
        <v>--</v>
      </c>
      <c r="H8" s="8">
        <f>_xll.qlRateHelperEarliestDate($D8)</f>
        <v>42165</v>
      </c>
      <c r="I8" s="7">
        <f>_xll.qlRateHelperLatestDate($D8)</f>
        <v>42207</v>
      </c>
      <c r="J8" s="348">
        <v>1.000181549604465</v>
      </c>
      <c r="K8" s="341" t="str">
        <v>obj_00874</v>
      </c>
      <c r="L8" s="340">
        <v>1.0003659761585995</v>
      </c>
      <c r="M8" s="356">
        <v>1.0001917111362986</v>
      </c>
      <c r="N8" s="347"/>
      <c r="O8" s="347"/>
    </row>
    <row r="9" spans="1:15" x14ac:dyDescent="0.2">
      <c r="C9" s="57"/>
      <c r="D9" s="10" t="str">
        <v>obj_00540</v>
      </c>
      <c r="E9" s="10" t="str">
        <f>_xll.qlRateHelperQuoteName($D9)</f>
        <v>EURECBOISJUL15_Quote</v>
      </c>
      <c r="F9" s="9">
        <f>_xll.qlRateHelperRate($D9)</f>
        <v>-1.2700000000000001E-3</v>
      </c>
      <c r="G9" s="9" t="str">
        <f>IF(ISERROR(_xll.qlSwapRateHelperSpread($D9)),IF(ISERROR(_xll.qlFuturesRateHelperConvexityAdjustment($D9)),"--",_xll.qlFuturesRateHelperConvexityAdjustment($D9)),_xll.qlSwapRateHelperSpread($D9))</f>
        <v>--</v>
      </c>
      <c r="H9" s="8">
        <f>_xll.qlRateHelperEarliestDate($D9)</f>
        <v>42207</v>
      </c>
      <c r="I9" s="7">
        <f>_xll.qlRateHelperLatestDate($D9)</f>
        <v>42256</v>
      </c>
      <c r="J9" s="348">
        <v>1.0003544719899984</v>
      </c>
      <c r="K9" s="341" t="str">
        <v>obj_00873</v>
      </c>
      <c r="L9" s="340">
        <v>1.0005520670688666</v>
      </c>
      <c r="M9" s="356">
        <v>1.0003664359378037</v>
      </c>
      <c r="N9" s="347"/>
      <c r="O9" s="347"/>
    </row>
    <row r="10" spans="1:15" x14ac:dyDescent="0.2">
      <c r="C10" s="57"/>
      <c r="D10" s="10" t="str">
        <v>obj_0053f</v>
      </c>
      <c r="E10" s="10" t="str">
        <f>_xll.qlRateHelperQuoteName($D10)</f>
        <v>EURECBOISSEP15_Quote</v>
      </c>
      <c r="F10" s="9">
        <f>_xll.qlRateHelperRate($D10)</f>
        <v>-1.34E-3</v>
      </c>
      <c r="G10" s="9" t="str">
        <f>IF(ISERROR(_xll.qlSwapRateHelperSpread($D10)),IF(ISERROR(_xll.qlFuturesRateHelperConvexityAdjustment($D10)),"--",_xll.qlFuturesRateHelperConvexityAdjustment($D10)),_xll.qlSwapRateHelperSpread($D10))</f>
        <v>--</v>
      </c>
      <c r="H10" s="8">
        <f>_xll.qlRateHelperEarliestDate($D10)</f>
        <v>42256</v>
      </c>
      <c r="I10" s="7">
        <f>_xll.qlRateHelperLatestDate($D10)</f>
        <v>42305</v>
      </c>
      <c r="J10" s="348">
        <v>1.0005369588142088</v>
      </c>
      <c r="K10" s="341" t="str">
        <v>obj_00872</v>
      </c>
      <c r="L10" s="340">
        <v>1.0007408023372957</v>
      </c>
      <c r="M10" s="356">
        <v>1.0005525269336002</v>
      </c>
      <c r="N10" s="347"/>
      <c r="O10" s="347"/>
    </row>
    <row r="11" spans="1:15" x14ac:dyDescent="0.2">
      <c r="C11" s="57"/>
      <c r="D11" s="10" t="str">
        <v>obj_0053e</v>
      </c>
      <c r="E11" s="10" t="str">
        <f>_xll.qlRateHelperQuoteName($D11)</f>
        <v>EURECBOISOCT15_Quote</v>
      </c>
      <c r="F11" s="9">
        <f>_xll.qlRateHelperRate($D11)</f>
        <v>-1.3800000000000002E-3</v>
      </c>
      <c r="G11" s="9" t="str">
        <f>IF(ISERROR(_xll.qlSwapRateHelperSpread($D11)),IF(ISERROR(_xll.qlFuturesRateHelperConvexityAdjustment($D11)),"--",_xll.qlFuturesRateHelperConvexityAdjustment($D11)),_xll.qlSwapRateHelperSpread($D11))</f>
        <v>--</v>
      </c>
      <c r="H11" s="8">
        <f>_xll.qlRateHelperEarliestDate($D11)</f>
        <v>42305</v>
      </c>
      <c r="I11" s="7">
        <f>_xll.qlRateHelperLatestDate($D11)</f>
        <v>42347</v>
      </c>
      <c r="J11" s="348">
        <v>1.0006980712036726</v>
      </c>
      <c r="K11" s="341" t="str">
        <v>obj_00878</v>
      </c>
      <c r="L11" s="340">
        <v>1.0009264060194545</v>
      </c>
      <c r="M11" s="356">
        <v>1.0007412622887739</v>
      </c>
      <c r="N11" s="347"/>
      <c r="O11" s="347"/>
    </row>
    <row r="12" spans="1:15" x14ac:dyDescent="0.2">
      <c r="C12" s="57"/>
      <c r="D12" s="10" t="str">
        <v>obj_00544</v>
      </c>
      <c r="E12" s="10" t="str">
        <f>_xll.qlRateHelperQuoteName($D12)</f>
        <v>EURECBOISDEC15_Quote</v>
      </c>
      <c r="F12" s="9">
        <f>_xll.qlRateHelperRate($D12)</f>
        <v>-1.33E-3</v>
      </c>
      <c r="G12" s="9" t="str">
        <f>IF(ISERROR(_xll.qlSwapRateHelperSpread($D12)),IF(ISERROR(_xll.qlFuturesRateHelperConvexityAdjustment($D12)),"--",_xll.qlFuturesRateHelperConvexityAdjustment($D12)),_xll.qlSwapRateHelperSpread($D12))</f>
        <v>--</v>
      </c>
      <c r="H12" s="8">
        <f>_xll.qlRateHelperEarliestDate($D12)</f>
        <v>42347</v>
      </c>
      <c r="I12" s="7">
        <f>_xll.qlRateHelperLatestDate($D12)</f>
        <v>42395</v>
      </c>
      <c r="J12" s="348">
        <v>1.0008755598029444</v>
      </c>
      <c r="K12" s="341" t="str">
        <v>obj_00877</v>
      </c>
      <c r="L12" s="340">
        <v>1.0011242262493625</v>
      </c>
      <c r="M12" s="356">
        <v>1.0009268660562383</v>
      </c>
      <c r="N12" s="347"/>
      <c r="O12" s="347"/>
    </row>
    <row r="13" spans="1:15" x14ac:dyDescent="0.2">
      <c r="C13" s="57"/>
      <c r="D13" s="10" t="str">
        <v>obj_00541</v>
      </c>
      <c r="E13" s="10" t="str">
        <f>_xll.qlRateHelperQuoteName($D13)</f>
        <v>EURECBOISJAN16_Quote</v>
      </c>
      <c r="F13" s="9">
        <f>_xll.qlRateHelperRate($D13)</f>
        <v>-1.3500000000000001E-3</v>
      </c>
      <c r="G13" s="9" t="str">
        <f>IF(ISERROR(_xll.qlSwapRateHelperSpread($D13)),IF(ISERROR(_xll.qlFuturesRateHelperConvexityAdjustment($D13)),"--",_xll.qlFuturesRateHelperConvexityAdjustment($D13)),_xll.qlSwapRateHelperSpread($D13))</f>
        <v>--</v>
      </c>
      <c r="H13" s="8">
        <f>_xll.qlRateHelperEarliestDate($D13)</f>
        <v>42395</v>
      </c>
      <c r="I13" s="7">
        <f>_xll.qlRateHelperLatestDate($D13)</f>
        <v>42445</v>
      </c>
      <c r="J13" s="348">
        <v>1.0010632591640376</v>
      </c>
      <c r="K13" s="341" t="str">
        <v>obj_00876</v>
      </c>
      <c r="L13" s="340">
        <v>1.0012798908135174</v>
      </c>
      <c r="M13" s="356">
        <v>1.0011246863770666</v>
      </c>
      <c r="N13" s="347"/>
      <c r="O13" s="347"/>
    </row>
    <row r="14" spans="1:15" x14ac:dyDescent="0.2">
      <c r="C14" s="57"/>
      <c r="D14" s="10" t="str">
        <v>obj_00543</v>
      </c>
      <c r="E14" s="10" t="str">
        <f>_xll.qlRateHelperQuoteName($D14)</f>
        <v>EURECBOISMAR16_Quote</v>
      </c>
      <c r="F14" s="9">
        <f>_xll.qlRateHelperRate($D14)</f>
        <v>-1.2700000000000001E-3</v>
      </c>
      <c r="G14" s="9" t="str">
        <f>IF(ISERROR(_xll.qlSwapRateHelperSpread($D14)),IF(ISERROR(_xll.qlFuturesRateHelperConvexityAdjustment($D14)),"--",_xll.qlFuturesRateHelperConvexityAdjustment($D14)),_xll.qlSwapRateHelperSpread($D14))</f>
        <v>--</v>
      </c>
      <c r="H14" s="8">
        <f>_xll.qlRateHelperEarliestDate($D14)</f>
        <v>42445</v>
      </c>
      <c r="I14" s="7">
        <f>_xll.qlRateHelperLatestDate($D14)</f>
        <v>42487</v>
      </c>
      <c r="J14" s="348">
        <v>1.0012116053503612</v>
      </c>
      <c r="K14" s="341" t="str">
        <v>obj_00875</v>
      </c>
      <c r="L14" s="340">
        <v>1.0014399527290345</v>
      </c>
      <c r="M14" s="356">
        <v>1.0012803510126358</v>
      </c>
      <c r="N14" s="347"/>
      <c r="O14" s="347"/>
    </row>
    <row r="15" spans="1:15" x14ac:dyDescent="0.2">
      <c r="C15" s="57"/>
      <c r="D15" s="10" t="str">
        <v>obj_00542</v>
      </c>
      <c r="E15" s="10" t="str">
        <f>_xll.qlRateHelperQuoteName($D15)</f>
        <v>EURECBOISAPR16_Quote</v>
      </c>
      <c r="F15" s="9">
        <f>_xll.qlRateHelperRate($D15)</f>
        <v>-1.2800000000000001E-3</v>
      </c>
      <c r="G15" s="9" t="str">
        <f>IF(ISERROR(_xll.qlSwapRateHelperSpread($D15)),IF(ISERROR(_xll.qlFuturesRateHelperConvexityAdjustment($D15)),"--",_xll.qlFuturesRateHelperConvexityAdjustment($D15)),_xll.qlSwapRateHelperSpread($D15))</f>
        <v>--</v>
      </c>
      <c r="H15" s="8">
        <f>_xll.qlRateHelperEarliestDate($D15)</f>
        <v>42487</v>
      </c>
      <c r="I15" s="7">
        <f>_xll.qlRateHelperLatestDate($D15)</f>
        <v>42529</v>
      </c>
      <c r="J15" s="348">
        <v>1.0013611419475559</v>
      </c>
      <c r="K15" s="341" t="e">
        <v>#N/A</v>
      </c>
      <c r="L15" s="340" t="e">
        <v>#N/A</v>
      </c>
      <c r="M15" s="356">
        <v>1.001440413001722</v>
      </c>
      <c r="N15" s="347"/>
      <c r="O15" s="347"/>
    </row>
    <row r="16" spans="1:15" x14ac:dyDescent="0.2">
      <c r="C16" s="57"/>
      <c r="D16" s="10" t="str">
        <v>obj_0052c</v>
      </c>
      <c r="E16" s="10" t="str">
        <f>_xll.qlRateHelperQuoteName($D16)</f>
        <v>EUREON15M_Quote</v>
      </c>
      <c r="F16" s="9">
        <f>_xll.qlRateHelperRate($D16)</f>
        <v>-1.2900000000000001E-3</v>
      </c>
      <c r="G16" s="9" t="str">
        <f>IF(ISERROR(_xll.qlSwapRateHelperSpread($D16)),IF(ISERROR(_xll.qlFuturesRateHelperConvexityAdjustment($D16)),"--",_xll.qlFuturesRateHelperConvexityAdjustment($D16)),_xll.qlSwapRateHelperSpread($D16))</f>
        <v>--</v>
      </c>
      <c r="H16" s="8">
        <f>_xll.qlRateHelperEarliestDate($D16)</f>
        <v>42156</v>
      </c>
      <c r="I16" s="7">
        <f>_xll.qlRateHelperLatestDate($D16)</f>
        <v>42614</v>
      </c>
      <c r="J16" s="348">
        <v>1.0016515919436269</v>
      </c>
      <c r="K16" s="341" t="e">
        <v>#N/A</v>
      </c>
      <c r="L16" s="340" t="e">
        <v>#N/A</v>
      </c>
      <c r="M16" s="356">
        <v>1.0017308859907739</v>
      </c>
      <c r="N16" s="347"/>
      <c r="O16" s="347"/>
    </row>
    <row r="17" spans="3:14" x14ac:dyDescent="0.2">
      <c r="C17" s="57"/>
      <c r="D17" s="10" t="str">
        <v>obj_0051e</v>
      </c>
      <c r="E17" s="10" t="str">
        <f>_xll.qlRateHelperQuoteName($D17)</f>
        <v>EUREON18M_Quote</v>
      </c>
      <c r="F17" s="9">
        <f>_xll.qlRateHelperRate($D17)</f>
        <v>-1.2700000000000001E-3</v>
      </c>
      <c r="G17" s="9" t="str">
        <f>IF(ISERROR(_xll.qlSwapRateHelperSpread($D17)),IF(ISERROR(_xll.qlFuturesRateHelperConvexityAdjustment($D17)),"--",_xll.qlFuturesRateHelperConvexityAdjustment($D17)),_xll.qlSwapRateHelperSpread($D17))</f>
        <v>--</v>
      </c>
      <c r="H17" s="8">
        <f>_xll.qlRateHelperEarliestDate($D17)</f>
        <v>42156</v>
      </c>
      <c r="I17" s="7">
        <f>_xll.qlRateHelperLatestDate($D17)</f>
        <v>42705</v>
      </c>
      <c r="J17" s="348">
        <v>1.0019478446513532</v>
      </c>
      <c r="K17" s="341" t="e">
        <v>#N/A</v>
      </c>
      <c r="L17" s="340" t="e">
        <v>#N/A</v>
      </c>
      <c r="M17" s="356">
        <v>1.0020271621508425</v>
      </c>
      <c r="N17" s="347"/>
    </row>
    <row r="18" spans="3:14" x14ac:dyDescent="0.2">
      <c r="C18" s="57"/>
      <c r="D18" s="10" t="str">
        <v>obj_0052b</v>
      </c>
      <c r="E18" s="10" t="str">
        <f>_xll.qlRateHelperQuoteName($D18)</f>
        <v>EUREON21M_Quote</v>
      </c>
      <c r="F18" s="9">
        <f>_xll.qlRateHelperRate($D18)</f>
        <v>-1.23E-3</v>
      </c>
      <c r="G18" s="9" t="str">
        <f>IF(ISERROR(_xll.qlSwapRateHelperSpread($D18)),IF(ISERROR(_xll.qlFuturesRateHelperConvexityAdjustment($D18)),"--",_xll.qlFuturesRateHelperConvexityAdjustment($D18)),_xll.qlSwapRateHelperSpread($D18))</f>
        <v>--</v>
      </c>
      <c r="H18" s="8">
        <f>_xll.qlRateHelperEarliestDate($D18)</f>
        <v>42156</v>
      </c>
      <c r="I18" s="7">
        <f>_xll.qlRateHelperLatestDate($D18)</f>
        <v>42795</v>
      </c>
      <c r="J18" s="348">
        <v>1.0021950793196908</v>
      </c>
      <c r="K18" s="341" t="e">
        <v>#N/A</v>
      </c>
      <c r="L18" s="340" t="e">
        <v>#N/A</v>
      </c>
      <c r="M18" s="356">
        <v>1.0023050869267525</v>
      </c>
      <c r="N18" s="347"/>
    </row>
    <row r="19" spans="3:14" x14ac:dyDescent="0.2">
      <c r="C19" s="57"/>
      <c r="D19" s="10" t="str">
        <v>obj_00539</v>
      </c>
      <c r="E19" s="10" t="str">
        <f>_xll.qlRateHelperQuoteName($D19)</f>
        <v>EUREON2Y_Quote</v>
      </c>
      <c r="F19" s="9">
        <f>_xll.qlRateHelperRate($D19)</f>
        <v>-1.16E-3</v>
      </c>
      <c r="G19" s="9" t="str">
        <f>IF(ISERROR(_xll.qlSwapRateHelperSpread($D19)),IF(ISERROR(_xll.qlFuturesRateHelperConvexityAdjustment($D19)),"--",_xll.qlFuturesRateHelperConvexityAdjustment($D19)),_xll.qlSwapRateHelperSpread($D19))</f>
        <v>--</v>
      </c>
      <c r="H19" s="8">
        <f>_xll.qlRateHelperEarliestDate($D19)</f>
        <v>42156</v>
      </c>
      <c r="I19" s="7">
        <f>_xll.qlRateHelperLatestDate($D19)</f>
        <v>42887</v>
      </c>
      <c r="J19" s="348">
        <v>1.0023679551434741</v>
      </c>
      <c r="K19" s="341" t="e">
        <v>#N/A</v>
      </c>
      <c r="L19" s="340" t="e">
        <v>#N/A</v>
      </c>
      <c r="M19" s="356">
        <v>1.0024779817265379</v>
      </c>
      <c r="N19" s="347"/>
    </row>
    <row r="20" spans="3:14" x14ac:dyDescent="0.2">
      <c r="C20" s="57"/>
      <c r="D20" s="10" t="str">
        <v>obj_00531</v>
      </c>
      <c r="E20" s="10" t="str">
        <f>_xll.qlRateHelperQuoteName($D20)</f>
        <v>EUREON3Y_Quote</v>
      </c>
      <c r="F20" s="9">
        <f>_xll.qlRateHelperRate($D20)</f>
        <v>-6.9000000000000008E-4</v>
      </c>
      <c r="G20" s="9" t="str">
        <f>IF(ISERROR(_xll.qlSwapRateHelperSpread($D20)),IF(ISERROR(_xll.qlFuturesRateHelperConvexityAdjustment($D20)),"--",_xll.qlFuturesRateHelperConvexityAdjustment($D20)),_xll.qlSwapRateHelperSpread($D20))</f>
        <v>--</v>
      </c>
      <c r="H20" s="8">
        <f>_xll.qlRateHelperEarliestDate($D20)</f>
        <v>42156</v>
      </c>
      <c r="I20" s="7">
        <f>_xll.qlRateHelperLatestDate($D20)</f>
        <v>43252</v>
      </c>
      <c r="J20" s="348">
        <v>1.0021128893038185</v>
      </c>
      <c r="K20" s="341" t="e">
        <v>#N/A</v>
      </c>
      <c r="L20" s="340" t="e">
        <v>#N/A</v>
      </c>
      <c r="M20" s="356">
        <v>1.0022228878891566</v>
      </c>
      <c r="N20" s="347"/>
    </row>
    <row r="21" spans="3:14" x14ac:dyDescent="0.2">
      <c r="C21" s="57"/>
      <c r="D21" s="10" t="str">
        <v>obj_0053a</v>
      </c>
      <c r="E21" s="10" t="str">
        <f>_xll.qlRateHelperQuoteName($D21)</f>
        <v>EUREON4Y_Quote</v>
      </c>
      <c r="F21" s="9">
        <f>_xll.qlRateHelperRate($D21)</f>
        <v>1.6000000000000001E-4</v>
      </c>
      <c r="G21" s="9" t="str">
        <f>IF(ISERROR(_xll.qlSwapRateHelperSpread($D21)),IF(ISERROR(_xll.qlFuturesRateHelperConvexityAdjustment($D21)),"--",_xll.qlFuturesRateHelperConvexityAdjustment($D21)),_xll.qlSwapRateHelperSpread($D21))</f>
        <v>--</v>
      </c>
      <c r="H21" s="8">
        <f>_xll.qlRateHelperEarliestDate($D21)</f>
        <v>42156</v>
      </c>
      <c r="I21" s="7">
        <f>_xll.qlRateHelperLatestDate($D21)</f>
        <v>43619</v>
      </c>
      <c r="J21" s="348">
        <v>0.99935709017959073</v>
      </c>
      <c r="K21" s="341" t="e">
        <v>#N/A</v>
      </c>
      <c r="L21" s="340" t="e">
        <v>#N/A</v>
      </c>
      <c r="M21" s="356">
        <v>0.99946678627006202</v>
      </c>
      <c r="N21" s="347"/>
    </row>
    <row r="22" spans="3:14" x14ac:dyDescent="0.2">
      <c r="C22" s="57"/>
      <c r="D22" s="10" t="str">
        <v>obj_00528</v>
      </c>
      <c r="E22" s="10" t="str">
        <f>_xll.qlRateHelperQuoteName($D22)</f>
        <v>EUREON5Y_Quote</v>
      </c>
      <c r="F22" s="9">
        <f>_xll.qlRateHelperRate($D22)</f>
        <v>1.1899999999999999E-3</v>
      </c>
      <c r="G22" s="9" t="str">
        <f>IF(ISERROR(_xll.qlSwapRateHelperSpread($D22)),IF(ISERROR(_xll.qlFuturesRateHelperConvexityAdjustment($D22)),"--",_xll.qlFuturesRateHelperConvexityAdjustment($D22)),_xll.qlSwapRateHelperSpread($D22))</f>
        <v>--</v>
      </c>
      <c r="H22" s="8">
        <f>_xll.qlRateHelperEarliestDate($D22)</f>
        <v>42156</v>
      </c>
      <c r="I22" s="7">
        <f>_xll.qlRateHelperLatestDate($D22)</f>
        <v>43983</v>
      </c>
      <c r="J22" s="348">
        <v>0.99396991588411798</v>
      </c>
      <c r="K22" s="341" t="e">
        <v>#N/A</v>
      </c>
      <c r="L22" s="340" t="e">
        <v>#N/A</v>
      </c>
      <c r="M22" s="356">
        <v>0.99407902064245712</v>
      </c>
      <c r="N22" s="347"/>
    </row>
    <row r="23" spans="3:14" x14ac:dyDescent="0.2">
      <c r="C23" s="57"/>
      <c r="D23" s="10" t="str">
        <v>obj_0083d</v>
      </c>
      <c r="E23" s="10" t="str">
        <f>_xll.qlRateHelperQuoteName($D23)</f>
        <v>EUREON6Y_Quote</v>
      </c>
      <c r="F23" s="9">
        <f>_xll.qlRateHelperRate($D23)</f>
        <v>2.33E-3</v>
      </c>
      <c r="G23" s="9" t="str">
        <f>IF(ISERROR(_xll.qlSwapRateHelperSpread($D23)),IF(ISERROR(_xll.qlFuturesRateHelperConvexityAdjustment($D23)),"--",_xll.qlFuturesRateHelperConvexityAdjustment($D23)),_xll.qlSwapRateHelperSpread($D23))</f>
        <v>--</v>
      </c>
      <c r="H23" s="8">
        <f>_xll.qlRateHelperEarliestDate($D23)</f>
        <v>42156</v>
      </c>
      <c r="I23" s="7">
        <f>_xll.qlRateHelperLatestDate($D23)</f>
        <v>44348</v>
      </c>
      <c r="J23" s="348">
        <v>0.98585643868298045</v>
      </c>
      <c r="K23" s="341" t="e">
        <v>#N/A</v>
      </c>
      <c r="L23" s="340" t="e">
        <v>#N/A</v>
      </c>
      <c r="M23" s="356">
        <v>0.98596465285202195</v>
      </c>
    </row>
    <row r="24" spans="3:14" x14ac:dyDescent="0.2">
      <c r="C24" s="57"/>
      <c r="D24" s="10" t="str">
        <v>obj_00841</v>
      </c>
      <c r="E24" s="10" t="str">
        <f>_xll.qlRateHelperQuoteName($D24)</f>
        <v>EUREON7Y_Quote</v>
      </c>
      <c r="F24" s="9">
        <f>_xll.qlRateHelperRate($D24)</f>
        <v>3.4799999999999996E-3</v>
      </c>
      <c r="G24" s="9" t="str">
        <f>IF(ISERROR(_xll.qlSwapRateHelperSpread($D24)),IF(ISERROR(_xll.qlFuturesRateHelperConvexityAdjustment($D24)),"--",_xll.qlFuturesRateHelperConvexityAdjustment($D24)),_xll.qlSwapRateHelperSpread($D24))</f>
        <v>--</v>
      </c>
      <c r="H24" s="8">
        <f>_xll.qlRateHelperEarliestDate($D24)</f>
        <v>42156</v>
      </c>
      <c r="I24" s="7">
        <f>_xll.qlRateHelperLatestDate($D24)</f>
        <v>44713</v>
      </c>
      <c r="J24" s="348">
        <v>0.97543004535136557</v>
      </c>
      <c r="K24" s="341" t="e">
        <v>#N/A</v>
      </c>
      <c r="L24" s="340" t="e">
        <v>#N/A</v>
      </c>
      <c r="M24" s="356">
        <v>0.9755371150500296</v>
      </c>
    </row>
    <row r="25" spans="3:14" x14ac:dyDescent="0.2">
      <c r="C25" s="57"/>
      <c r="D25" s="10" t="str">
        <v>obj_0083c</v>
      </c>
      <c r="E25" s="10" t="str">
        <f>_xll.qlRateHelperQuoteName($D25)</f>
        <v>EUREON8Y_Quote</v>
      </c>
      <c r="F25" s="9">
        <f>_xll.qlRateHelperRate($D25)</f>
        <v>4.5699999999999994E-3</v>
      </c>
      <c r="G25" s="9" t="str">
        <f>IF(ISERROR(_xll.qlSwapRateHelperSpread($D25)),IF(ISERROR(_xll.qlFuturesRateHelperConvexityAdjustment($D25)),"--",_xll.qlFuturesRateHelperConvexityAdjustment($D25)),_xll.qlSwapRateHelperSpread($D25))</f>
        <v>--</v>
      </c>
      <c r="H25" s="8">
        <f>_xll.qlRateHelperEarliestDate($D25)</f>
        <v>42156</v>
      </c>
      <c r="I25" s="7">
        <f>_xll.qlRateHelperLatestDate($D25)</f>
        <v>45078</v>
      </c>
      <c r="J25" s="348">
        <v>0.96326845285736484</v>
      </c>
      <c r="K25" s="341" t="e">
        <v>#N/A</v>
      </c>
      <c r="L25" s="340" t="e">
        <v>#N/A</v>
      </c>
      <c r="M25" s="356">
        <v>0.96337418761863403</v>
      </c>
    </row>
    <row r="26" spans="3:14" x14ac:dyDescent="0.2">
      <c r="C26" s="57"/>
      <c r="D26" s="10" t="str">
        <v>obj_00844</v>
      </c>
      <c r="E26" s="10" t="str">
        <f>_xll.qlRateHelperQuoteName($D26)</f>
        <v>EUREON9Y_Quote</v>
      </c>
      <c r="F26" s="9">
        <f>_xll.qlRateHelperRate($D26)</f>
        <v>5.5499999999999994E-3</v>
      </c>
      <c r="G26" s="9" t="str">
        <f>IF(ISERROR(_xll.qlSwapRateHelperSpread($D26)),IF(ISERROR(_xll.qlFuturesRateHelperConvexityAdjustment($D26)),"--",_xll.qlFuturesRateHelperConvexityAdjustment($D26)),_xll.qlSwapRateHelperSpread($D26))</f>
        <v>--</v>
      </c>
      <c r="H26" s="8">
        <f>_xll.qlRateHelperEarliestDate($D26)</f>
        <v>42156</v>
      </c>
      <c r="I26" s="7">
        <f>_xll.qlRateHelperLatestDate($D26)</f>
        <v>45446</v>
      </c>
      <c r="J26" s="348">
        <v>0.95000024982300846</v>
      </c>
      <c r="K26" s="341" t="e">
        <v>#N/A</v>
      </c>
      <c r="L26" s="340" t="e">
        <v>#N/A</v>
      </c>
      <c r="M26" s="356">
        <v>0.95010452817793922</v>
      </c>
    </row>
    <row r="27" spans="3:14" x14ac:dyDescent="0.2">
      <c r="C27" s="57"/>
      <c r="D27" s="10" t="str">
        <v>obj_0083f</v>
      </c>
      <c r="E27" s="10" t="str">
        <f>_xll.qlRateHelperQuoteName($D27)</f>
        <v>EUREON10Y_Quote</v>
      </c>
      <c r="F27" s="9">
        <f>_xll.qlRateHelperRate($D27)</f>
        <v>6.4200000000000004E-3</v>
      </c>
      <c r="G27" s="9" t="str">
        <f>IF(ISERROR(_xll.qlSwapRateHelperSpread($D27)),IF(ISERROR(_xll.qlFuturesRateHelperConvexityAdjustment($D27)),"--",_xll.qlFuturesRateHelperConvexityAdjustment($D27)),_xll.qlSwapRateHelperSpread($D27))</f>
        <v>--</v>
      </c>
      <c r="H27" s="8">
        <f>_xll.qlRateHelperEarliestDate($D27)</f>
        <v>42156</v>
      </c>
      <c r="I27" s="7">
        <f>_xll.qlRateHelperLatestDate($D27)</f>
        <v>45810</v>
      </c>
      <c r="J27" s="348">
        <v>0.93608473529036129</v>
      </c>
      <c r="K27" s="341" t="e">
        <v>#N/A</v>
      </c>
      <c r="L27" s="340" t="e">
        <v>#N/A</v>
      </c>
      <c r="M27" s="356">
        <v>0.93618748618573222</v>
      </c>
    </row>
    <row r="28" spans="3:14" x14ac:dyDescent="0.2">
      <c r="C28" s="57"/>
      <c r="D28" s="10" t="str">
        <v>obj_0083b</v>
      </c>
      <c r="E28" s="10" t="str">
        <f>_xll.qlRateHelperQuoteName($D28)</f>
        <v>EUREON11Y_Quote</v>
      </c>
      <c r="F28" s="9">
        <f>_xll.qlRateHelperRate($D28)</f>
        <v>7.2199999999999999E-3</v>
      </c>
      <c r="G28" s="9" t="str">
        <f>IF(ISERROR(_xll.qlSwapRateHelperSpread($D28)),IF(ISERROR(_xll.qlFuturesRateHelperConvexityAdjustment($D28)),"--",_xll.qlFuturesRateHelperConvexityAdjustment($D28)),_xll.qlSwapRateHelperSpread($D28))</f>
        <v>--</v>
      </c>
      <c r="H28" s="8">
        <f>_xll.qlRateHelperEarliestDate($D28)</f>
        <v>42156</v>
      </c>
      <c r="I28" s="7">
        <f>_xll.qlRateHelperLatestDate($D28)</f>
        <v>46174</v>
      </c>
      <c r="J28" s="348">
        <v>0.92139282815391721</v>
      </c>
      <c r="K28" s="341" t="e">
        <v>#N/A</v>
      </c>
      <c r="L28" s="340" t="e">
        <v>#N/A</v>
      </c>
      <c r="M28" s="356">
        <v>0.92149396636770486</v>
      </c>
    </row>
    <row r="29" spans="3:14" x14ac:dyDescent="0.2">
      <c r="C29" s="57"/>
      <c r="D29" s="10" t="str">
        <v>obj_00847</v>
      </c>
      <c r="E29" s="10" t="str">
        <f>_xll.qlRateHelperQuoteName($D29)</f>
        <v>EUREON12Y_Quote</v>
      </c>
      <c r="F29" s="9">
        <f>_xll.qlRateHelperRate($D29)</f>
        <v>7.9000000000000008E-3</v>
      </c>
      <c r="G29" s="9" t="str">
        <f>IF(ISERROR(_xll.qlSwapRateHelperSpread($D29)),IF(ISERROR(_xll.qlFuturesRateHelperConvexityAdjustment($D29)),"--",_xll.qlFuturesRateHelperConvexityAdjustment($D29)),_xll.qlSwapRateHelperSpread($D29))</f>
        <v>--</v>
      </c>
      <c r="H29" s="8">
        <f>_xll.qlRateHelperEarliestDate($D29)</f>
        <v>42156</v>
      </c>
      <c r="I29" s="7">
        <f>_xll.qlRateHelperLatestDate($D29)</f>
        <v>46539</v>
      </c>
      <c r="J29" s="348">
        <v>0.90672599154570599</v>
      </c>
      <c r="K29" s="341" t="e">
        <v>#N/A</v>
      </c>
      <c r="L29" s="340" t="e">
        <v>#N/A</v>
      </c>
      <c r="M29" s="356">
        <v>0.90682551982981852</v>
      </c>
    </row>
    <row r="30" spans="3:14" x14ac:dyDescent="0.2">
      <c r="C30" s="57"/>
      <c r="D30" s="10" t="str">
        <v>obj_00842</v>
      </c>
      <c r="E30" s="10" t="str">
        <f>_xll.qlRateHelperQuoteName($D30)</f>
        <v>EUREON15Y_Quote</v>
      </c>
      <c r="F30" s="9">
        <f>_xll.qlRateHelperRate($D30)</f>
        <v>9.4500000000000001E-3</v>
      </c>
      <c r="G30" s="9" t="str">
        <f>IF(ISERROR(_xll.qlSwapRateHelperSpread($D30)),IF(ISERROR(_xll.qlFuturesRateHelperConvexityAdjustment($D30)),"--",_xll.qlFuturesRateHelperConvexityAdjustment($D30)),_xll.qlSwapRateHelperSpread($D30))</f>
        <v>--</v>
      </c>
      <c r="H30" s="8">
        <f>_xll.qlRateHelperEarliestDate($D30)</f>
        <v>42156</v>
      </c>
      <c r="I30" s="7">
        <f>_xll.qlRateHelperLatestDate($D30)</f>
        <v>47637</v>
      </c>
      <c r="J30" s="348">
        <v>0.86313030759052789</v>
      </c>
      <c r="K30" s="341" t="e">
        <v>#N/A</v>
      </c>
      <c r="L30" s="340" t="e">
        <v>#N/A</v>
      </c>
      <c r="M30" s="356">
        <v>0.86322505052199894</v>
      </c>
    </row>
    <row r="31" spans="3:14" x14ac:dyDescent="0.2">
      <c r="C31" s="57"/>
      <c r="D31" s="10" t="str">
        <v>obj_00846</v>
      </c>
      <c r="E31" s="10" t="str">
        <f>_xll.qlRateHelperQuoteName($D31)</f>
        <v>EUREON20Y_Quote</v>
      </c>
      <c r="F31" s="9">
        <f>_xll.qlRateHelperRate($D31)</f>
        <v>1.0840000000000001E-2</v>
      </c>
      <c r="G31" s="9" t="str">
        <f>IF(ISERROR(_xll.qlSwapRateHelperSpread($D31)),IF(ISERROR(_xll.qlFuturesRateHelperConvexityAdjustment($D31)),"--",_xll.qlFuturesRateHelperConvexityAdjustment($D31)),_xll.qlSwapRateHelperSpread($D31))</f>
        <v>--</v>
      </c>
      <c r="H31" s="8">
        <f>_xll.qlRateHelperEarliestDate($D31)</f>
        <v>42156</v>
      </c>
      <c r="I31" s="7">
        <f>_xll.qlRateHelperLatestDate($D31)</f>
        <v>49461</v>
      </c>
      <c r="J31" s="339">
        <v>0.79779778561223391</v>
      </c>
      <c r="K31" s="341" t="e">
        <v>#N/A</v>
      </c>
      <c r="L31" s="340" t="e">
        <v>#N/A</v>
      </c>
      <c r="M31" s="356">
        <v>0.79788535721094311</v>
      </c>
    </row>
    <row r="32" spans="3:14" x14ac:dyDescent="0.2">
      <c r="C32" s="57"/>
      <c r="D32" s="10" t="str">
        <v>obj_00845</v>
      </c>
      <c r="E32" s="10" t="str">
        <f>_xll.qlRateHelperQuoteName($D32)</f>
        <v>EUREON25Y_Quote</v>
      </c>
      <c r="F32" s="9">
        <f>_xll.qlRateHelperRate($D32)</f>
        <v>1.1339999999999999E-2</v>
      </c>
      <c r="G32" s="9" t="str">
        <f>IF(ISERROR(_xll.qlSwapRateHelperSpread($D32)),IF(ISERROR(_xll.qlFuturesRateHelperConvexityAdjustment($D32)),"--",_xll.qlFuturesRateHelperConvexityAdjustment($D32)),_xll.qlSwapRateHelperSpread($D32))</f>
        <v>--</v>
      </c>
      <c r="H32" s="8">
        <f>_xll.qlRateHelperEarliestDate($D32)</f>
        <v>42156</v>
      </c>
      <c r="I32" s="7">
        <f>_xll.qlRateHelperLatestDate($D32)</f>
        <v>51288</v>
      </c>
      <c r="J32" s="339">
        <v>0.74443974678483715</v>
      </c>
      <c r="K32" s="328" t="e">
        <v>#N/A</v>
      </c>
      <c r="L32" s="328" t="e">
        <v>#N/A</v>
      </c>
      <c r="M32" s="357">
        <v>0.74452146144981157</v>
      </c>
    </row>
    <row r="33" spans="3:13" x14ac:dyDescent="0.2">
      <c r="C33" s="57"/>
      <c r="D33" s="10" t="str">
        <v>obj_00840</v>
      </c>
      <c r="E33" s="10" t="str">
        <f>_xll.qlRateHelperQuoteName($D33)</f>
        <v>EUREON30Y_Quote</v>
      </c>
      <c r="F33" s="9">
        <f>_xll.qlRateHelperRate($D33)</f>
        <v>1.1650000000000001E-2</v>
      </c>
      <c r="G33" s="9" t="str">
        <f>IF(ISERROR(_xll.qlSwapRateHelperSpread($D33)),IF(ISERROR(_xll.qlFuturesRateHelperConvexityAdjustment($D33)),"--",_xll.qlFuturesRateHelperConvexityAdjustment($D33)),_xll.qlSwapRateHelperSpread($D33))</f>
        <v>--</v>
      </c>
      <c r="H33" s="8">
        <f>_xll.qlRateHelperEarliestDate($D33)</f>
        <v>42156</v>
      </c>
      <c r="I33" s="7">
        <f>_xll.qlRateHelperLatestDate($D33)</f>
        <v>53114</v>
      </c>
      <c r="J33" s="348">
        <v>0.69521315739941925</v>
      </c>
      <c r="K33" s="328" t="e">
        <v>#N/A</v>
      </c>
      <c r="L33" s="328" t="e">
        <v>#N/A</v>
      </c>
      <c r="M33" s="357">
        <v>0.69528946862606722</v>
      </c>
    </row>
    <row r="34" spans="3:13" x14ac:dyDescent="0.2">
      <c r="C34" s="57"/>
      <c r="D34" s="10" t="str">
        <v>obj_00843</v>
      </c>
      <c r="E34" s="10" t="str">
        <f>_xll.qlRateHelperQuoteName($D34)</f>
        <v>EUREON40Y_Quote</v>
      </c>
      <c r="F34" s="9">
        <f>_xll.qlRateHelperRate($D34)</f>
        <v>1.205E-2</v>
      </c>
      <c r="G34" s="9" t="str">
        <f>IF(ISERROR(_xll.qlSwapRateHelperSpread($D34)),IF(ISERROR(_xll.qlFuturesRateHelperConvexityAdjustment($D34)),"--",_xll.qlFuturesRateHelperConvexityAdjustment($D34)),_xll.qlSwapRateHelperSpread($D34))</f>
        <v>--</v>
      </c>
      <c r="H34" s="8">
        <f>_xll.qlRateHelperEarliestDate($D34)</f>
        <v>42156</v>
      </c>
      <c r="I34" s="7">
        <f>_xll.qlRateHelperLatestDate($D34)</f>
        <v>56766</v>
      </c>
      <c r="J34" s="348">
        <v>0.60603318759255531</v>
      </c>
      <c r="K34" s="113" t="e">
        <v>#N/A</v>
      </c>
      <c r="L34" s="113" t="e">
        <v>#N/A</v>
      </c>
      <c r="M34" s="268">
        <v>0.606099709831731</v>
      </c>
    </row>
    <row r="35" spans="3:13" x14ac:dyDescent="0.2">
      <c r="C35" s="57"/>
      <c r="D35" s="10" t="str">
        <v>obj_0083e</v>
      </c>
      <c r="E35" s="10" t="str">
        <f>_xll.qlRateHelperQuoteName($D35)</f>
        <v>EUREON50Y_Quote</v>
      </c>
      <c r="F35" s="9">
        <f>_xll.qlRateHelperRate($D35)</f>
        <v>1.175E-2</v>
      </c>
      <c r="G35" s="9" t="str">
        <f>IF(ISERROR(_xll.qlSwapRateHelperSpread($D35)),IF(ISERROR(_xll.qlFuturesRateHelperConvexityAdjustment($D35)),"--",_xll.qlFuturesRateHelperConvexityAdjustment($D35)),_xll.qlSwapRateHelperSpread($D35))</f>
        <v>--</v>
      </c>
      <c r="H35" s="8">
        <f>_xll.qlRateHelperEarliestDate($D35)</f>
        <v>42156</v>
      </c>
      <c r="I35" s="7">
        <f>_xll.qlRateHelperLatestDate($D35)</f>
        <v>60419</v>
      </c>
      <c r="J35" s="348">
        <v>0.54756319045285906</v>
      </c>
      <c r="K35" s="113" t="e">
        <v>#N/A</v>
      </c>
      <c r="L35" s="113" t="e">
        <v>#N/A</v>
      </c>
      <c r="M35" s="268">
        <v>0.54762329463570714</v>
      </c>
    </row>
    <row r="36" spans="3:13" x14ac:dyDescent="0.2">
      <c r="C36" s="57"/>
      <c r="D36" s="10" t="str">
        <v>obj_0083a</v>
      </c>
      <c r="E36" s="10" t="str">
        <f>_xll.qlRateHelperQuoteName($D36)</f>
        <v>EUREON60Y_Quote</v>
      </c>
      <c r="F36" s="9">
        <f>_xll.qlRateHelperRate($D36)</f>
        <v>1.1720000000000001E-2</v>
      </c>
      <c r="G36" s="9" t="str">
        <f>IF(ISERROR(_xll.qlSwapRateHelperSpread($D36)),IF(ISERROR(_xll.qlFuturesRateHelperConvexityAdjustment($D36)),"--",_xll.qlFuturesRateHelperConvexityAdjustment($D36)),_xll.qlSwapRateHelperSpread($D36))</f>
        <v>--</v>
      </c>
      <c r="H36" s="8">
        <f>_xll.qlRateHelperEarliestDate($D36)</f>
        <v>42156</v>
      </c>
      <c r="I36" s="7">
        <f>_xll.qlRateHelperLatestDate($D36)</f>
        <v>64073</v>
      </c>
      <c r="J36" s="348">
        <v>0.48748022052289375</v>
      </c>
      <c r="K36" s="113" t="e">
        <v>#N/A</v>
      </c>
      <c r="L36" s="113" t="e">
        <v>#N/A</v>
      </c>
      <c r="M36" s="268">
        <v>0.48753372959877755</v>
      </c>
    </row>
    <row r="37" spans="3:13" x14ac:dyDescent="0.2">
      <c r="C37" s="57"/>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348" t="e">
        <v>#N/A</v>
      </c>
      <c r="K37" s="113" t="e">
        <v>#N/A</v>
      </c>
      <c r="L37" s="113" t="e">
        <v>#N/A</v>
      </c>
      <c r="M37" s="268" t="e">
        <v>#N/A</v>
      </c>
    </row>
    <row r="38" spans="3:13" x14ac:dyDescent="0.2">
      <c r="C38" s="57"/>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348" t="e">
        <v>#N/A</v>
      </c>
      <c r="K38" s="113" t="e">
        <v>#N/A</v>
      </c>
      <c r="L38" s="113" t="e">
        <v>#N/A</v>
      </c>
      <c r="M38" s="268" t="e">
        <v>#N/A</v>
      </c>
    </row>
    <row r="39" spans="3:13"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348" t="e">
        <v>#N/A</v>
      </c>
      <c r="K39" s="113" t="e">
        <v>#N/A</v>
      </c>
      <c r="L39" s="113" t="e">
        <v>#N/A</v>
      </c>
      <c r="M39" s="268" t="e">
        <v>#N/A</v>
      </c>
    </row>
    <row r="40" spans="3:13"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348" t="e">
        <v>#N/A</v>
      </c>
      <c r="K40" s="113" t="e">
        <v>#N/A</v>
      </c>
      <c r="L40" s="113" t="e">
        <v>#N/A</v>
      </c>
      <c r="M40" s="268" t="e">
        <v>#N/A</v>
      </c>
    </row>
    <row r="41" spans="3:13"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348" t="e">
        <v>#N/A</v>
      </c>
      <c r="K41" s="113" t="e">
        <v>#N/A</v>
      </c>
      <c r="L41" s="113" t="e">
        <v>#N/A</v>
      </c>
      <c r="M41" s="268" t="e">
        <v>#N/A</v>
      </c>
    </row>
    <row r="42" spans="3:13"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348" t="e">
        <v>#N/A</v>
      </c>
      <c r="K42" s="113" t="e">
        <v>#N/A</v>
      </c>
      <c r="L42" s="113" t="e">
        <v>#N/A</v>
      </c>
      <c r="M42" s="268" t="e">
        <v>#N/A</v>
      </c>
    </row>
    <row r="43" spans="3:13"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348" t="e">
        <v>#N/A</v>
      </c>
      <c r="K43" s="113" t="e">
        <v>#N/A</v>
      </c>
      <c r="L43" s="113" t="e">
        <v>#N/A</v>
      </c>
      <c r="M43" s="268" t="e">
        <v>#N/A</v>
      </c>
    </row>
    <row r="44" spans="3:13"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348" t="e">
        <v>#N/A</v>
      </c>
      <c r="K44" s="113" t="e">
        <v>#N/A</v>
      </c>
      <c r="L44" s="113" t="e">
        <v>#N/A</v>
      </c>
      <c r="M44" s="268" t="e">
        <v>#N/A</v>
      </c>
    </row>
    <row r="45" spans="3:13"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348" t="e">
        <v>#N/A</v>
      </c>
      <c r="K45" s="113" t="e">
        <v>#N/A</v>
      </c>
      <c r="L45" s="113" t="e">
        <v>#N/A</v>
      </c>
      <c r="M45" s="268" t="e">
        <v>#N/A</v>
      </c>
    </row>
    <row r="46" spans="3:13"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348" t="e">
        <v>#N/A</v>
      </c>
      <c r="K46" s="113" t="e">
        <v>#N/A</v>
      </c>
      <c r="L46" s="113" t="e">
        <v>#N/A</v>
      </c>
      <c r="M46" s="268" t="e">
        <v>#N/A</v>
      </c>
    </row>
    <row r="47" spans="3:13"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348" t="e">
        <v>#N/A</v>
      </c>
      <c r="K47" s="113" t="e">
        <v>#N/A</v>
      </c>
      <c r="L47" s="113" t="e">
        <v>#N/A</v>
      </c>
      <c r="M47" s="268" t="e">
        <v>#N/A</v>
      </c>
    </row>
    <row r="48" spans="3:13"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348" t="e">
        <v>#N/A</v>
      </c>
      <c r="K48" s="113" t="e">
        <v>#N/A</v>
      </c>
      <c r="L48" s="113" t="e">
        <v>#N/A</v>
      </c>
      <c r="M48" s="268" t="e">
        <v>#N/A</v>
      </c>
    </row>
    <row r="49" spans="3:13"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348" t="e">
        <v>#N/A</v>
      </c>
      <c r="K49" s="113" t="e">
        <v>#N/A</v>
      </c>
      <c r="L49" s="113" t="e">
        <v>#N/A</v>
      </c>
      <c r="M49" s="268" t="e">
        <v>#N/A</v>
      </c>
    </row>
    <row r="50" spans="3:13"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348" t="e">
        <v>#N/A</v>
      </c>
      <c r="K50" s="113" t="e">
        <v>#N/A</v>
      </c>
      <c r="L50" s="113" t="e">
        <v>#N/A</v>
      </c>
      <c r="M50" s="268" t="e">
        <v>#N/A</v>
      </c>
    </row>
    <row r="51" spans="3:13"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348" t="e">
        <v>#N/A</v>
      </c>
      <c r="K51" s="113" t="e">
        <v>#N/A</v>
      </c>
      <c r="L51" s="113" t="e">
        <v>#N/A</v>
      </c>
      <c r="M51" s="268" t="e">
        <v>#N/A</v>
      </c>
    </row>
    <row r="52" spans="3:13"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348" t="e">
        <v>#N/A</v>
      </c>
      <c r="K52" s="113" t="e">
        <v>#N/A</v>
      </c>
      <c r="L52" s="113" t="e">
        <v>#N/A</v>
      </c>
      <c r="M52" s="268" t="e">
        <v>#N/A</v>
      </c>
    </row>
    <row r="53" spans="3:13"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348" t="e">
        <v>#N/A</v>
      </c>
      <c r="K53" s="113" t="e">
        <v>#N/A</v>
      </c>
      <c r="L53" s="113" t="e">
        <v>#N/A</v>
      </c>
      <c r="M53" s="268" t="e">
        <v>#N/A</v>
      </c>
    </row>
    <row r="54" spans="3:13"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348" t="e">
        <v>#N/A</v>
      </c>
      <c r="K54" s="113" t="e">
        <v>#N/A</v>
      </c>
      <c r="L54" s="113" t="e">
        <v>#N/A</v>
      </c>
      <c r="M54" s="268" t="e">
        <v>#N/A</v>
      </c>
    </row>
    <row r="55" spans="3:13" ht="12" thickBot="1" x14ac:dyDescent="0.25">
      <c r="D55" s="6" t="e">
        <v>#N/A</v>
      </c>
      <c r="E55" s="6" t="e">
        <f>_xll.qlRateHelperQuoteName($D55)</f>
        <v>#VALUE!</v>
      </c>
      <c r="F55" s="5" t="e">
        <f>_xll.qlRateHelperRate($D55)</f>
        <v>#VALUE!</v>
      </c>
      <c r="G55" s="5" t="str">
        <f>IF(ISERROR(_xll.qlSwapRateHelperSpread($D55)),IF(ISERROR(_xll.qlFuturesRateHelperConvexityAdjustment($D55)),"--",_xll.qlFuturesRateHelperConvexityAdjustment($D55)),_xll.qlSwapRateHelperSpread($D55))</f>
        <v>--</v>
      </c>
      <c r="H55" s="4" t="e">
        <f>_xll.qlRateHelperEarliestDate($D55)</f>
        <v>#VALUE!</v>
      </c>
      <c r="I55" s="3" t="e">
        <f>_xll.qlRateHelperLatestDate($D55)</f>
        <v>#VALUE!</v>
      </c>
      <c r="J55" s="358" t="e">
        <v>#N/A</v>
      </c>
      <c r="K55" s="120" t="e">
        <v>#N/A</v>
      </c>
      <c r="L55" s="120" t="e">
        <v>#N/A</v>
      </c>
      <c r="M55" s="269" t="e">
        <v>#N/A</v>
      </c>
    </row>
    <row r="56" spans="3:13" x14ac:dyDescent="0.2">
      <c r="C56" s="328"/>
      <c r="D56" s="341"/>
      <c r="E56" s="341"/>
      <c r="F56" s="350"/>
      <c r="G56" s="350"/>
      <c r="H56" s="351"/>
      <c r="I56" s="351"/>
      <c r="M56" s="340"/>
    </row>
    <row r="57" spans="3:13" x14ac:dyDescent="0.2">
      <c r="C57" s="328"/>
      <c r="D57" s="341"/>
      <c r="E57" s="341"/>
      <c r="F57" s="350"/>
      <c r="G57" s="350"/>
      <c r="H57" s="351"/>
      <c r="I57" s="351"/>
      <c r="M57" s="340"/>
    </row>
    <row r="58" spans="3:13" x14ac:dyDescent="0.2">
      <c r="C58" s="328"/>
      <c r="D58" s="341"/>
      <c r="E58" s="341"/>
      <c r="F58" s="350"/>
      <c r="G58" s="350"/>
      <c r="H58" s="351"/>
      <c r="I58" s="351"/>
      <c r="M58" s="340"/>
    </row>
    <row r="59" spans="3:13" x14ac:dyDescent="0.2">
      <c r="C59" s="328"/>
      <c r="D59" s="341"/>
      <c r="E59" s="341"/>
      <c r="F59" s="350"/>
      <c r="G59" s="350"/>
      <c r="H59" s="351"/>
      <c r="I59" s="351"/>
      <c r="M59" s="340"/>
    </row>
    <row r="60" spans="3:13" x14ac:dyDescent="0.2">
      <c r="C60" s="328"/>
      <c r="D60" s="341"/>
      <c r="E60" s="341"/>
      <c r="F60" s="350"/>
      <c r="G60" s="350"/>
      <c r="H60" s="351"/>
      <c r="I60" s="351"/>
      <c r="M60" s="340"/>
    </row>
    <row r="61" spans="3:13" x14ac:dyDescent="0.2">
      <c r="C61" s="328"/>
      <c r="D61" s="341"/>
      <c r="E61" s="341"/>
      <c r="F61" s="350"/>
      <c r="G61" s="350"/>
      <c r="H61" s="351"/>
      <c r="I61" s="351"/>
      <c r="M61" s="340"/>
    </row>
    <row r="62" spans="3:13" x14ac:dyDescent="0.2">
      <c r="C62" s="328"/>
      <c r="D62" s="341"/>
      <c r="E62" s="341"/>
      <c r="F62" s="350"/>
      <c r="G62" s="350"/>
      <c r="H62" s="351"/>
      <c r="I62" s="351"/>
      <c r="M62" s="340"/>
    </row>
    <row r="63" spans="3:13" x14ac:dyDescent="0.2">
      <c r="C63" s="328"/>
      <c r="D63" s="341"/>
      <c r="E63" s="341"/>
      <c r="F63" s="350"/>
      <c r="G63" s="350"/>
      <c r="H63" s="351"/>
      <c r="I63" s="351"/>
      <c r="M63" s="340"/>
    </row>
    <row r="64" spans="3:13" x14ac:dyDescent="0.2">
      <c r="C64" s="328"/>
      <c r="D64" s="341"/>
      <c r="E64" s="341"/>
      <c r="F64" s="350"/>
      <c r="G64" s="350"/>
      <c r="H64" s="351"/>
      <c r="I64" s="351"/>
      <c r="M64" s="340"/>
    </row>
    <row r="65" spans="3:13" x14ac:dyDescent="0.2">
      <c r="C65" s="328"/>
      <c r="D65" s="341"/>
      <c r="E65" s="341"/>
      <c r="F65" s="350"/>
      <c r="G65" s="350"/>
      <c r="H65" s="351"/>
      <c r="I65" s="351"/>
      <c r="M65" s="340"/>
    </row>
    <row r="66" spans="3:13" x14ac:dyDescent="0.2">
      <c r="C66" s="328"/>
      <c r="D66" s="341"/>
      <c r="E66" s="341"/>
      <c r="F66" s="350"/>
      <c r="G66" s="350"/>
      <c r="H66" s="351"/>
      <c r="I66" s="351"/>
      <c r="M66" s="340"/>
    </row>
    <row r="67" spans="3:13" x14ac:dyDescent="0.2">
      <c r="C67" s="328"/>
      <c r="D67" s="341"/>
      <c r="E67" s="341"/>
      <c r="F67" s="350"/>
      <c r="G67" s="350"/>
      <c r="H67" s="351"/>
      <c r="I67" s="351"/>
      <c r="M67" s="340"/>
    </row>
    <row r="68" spans="3:13" x14ac:dyDescent="0.2">
      <c r="C68" s="328"/>
      <c r="D68" s="341"/>
      <c r="E68" s="341"/>
      <c r="F68" s="350"/>
      <c r="G68" s="350"/>
      <c r="H68" s="351"/>
      <c r="I68" s="351"/>
      <c r="M68" s="340"/>
    </row>
    <row r="69" spans="3:13" x14ac:dyDescent="0.2">
      <c r="C69" s="328"/>
      <c r="D69" s="341"/>
      <c r="E69" s="341"/>
      <c r="F69" s="350"/>
      <c r="G69" s="350"/>
      <c r="H69" s="351"/>
      <c r="I69" s="351"/>
      <c r="M69" s="340"/>
    </row>
    <row r="70" spans="3:13" x14ac:dyDescent="0.2">
      <c r="C70" s="328"/>
      <c r="D70" s="341"/>
      <c r="E70" s="341"/>
      <c r="F70" s="350"/>
      <c r="G70" s="350"/>
      <c r="H70" s="351"/>
      <c r="I70" s="351"/>
      <c r="M70" s="340"/>
    </row>
    <row r="71" spans="3:13" x14ac:dyDescent="0.2">
      <c r="C71" s="328"/>
      <c r="D71" s="341"/>
      <c r="E71" s="341"/>
      <c r="F71" s="350"/>
      <c r="G71" s="350"/>
      <c r="H71" s="351"/>
      <c r="I71" s="351"/>
      <c r="M71" s="340"/>
    </row>
    <row r="72" spans="3:13" x14ac:dyDescent="0.2">
      <c r="C72" s="328"/>
      <c r="D72" s="341"/>
      <c r="E72" s="341"/>
      <c r="F72" s="350"/>
      <c r="G72" s="350"/>
      <c r="H72" s="351"/>
      <c r="I72" s="351"/>
      <c r="M72" s="340"/>
    </row>
    <row r="73" spans="3:13" x14ac:dyDescent="0.2">
      <c r="C73" s="328"/>
      <c r="D73" s="341"/>
      <c r="E73" s="341"/>
      <c r="F73" s="350"/>
      <c r="G73" s="350"/>
      <c r="H73" s="351"/>
      <c r="I73" s="351"/>
      <c r="M73" s="340"/>
    </row>
    <row r="74" spans="3:13" x14ac:dyDescent="0.2">
      <c r="C74" s="328"/>
      <c r="D74" s="341"/>
      <c r="E74" s="341"/>
      <c r="F74" s="350"/>
      <c r="G74" s="350"/>
      <c r="H74" s="351"/>
      <c r="I74" s="351"/>
      <c r="M74" s="340"/>
    </row>
    <row r="75" spans="3:13" x14ac:dyDescent="0.2">
      <c r="C75" s="328"/>
      <c r="D75" s="341"/>
      <c r="E75" s="341"/>
      <c r="F75" s="350"/>
      <c r="G75" s="350"/>
      <c r="H75" s="351"/>
      <c r="I75" s="351"/>
      <c r="M75" s="340"/>
    </row>
    <row r="76" spans="3:13" x14ac:dyDescent="0.2">
      <c r="C76" s="328"/>
      <c r="D76" s="341"/>
      <c r="E76" s="341"/>
      <c r="F76" s="350"/>
      <c r="G76" s="350"/>
      <c r="H76" s="351"/>
      <c r="I76" s="351"/>
      <c r="M76" s="340"/>
    </row>
    <row r="77" spans="3:13" x14ac:dyDescent="0.2">
      <c r="C77" s="328"/>
      <c r="D77" s="341"/>
      <c r="E77" s="341"/>
      <c r="F77" s="350"/>
      <c r="G77" s="350"/>
      <c r="H77" s="351"/>
      <c r="I77" s="351"/>
      <c r="M77" s="340"/>
    </row>
    <row r="78" spans="3:13" x14ac:dyDescent="0.2">
      <c r="C78" s="328"/>
      <c r="D78" s="341"/>
      <c r="E78" s="341"/>
      <c r="F78" s="350"/>
      <c r="G78" s="350"/>
      <c r="H78" s="351"/>
      <c r="I78" s="351"/>
      <c r="M78" s="340"/>
    </row>
    <row r="79" spans="3:13" x14ac:dyDescent="0.2">
      <c r="C79" s="328"/>
      <c r="D79" s="341"/>
      <c r="E79" s="341"/>
      <c r="F79" s="350"/>
      <c r="G79" s="350"/>
      <c r="H79" s="351"/>
      <c r="I79" s="351"/>
      <c r="M79" s="340"/>
    </row>
    <row r="80" spans="3:13" x14ac:dyDescent="0.2">
      <c r="C80" s="328"/>
      <c r="D80" s="341"/>
      <c r="E80" s="341"/>
      <c r="F80" s="350"/>
      <c r="G80" s="350"/>
      <c r="H80" s="351"/>
      <c r="I80" s="351"/>
      <c r="M80" s="340"/>
    </row>
    <row r="81" spans="3:13" x14ac:dyDescent="0.2">
      <c r="C81" s="328"/>
      <c r="D81" s="341"/>
      <c r="E81" s="341"/>
      <c r="F81" s="350"/>
      <c r="G81" s="350"/>
      <c r="H81" s="351"/>
      <c r="I81" s="351"/>
      <c r="M81" s="340"/>
    </row>
    <row r="82" spans="3:13" x14ac:dyDescent="0.2">
      <c r="C82" s="328"/>
      <c r="D82" s="341"/>
      <c r="E82" s="341"/>
      <c r="F82" s="350"/>
      <c r="G82" s="350"/>
      <c r="H82" s="351"/>
      <c r="I82" s="351"/>
      <c r="M82" s="340"/>
    </row>
    <row r="83" spans="3:13" x14ac:dyDescent="0.2">
      <c r="C83" s="328"/>
      <c r="D83" s="341"/>
      <c r="E83" s="341"/>
      <c r="F83" s="350"/>
      <c r="G83" s="350"/>
      <c r="H83" s="351"/>
      <c r="I83" s="351"/>
      <c r="M83" s="340"/>
    </row>
    <row r="84" spans="3:13" x14ac:dyDescent="0.2">
      <c r="C84" s="328"/>
      <c r="D84" s="341"/>
      <c r="E84" s="341"/>
      <c r="F84" s="350"/>
      <c r="G84" s="350"/>
      <c r="H84" s="351"/>
      <c r="I84" s="351"/>
      <c r="M84" s="340"/>
    </row>
    <row r="85" spans="3:13" x14ac:dyDescent="0.2">
      <c r="C85" s="328"/>
      <c r="D85" s="341"/>
      <c r="E85" s="341"/>
      <c r="F85" s="350"/>
      <c r="G85" s="350"/>
      <c r="H85" s="351"/>
      <c r="I85" s="351"/>
      <c r="M85" s="340"/>
    </row>
    <row r="86" spans="3:13" x14ac:dyDescent="0.2">
      <c r="C86" s="328"/>
      <c r="D86" s="341"/>
      <c r="E86" s="341"/>
      <c r="F86" s="350"/>
      <c r="G86" s="350"/>
      <c r="H86" s="351"/>
      <c r="I86" s="351"/>
      <c r="M86" s="340"/>
    </row>
    <row r="87" spans="3:13" x14ac:dyDescent="0.2">
      <c r="C87" s="328"/>
      <c r="D87" s="341"/>
      <c r="E87" s="341"/>
      <c r="F87" s="350"/>
      <c r="G87" s="350"/>
      <c r="H87" s="351"/>
      <c r="I87" s="351"/>
      <c r="M87" s="340"/>
    </row>
    <row r="88" spans="3:13" x14ac:dyDescent="0.2">
      <c r="C88" s="328"/>
      <c r="D88" s="341"/>
      <c r="E88" s="341"/>
      <c r="F88" s="350"/>
      <c r="G88" s="350"/>
      <c r="H88" s="351"/>
      <c r="I88" s="351"/>
      <c r="M88" s="340"/>
    </row>
    <row r="89" spans="3:13" x14ac:dyDescent="0.2">
      <c r="C89" s="328"/>
      <c r="D89" s="341"/>
      <c r="E89" s="341"/>
      <c r="F89" s="350"/>
      <c r="G89" s="350"/>
      <c r="H89" s="351"/>
      <c r="I89" s="351"/>
      <c r="M89" s="340"/>
    </row>
    <row r="90" spans="3:13" x14ac:dyDescent="0.2">
      <c r="C90" s="328"/>
      <c r="D90" s="341"/>
      <c r="E90" s="341"/>
      <c r="F90" s="350"/>
      <c r="G90" s="350"/>
      <c r="H90" s="351"/>
      <c r="I90" s="351"/>
      <c r="M90" s="340"/>
    </row>
    <row r="91" spans="3:13" x14ac:dyDescent="0.2">
      <c r="C91" s="328"/>
      <c r="D91" s="341"/>
      <c r="E91" s="341"/>
      <c r="F91" s="350"/>
      <c r="G91" s="350"/>
      <c r="H91" s="351"/>
      <c r="I91" s="351"/>
      <c r="M91" s="340"/>
    </row>
    <row r="92" spans="3:13" x14ac:dyDescent="0.2">
      <c r="C92" s="328"/>
      <c r="D92" s="341"/>
      <c r="E92" s="341"/>
      <c r="F92" s="350"/>
      <c r="G92" s="350"/>
      <c r="H92" s="351"/>
      <c r="I92" s="351"/>
      <c r="M92" s="340"/>
    </row>
    <row r="93" spans="3:13" x14ac:dyDescent="0.2">
      <c r="C93" s="328"/>
      <c r="D93" s="341"/>
      <c r="E93" s="341"/>
      <c r="F93" s="350"/>
      <c r="G93" s="350"/>
      <c r="H93" s="351"/>
      <c r="I93" s="351"/>
      <c r="M93" s="340"/>
    </row>
    <row r="94" spans="3:13" x14ac:dyDescent="0.2">
      <c r="C94" s="328"/>
      <c r="D94" s="341"/>
      <c r="E94" s="341"/>
      <c r="F94" s="350"/>
      <c r="G94" s="350"/>
      <c r="H94" s="351"/>
      <c r="I94" s="351"/>
      <c r="M94" s="340"/>
    </row>
    <row r="95" spans="3:13" x14ac:dyDescent="0.2">
      <c r="C95" s="328"/>
      <c r="D95" s="341"/>
      <c r="E95" s="341"/>
      <c r="F95" s="350"/>
      <c r="G95" s="350"/>
      <c r="H95" s="351"/>
      <c r="I95" s="351"/>
      <c r="M95" s="340"/>
    </row>
    <row r="96" spans="3:13" x14ac:dyDescent="0.2">
      <c r="C96" s="328"/>
      <c r="D96" s="341"/>
      <c r="E96" s="341"/>
      <c r="F96" s="350"/>
      <c r="G96" s="350"/>
      <c r="H96" s="351"/>
      <c r="I96" s="351"/>
    </row>
    <row r="97" spans="3:9" x14ac:dyDescent="0.2">
      <c r="C97" s="328"/>
      <c r="E97" s="341"/>
      <c r="F97" s="350"/>
      <c r="G97" s="350"/>
      <c r="H97" s="351"/>
      <c r="I97" s="351"/>
    </row>
    <row r="98" spans="3:9" x14ac:dyDescent="0.2">
      <c r="C98" s="328"/>
      <c r="E98" s="341"/>
      <c r="F98" s="350"/>
      <c r="G98" s="350"/>
      <c r="H98" s="351"/>
      <c r="I98" s="351"/>
    </row>
    <row r="99" spans="3:9" x14ac:dyDescent="0.2">
      <c r="C99" s="328"/>
      <c r="E99" s="341"/>
      <c r="F99" s="350"/>
      <c r="G99" s="350"/>
      <c r="H99" s="351"/>
      <c r="I99" s="351"/>
    </row>
    <row r="100" spans="3:9" x14ac:dyDescent="0.2">
      <c r="C100" s="328"/>
      <c r="E100" s="341"/>
      <c r="F100" s="350"/>
      <c r="G100" s="350"/>
      <c r="H100" s="351"/>
      <c r="I100" s="351"/>
    </row>
    <row r="101" spans="3:9" x14ac:dyDescent="0.2">
      <c r="C101" s="328"/>
      <c r="E101" s="341"/>
      <c r="F101" s="350"/>
      <c r="G101" s="350"/>
      <c r="H101" s="351"/>
      <c r="I101" s="351"/>
    </row>
    <row r="102" spans="3:9" x14ac:dyDescent="0.2">
      <c r="C102" s="328"/>
      <c r="E102" s="341"/>
      <c r="F102" s="350"/>
      <c r="G102" s="350"/>
      <c r="H102" s="351"/>
      <c r="I102" s="351"/>
    </row>
    <row r="103" spans="3:9" x14ac:dyDescent="0.2">
      <c r="C103" s="328"/>
      <c r="E103" s="341"/>
      <c r="F103" s="350"/>
      <c r="G103" s="350"/>
      <c r="H103" s="351"/>
      <c r="I103" s="351"/>
    </row>
    <row r="104" spans="3:9" x14ac:dyDescent="0.2">
      <c r="C104" s="328"/>
      <c r="E104" s="341"/>
      <c r="F104" s="350"/>
      <c r="G104" s="350"/>
      <c r="H104" s="351"/>
      <c r="I104" s="351"/>
    </row>
    <row r="105" spans="3:9" x14ac:dyDescent="0.2">
      <c r="C105" s="328"/>
      <c r="E105" s="341"/>
      <c r="F105" s="350"/>
      <c r="G105" s="350"/>
      <c r="H105" s="351"/>
      <c r="I105" s="351"/>
    </row>
    <row r="106" spans="3:9" x14ac:dyDescent="0.2">
      <c r="C106" s="328"/>
      <c r="E106" s="341"/>
      <c r="F106" s="350"/>
      <c r="G106" s="350"/>
      <c r="H106" s="351"/>
      <c r="I106" s="351"/>
    </row>
    <row r="107" spans="3:9" x14ac:dyDescent="0.2">
      <c r="C107" s="328"/>
      <c r="E107" s="341"/>
      <c r="F107" s="350"/>
      <c r="G107" s="350"/>
      <c r="H107" s="351"/>
      <c r="I107" s="351"/>
    </row>
    <row r="108" spans="3:9" x14ac:dyDescent="0.2">
      <c r="C108" s="328"/>
      <c r="E108" s="341"/>
      <c r="F108" s="350"/>
      <c r="G108" s="350"/>
      <c r="H108" s="351"/>
      <c r="I108" s="351"/>
    </row>
    <row r="109" spans="3:9" x14ac:dyDescent="0.2">
      <c r="C109" s="328"/>
      <c r="E109" s="341"/>
      <c r="F109" s="350"/>
      <c r="G109" s="350"/>
      <c r="H109" s="351"/>
      <c r="I109" s="351"/>
    </row>
    <row r="110" spans="3:9" x14ac:dyDescent="0.2">
      <c r="C110" s="328"/>
      <c r="E110" s="341"/>
      <c r="F110" s="350"/>
      <c r="G110" s="350"/>
      <c r="H110" s="351"/>
      <c r="I110" s="351"/>
    </row>
    <row r="111" spans="3:9" x14ac:dyDescent="0.2">
      <c r="C111" s="328"/>
      <c r="E111" s="341"/>
      <c r="F111" s="350"/>
      <c r="G111" s="350"/>
      <c r="H111" s="351"/>
      <c r="I111" s="351"/>
    </row>
    <row r="112" spans="3:9" x14ac:dyDescent="0.2">
      <c r="C112" s="328"/>
      <c r="E112" s="341"/>
      <c r="F112" s="350"/>
      <c r="G112" s="350"/>
      <c r="H112" s="351"/>
      <c r="I112" s="351"/>
    </row>
    <row r="113" spans="3:9" x14ac:dyDescent="0.2">
      <c r="C113" s="328"/>
      <c r="E113" s="341"/>
      <c r="F113" s="350"/>
      <c r="G113" s="350"/>
      <c r="H113" s="351"/>
      <c r="I113" s="351"/>
    </row>
    <row r="114" spans="3:9" x14ac:dyDescent="0.2">
      <c r="C114" s="328"/>
      <c r="E114" s="341"/>
      <c r="F114" s="350"/>
      <c r="G114" s="350"/>
      <c r="H114" s="351"/>
      <c r="I114" s="351"/>
    </row>
    <row r="115" spans="3:9" x14ac:dyDescent="0.2">
      <c r="C115" s="328"/>
      <c r="E115" s="341"/>
      <c r="F115" s="350"/>
      <c r="G115" s="350"/>
      <c r="H115" s="351"/>
      <c r="I115" s="351"/>
    </row>
    <row r="116" spans="3:9" x14ac:dyDescent="0.2">
      <c r="C116" s="328"/>
      <c r="E116" s="341"/>
      <c r="F116" s="350"/>
      <c r="G116" s="350"/>
      <c r="H116" s="351"/>
      <c r="I116" s="351"/>
    </row>
    <row r="117" spans="3:9" x14ac:dyDescent="0.2">
      <c r="C117" s="328"/>
      <c r="E117" s="341"/>
      <c r="F117" s="350"/>
      <c r="G117" s="350"/>
      <c r="H117" s="351"/>
      <c r="I117" s="351"/>
    </row>
    <row r="118" spans="3:9" x14ac:dyDescent="0.2">
      <c r="C118" s="328"/>
      <c r="E118" s="341"/>
      <c r="F118" s="350"/>
      <c r="G118" s="350"/>
      <c r="H118" s="351"/>
      <c r="I118" s="351"/>
    </row>
    <row r="119" spans="3:9" x14ac:dyDescent="0.2">
      <c r="E119" s="341"/>
      <c r="F119" s="350"/>
      <c r="G119" s="350"/>
      <c r="H119" s="351"/>
      <c r="I119" s="351"/>
    </row>
    <row r="120" spans="3:9" x14ac:dyDescent="0.2">
      <c r="E120" s="341"/>
      <c r="F120" s="350"/>
      <c r="G120" s="350"/>
      <c r="H120" s="351"/>
      <c r="I120" s="351"/>
    </row>
    <row r="121" spans="3:9" x14ac:dyDescent="0.2">
      <c r="E121" s="341"/>
      <c r="F121" s="350"/>
      <c r="G121" s="350"/>
      <c r="H121" s="351"/>
      <c r="I121" s="351"/>
    </row>
    <row r="122" spans="3:9" x14ac:dyDescent="0.2">
      <c r="E122" s="341"/>
      <c r="F122" s="350"/>
      <c r="G122" s="350"/>
      <c r="H122" s="351"/>
      <c r="I122" s="351"/>
    </row>
    <row r="123" spans="3:9" x14ac:dyDescent="0.2">
      <c r="E123" s="341"/>
      <c r="F123" s="350"/>
      <c r="G123" s="350"/>
      <c r="H123" s="351"/>
      <c r="I123" s="351"/>
    </row>
    <row r="124" spans="3:9" x14ac:dyDescent="0.2">
      <c r="E124" s="341"/>
      <c r="F124" s="350"/>
      <c r="G124" s="350"/>
      <c r="H124" s="351"/>
      <c r="I124" s="351"/>
    </row>
    <row r="125" spans="3:9" x14ac:dyDescent="0.2">
      <c r="E125" s="341"/>
      <c r="F125" s="350"/>
      <c r="G125" s="350"/>
      <c r="H125" s="351"/>
      <c r="I125" s="351"/>
    </row>
    <row r="126" spans="3:9" x14ac:dyDescent="0.2">
      <c r="E126" s="341"/>
      <c r="F126" s="350"/>
      <c r="G126" s="350"/>
      <c r="H126" s="351"/>
      <c r="I126" s="351"/>
    </row>
    <row r="127" spans="3:9" x14ac:dyDescent="0.2">
      <c r="E127" s="341"/>
      <c r="F127" s="350"/>
      <c r="G127" s="350"/>
      <c r="H127" s="351"/>
      <c r="I127" s="351"/>
    </row>
  </sheetData>
  <mergeCells count="1">
    <mergeCell ref="A2:B2"/>
  </mergeCells>
  <dataValidations disablePrompts="1" count="1">
    <dataValidation type="list" allowBlank="1" showInputMessage="1" showErrorMessage="1" sqref="B6 B65542 B131078 B196614 B262150 B327686 B393222 B458758 B524294 B589830 B655366 B720902 B786438 B851974 B917510 B983046">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6"/>
  <sheetViews>
    <sheetView workbookViewId="0">
      <selection activeCell="H2" sqref="H2"/>
    </sheetView>
  </sheetViews>
  <sheetFormatPr defaultRowHeight="13.5" x14ac:dyDescent="0.25"/>
  <cols>
    <col min="1" max="1" width="2.7109375" style="250" customWidth="1"/>
    <col min="2" max="2" width="5.7109375" style="250" customWidth="1"/>
    <col min="3" max="3" width="4.140625" style="250" bestFit="1" customWidth="1"/>
    <col min="4" max="4" width="10" style="250" bestFit="1" customWidth="1"/>
    <col min="5" max="5" width="13.140625" style="250" bestFit="1" customWidth="1"/>
    <col min="6" max="6" width="15.140625" style="250" bestFit="1" customWidth="1"/>
    <col min="7" max="8" width="17.28515625" style="250" customWidth="1"/>
    <col min="9" max="9" width="20.7109375" style="250" customWidth="1"/>
    <col min="10" max="10" width="2.7109375" style="250" customWidth="1"/>
    <col min="11" max="16384" width="9.140625" style="250"/>
  </cols>
  <sheetData>
    <row r="1" spans="1:10" x14ac:dyDescent="0.25">
      <c r="A1" s="313"/>
      <c r="B1" s="314"/>
      <c r="C1" s="314"/>
      <c r="D1" s="315" t="s">
        <v>69</v>
      </c>
      <c r="E1" s="316"/>
      <c r="F1" s="315" t="str">
        <f>Currency&amp;"_YC"&amp;$D$1&amp;"RH"</f>
        <v>EUR_YCONRH</v>
      </c>
      <c r="G1" s="315"/>
      <c r="H1" s="317" t="str">
        <f>$F$1&amp;"_Deposits.xml"</f>
        <v>EUR_YCONRH_Deposits.xml</v>
      </c>
      <c r="I1" s="314"/>
      <c r="J1" s="277"/>
    </row>
    <row r="2" spans="1:10" ht="25.5" customHeight="1" x14ac:dyDescent="0.25">
      <c r="A2" s="60"/>
      <c r="B2" s="251" t="s">
        <v>146</v>
      </c>
      <c r="C2" s="251"/>
      <c r="D2" s="251" t="s">
        <v>77</v>
      </c>
      <c r="E2" s="251" t="s">
        <v>76</v>
      </c>
      <c r="F2" s="251" t="s">
        <v>144</v>
      </c>
      <c r="G2" s="251" t="s">
        <v>145</v>
      </c>
      <c r="H2" s="85" t="str">
        <f>IF(Serialize,_xll.ohObjectSave(G3,SerializationPath&amp;H1,FileOverwrite,Serialize),"---")</f>
        <v>---</v>
      </c>
      <c r="I2" s="61" t="str">
        <f>_xll.ohRangeRetrieveError(H2)</f>
        <v/>
      </c>
      <c r="J2" s="237"/>
    </row>
    <row r="3" spans="1:10" ht="11.25" customHeight="1" x14ac:dyDescent="0.25">
      <c r="A3" s="60"/>
      <c r="B3" s="189" t="s">
        <v>142</v>
      </c>
      <c r="C3" s="189" t="s">
        <v>69</v>
      </c>
      <c r="D3" s="252" t="s">
        <v>75</v>
      </c>
      <c r="E3" s="253" t="str">
        <f>Currency&amp;$C3&amp;"D"&amp;QuoteSuffix</f>
        <v>EUROND_Quote</v>
      </c>
      <c r="F3" s="238" t="str">
        <f>_xll.qlDepositRateHelper(,$E3,$D3,Permanent,Trigger,ObjectOverwrite)</f>
        <v>obj_00839#0031</v>
      </c>
      <c r="G3" s="238" t="str">
        <f>_xll.qlDepositRateHelper(,E3,D3,Permanent,Trigger,ObjectOverwrite)</f>
        <v>obj_0053d#0023</v>
      </c>
      <c r="H3" s="254" t="str">
        <f>_xll.ohRangeRetrieveError(F3)</f>
        <v/>
      </c>
      <c r="I3" s="254" t="str">
        <f>_xll.ohRangeRetrieveError(G3)</f>
        <v/>
      </c>
      <c r="J3" s="237"/>
    </row>
    <row r="4" spans="1:10" ht="11.25" customHeight="1" x14ac:dyDescent="0.25">
      <c r="A4" s="60"/>
      <c r="B4" s="187" t="s">
        <v>90</v>
      </c>
      <c r="C4" s="187" t="s">
        <v>89</v>
      </c>
      <c r="D4" s="252" t="s">
        <v>75</v>
      </c>
      <c r="E4" s="308" t="str">
        <f>Currency&amp;$C4&amp;"D"&amp;QuoteSuffix</f>
        <v>EURTND_Quote</v>
      </c>
      <c r="F4" s="238" t="str">
        <f>_xll.qlDepositRateHelper(,$E4,$D4,Permanent,Trigger,ObjectOverwrite)</f>
        <v>obj_00838#0021</v>
      </c>
      <c r="G4" s="310" t="str">
        <f>_xll.qlFraRateHelper(,E4,B4,D4,Permanent,Trigger,ObjectOverwrite)</f>
        <v>obj_00516#0023</v>
      </c>
      <c r="H4" s="254" t="str">
        <f>_xll.ohRangeRetrieveError(F4)</f>
        <v/>
      </c>
      <c r="I4" s="254" t="str">
        <f>_xll.ohRangeRetrieveError(G4)</f>
        <v/>
      </c>
      <c r="J4" s="237"/>
    </row>
    <row r="5" spans="1:10" x14ac:dyDescent="0.25">
      <c r="A5" s="60"/>
      <c r="B5" s="191" t="s">
        <v>88</v>
      </c>
      <c r="C5" s="191" t="s">
        <v>87</v>
      </c>
      <c r="D5" s="255" t="s">
        <v>75</v>
      </c>
      <c r="E5" s="309" t="str">
        <f>Currency&amp;$C5&amp;"D"&amp;QuoteSuffix</f>
        <v>EURSND_Quote</v>
      </c>
      <c r="F5" s="239" t="str">
        <f>_xll.qlDepositRateHelper(,$E5,$D5,Permanent,Trigger,ObjectOverwrite)</f>
        <v>obj_00837#0021</v>
      </c>
      <c r="G5" s="311" t="str">
        <f>_xll.qlFraRateHelper(,E5,B5,D5,Permanent,Trigger,ObjectOverwrite)</f>
        <v>obj_00515#0025</v>
      </c>
      <c r="H5" s="256" t="str">
        <f>_xll.ohRangeRetrieveError(F5)</f>
        <v/>
      </c>
      <c r="I5" s="256" t="str">
        <f>_xll.ohRangeRetrieveError(G5)</f>
        <v/>
      </c>
      <c r="J5" s="237"/>
    </row>
    <row r="6" spans="1:10" ht="14.25" thickBot="1" x14ac:dyDescent="0.3">
      <c r="A6" s="278"/>
      <c r="B6" s="279"/>
      <c r="C6" s="279"/>
      <c r="D6" s="279"/>
      <c r="E6" s="279"/>
      <c r="F6" s="279"/>
      <c r="G6" s="279"/>
      <c r="H6" s="279"/>
      <c r="I6" s="279"/>
      <c r="J6" s="2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8"/>
  <sheetViews>
    <sheetView workbookViewId="0">
      <selection activeCell="L2" sqref="L2"/>
    </sheetView>
  </sheetViews>
  <sheetFormatPr defaultRowHeight="11.25" x14ac:dyDescent="0.2"/>
  <cols>
    <col min="1" max="1" width="2.7109375" style="1" customWidth="1"/>
    <col min="2" max="2" width="3" style="1" bestFit="1" customWidth="1"/>
    <col min="3" max="3" width="8" style="1" bestFit="1" customWidth="1"/>
    <col min="4" max="4" width="6" style="1" bestFit="1" customWidth="1"/>
    <col min="5" max="5" width="7" style="1" bestFit="1" customWidth="1"/>
    <col min="6" max="7" width="10" style="1" bestFit="1" customWidth="1"/>
    <col min="8" max="8" width="17.28515625" style="1" bestFit="1" customWidth="1"/>
    <col min="9" max="9" width="13.85546875" style="1" customWidth="1"/>
    <col min="10" max="11" width="15.140625" style="1" bestFit="1" customWidth="1"/>
    <col min="12" max="13" width="20.7109375" style="1" customWidth="1"/>
    <col min="14" max="14" width="2.7109375" style="1" customWidth="1"/>
    <col min="15" max="16384" width="9.140625" style="1"/>
  </cols>
  <sheetData>
    <row r="1" spans="1:15" x14ac:dyDescent="0.2">
      <c r="A1" s="263"/>
      <c r="B1" s="264"/>
      <c r="C1" s="264"/>
      <c r="D1" s="264"/>
      <c r="E1" s="264"/>
      <c r="F1" s="264"/>
      <c r="G1" s="265" t="s">
        <v>41</v>
      </c>
      <c r="H1" s="266"/>
      <c r="I1" s="266"/>
      <c r="J1" s="266"/>
      <c r="K1" s="266"/>
      <c r="L1" s="266"/>
      <c r="M1" s="266"/>
      <c r="N1" s="267"/>
    </row>
    <row r="2" spans="1:15" ht="25.5" customHeight="1" x14ac:dyDescent="0.2">
      <c r="A2" s="205"/>
      <c r="B2" s="207" t="s">
        <v>129</v>
      </c>
      <c r="C2" s="207" t="s">
        <v>138</v>
      </c>
      <c r="D2" s="208" t="s">
        <v>135</v>
      </c>
      <c r="E2" s="209" t="s">
        <v>136</v>
      </c>
      <c r="F2" s="209" t="s">
        <v>139</v>
      </c>
      <c r="G2" s="208" t="s">
        <v>77</v>
      </c>
      <c r="H2" s="208" t="s">
        <v>76</v>
      </c>
      <c r="I2" s="207" t="s">
        <v>137</v>
      </c>
      <c r="J2" s="207" t="s">
        <v>144</v>
      </c>
      <c r="K2" s="207" t="s">
        <v>145</v>
      </c>
      <c r="L2" s="210"/>
      <c r="M2" s="211"/>
      <c r="N2" s="206"/>
    </row>
    <row r="3" spans="1:15" x14ac:dyDescent="0.2">
      <c r="A3" s="212"/>
      <c r="B3" s="213">
        <v>1</v>
      </c>
      <c r="C3" s="213" t="s">
        <v>140</v>
      </c>
      <c r="D3" s="214" t="b">
        <v>1</v>
      </c>
      <c r="E3" s="215" t="str">
        <f t="array" ref="E3:E7">_xll.qlIMMNextCodes(_xll.qlSettingsEvaluationDate(Trigger)-1,$D3:$D7)</f>
        <v>M5</v>
      </c>
      <c r="F3" s="240">
        <f>_xll.qlIMMdate(E3)</f>
        <v>42172</v>
      </c>
      <c r="G3" s="214" t="str">
        <f>PROPER(Currency)&amp;FamilyName&amp;$G$1</f>
        <v>Euribor3M</v>
      </c>
      <c r="H3" s="216" t="str">
        <f>Currency&amp;"OIS"&amp;$E3&amp;QuoteSuffix</f>
        <v>EUROISM5_Quote</v>
      </c>
      <c r="I3" s="232">
        <v>0</v>
      </c>
      <c r="J3" s="232" t="str">
        <f>_xll.qlFuturesRateHelper(,$H3,$C3,$E3,$G3,$I3,Permanent,Trigger,ObjectOverwrite)</f>
        <v>obj_00849#0015</v>
      </c>
      <c r="K3" s="217" t="str">
        <f>_xll.qlFuturesRateHelper(,$H3,$C3,$E3,$G3,$I3,Permanent,Trigger,ObjectOverwrite)</f>
        <v>obj_00800#0018</v>
      </c>
      <c r="L3" s="218" t="str">
        <f>_xll.ohRangeRetrieveError(J3)</f>
        <v/>
      </c>
      <c r="M3" s="218" t="str">
        <f>_xll.ohRangeRetrieveError(K3)</f>
        <v/>
      </c>
      <c r="N3" s="206"/>
      <c r="O3" s="231"/>
    </row>
    <row r="4" spans="1:15" x14ac:dyDescent="0.2">
      <c r="A4" s="212"/>
      <c r="B4" s="219">
        <v>2</v>
      </c>
      <c r="C4" s="219" t="s">
        <v>140</v>
      </c>
      <c r="D4" s="220" t="b">
        <v>1</v>
      </c>
      <c r="E4" s="221" t="str">
        <v>U5</v>
      </c>
      <c r="F4" s="241">
        <f>_xll.qlIMMdate(E4)</f>
        <v>42263</v>
      </c>
      <c r="G4" s="220" t="str">
        <f>PROPER(Currency)&amp;FamilyName&amp;$G$1</f>
        <v>Euribor3M</v>
      </c>
      <c r="H4" s="222" t="str">
        <f>Currency&amp;"OIS"&amp;$E4&amp;QuoteSuffix</f>
        <v>EUROISU5_Quote</v>
      </c>
      <c r="I4" s="233">
        <v>0</v>
      </c>
      <c r="J4" s="233" t="str">
        <f>_xll.qlFuturesRateHelper(,$H4,$C4,$E4,$G4,$I4,Permanent,Trigger,ObjectOverwrite)</f>
        <v>obj_0084c#0015</v>
      </c>
      <c r="K4" s="223" t="str">
        <f>_xll.qlFuturesRateHelper(,$H4,$C4,$E4,$G4,$I4,Permanent,Trigger,ObjectOverwrite)</f>
        <v>obj_00801#0018</v>
      </c>
      <c r="L4" s="224" t="str">
        <f>_xll.ohRangeRetrieveError(J4)</f>
        <v/>
      </c>
      <c r="M4" s="224" t="str">
        <f>_xll.ohRangeRetrieveError(K4)</f>
        <v/>
      </c>
      <c r="N4" s="206"/>
      <c r="O4" s="231"/>
    </row>
    <row r="5" spans="1:15" x14ac:dyDescent="0.2">
      <c r="A5" s="212"/>
      <c r="B5" s="219">
        <v>3</v>
      </c>
      <c r="C5" s="219" t="s">
        <v>140</v>
      </c>
      <c r="D5" s="220" t="b">
        <v>1</v>
      </c>
      <c r="E5" s="221" t="str">
        <v>Z5</v>
      </c>
      <c r="F5" s="241">
        <f>_xll.qlIMMdate(E5)</f>
        <v>42354</v>
      </c>
      <c r="G5" s="220" t="str">
        <f>PROPER(Currency)&amp;FamilyName&amp;$G$1</f>
        <v>Euribor3M</v>
      </c>
      <c r="H5" s="222" t="str">
        <f>Currency&amp;"OIS"&amp;$E5&amp;QuoteSuffix</f>
        <v>EUROISZ5_Quote</v>
      </c>
      <c r="I5" s="233">
        <v>0</v>
      </c>
      <c r="J5" s="233" t="str">
        <f>_xll.qlFuturesRateHelper(,$H5,$C5,$E5,$G5,$I5,Permanent,Trigger,ObjectOverwrite)</f>
        <v>obj_0084b#0015</v>
      </c>
      <c r="K5" s="223" t="str">
        <f>_xll.qlFuturesRateHelper(,$H5,$C5,$E5,$G5,$I5,Permanent,Trigger,ObjectOverwrite)</f>
        <v>obj_007ff#0018</v>
      </c>
      <c r="L5" s="224" t="str">
        <f>_xll.ohRangeRetrieveError(J5)</f>
        <v/>
      </c>
      <c r="M5" s="224" t="str">
        <f>_xll.ohRangeRetrieveError(K5)</f>
        <v/>
      </c>
      <c r="N5" s="206"/>
      <c r="O5" s="231"/>
    </row>
    <row r="6" spans="1:15" x14ac:dyDescent="0.2">
      <c r="A6" s="270"/>
      <c r="B6" s="219">
        <v>4</v>
      </c>
      <c r="C6" s="219" t="s">
        <v>140</v>
      </c>
      <c r="D6" s="220" t="b">
        <v>1</v>
      </c>
      <c r="E6" s="221" t="str">
        <v>H6</v>
      </c>
      <c r="F6" s="241">
        <f>_xll.qlIMMdate(E6)</f>
        <v>42445</v>
      </c>
      <c r="G6" s="220" t="str">
        <f>PROPER(Currency)&amp;FamilyName&amp;$G$1</f>
        <v>Euribor3M</v>
      </c>
      <c r="H6" s="222" t="str">
        <f>Currency&amp;"OIS"&amp;$E6&amp;QuoteSuffix</f>
        <v>EUROISH6_Quote</v>
      </c>
      <c r="I6" s="233">
        <v>0</v>
      </c>
      <c r="J6" s="233" t="str">
        <f>_xll.qlFuturesRateHelper(,$H6,$C6,$E6,$G6,$I6,Permanent,Trigger,ObjectOverwrite)</f>
        <v>obj_0084a#0015</v>
      </c>
      <c r="K6" s="223" t="str">
        <f>_xll.qlFuturesRateHelper(,$H6,$C6,$E6,$G6,$I6,Permanent,Trigger,ObjectOverwrite)</f>
        <v>obj_00517#0019</v>
      </c>
      <c r="L6" s="224" t="str">
        <f>_xll.ohRangeRetrieveError(J6)</f>
        <v/>
      </c>
      <c r="M6" s="224" t="str">
        <f>_xll.ohRangeRetrieveError(K6)</f>
        <v/>
      </c>
      <c r="N6" s="206"/>
      <c r="O6" s="231"/>
    </row>
    <row r="7" spans="1:15" x14ac:dyDescent="0.2">
      <c r="A7" s="270"/>
      <c r="B7" s="225">
        <v>5</v>
      </c>
      <c r="C7" s="225" t="s">
        <v>140</v>
      </c>
      <c r="D7" s="226" t="b">
        <v>1</v>
      </c>
      <c r="E7" s="227" t="str">
        <v>M6</v>
      </c>
      <c r="F7" s="242">
        <f>_xll.qlIMMdate(E7)</f>
        <v>42536</v>
      </c>
      <c r="G7" s="226" t="str">
        <f>PROPER(Currency)&amp;FamilyName&amp;$G$1</f>
        <v>Euribor3M</v>
      </c>
      <c r="H7" s="228" t="str">
        <f>Currency&amp;"OIS"&amp;$E7&amp;QuoteSuffix</f>
        <v>EUROISM6_Quote</v>
      </c>
      <c r="I7" s="234">
        <v>0</v>
      </c>
      <c r="J7" s="234" t="e">
        <f>_xll.qlFuturesRateHelper(,$H7,$C7,$E7,$G7,$I7,Permanent,Trigger,ObjectOverwrite)</f>
        <v>#NUM!</v>
      </c>
      <c r="K7" s="229" t="e">
        <f>_xll.qlFuturesRateHelper(,$H7,$C7,$E7,$G7,$I7,Permanent,Trigger,ObjectOverwrite)</f>
        <v>#NUM!</v>
      </c>
      <c r="L7" s="230" t="str">
        <f ca="1">_xll.ohRangeRetrieveError(J7)</f>
        <v>qlFuturesRateHelper - Error converting parameter 'Price' : 'ObjectHandler error: attempt to retrieve object with unknown ID 'EUROISM6_Quote'</v>
      </c>
      <c r="M7" s="230" t="str">
        <f ca="1">_xll.ohRangeRetrieveError(K7)</f>
        <v>qlFuturesRateHelper - Error converting parameter 'Price' : 'ObjectHandler error: attempt to retrieve object with unknown ID 'EUROISM6_Quote'</v>
      </c>
      <c r="N7" s="206"/>
      <c r="O7" s="231"/>
    </row>
    <row r="8" spans="1:15" ht="12" thickBot="1" x14ac:dyDescent="0.25">
      <c r="A8" s="271"/>
      <c r="B8" s="272"/>
      <c r="C8" s="272"/>
      <c r="D8" s="272"/>
      <c r="E8" s="272"/>
      <c r="F8" s="272"/>
      <c r="G8" s="272"/>
      <c r="H8" s="272"/>
      <c r="I8" s="272"/>
      <c r="J8" s="272"/>
      <c r="K8" s="272"/>
      <c r="L8" s="272"/>
      <c r="M8" s="272"/>
      <c r="N8" s="273"/>
    </row>
  </sheetData>
  <dataValidations disablePrompts="1"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N52"/>
  <sheetViews>
    <sheetView workbookViewId="0">
      <selection activeCell="I3" sqref="I3"/>
    </sheetView>
  </sheetViews>
  <sheetFormatPr defaultRowHeight="11.25" x14ac:dyDescent="0.2"/>
  <cols>
    <col min="1" max="1" width="2.7109375" style="58" customWidth="1"/>
    <col min="2" max="2" width="6" style="58" bestFit="1" customWidth="1"/>
    <col min="3" max="3" width="10" style="58" bestFit="1" customWidth="1"/>
    <col min="4" max="4" width="7" style="58" bestFit="1" customWidth="1"/>
    <col min="5" max="5" width="6" style="58" bestFit="1" customWidth="1"/>
    <col min="6" max="6" width="21.42578125" style="58" bestFit="1" customWidth="1"/>
    <col min="7" max="7" width="15.140625" style="58" bestFit="1" customWidth="1"/>
    <col min="8" max="8" width="15.140625" style="59" customWidth="1"/>
    <col min="9" max="10" width="20.7109375" style="58" customWidth="1"/>
    <col min="11" max="11" width="2.7109375" style="58" customWidth="1"/>
    <col min="12" max="12" width="4.28515625" style="58" customWidth="1"/>
    <col min="13" max="14" width="17.28515625" style="58" bestFit="1" customWidth="1"/>
    <col min="15" max="16384" width="9.140625" style="58"/>
  </cols>
  <sheetData>
    <row r="1" spans="1:14" ht="12" x14ac:dyDescent="0.2">
      <c r="A1" s="283"/>
      <c r="B1" s="275"/>
      <c r="C1" s="274"/>
      <c r="D1" s="274"/>
      <c r="E1" s="274"/>
      <c r="F1" s="275"/>
      <c r="G1" s="275"/>
      <c r="H1" s="312"/>
      <c r="I1" s="276" t="s">
        <v>121</v>
      </c>
      <c r="J1" s="331"/>
      <c r="K1" s="284"/>
    </row>
    <row r="2" spans="1:14" ht="11.25" customHeight="1" x14ac:dyDescent="0.2">
      <c r="A2" s="282"/>
      <c r="B2" s="63"/>
      <c r="C2" s="63"/>
      <c r="D2" s="63"/>
      <c r="E2" s="63"/>
      <c r="F2" s="63"/>
      <c r="G2" s="63"/>
      <c r="H2" s="84" t="str">
        <f>_xll.qlEonia(,,Permanent,Trigger,ObjectOverwrite)</f>
        <v>obj_00518#0024</v>
      </c>
      <c r="I2" s="83" t="str">
        <f>_xll.ohRangeRetrieveError(H2)</f>
        <v/>
      </c>
      <c r="J2" s="332">
        <f>MAX(_xll.ohPack(C40:C51))</f>
        <v>42529</v>
      </c>
      <c r="K2" s="285"/>
    </row>
    <row r="3" spans="1:14" ht="25.5" customHeight="1" x14ac:dyDescent="0.2">
      <c r="A3" s="282"/>
      <c r="B3" s="62" t="s">
        <v>141</v>
      </c>
      <c r="C3" s="62" t="s">
        <v>92</v>
      </c>
      <c r="D3" s="62"/>
      <c r="E3" s="62"/>
      <c r="F3" s="62" t="s">
        <v>76</v>
      </c>
      <c r="G3" s="62" t="s">
        <v>144</v>
      </c>
      <c r="H3" s="62" t="s">
        <v>145</v>
      </c>
      <c r="I3" s="85" t="str">
        <f>IF(Serialize,_xll.ohObjectSave(_xll.ohPack(H2:H25),SerializationPath&amp;I1,FileOverwrite,Serialize),"---")</f>
        <v>---</v>
      </c>
      <c r="J3" s="61" t="str">
        <f>_xll.ohRangeRetrieveError(I3)</f>
        <v/>
      </c>
      <c r="K3" s="285"/>
    </row>
    <row r="4" spans="1:14" ht="11.25" customHeight="1" x14ac:dyDescent="0.2">
      <c r="A4" s="281"/>
      <c r="B4" s="299">
        <v>2</v>
      </c>
      <c r="C4" s="299" t="s">
        <v>91</v>
      </c>
      <c r="D4" s="300" t="s">
        <v>67</v>
      </c>
      <c r="E4" s="299" t="s">
        <v>46</v>
      </c>
      <c r="F4" s="195" t="str">
        <f t="shared" ref="F4:F39" si="0">Currency&amp;$D4&amp;$E4&amp;QuoteSuffix</f>
        <v>EUREONSW_Quote</v>
      </c>
      <c r="G4" s="196" t="str">
        <f>_xll.qlOISRateHelper(,B4,C4,F4,$H$2,,Permanent,Trigger,ObjectOverwrite)</f>
        <v>obj_0084d#0016</v>
      </c>
      <c r="H4" s="301" t="str">
        <f>_xll.qlOISRateHelper(,B4,C4,F4,$H$2,,Permanent,Trigger,ObjectOverwrite)</f>
        <v>obj_0051c#0031</v>
      </c>
      <c r="I4" s="188" t="str">
        <f>_xll.ohRangeRetrieveError(G4)</f>
        <v/>
      </c>
      <c r="J4" s="188" t="str">
        <f>_xll.ohRangeRetrieveError(H4)</f>
        <v/>
      </c>
      <c r="K4" s="285"/>
      <c r="M4" s="82"/>
      <c r="N4" s="82"/>
    </row>
    <row r="5" spans="1:14" ht="11.25" customHeight="1" x14ac:dyDescent="0.2">
      <c r="A5" s="281"/>
      <c r="B5" s="302">
        <v>2</v>
      </c>
      <c r="C5" s="302" t="s">
        <v>45</v>
      </c>
      <c r="D5" s="303" t="s">
        <v>67</v>
      </c>
      <c r="E5" s="302" t="str">
        <f t="shared" ref="E5:E39" si="1">C5</f>
        <v>2W</v>
      </c>
      <c r="F5" s="199" t="str">
        <f t="shared" si="0"/>
        <v>EUREON2W_Quote</v>
      </c>
      <c r="G5" s="200" t="str">
        <f>_xll.qlOISRateHelper(,B5,C5,F5,$H$2,,Permanent,Trigger,ObjectOverwrite)</f>
        <v>obj_0086d#0015</v>
      </c>
      <c r="H5" s="304" t="str">
        <f>_xll.qlOISRateHelper(,B5,C5,F5,$H$2,,Permanent,Trigger,ObjectOverwrite)</f>
        <v>obj_0051d#0028</v>
      </c>
      <c r="I5" s="190" t="str">
        <f>_xll.ohRangeRetrieveError(G5)</f>
        <v/>
      </c>
      <c r="J5" s="190" t="str">
        <f>_xll.ohRangeRetrieveError(H5)</f>
        <v/>
      </c>
      <c r="K5" s="285"/>
      <c r="M5" s="82"/>
      <c r="N5" s="82"/>
    </row>
    <row r="6" spans="1:14" ht="11.25" customHeight="1" x14ac:dyDescent="0.2">
      <c r="A6" s="281"/>
      <c r="B6" s="302">
        <v>2</v>
      </c>
      <c r="C6" s="302" t="s">
        <v>44</v>
      </c>
      <c r="D6" s="303" t="s">
        <v>67</v>
      </c>
      <c r="E6" s="302" t="str">
        <f t="shared" si="1"/>
        <v>3W</v>
      </c>
      <c r="F6" s="199" t="str">
        <f t="shared" si="0"/>
        <v>EUREON3W_Quote</v>
      </c>
      <c r="G6" s="200" t="str">
        <f>_xll.qlOISRateHelper(,B6,C6,F6,$H$2,,Permanent,Trigger,ObjectOverwrite)</f>
        <v>obj_0085e#0015</v>
      </c>
      <c r="H6" s="304" t="str">
        <f>_xll.qlOISRateHelper(,B6,C6,F6,$H$2,,Permanent,Trigger,ObjectOverwrite)</f>
        <v>obj_0051f#0028</v>
      </c>
      <c r="I6" s="190" t="str">
        <f>_xll.ohRangeRetrieveError(G6)</f>
        <v/>
      </c>
      <c r="J6" s="190" t="str">
        <f>_xll.ohRangeRetrieveError(H6)</f>
        <v/>
      </c>
      <c r="K6" s="285"/>
      <c r="M6" s="82"/>
      <c r="N6" s="82"/>
    </row>
    <row r="7" spans="1:14" ht="11.25" customHeight="1" x14ac:dyDescent="0.2">
      <c r="A7" s="281"/>
      <c r="B7" s="302">
        <v>2</v>
      </c>
      <c r="C7" s="302" t="s">
        <v>43</v>
      </c>
      <c r="D7" s="303" t="s">
        <v>67</v>
      </c>
      <c r="E7" s="302" t="str">
        <f t="shared" si="1"/>
        <v>1M</v>
      </c>
      <c r="F7" s="199" t="str">
        <f t="shared" si="0"/>
        <v>EUREON1M_Quote</v>
      </c>
      <c r="G7" s="200" t="str">
        <f>_xll.qlOISRateHelper(,B7,C7,F7,$H$2,,Permanent,Trigger,ObjectOverwrite)</f>
        <v>obj_0086a#0015</v>
      </c>
      <c r="H7" s="304" t="str">
        <f>_xll.qlOISRateHelper(,B7,C7,F7,$H$2,,Permanent,Trigger,ObjectOverwrite)</f>
        <v>obj_00526#0028</v>
      </c>
      <c r="I7" s="190" t="str">
        <f>_xll.ohRangeRetrieveError(G7)</f>
        <v/>
      </c>
      <c r="J7" s="190" t="str">
        <f>_xll.ohRangeRetrieveError(H7)</f>
        <v/>
      </c>
      <c r="K7" s="285"/>
      <c r="M7" s="82"/>
      <c r="N7" s="82"/>
    </row>
    <row r="8" spans="1:14" ht="11.25" customHeight="1" x14ac:dyDescent="0.2">
      <c r="A8" s="281"/>
      <c r="B8" s="302">
        <v>2</v>
      </c>
      <c r="C8" s="302" t="s">
        <v>42</v>
      </c>
      <c r="D8" s="303" t="s">
        <v>67</v>
      </c>
      <c r="E8" s="302" t="str">
        <f t="shared" si="1"/>
        <v>2M</v>
      </c>
      <c r="F8" s="199" t="str">
        <f t="shared" si="0"/>
        <v>EUREON2M_Quote</v>
      </c>
      <c r="G8" s="200" t="str">
        <f>_xll.qlOISRateHelper(,B8,C8,F8,$H$2,,Permanent,Trigger,ObjectOverwrite)</f>
        <v>obj_00868#0015</v>
      </c>
      <c r="H8" s="304" t="str">
        <f>_xll.qlOISRateHelper(,B8,C8,F8,$H$2,,Permanent,Trigger,ObjectOverwrite)</f>
        <v>obj_00530#0028</v>
      </c>
      <c r="I8" s="190" t="str">
        <f>_xll.ohRangeRetrieveError(G8)</f>
        <v/>
      </c>
      <c r="J8" s="190" t="str">
        <f>_xll.ohRangeRetrieveError(H8)</f>
        <v/>
      </c>
      <c r="K8" s="285"/>
      <c r="M8" s="82"/>
      <c r="N8" s="82"/>
    </row>
    <row r="9" spans="1:14" ht="11.25" customHeight="1" x14ac:dyDescent="0.2">
      <c r="A9" s="281"/>
      <c r="B9" s="302">
        <v>2</v>
      </c>
      <c r="C9" s="302" t="s">
        <v>41</v>
      </c>
      <c r="D9" s="303" t="s">
        <v>67</v>
      </c>
      <c r="E9" s="302" t="str">
        <f t="shared" si="1"/>
        <v>3M</v>
      </c>
      <c r="F9" s="199" t="str">
        <f t="shared" si="0"/>
        <v>EUREON3M_Quote</v>
      </c>
      <c r="G9" s="200" t="str">
        <f>_xll.qlOISRateHelper(,B9,C9,F9,$H$2,,Permanent,Trigger,ObjectOverwrite)</f>
        <v>obj_00866#0015</v>
      </c>
      <c r="H9" s="304" t="str">
        <f>_xll.qlOISRateHelper(,B9,C9,F9,$H$2,,Permanent,Trigger,ObjectOverwrite)</f>
        <v>obj_00521#0028</v>
      </c>
      <c r="I9" s="190" t="str">
        <f>_xll.ohRangeRetrieveError(G9)</f>
        <v/>
      </c>
      <c r="J9" s="190" t="str">
        <f>_xll.ohRangeRetrieveError(H9)</f>
        <v/>
      </c>
      <c r="K9" s="285"/>
      <c r="M9" s="82"/>
      <c r="N9" s="82"/>
    </row>
    <row r="10" spans="1:14" ht="11.25" customHeight="1" x14ac:dyDescent="0.2">
      <c r="A10" s="281"/>
      <c r="B10" s="302">
        <v>2</v>
      </c>
      <c r="C10" s="302" t="s">
        <v>40</v>
      </c>
      <c r="D10" s="303" t="s">
        <v>67</v>
      </c>
      <c r="E10" s="302" t="str">
        <f t="shared" si="1"/>
        <v>4M</v>
      </c>
      <c r="F10" s="199" t="str">
        <f t="shared" si="0"/>
        <v>EUREON4M_Quote</v>
      </c>
      <c r="G10" s="200" t="str">
        <f>_xll.qlOISRateHelper(,B10,C10,F10,$H$2,,Permanent,Trigger,ObjectOverwrite)</f>
        <v>obj_00859#0015</v>
      </c>
      <c r="H10" s="304" t="str">
        <f>_xll.qlOISRateHelper(,B10,C10,F10,$H$2,,Permanent,Trigger,ObjectOverwrite)</f>
        <v>obj_00527#0028</v>
      </c>
      <c r="I10" s="190" t="str">
        <f>_xll.ohRangeRetrieveError(G10)</f>
        <v/>
      </c>
      <c r="J10" s="190" t="str">
        <f>_xll.ohRangeRetrieveError(H10)</f>
        <v/>
      </c>
      <c r="K10" s="285"/>
      <c r="M10" s="82"/>
      <c r="N10" s="82"/>
    </row>
    <row r="11" spans="1:14" ht="11.25" customHeight="1" x14ac:dyDescent="0.2">
      <c r="A11" s="281"/>
      <c r="B11" s="302">
        <v>2</v>
      </c>
      <c r="C11" s="302" t="s">
        <v>39</v>
      </c>
      <c r="D11" s="303" t="s">
        <v>67</v>
      </c>
      <c r="E11" s="302" t="str">
        <f t="shared" si="1"/>
        <v>5M</v>
      </c>
      <c r="F11" s="199" t="str">
        <f t="shared" si="0"/>
        <v>EUREON5M_Quote</v>
      </c>
      <c r="G11" s="200" t="str">
        <f>_xll.qlOISRateHelper(,B11,C11,F11,$H$2,,Permanent,Trigger,ObjectOverwrite)</f>
        <v>obj_00851#0015</v>
      </c>
      <c r="H11" s="304" t="str">
        <f>_xll.qlOISRateHelper(,B11,C11,F11,$H$2,,Permanent,Trigger,ObjectOverwrite)</f>
        <v>obj_00523#0028</v>
      </c>
      <c r="I11" s="190" t="str">
        <f>_xll.ohRangeRetrieveError(G11)</f>
        <v/>
      </c>
      <c r="J11" s="190" t="str">
        <f>_xll.ohRangeRetrieveError(H11)</f>
        <v/>
      </c>
      <c r="K11" s="285"/>
      <c r="M11" s="82"/>
      <c r="N11" s="82"/>
    </row>
    <row r="12" spans="1:14" ht="11.25" customHeight="1" x14ac:dyDescent="0.2">
      <c r="A12" s="281"/>
      <c r="B12" s="302">
        <v>2</v>
      </c>
      <c r="C12" s="302" t="s">
        <v>38</v>
      </c>
      <c r="D12" s="303" t="s">
        <v>67</v>
      </c>
      <c r="E12" s="302" t="str">
        <f t="shared" si="1"/>
        <v>6M</v>
      </c>
      <c r="F12" s="199" t="str">
        <f t="shared" si="0"/>
        <v>EUREON6M_Quote</v>
      </c>
      <c r="G12" s="200" t="str">
        <f>_xll.qlOISRateHelper(,B12,C12,F12,$H$2,,Permanent,Trigger,ObjectOverwrite)</f>
        <v>obj_00862#0015</v>
      </c>
      <c r="H12" s="304" t="str">
        <f>_xll.qlOISRateHelper(,B12,C12,F12,$H$2,,Permanent,Trigger,ObjectOverwrite)</f>
        <v>obj_0052f#0028</v>
      </c>
      <c r="I12" s="190" t="str">
        <f>_xll.ohRangeRetrieveError(G12)</f>
        <v/>
      </c>
      <c r="J12" s="190" t="str">
        <f>_xll.ohRangeRetrieveError(H12)</f>
        <v/>
      </c>
      <c r="K12" s="285"/>
      <c r="M12" s="82"/>
      <c r="N12" s="82"/>
    </row>
    <row r="13" spans="1:14" ht="11.25" customHeight="1" x14ac:dyDescent="0.2">
      <c r="A13" s="281"/>
      <c r="B13" s="302">
        <v>2</v>
      </c>
      <c r="C13" s="302" t="s">
        <v>37</v>
      </c>
      <c r="D13" s="303" t="s">
        <v>67</v>
      </c>
      <c r="E13" s="302" t="str">
        <f t="shared" si="1"/>
        <v>7M</v>
      </c>
      <c r="F13" s="199" t="str">
        <f t="shared" si="0"/>
        <v>EUREON7M_Quote</v>
      </c>
      <c r="G13" s="200" t="str">
        <f>_xll.qlOISRateHelper(,B13,C13,F13,$H$2,,Permanent,Trigger,ObjectOverwrite)</f>
        <v>obj_00860#0015</v>
      </c>
      <c r="H13" s="304" t="str">
        <f>_xll.qlOISRateHelper(,B13,C13,F13,$H$2,,Permanent,Trigger,ObjectOverwrite)</f>
        <v>obj_00525#0028</v>
      </c>
      <c r="I13" s="190" t="str">
        <f>_xll.ohRangeRetrieveError(G13)</f>
        <v/>
      </c>
      <c r="J13" s="190" t="str">
        <f>_xll.ohRangeRetrieveError(H13)</f>
        <v/>
      </c>
      <c r="K13" s="285"/>
      <c r="M13" s="82"/>
      <c r="N13" s="82"/>
    </row>
    <row r="14" spans="1:14" ht="11.25" customHeight="1" x14ac:dyDescent="0.2">
      <c r="A14" s="281"/>
      <c r="B14" s="302">
        <v>2</v>
      </c>
      <c r="C14" s="302" t="s">
        <v>36</v>
      </c>
      <c r="D14" s="303" t="s">
        <v>67</v>
      </c>
      <c r="E14" s="302" t="str">
        <f t="shared" si="1"/>
        <v>8M</v>
      </c>
      <c r="F14" s="199" t="str">
        <f t="shared" si="0"/>
        <v>EUREON8M_Quote</v>
      </c>
      <c r="G14" s="200" t="str">
        <f>_xll.qlOISRateHelper(,B14,C14,F14,$H$2,,Permanent,Trigger,ObjectOverwrite)</f>
        <v>obj_0086f#0015</v>
      </c>
      <c r="H14" s="304" t="str">
        <f>_xll.qlOISRateHelper(,B14,C14,F14,$H$2,,Permanent,Trigger,ObjectOverwrite)</f>
        <v>obj_0052d#0028</v>
      </c>
      <c r="I14" s="190" t="str">
        <f>_xll.ohRangeRetrieveError(G14)</f>
        <v/>
      </c>
      <c r="J14" s="190" t="str">
        <f>_xll.ohRangeRetrieveError(H14)</f>
        <v/>
      </c>
      <c r="K14" s="285"/>
      <c r="M14" s="82"/>
      <c r="N14" s="82"/>
    </row>
    <row r="15" spans="1:14" ht="11.25" customHeight="1" x14ac:dyDescent="0.2">
      <c r="A15" s="281"/>
      <c r="B15" s="302">
        <v>2</v>
      </c>
      <c r="C15" s="302" t="s">
        <v>35</v>
      </c>
      <c r="D15" s="303" t="s">
        <v>67</v>
      </c>
      <c r="E15" s="302" t="str">
        <f t="shared" si="1"/>
        <v>9M</v>
      </c>
      <c r="F15" s="199" t="str">
        <f t="shared" si="0"/>
        <v>EUREON9M_Quote</v>
      </c>
      <c r="G15" s="200" t="str">
        <f>_xll.qlOISRateHelper(,B15,C15,F15,$H$2,,Permanent,Trigger,ObjectOverwrite)</f>
        <v>obj_0085c#0015</v>
      </c>
      <c r="H15" s="304" t="str">
        <f>_xll.qlOISRateHelper(,B15,C15,F15,$H$2,,Permanent,Trigger,ObjectOverwrite)</f>
        <v>obj_00520#0028</v>
      </c>
      <c r="I15" s="190" t="str">
        <f>_xll.ohRangeRetrieveError(G15)</f>
        <v/>
      </c>
      <c r="J15" s="190" t="str">
        <f>_xll.ohRangeRetrieveError(H15)</f>
        <v/>
      </c>
      <c r="K15" s="285"/>
      <c r="M15" s="82"/>
      <c r="N15" s="82"/>
    </row>
    <row r="16" spans="1:14" ht="11.25" customHeight="1" x14ac:dyDescent="0.2">
      <c r="A16" s="281"/>
      <c r="B16" s="302">
        <v>2</v>
      </c>
      <c r="C16" s="302" t="s">
        <v>34</v>
      </c>
      <c r="D16" s="303" t="s">
        <v>67</v>
      </c>
      <c r="E16" s="302" t="str">
        <f t="shared" si="1"/>
        <v>10M</v>
      </c>
      <c r="F16" s="199" t="str">
        <f t="shared" si="0"/>
        <v>EUREON10M_Quote</v>
      </c>
      <c r="G16" s="200" t="str">
        <f>_xll.qlOISRateHelper(,B16,C16,F16,$H$2,,Permanent,Trigger,ObjectOverwrite)</f>
        <v>obj_0085a#0015</v>
      </c>
      <c r="H16" s="304" t="str">
        <f>_xll.qlOISRateHelper(,B16,C16,F16,$H$2,,Permanent,Trigger,ObjectOverwrite)</f>
        <v>obj_00529#0028</v>
      </c>
      <c r="I16" s="190" t="str">
        <f>_xll.ohRangeRetrieveError(G16)</f>
        <v/>
      </c>
      <c r="J16" s="190" t="str">
        <f>_xll.ohRangeRetrieveError(H16)</f>
        <v/>
      </c>
      <c r="K16" s="285"/>
      <c r="M16" s="82"/>
      <c r="N16" s="82"/>
    </row>
    <row r="17" spans="1:14" ht="11.25" customHeight="1" x14ac:dyDescent="0.2">
      <c r="A17" s="281"/>
      <c r="B17" s="302">
        <v>2</v>
      </c>
      <c r="C17" s="302" t="s">
        <v>33</v>
      </c>
      <c r="D17" s="303" t="s">
        <v>67</v>
      </c>
      <c r="E17" s="302" t="str">
        <f t="shared" si="1"/>
        <v>11M</v>
      </c>
      <c r="F17" s="199" t="str">
        <f t="shared" si="0"/>
        <v>EUREON11M_Quote</v>
      </c>
      <c r="G17" s="200" t="str">
        <f>_xll.qlOISRateHelper(,B17,C17,F17,$H$2,,Permanent,Trigger,ObjectOverwrite)</f>
        <v>obj_00865#0015</v>
      </c>
      <c r="H17" s="304" t="str">
        <f>_xll.qlOISRateHelper(,B17,C17,F17,$H$2,,Permanent,Trigger,ObjectOverwrite)</f>
        <v>obj_00522#0028</v>
      </c>
      <c r="I17" s="190" t="str">
        <f>_xll.ohRangeRetrieveError(G17)</f>
        <v/>
      </c>
      <c r="J17" s="190" t="str">
        <f>_xll.ohRangeRetrieveError(H17)</f>
        <v/>
      </c>
      <c r="K17" s="285"/>
      <c r="M17" s="82"/>
      <c r="N17" s="82"/>
    </row>
    <row r="18" spans="1:14" ht="11.25" customHeight="1" x14ac:dyDescent="0.2">
      <c r="A18" s="281"/>
      <c r="B18" s="302">
        <v>2</v>
      </c>
      <c r="C18" s="302" t="s">
        <v>32</v>
      </c>
      <c r="D18" s="303" t="s">
        <v>67</v>
      </c>
      <c r="E18" s="302" t="str">
        <f t="shared" si="1"/>
        <v>1Y</v>
      </c>
      <c r="F18" s="199" t="str">
        <f t="shared" si="0"/>
        <v>EUREON1Y_Quote</v>
      </c>
      <c r="G18" s="200" t="str">
        <f>_xll.qlOISRateHelper(,B18,C18,F18,$H$2,,Permanent,Trigger,ObjectOverwrite)</f>
        <v>obj_00858#0015</v>
      </c>
      <c r="H18" s="304" t="str">
        <f>_xll.qlOISRateHelper(,B18,C18,F18,$H$2,,Permanent,Trigger,ObjectOverwrite)</f>
        <v>obj_00524#0028</v>
      </c>
      <c r="I18" s="190" t="str">
        <f>_xll.ohRangeRetrieveError(G18)</f>
        <v/>
      </c>
      <c r="J18" s="190" t="str">
        <f>_xll.ohRangeRetrieveError(H18)</f>
        <v/>
      </c>
      <c r="K18" s="285"/>
      <c r="M18" s="82"/>
      <c r="N18" s="82"/>
    </row>
    <row r="19" spans="1:14" ht="11.25" customHeight="1" x14ac:dyDescent="0.2">
      <c r="A19" s="281"/>
      <c r="B19" s="302">
        <v>2</v>
      </c>
      <c r="C19" s="302" t="s">
        <v>31</v>
      </c>
      <c r="D19" s="303" t="s">
        <v>67</v>
      </c>
      <c r="E19" s="302" t="str">
        <f t="shared" si="1"/>
        <v>15M</v>
      </c>
      <c r="F19" s="199" t="str">
        <f t="shared" si="0"/>
        <v>EUREON15M_Quote</v>
      </c>
      <c r="G19" s="200" t="str">
        <f>_xll.qlOISRateHelper(,B19,C19,F19,$H$2,,Permanent,Trigger,ObjectOverwrite)</f>
        <v>obj_00850#0015</v>
      </c>
      <c r="H19" s="304" t="str">
        <f>_xll.qlOISRateHelper(,B19,C19,F19,$H$2,,Permanent,Trigger,ObjectOverwrite)</f>
        <v>obj_0052c#0028</v>
      </c>
      <c r="I19" s="190" t="str">
        <f>_xll.ohRangeRetrieveError(G19)</f>
        <v/>
      </c>
      <c r="J19" s="190" t="str">
        <f>_xll.ohRangeRetrieveError(H19)</f>
        <v/>
      </c>
      <c r="K19" s="285"/>
      <c r="M19" s="82"/>
      <c r="N19" s="82"/>
    </row>
    <row r="20" spans="1:14" ht="11.25" customHeight="1" x14ac:dyDescent="0.2">
      <c r="A20" s="281"/>
      <c r="B20" s="302">
        <v>2</v>
      </c>
      <c r="C20" s="302" t="s">
        <v>30</v>
      </c>
      <c r="D20" s="303" t="s">
        <v>67</v>
      </c>
      <c r="E20" s="302" t="str">
        <f t="shared" si="1"/>
        <v>18M</v>
      </c>
      <c r="F20" s="199" t="str">
        <f t="shared" si="0"/>
        <v>EUREON18M_Quote</v>
      </c>
      <c r="G20" s="200" t="str">
        <f>_xll.qlOISRateHelper(,B20,C20,F20,$H$2,,Permanent,Trigger,ObjectOverwrite)</f>
        <v>obj_0086e#0015</v>
      </c>
      <c r="H20" s="304" t="str">
        <f>_xll.qlOISRateHelper(,B20,C20,F20,$H$2,,Permanent,Trigger,ObjectOverwrite)</f>
        <v>obj_0051e#0028</v>
      </c>
      <c r="I20" s="190" t="str">
        <f>_xll.ohRangeRetrieveError(G20)</f>
        <v/>
      </c>
      <c r="J20" s="190" t="str">
        <f>_xll.ohRangeRetrieveError(H20)</f>
        <v/>
      </c>
      <c r="K20" s="285"/>
      <c r="M20" s="82"/>
      <c r="N20" s="82"/>
    </row>
    <row r="21" spans="1:14" ht="11.25" customHeight="1" x14ac:dyDescent="0.2">
      <c r="A21" s="281"/>
      <c r="B21" s="302">
        <v>2</v>
      </c>
      <c r="C21" s="302" t="s">
        <v>29</v>
      </c>
      <c r="D21" s="303" t="s">
        <v>67</v>
      </c>
      <c r="E21" s="302" t="str">
        <f t="shared" si="1"/>
        <v>21M</v>
      </c>
      <c r="F21" s="199" t="str">
        <f t="shared" si="0"/>
        <v>EUREON21M_Quote</v>
      </c>
      <c r="G21" s="200" t="str">
        <f>_xll.qlOISRateHelper(,B21,C21,F21,$H$2,,Permanent,Trigger,ObjectOverwrite)</f>
        <v>obj_00855#0015</v>
      </c>
      <c r="H21" s="304" t="str">
        <f>_xll.qlOISRateHelper(,B21,C21,F21,$H$2,,Permanent,Trigger,ObjectOverwrite)</f>
        <v>obj_0052b#0028</v>
      </c>
      <c r="I21" s="190" t="str">
        <f>_xll.ohRangeRetrieveError(G21)</f>
        <v/>
      </c>
      <c r="J21" s="190" t="str">
        <f>_xll.ohRangeRetrieveError(H21)</f>
        <v/>
      </c>
      <c r="K21" s="285"/>
      <c r="M21" s="82"/>
      <c r="N21" s="82"/>
    </row>
    <row r="22" spans="1:14" ht="11.25" customHeight="1" x14ac:dyDescent="0.2">
      <c r="A22" s="281"/>
      <c r="B22" s="302">
        <v>2</v>
      </c>
      <c r="C22" s="302" t="s">
        <v>28</v>
      </c>
      <c r="D22" s="303" t="s">
        <v>67</v>
      </c>
      <c r="E22" s="302" t="str">
        <f t="shared" si="1"/>
        <v>2Y</v>
      </c>
      <c r="F22" s="199" t="str">
        <f t="shared" si="0"/>
        <v>EUREON2Y_Quote</v>
      </c>
      <c r="G22" s="200" t="str">
        <f>_xll.qlOISRateHelper(,B22,C22,F22,$H$2,,Permanent,Trigger,ObjectOverwrite)</f>
        <v>obj_00854#0015</v>
      </c>
      <c r="H22" s="304" t="str">
        <f>_xll.qlOISRateHelper(,B22,C22,F22,$H$2,,Permanent,Trigger,ObjectOverwrite)</f>
        <v>obj_00539#0028</v>
      </c>
      <c r="I22" s="190" t="str">
        <f>_xll.ohRangeRetrieveError(G22)</f>
        <v/>
      </c>
      <c r="J22" s="190" t="str">
        <f>_xll.ohRangeRetrieveError(H22)</f>
        <v/>
      </c>
      <c r="K22" s="285"/>
      <c r="M22" s="82"/>
      <c r="N22" s="82"/>
    </row>
    <row r="23" spans="1:14" ht="11.25" customHeight="1" x14ac:dyDescent="0.2">
      <c r="A23" s="281"/>
      <c r="B23" s="302">
        <v>2</v>
      </c>
      <c r="C23" s="302" t="s">
        <v>27</v>
      </c>
      <c r="D23" s="303" t="s">
        <v>67</v>
      </c>
      <c r="E23" s="302" t="str">
        <f t="shared" si="1"/>
        <v>3Y</v>
      </c>
      <c r="F23" s="199" t="str">
        <f t="shared" si="0"/>
        <v>EUREON3Y_Quote</v>
      </c>
      <c r="G23" s="200" t="str">
        <f>_xll.qlOISRateHelper(,B23,C23,F23,$H$2,,Permanent,Trigger,ObjectOverwrite)</f>
        <v>obj_00853#0015</v>
      </c>
      <c r="H23" s="304" t="str">
        <f>_xll.qlOISRateHelper(,B23,C23,F23,$H$2,,Permanent,Trigger,ObjectOverwrite)</f>
        <v>obj_00531#0028</v>
      </c>
      <c r="I23" s="190" t="str">
        <f>_xll.ohRangeRetrieveError(G23)</f>
        <v/>
      </c>
      <c r="J23" s="190" t="str">
        <f>_xll.ohRangeRetrieveError(H23)</f>
        <v/>
      </c>
      <c r="K23" s="285"/>
      <c r="M23" s="82"/>
      <c r="N23" s="82"/>
    </row>
    <row r="24" spans="1:14" ht="11.25" customHeight="1" x14ac:dyDescent="0.2">
      <c r="A24" s="281"/>
      <c r="B24" s="302">
        <v>2</v>
      </c>
      <c r="C24" s="302" t="s">
        <v>26</v>
      </c>
      <c r="D24" s="303" t="s">
        <v>67</v>
      </c>
      <c r="E24" s="302" t="str">
        <f t="shared" si="1"/>
        <v>4Y</v>
      </c>
      <c r="F24" s="199" t="str">
        <f t="shared" si="0"/>
        <v>EUREON4Y_Quote</v>
      </c>
      <c r="G24" s="200" t="str">
        <f>_xll.qlOISRateHelper(,B24,C24,F24,$H$2,,Permanent,Trigger,ObjectOverwrite)</f>
        <v>obj_00867#0015</v>
      </c>
      <c r="H24" s="304" t="str">
        <f>_xll.qlOISRateHelper(,B24,C24,F24,$H$2,,Permanent,Trigger,ObjectOverwrite)</f>
        <v>obj_0053a#0028</v>
      </c>
      <c r="I24" s="190" t="str">
        <f>_xll.ohRangeRetrieveError(G24)</f>
        <v/>
      </c>
      <c r="J24" s="190" t="str">
        <f>_xll.ohRangeRetrieveError(H24)</f>
        <v/>
      </c>
      <c r="K24" s="285"/>
      <c r="M24" s="82"/>
      <c r="N24" s="82"/>
    </row>
    <row r="25" spans="1:14" ht="11.25" customHeight="1" x14ac:dyDescent="0.2">
      <c r="A25" s="281"/>
      <c r="B25" s="302">
        <v>2</v>
      </c>
      <c r="C25" s="302" t="s">
        <v>25</v>
      </c>
      <c r="D25" s="303" t="s">
        <v>67</v>
      </c>
      <c r="E25" s="302" t="str">
        <f t="shared" si="1"/>
        <v>5Y</v>
      </c>
      <c r="F25" s="199" t="str">
        <f t="shared" si="0"/>
        <v>EUREON5Y_Quote</v>
      </c>
      <c r="G25" s="200" t="str">
        <f>_xll.qlOISRateHelper(,B25,C25,F25,$H$2,,Permanent,Trigger,ObjectOverwrite)</f>
        <v>obj_00864#0015</v>
      </c>
      <c r="H25" s="304" t="str">
        <f>_xll.qlOISRateHelper(,B25,C25,F25,$H$2,,Permanent,Trigger,ObjectOverwrite)</f>
        <v>obj_00528#0029</v>
      </c>
      <c r="I25" s="190" t="str">
        <f>_xll.ohRangeRetrieveError(G25)</f>
        <v/>
      </c>
      <c r="J25" s="190" t="str">
        <f>_xll.ohRangeRetrieveError(H25)</f>
        <v/>
      </c>
      <c r="K25" s="285"/>
      <c r="M25" s="82"/>
      <c r="N25" s="82"/>
    </row>
    <row r="26" spans="1:14" ht="11.25" customHeight="1" x14ac:dyDescent="0.2">
      <c r="A26" s="281"/>
      <c r="B26" s="302">
        <v>2</v>
      </c>
      <c r="C26" s="302" t="s">
        <v>24</v>
      </c>
      <c r="D26" s="306" t="s">
        <v>67</v>
      </c>
      <c r="E26" s="302" t="str">
        <f t="shared" si="1"/>
        <v>6Y</v>
      </c>
      <c r="F26" s="199" t="str">
        <f t="shared" si="0"/>
        <v>EUREON6Y_Quote</v>
      </c>
      <c r="G26" s="200" t="str">
        <f>_xll.qlOISRateHelper(,B26,C26,F26,$H$2,,Permanent,Trigger,ObjectOverwrite)</f>
        <v>obj_00857#0015</v>
      </c>
      <c r="H26" s="200" t="str">
        <f>_xll.qlOISRateHelper(,B26,C26,F26,$H$2,,Permanent,Trigger,ObjectOverwrite)</f>
        <v>obj_0083d#0019</v>
      </c>
      <c r="I26" s="190" t="str">
        <f>_xll.ohRangeRetrieveError(G26)</f>
        <v/>
      </c>
      <c r="J26" s="190" t="str">
        <f>_xll.ohRangeRetrieveError(H26)</f>
        <v/>
      </c>
      <c r="K26" s="285"/>
    </row>
    <row r="27" spans="1:14" x14ac:dyDescent="0.2">
      <c r="A27" s="281"/>
      <c r="B27" s="302">
        <v>2</v>
      </c>
      <c r="C27" s="302" t="s">
        <v>23</v>
      </c>
      <c r="D27" s="306" t="s">
        <v>67</v>
      </c>
      <c r="E27" s="302" t="str">
        <f t="shared" si="1"/>
        <v>7Y</v>
      </c>
      <c r="F27" s="199" t="str">
        <f t="shared" si="0"/>
        <v>EUREON7Y_Quote</v>
      </c>
      <c r="G27" s="200" t="str">
        <f>_xll.qlOISRateHelper(,B27,C27,F27,$H$2,,Permanent,Trigger,ObjectOverwrite)</f>
        <v>obj_0084f#0015</v>
      </c>
      <c r="H27" s="200" t="str">
        <f>_xll.qlOISRateHelper(,B27,C27,F27,$H$2,,Permanent,Trigger,ObjectOverwrite)</f>
        <v>obj_00841#0019</v>
      </c>
      <c r="I27" s="190" t="str">
        <f>_xll.ohRangeRetrieveError(G27)</f>
        <v/>
      </c>
      <c r="J27" s="190" t="str">
        <f>_xll.ohRangeRetrieveError(H27)</f>
        <v/>
      </c>
      <c r="K27" s="285"/>
    </row>
    <row r="28" spans="1:14" x14ac:dyDescent="0.2">
      <c r="A28" s="281"/>
      <c r="B28" s="302">
        <v>2</v>
      </c>
      <c r="C28" s="302" t="s">
        <v>22</v>
      </c>
      <c r="D28" s="306" t="s">
        <v>67</v>
      </c>
      <c r="E28" s="302" t="str">
        <f t="shared" si="1"/>
        <v>8Y</v>
      </c>
      <c r="F28" s="199" t="str">
        <f t="shared" si="0"/>
        <v>EUREON8Y_Quote</v>
      </c>
      <c r="G28" s="200" t="str">
        <f>_xll.qlOISRateHelper(,B28,C28,F28,$H$2,,Permanent,Trigger,ObjectOverwrite)</f>
        <v>obj_00870#0015</v>
      </c>
      <c r="H28" s="200" t="str">
        <f>_xll.qlOISRateHelper(,B28,C28,F28,$H$2,,Permanent,Trigger,ObjectOverwrite)</f>
        <v>obj_0083c#0019</v>
      </c>
      <c r="I28" s="190" t="str">
        <f>_xll.ohRangeRetrieveError(G28)</f>
        <v/>
      </c>
      <c r="J28" s="190" t="str">
        <f>_xll.ohRangeRetrieveError(H28)</f>
        <v/>
      </c>
      <c r="K28" s="285"/>
    </row>
    <row r="29" spans="1:14" x14ac:dyDescent="0.2">
      <c r="A29" s="281"/>
      <c r="B29" s="302">
        <v>2</v>
      </c>
      <c r="C29" s="302" t="s">
        <v>21</v>
      </c>
      <c r="D29" s="306" t="s">
        <v>67</v>
      </c>
      <c r="E29" s="302" t="str">
        <f t="shared" si="1"/>
        <v>9Y</v>
      </c>
      <c r="F29" s="199" t="str">
        <f t="shared" si="0"/>
        <v>EUREON9Y_Quote</v>
      </c>
      <c r="G29" s="200" t="str">
        <f>_xll.qlOISRateHelper(,B29,C29,F29,$H$2,,Permanent,Trigger,ObjectOverwrite)</f>
        <v>obj_0085f#0015</v>
      </c>
      <c r="H29" s="200" t="str">
        <f>_xll.qlOISRateHelper(,B29,C29,F29,$H$2,,Permanent,Trigger,ObjectOverwrite)</f>
        <v>obj_00844#0019</v>
      </c>
      <c r="I29" s="190" t="str">
        <f>_xll.ohRangeRetrieveError(G29)</f>
        <v/>
      </c>
      <c r="J29" s="190" t="str">
        <f>_xll.ohRangeRetrieveError(H29)</f>
        <v/>
      </c>
      <c r="K29" s="285"/>
    </row>
    <row r="30" spans="1:14" x14ac:dyDescent="0.2">
      <c r="A30" s="281"/>
      <c r="B30" s="302">
        <v>2</v>
      </c>
      <c r="C30" s="302" t="s">
        <v>20</v>
      </c>
      <c r="D30" s="306" t="s">
        <v>67</v>
      </c>
      <c r="E30" s="302" t="str">
        <f t="shared" si="1"/>
        <v>10Y</v>
      </c>
      <c r="F30" s="199" t="str">
        <f t="shared" si="0"/>
        <v>EUREON10Y_Quote</v>
      </c>
      <c r="G30" s="200" t="str">
        <f>_xll.qlOISRateHelper(,B30,C30,F30,$H$2,,Permanent,Trigger,ObjectOverwrite)</f>
        <v>obj_0086b#0015</v>
      </c>
      <c r="H30" s="200" t="str">
        <f>_xll.qlOISRateHelper(,B30,C30,F30,$H$2,,Permanent,Trigger,ObjectOverwrite)</f>
        <v>obj_0083f#0019</v>
      </c>
      <c r="I30" s="190" t="str">
        <f>_xll.ohRangeRetrieveError(G30)</f>
        <v/>
      </c>
      <c r="J30" s="190" t="str">
        <f>_xll.ohRangeRetrieveError(H30)</f>
        <v/>
      </c>
      <c r="K30" s="285"/>
    </row>
    <row r="31" spans="1:14" x14ac:dyDescent="0.2">
      <c r="A31" s="281"/>
      <c r="B31" s="302">
        <v>2</v>
      </c>
      <c r="C31" s="302" t="s">
        <v>19</v>
      </c>
      <c r="D31" s="306" t="s">
        <v>67</v>
      </c>
      <c r="E31" s="302" t="str">
        <f t="shared" si="1"/>
        <v>11Y</v>
      </c>
      <c r="F31" s="199" t="str">
        <f t="shared" si="0"/>
        <v>EUREON11Y_Quote</v>
      </c>
      <c r="G31" s="200" t="str">
        <f>_xll.qlOISRateHelper(,B31,C31,F31,$H$2,,Permanent,Trigger,ObjectOverwrite)</f>
        <v>obj_00869#0015</v>
      </c>
      <c r="H31" s="200" t="str">
        <f>_xll.qlOISRateHelper(,B31,C31,F31,$H$2,,Permanent,Trigger,ObjectOverwrite)</f>
        <v>obj_0083b#0019</v>
      </c>
      <c r="I31" s="190" t="str">
        <f>_xll.ohRangeRetrieveError(G31)</f>
        <v/>
      </c>
      <c r="J31" s="190" t="str">
        <f>_xll.ohRangeRetrieveError(H31)</f>
        <v/>
      </c>
      <c r="K31" s="285"/>
    </row>
    <row r="32" spans="1:14" x14ac:dyDescent="0.2">
      <c r="A32" s="281"/>
      <c r="B32" s="302">
        <v>2</v>
      </c>
      <c r="C32" s="302" t="s">
        <v>18</v>
      </c>
      <c r="D32" s="306" t="s">
        <v>67</v>
      </c>
      <c r="E32" s="302" t="str">
        <f t="shared" si="1"/>
        <v>12Y</v>
      </c>
      <c r="F32" s="199" t="str">
        <f t="shared" si="0"/>
        <v>EUREON12Y_Quote</v>
      </c>
      <c r="G32" s="200" t="str">
        <f>_xll.qlOISRateHelper(,B32,C32,F32,$H$2,,Permanent,Trigger,ObjectOverwrite)</f>
        <v>obj_00852#0015</v>
      </c>
      <c r="H32" s="200" t="str">
        <f>_xll.qlOISRateHelper(,B32,C32,F32,$H$2,,Permanent,Trigger,ObjectOverwrite)</f>
        <v>obj_00847#0019</v>
      </c>
      <c r="I32" s="190" t="str">
        <f>_xll.ohRangeRetrieveError(G32)</f>
        <v/>
      </c>
      <c r="J32" s="190" t="str">
        <f>_xll.ohRangeRetrieveError(H32)</f>
        <v/>
      </c>
      <c r="K32" s="285"/>
    </row>
    <row r="33" spans="1:11" x14ac:dyDescent="0.2">
      <c r="A33" s="281"/>
      <c r="B33" s="302">
        <v>2</v>
      </c>
      <c r="C33" s="302" t="s">
        <v>17</v>
      </c>
      <c r="D33" s="306" t="s">
        <v>67</v>
      </c>
      <c r="E33" s="302" t="str">
        <f t="shared" si="1"/>
        <v>15Y</v>
      </c>
      <c r="F33" s="199" t="str">
        <f t="shared" si="0"/>
        <v>EUREON15Y_Quote</v>
      </c>
      <c r="G33" s="200" t="str">
        <f>_xll.qlOISRateHelper(,B33,C33,F33,$H$2,,Permanent,Trigger,ObjectOverwrite)</f>
        <v>obj_00863#0015</v>
      </c>
      <c r="H33" s="200" t="str">
        <f>_xll.qlOISRateHelper(,B33,C33,F33,$H$2,,Permanent,Trigger,ObjectOverwrite)</f>
        <v>obj_00842#0019</v>
      </c>
      <c r="I33" s="190" t="str">
        <f>_xll.ohRangeRetrieveError(G33)</f>
        <v/>
      </c>
      <c r="J33" s="190" t="str">
        <f>_xll.ohRangeRetrieveError(H33)</f>
        <v/>
      </c>
      <c r="K33" s="285"/>
    </row>
    <row r="34" spans="1:11" x14ac:dyDescent="0.2">
      <c r="A34" s="281"/>
      <c r="B34" s="302">
        <v>2</v>
      </c>
      <c r="C34" s="302" t="s">
        <v>16</v>
      </c>
      <c r="D34" s="306" t="s">
        <v>67</v>
      </c>
      <c r="E34" s="302" t="str">
        <f t="shared" si="1"/>
        <v>20Y</v>
      </c>
      <c r="F34" s="199" t="str">
        <f t="shared" si="0"/>
        <v>EUREON20Y_Quote</v>
      </c>
      <c r="G34" s="200" t="str">
        <f>_xll.qlOISRateHelper(,B34,C34,F34,$H$2,,Permanent,Trigger,ObjectOverwrite)</f>
        <v>obj_00856#0015</v>
      </c>
      <c r="H34" s="200" t="str">
        <f>_xll.qlOISRateHelper(,B34,C34,F34,$H$2,,Permanent,Trigger,ObjectOverwrite)</f>
        <v>obj_00846#0019</v>
      </c>
      <c r="I34" s="190" t="str">
        <f>_xll.ohRangeRetrieveError(G34)</f>
        <v/>
      </c>
      <c r="J34" s="190" t="str">
        <f>_xll.ohRangeRetrieveError(H34)</f>
        <v/>
      </c>
      <c r="K34" s="285"/>
    </row>
    <row r="35" spans="1:11" x14ac:dyDescent="0.2">
      <c r="A35" s="281"/>
      <c r="B35" s="302">
        <v>2</v>
      </c>
      <c r="C35" s="302" t="s">
        <v>15</v>
      </c>
      <c r="D35" s="306" t="s">
        <v>67</v>
      </c>
      <c r="E35" s="302" t="str">
        <f t="shared" si="1"/>
        <v>25Y</v>
      </c>
      <c r="F35" s="199" t="str">
        <f t="shared" si="0"/>
        <v>EUREON25Y_Quote</v>
      </c>
      <c r="G35" s="200" t="str">
        <f>_xll.qlOISRateHelper(,B35,C35,F35,$H$2,,Permanent,Trigger,ObjectOverwrite)</f>
        <v>obj_0084e#0015</v>
      </c>
      <c r="H35" s="200" t="str">
        <f>_xll.qlOISRateHelper(,B35,C35,F35,$H$2,,Permanent,Trigger,ObjectOverwrite)</f>
        <v>obj_00845#0019</v>
      </c>
      <c r="I35" s="190" t="str">
        <f>_xll.ohRangeRetrieveError(G35)</f>
        <v/>
      </c>
      <c r="J35" s="190" t="str">
        <f>_xll.ohRangeRetrieveError(H35)</f>
        <v/>
      </c>
      <c r="K35" s="285"/>
    </row>
    <row r="36" spans="1:11" x14ac:dyDescent="0.2">
      <c r="A36" s="281"/>
      <c r="B36" s="302">
        <v>2</v>
      </c>
      <c r="C36" s="302" t="s">
        <v>14</v>
      </c>
      <c r="D36" s="306" t="s">
        <v>67</v>
      </c>
      <c r="E36" s="302" t="str">
        <f t="shared" si="1"/>
        <v>30Y</v>
      </c>
      <c r="F36" s="199" t="str">
        <f t="shared" si="0"/>
        <v>EUREON30Y_Quote</v>
      </c>
      <c r="G36" s="200" t="str">
        <f>_xll.qlOISRateHelper(,B36,C36,F36,$H$2,,Permanent,Trigger,ObjectOverwrite)</f>
        <v>obj_00861#0015</v>
      </c>
      <c r="H36" s="200" t="str">
        <f>_xll.qlOISRateHelper(,B36,C36,F36,$H$2,,Permanent,Trigger,ObjectOverwrite)</f>
        <v>obj_00840#0019</v>
      </c>
      <c r="I36" s="190" t="str">
        <f>_xll.ohRangeRetrieveError(G36)</f>
        <v/>
      </c>
      <c r="J36" s="190" t="str">
        <f>_xll.ohRangeRetrieveError(H36)</f>
        <v/>
      </c>
      <c r="K36" s="285"/>
    </row>
    <row r="37" spans="1:11" x14ac:dyDescent="0.2">
      <c r="A37" s="281"/>
      <c r="B37" s="302">
        <v>2</v>
      </c>
      <c r="C37" s="302" t="s">
        <v>13</v>
      </c>
      <c r="D37" s="306" t="s">
        <v>67</v>
      </c>
      <c r="E37" s="302" t="str">
        <f t="shared" si="1"/>
        <v>40Y</v>
      </c>
      <c r="F37" s="199" t="str">
        <f t="shared" si="0"/>
        <v>EUREON40Y_Quote</v>
      </c>
      <c r="G37" s="200" t="str">
        <f>_xll.qlOISRateHelper(,B37,C37,F37,$H$2,,Permanent,Trigger,ObjectOverwrite)</f>
        <v>obj_0086c#0015</v>
      </c>
      <c r="H37" s="200" t="str">
        <f>_xll.qlOISRateHelper(,B37,C37,F37,$H$2,,Permanent,Trigger,ObjectOverwrite)</f>
        <v>obj_00843#0019</v>
      </c>
      <c r="I37" s="190" t="str">
        <f>_xll.ohRangeRetrieveError(G37)</f>
        <v/>
      </c>
      <c r="J37" s="190" t="str">
        <f>_xll.ohRangeRetrieveError(H37)</f>
        <v/>
      </c>
      <c r="K37" s="285"/>
    </row>
    <row r="38" spans="1:11" x14ac:dyDescent="0.2">
      <c r="A38" s="281"/>
      <c r="B38" s="302">
        <v>2</v>
      </c>
      <c r="C38" s="302" t="s">
        <v>12</v>
      </c>
      <c r="D38" s="306" t="s">
        <v>67</v>
      </c>
      <c r="E38" s="302" t="str">
        <f t="shared" si="1"/>
        <v>50Y</v>
      </c>
      <c r="F38" s="199" t="str">
        <f t="shared" si="0"/>
        <v>EUREON50Y_Quote</v>
      </c>
      <c r="G38" s="200" t="str">
        <f>_xll.qlOISRateHelper(,B38,C38,F38,$H$2,,Permanent,Trigger,ObjectOverwrite)</f>
        <v>obj_0085d#0015</v>
      </c>
      <c r="H38" s="200" t="str">
        <f>_xll.qlOISRateHelper(,B38,C38,F38,$H$2,,Permanent,Trigger,ObjectOverwrite)</f>
        <v>obj_0083e#0019</v>
      </c>
      <c r="I38" s="190" t="str">
        <f>_xll.ohRangeRetrieveError(G38)</f>
        <v/>
      </c>
      <c r="J38" s="190" t="str">
        <f>_xll.ohRangeRetrieveError(H38)</f>
        <v/>
      </c>
      <c r="K38" s="285"/>
    </row>
    <row r="39" spans="1:11" x14ac:dyDescent="0.2">
      <c r="A39" s="282"/>
      <c r="B39" s="305">
        <v>2</v>
      </c>
      <c r="C39" s="305" t="s">
        <v>11</v>
      </c>
      <c r="D39" s="307" t="s">
        <v>67</v>
      </c>
      <c r="E39" s="305" t="str">
        <f t="shared" si="1"/>
        <v>60Y</v>
      </c>
      <c r="F39" s="203" t="str">
        <f t="shared" si="0"/>
        <v>EUREON60Y_Quote</v>
      </c>
      <c r="G39" s="204" t="str">
        <f>_xll.qlOISRateHelper(,B39,C39,F39,$H$2,,Permanent,Trigger,ObjectOverwrite)</f>
        <v>obj_0085b#0015</v>
      </c>
      <c r="H39" s="204" t="str">
        <f>_xll.qlOISRateHelper(,B39,C39,F39,$H$2,,Permanent,Trigger,ObjectOverwrite)</f>
        <v>obj_0083a#0019</v>
      </c>
      <c r="I39" s="192" t="str">
        <f>_xll.ohRangeRetrieveError(G39)</f>
        <v/>
      </c>
      <c r="J39" s="192" t="str">
        <f>_xll.ohRangeRetrieveError(H39)</f>
        <v/>
      </c>
      <c r="K39" s="286"/>
    </row>
    <row r="40" spans="1:11" x14ac:dyDescent="0.2">
      <c r="A40" s="282"/>
      <c r="B40" s="193"/>
      <c r="C40" s="244">
        <f>_xll.qlECBdate(E40,Trigger)</f>
        <v>42165</v>
      </c>
      <c r="D40" s="194" t="s">
        <v>124</v>
      </c>
      <c r="E40" s="194" t="str">
        <f>_xll.qlECBNextCode(_xll.qlCalendarAdvance(Calendar,_xll.qlSettingsEvaluationDate(Trigger),"2D",),Trigger)</f>
        <v>JUN15</v>
      </c>
      <c r="F40" s="195" t="str">
        <f>Currency&amp;$D40&amp;$E40&amp;QuoteSuffix</f>
        <v>EURECBOISJUN15_Quote</v>
      </c>
      <c r="G40" s="196" t="str">
        <f>_xll.qlDatedOISRateHelper(,C40,C41,F40,$H$2,,Permanent,Trigger,ObjectOverwrite)</f>
        <v>obj_00871#0014</v>
      </c>
      <c r="H40" s="196" t="str">
        <f>_xll.qlDatedOISRateHelper(,C40,C41,F40,$H$2,,Permanent,Trigger,ObjectOverwrite)</f>
        <v>obj_00545#0026</v>
      </c>
      <c r="I40" s="188" t="str">
        <f>_xll.ohRangeRetrieveError(G40)</f>
        <v/>
      </c>
      <c r="J40" s="188" t="str">
        <f>_xll.ohRangeRetrieveError(H40)</f>
        <v/>
      </c>
      <c r="K40" s="286"/>
    </row>
    <row r="41" spans="1:11" x14ac:dyDescent="0.2">
      <c r="A41" s="282"/>
      <c r="B41" s="197"/>
      <c r="C41" s="245">
        <f>_xll.qlECBdate(E41,Trigger)</f>
        <v>42207</v>
      </c>
      <c r="D41" s="198" t="s">
        <v>124</v>
      </c>
      <c r="E41" s="198" t="str">
        <f>_xll.qlECBNextCode(C40,Trigger)</f>
        <v>JUL15</v>
      </c>
      <c r="F41" s="199" t="str">
        <f>Currency&amp;$D41&amp;$E41&amp;QuoteSuffix</f>
        <v>EURECBOISJUL15_Quote</v>
      </c>
      <c r="G41" s="200" t="str">
        <f>_xll.qlDatedOISRateHelper(,C41,C42,F41,$H$2,,Permanent,Trigger,ObjectOverwrite)</f>
        <v>obj_00874#0014</v>
      </c>
      <c r="H41" s="200" t="str">
        <f>_xll.qlDatedOISRateHelper(,C41,C42,F41,$H$2,,Permanent,Trigger,ObjectOverwrite)</f>
        <v>obj_00540#0026</v>
      </c>
      <c r="I41" s="190" t="str">
        <f>_xll.ohRangeRetrieveError(G41)</f>
        <v/>
      </c>
      <c r="J41" s="190" t="str">
        <f>_xll.ohRangeRetrieveError(H41)</f>
        <v/>
      </c>
      <c r="K41" s="286"/>
    </row>
    <row r="42" spans="1:11" x14ac:dyDescent="0.2">
      <c r="A42" s="282"/>
      <c r="B42" s="197"/>
      <c r="C42" s="245">
        <f>_xll.qlECBdate(E42,Trigger)</f>
        <v>42256</v>
      </c>
      <c r="D42" s="198" t="s">
        <v>124</v>
      </c>
      <c r="E42" s="198" t="str">
        <f>_xll.qlECBNextCode(C41,Trigger)</f>
        <v>SEP15</v>
      </c>
      <c r="F42" s="199" t="str">
        <f>Currency&amp;$D42&amp;$E42&amp;QuoteSuffix</f>
        <v>EURECBOISSEP15_Quote</v>
      </c>
      <c r="G42" s="200" t="str">
        <f>_xll.qlDatedOISRateHelper(,C42,C43,F42,$H$2,,Permanent,Trigger,ObjectOverwrite)</f>
        <v>obj_00873#0014</v>
      </c>
      <c r="H42" s="200" t="str">
        <f>_xll.qlDatedOISRateHelper(,C42,C43,F42,$H$2,,Permanent,Trigger,ObjectOverwrite)</f>
        <v>obj_0053f#0026</v>
      </c>
      <c r="I42" s="190" t="str">
        <f>_xll.ohRangeRetrieveError(G42)</f>
        <v/>
      </c>
      <c r="J42" s="190" t="str">
        <f>_xll.ohRangeRetrieveError(H42)</f>
        <v/>
      </c>
      <c r="K42" s="286"/>
    </row>
    <row r="43" spans="1:11" x14ac:dyDescent="0.2">
      <c r="A43" s="282"/>
      <c r="B43" s="197"/>
      <c r="C43" s="245">
        <f>_xll.qlECBdate(E43,Trigger)</f>
        <v>42305</v>
      </c>
      <c r="D43" s="198" t="s">
        <v>124</v>
      </c>
      <c r="E43" s="198" t="str">
        <f>_xll.qlECBNextCode(C42,Trigger)</f>
        <v>OCT15</v>
      </c>
      <c r="F43" s="199" t="str">
        <f>Currency&amp;$D43&amp;$E43&amp;QuoteSuffix</f>
        <v>EURECBOISOCT15_Quote</v>
      </c>
      <c r="G43" s="200" t="str">
        <f>_xll.qlDatedOISRateHelper(,C43,C44,F43,$H$2,,Permanent,Trigger,ObjectOverwrite)</f>
        <v>obj_00872#0014</v>
      </c>
      <c r="H43" s="200" t="str">
        <f>_xll.qlDatedOISRateHelper(,C43,C44,F43,$H$2,,Permanent,Trigger,ObjectOverwrite)</f>
        <v>obj_0053e#0026</v>
      </c>
      <c r="I43" s="190" t="str">
        <f>_xll.ohRangeRetrieveError(G43)</f>
        <v/>
      </c>
      <c r="J43" s="190" t="str">
        <f>_xll.ohRangeRetrieveError(H43)</f>
        <v/>
      </c>
      <c r="K43" s="286"/>
    </row>
    <row r="44" spans="1:11" x14ac:dyDescent="0.2">
      <c r="A44" s="282"/>
      <c r="B44" s="197"/>
      <c r="C44" s="245">
        <f>_xll.qlECBdate(E44,Trigger)</f>
        <v>42347</v>
      </c>
      <c r="D44" s="198" t="s">
        <v>124</v>
      </c>
      <c r="E44" s="198" t="str">
        <f>_xll.qlECBNextCode(C43,Trigger)</f>
        <v>DEC15</v>
      </c>
      <c r="F44" s="199" t="str">
        <f>Currency&amp;$D44&amp;$E44&amp;QuoteSuffix</f>
        <v>EURECBOISDEC15_Quote</v>
      </c>
      <c r="G44" s="200" t="str">
        <f>_xll.qlDatedOISRateHelper(,C44,C45,F44,$H$2,,Permanent,Trigger,ObjectOverwrite)</f>
        <v>obj_00878#0014</v>
      </c>
      <c r="H44" s="200" t="str">
        <f>_xll.qlDatedOISRateHelper(,C44,C45,F44,$H$2,,Permanent,Trigger,ObjectOverwrite)</f>
        <v>obj_00544#0026</v>
      </c>
      <c r="I44" s="190" t="str">
        <f>_xll.ohRangeRetrieveError(G44)</f>
        <v/>
      </c>
      <c r="J44" s="190" t="str">
        <f>_xll.ohRangeRetrieveError(H44)</f>
        <v/>
      </c>
      <c r="K44" s="286"/>
    </row>
    <row r="45" spans="1:11" x14ac:dyDescent="0.2">
      <c r="A45" s="282"/>
      <c r="B45" s="197"/>
      <c r="C45" s="245">
        <f>_xll.qlECBdate(E45,Trigger)</f>
        <v>42395</v>
      </c>
      <c r="D45" s="198" t="s">
        <v>124</v>
      </c>
      <c r="E45" s="198" t="str">
        <f>_xll.qlECBNextCode(C44,Trigger)</f>
        <v>JAN16</v>
      </c>
      <c r="F45" s="199" t="str">
        <f>Currency&amp;$D45&amp;$E45&amp;QuoteSuffix</f>
        <v>EURECBOISJAN16_Quote</v>
      </c>
      <c r="G45" s="200" t="str">
        <f>_xll.qlDatedOISRateHelper(,C45,C46,F45,$H$2,,Permanent,Trigger,ObjectOverwrite)</f>
        <v>obj_00877#0014</v>
      </c>
      <c r="H45" s="200" t="str">
        <f>_xll.qlDatedOISRateHelper(,C45,C46,F45,$H$2,,Permanent,Trigger,ObjectOverwrite)</f>
        <v>obj_00541#0026</v>
      </c>
      <c r="I45" s="190" t="str">
        <f>_xll.ohRangeRetrieveError(G45)</f>
        <v/>
      </c>
      <c r="J45" s="190" t="str">
        <f>_xll.ohRangeRetrieveError(H45)</f>
        <v/>
      </c>
      <c r="K45" s="286"/>
    </row>
    <row r="46" spans="1:11" x14ac:dyDescent="0.2">
      <c r="A46" s="282"/>
      <c r="B46" s="197"/>
      <c r="C46" s="245">
        <f>_xll.qlECBdate(E46,Trigger)</f>
        <v>42445</v>
      </c>
      <c r="D46" s="198" t="s">
        <v>124</v>
      </c>
      <c r="E46" s="198" t="str">
        <f>_xll.qlECBNextCode(C45,Trigger)</f>
        <v>MAR16</v>
      </c>
      <c r="F46" s="199" t="str">
        <f>Currency&amp;$D46&amp;$E46&amp;QuoteSuffix</f>
        <v>EURECBOISMAR16_Quote</v>
      </c>
      <c r="G46" s="200" t="str">
        <f>_xll.qlDatedOISRateHelper(,C46,C47,F46,$H$2,,Permanent,Trigger,ObjectOverwrite)</f>
        <v>obj_00876#0014</v>
      </c>
      <c r="H46" s="200" t="str">
        <f>_xll.qlDatedOISRateHelper(,C46,C47,F46,$H$2,,Permanent,Trigger,ObjectOverwrite)</f>
        <v>obj_00543#0026</v>
      </c>
      <c r="I46" s="190" t="str">
        <f>_xll.ohRangeRetrieveError(G46)</f>
        <v/>
      </c>
      <c r="J46" s="190" t="str">
        <f>_xll.ohRangeRetrieveError(H46)</f>
        <v/>
      </c>
      <c r="K46" s="286"/>
    </row>
    <row r="47" spans="1:11" x14ac:dyDescent="0.2">
      <c r="A47" s="282"/>
      <c r="B47" s="197"/>
      <c r="C47" s="245">
        <f>_xll.qlECBdate(E47,Trigger)</f>
        <v>42487</v>
      </c>
      <c r="D47" s="198" t="s">
        <v>124</v>
      </c>
      <c r="E47" s="198" t="str">
        <f>_xll.qlECBNextCode(C46,Trigger)</f>
        <v>APR16</v>
      </c>
      <c r="F47" s="199" t="str">
        <f>Currency&amp;$D47&amp;$E47&amp;QuoteSuffix</f>
        <v>EURECBOISAPR16_Quote</v>
      </c>
      <c r="G47" s="200" t="str">
        <f>_xll.qlDatedOISRateHelper(,C47,C48,F47,$H$2,,Permanent,Trigger,ObjectOverwrite)</f>
        <v>obj_00875#0014</v>
      </c>
      <c r="H47" s="200" t="str">
        <f>_xll.qlDatedOISRateHelper(,C47,C48,F47,$H$2,,Permanent,Trigger,ObjectOverwrite)</f>
        <v>obj_00542#0027</v>
      </c>
      <c r="I47" s="190" t="str">
        <f>_xll.ohRangeRetrieveError(G47)</f>
        <v/>
      </c>
      <c r="J47" s="190" t="str">
        <f>_xll.ohRangeRetrieveError(H47)</f>
        <v/>
      </c>
      <c r="K47" s="286"/>
    </row>
    <row r="48" spans="1:11" x14ac:dyDescent="0.2">
      <c r="A48" s="282"/>
      <c r="B48" s="197"/>
      <c r="C48" s="245">
        <f>_xll.qlECBdate(E48,Trigger)</f>
        <v>42529</v>
      </c>
      <c r="D48" s="198" t="s">
        <v>124</v>
      </c>
      <c r="E48" s="198" t="str">
        <f>_xll.qlECBNextCode(C47,Trigger)</f>
        <v>JUN16</v>
      </c>
      <c r="F48" s="199" t="str">
        <f>Currency&amp;$D48&amp;$E48&amp;QuoteSuffix</f>
        <v>EURECBOISJUN16_Quote</v>
      </c>
      <c r="G48" s="200" t="e">
        <f>_xll.qlDatedOISRateHelper(,C48,C49,F48,$H$2,,Permanent,Trigger,ObjectOverwrite)</f>
        <v>#NUM!</v>
      </c>
      <c r="H48" s="200" t="e">
        <f>_xll.qlDatedOISRateHelper(,C48,C49,F48,$H$2,,Permanent,Trigger,ObjectOverwrite)</f>
        <v>#NUM!</v>
      </c>
      <c r="I48" s="190" t="str">
        <f ca="1">_xll.ohRangeRetrieveError(G48)</f>
        <v>qlDatedOISRateHelper - Error converting parameter 'EndDate' : 'unable to convert type 'struct ObjectHandler::empty_property_tag' to type 'QuantLib::Date'</v>
      </c>
      <c r="J48" s="190" t="str">
        <f ca="1">_xll.ohRangeRetrieveError(H48)</f>
        <v>qlDatedOISRateHelper - Error converting parameter 'EndDate' : 'unable to convert type 'struct ObjectHandler::empty_property_tag' to type 'QuantLib::Date'</v>
      </c>
      <c r="K48" s="286"/>
    </row>
    <row r="49" spans="1:11" x14ac:dyDescent="0.2">
      <c r="A49" s="282"/>
      <c r="B49" s="197"/>
      <c r="C49" s="245" t="e">
        <f>_xll.qlECBdate(E49,Trigger)</f>
        <v>#VALUE!</v>
      </c>
      <c r="D49" s="198" t="s">
        <v>124</v>
      </c>
      <c r="E49" s="198" t="e">
        <f>_xll.qlECBNextCode(C48,Trigger)</f>
        <v>#NUM!</v>
      </c>
      <c r="F49" s="199" t="e">
        <f>Currency&amp;$D49&amp;$E49&amp;QuoteSuffix</f>
        <v>#NUM!</v>
      </c>
      <c r="G49" s="200" t="e">
        <f>_xll.qlDatedOISRateHelper(,C49,C50,F49,$H$2,,Permanent,Trigger,ObjectOverwrite)</f>
        <v>#NUM!</v>
      </c>
      <c r="H49" s="200" t="e">
        <f>_xll.qlDatedOISRateHelper(,C49,C50,F49,$H$2,,Permanent,Trigger,ObjectOverwrite)</f>
        <v>#NUM!</v>
      </c>
      <c r="I49" s="190" t="str">
        <f ca="1">_xll.ohRangeRetrieveError(G49)</f>
        <v>qlDatedOISRateHelper - Error converting parameter 'StartDate' : 'unable to convert type 'struct ObjectHandler::empty_property_tag' to type 'QuantLib::Date'</v>
      </c>
      <c r="J49" s="190" t="str">
        <f ca="1">_xll.ohRangeRetrieveError(H49)</f>
        <v>qlDatedOISRateHelper - Error converting parameter 'StartDate' : 'unable to convert type 'struct ObjectHandler::empty_property_tag' to type 'QuantLib::Date'</v>
      </c>
      <c r="K49" s="286"/>
    </row>
    <row r="50" spans="1:11" x14ac:dyDescent="0.2">
      <c r="A50" s="282"/>
      <c r="B50" s="197"/>
      <c r="C50" s="245" t="e">
        <f>_xll.qlECBdate(E50,Trigger)</f>
        <v>#VALUE!</v>
      </c>
      <c r="D50" s="198" t="s">
        <v>124</v>
      </c>
      <c r="E50" s="198" t="e">
        <f>_xll.qlECBNextCode(C49,Trigger)</f>
        <v>#NUM!</v>
      </c>
      <c r="F50" s="199" t="e">
        <f>Currency&amp;$D50&amp;$E50&amp;QuoteSuffix</f>
        <v>#NUM!</v>
      </c>
      <c r="G50" s="200" t="e">
        <f>_xll.qlDatedOISRateHelper(,C50,C51,F50,$H$2,,Permanent,Trigger,ObjectOverwrite)</f>
        <v>#NUM!</v>
      </c>
      <c r="H50" s="200" t="e">
        <f>_xll.qlDatedOISRateHelper(,C50,C51,F50,$H$2,,Permanent,Trigger,ObjectOverwrite)</f>
        <v>#NUM!</v>
      </c>
      <c r="I50" s="190" t="str">
        <f ca="1">_xll.ohRangeRetrieveError(G50)</f>
        <v>qlDatedOISRateHelper - Error converting parameter 'StartDate' : 'unable to convert type 'struct ObjectHandler::empty_property_tag' to type 'QuantLib::Date'</v>
      </c>
      <c r="J50" s="190" t="str">
        <f ca="1">_xll.ohRangeRetrieveError(H50)</f>
        <v>qlDatedOISRateHelper - Error converting parameter 'StartDate' : 'unable to convert type 'struct ObjectHandler::empty_property_tag' to type 'QuantLib::Date'</v>
      </c>
      <c r="K50" s="286"/>
    </row>
    <row r="51" spans="1:11" x14ac:dyDescent="0.2">
      <c r="A51" s="282"/>
      <c r="B51" s="201"/>
      <c r="C51" s="246" t="e">
        <f>_xll.qlECBdate(E51,Trigger)</f>
        <v>#VALUE!</v>
      </c>
      <c r="D51" s="202" t="s">
        <v>124</v>
      </c>
      <c r="E51" s="202" t="e">
        <f>_xll.qlECBNextCode(C50,Trigger)</f>
        <v>#NUM!</v>
      </c>
      <c r="F51" s="203" t="e">
        <f>Currency&amp;$D51&amp;$E51&amp;QuoteSuffix</f>
        <v>#NUM!</v>
      </c>
      <c r="G51" s="204" t="e">
        <f>_xll.qlDatedOISRateHelper(,C51,#REF!,F51,$H$2,,Permanent,Trigger,ObjectOverwrite)</f>
        <v>#NUM!</v>
      </c>
      <c r="H51" s="204" t="e">
        <f>_xll.qlDatedOISRateHelper(,C51,#REF!,F51,$H$2,,Permanent,Trigger,ObjectOverwrite)</f>
        <v>#NUM!</v>
      </c>
      <c r="I51" s="192" t="str">
        <f ca="1">_xll.ohRangeRetrieveError(G51)</f>
        <v>qlDatedOISRateHelper - Error converting parameter 'StartDate' : 'unable to convert type 'struct ObjectHandler::empty_property_tag' to type 'QuantLib::Date'</v>
      </c>
      <c r="J51" s="192" t="str">
        <f ca="1">_xll.ohRangeRetrieveError(H51)</f>
        <v>qlDatedOISRateHelper - Error converting parameter 'StartDate' : 'unable to convert type 'struct ObjectHandler::empty_property_tag' to type 'QuantLib::Date'</v>
      </c>
      <c r="K51" s="286"/>
    </row>
    <row r="52" spans="1:11" ht="12" thickBot="1" x14ac:dyDescent="0.25">
      <c r="A52" s="287"/>
      <c r="B52" s="288"/>
      <c r="C52" s="288"/>
      <c r="D52" s="288"/>
      <c r="E52" s="288"/>
      <c r="F52" s="288"/>
      <c r="G52" s="288"/>
      <c r="H52" s="289"/>
      <c r="I52" s="288"/>
      <c r="J52" s="288"/>
      <c r="K52" s="290"/>
    </row>
  </sheetData>
  <dataValidations disablePrompts="1" count="2">
    <dataValidation type="list" allowBlank="1" showInputMessage="1" showErrorMessage="1" sqref="WVL982997:WVL983065 IZ65493:IZ65561 SV65493:SV65561 ACR65493:ACR65561 AMN65493:AMN65561 AWJ65493:AWJ65561 BGF65493:BGF65561 BQB65493:BQB65561 BZX65493:BZX65561 CJT65493:CJT65561 CTP65493:CTP65561 DDL65493:DDL65561 DNH65493:DNH65561 DXD65493:DXD65561 EGZ65493:EGZ65561 EQV65493:EQV65561 FAR65493:FAR65561 FKN65493:FKN65561 FUJ65493:FUJ65561 GEF65493:GEF65561 GOB65493:GOB65561 GXX65493:GXX65561 HHT65493:HHT65561 HRP65493:HRP65561 IBL65493:IBL65561 ILH65493:ILH65561 IVD65493:IVD65561 JEZ65493:JEZ65561 JOV65493:JOV65561 JYR65493:JYR65561 KIN65493:KIN65561 KSJ65493:KSJ65561 LCF65493:LCF65561 LMB65493:LMB65561 LVX65493:LVX65561 MFT65493:MFT65561 MPP65493:MPP65561 MZL65493:MZL65561 NJH65493:NJH65561 NTD65493:NTD65561 OCZ65493:OCZ65561 OMV65493:OMV65561 OWR65493:OWR65561 PGN65493:PGN65561 PQJ65493:PQJ65561 QAF65493:QAF65561 QKB65493:QKB65561 QTX65493:QTX65561 RDT65493:RDT65561 RNP65493:RNP65561 RXL65493:RXL65561 SHH65493:SHH65561 SRD65493:SRD65561 TAZ65493:TAZ65561 TKV65493:TKV65561 TUR65493:TUR65561 UEN65493:UEN65561 UOJ65493:UOJ65561 UYF65493:UYF65561 VIB65493:VIB65561 VRX65493:VRX65561 WBT65493:WBT65561 WLP65493:WLP65561 WVL65493:WVL65561 IZ131029:IZ131097 SV131029:SV131097 ACR131029:ACR131097 AMN131029:AMN131097 AWJ131029:AWJ131097 BGF131029:BGF131097 BQB131029:BQB131097 BZX131029:BZX131097 CJT131029:CJT131097 CTP131029:CTP131097 DDL131029:DDL131097 DNH131029:DNH131097 DXD131029:DXD131097 EGZ131029:EGZ131097 EQV131029:EQV131097 FAR131029:FAR131097 FKN131029:FKN131097 FUJ131029:FUJ131097 GEF131029:GEF131097 GOB131029:GOB131097 GXX131029:GXX131097 HHT131029:HHT131097 HRP131029:HRP131097 IBL131029:IBL131097 ILH131029:ILH131097 IVD131029:IVD131097 JEZ131029:JEZ131097 JOV131029:JOV131097 JYR131029:JYR131097 KIN131029:KIN131097 KSJ131029:KSJ131097 LCF131029:LCF131097 LMB131029:LMB131097 LVX131029:LVX131097 MFT131029:MFT131097 MPP131029:MPP131097 MZL131029:MZL131097 NJH131029:NJH131097 NTD131029:NTD131097 OCZ131029:OCZ131097 OMV131029:OMV131097 OWR131029:OWR131097 PGN131029:PGN131097 PQJ131029:PQJ131097 QAF131029:QAF131097 QKB131029:QKB131097 QTX131029:QTX131097 RDT131029:RDT131097 RNP131029:RNP131097 RXL131029:RXL131097 SHH131029:SHH131097 SRD131029:SRD131097 TAZ131029:TAZ131097 TKV131029:TKV131097 TUR131029:TUR131097 UEN131029:UEN131097 UOJ131029:UOJ131097 UYF131029:UYF131097 VIB131029:VIB131097 VRX131029:VRX131097 WBT131029:WBT131097 WLP131029:WLP131097 WVL131029:WVL131097 IZ196565:IZ196633 SV196565:SV196633 ACR196565:ACR196633 AMN196565:AMN196633 AWJ196565:AWJ196633 BGF196565:BGF196633 BQB196565:BQB196633 BZX196565:BZX196633 CJT196565:CJT196633 CTP196565:CTP196633 DDL196565:DDL196633 DNH196565:DNH196633 DXD196565:DXD196633 EGZ196565:EGZ196633 EQV196565:EQV196633 FAR196565:FAR196633 FKN196565:FKN196633 FUJ196565:FUJ196633 GEF196565:GEF196633 GOB196565:GOB196633 GXX196565:GXX196633 HHT196565:HHT196633 HRP196565:HRP196633 IBL196565:IBL196633 ILH196565:ILH196633 IVD196565:IVD196633 JEZ196565:JEZ196633 JOV196565:JOV196633 JYR196565:JYR196633 KIN196565:KIN196633 KSJ196565:KSJ196633 LCF196565:LCF196633 LMB196565:LMB196633 LVX196565:LVX196633 MFT196565:MFT196633 MPP196565:MPP196633 MZL196565:MZL196633 NJH196565:NJH196633 NTD196565:NTD196633 OCZ196565:OCZ196633 OMV196565:OMV196633 OWR196565:OWR196633 PGN196565:PGN196633 PQJ196565:PQJ196633 QAF196565:QAF196633 QKB196565:QKB196633 QTX196565:QTX196633 RDT196565:RDT196633 RNP196565:RNP196633 RXL196565:RXL196633 SHH196565:SHH196633 SRD196565:SRD196633 TAZ196565:TAZ196633 TKV196565:TKV196633 TUR196565:TUR196633 UEN196565:UEN196633 UOJ196565:UOJ196633 UYF196565:UYF196633 VIB196565:VIB196633 VRX196565:VRX196633 WBT196565:WBT196633 WLP196565:WLP196633 WVL196565:WVL196633 IZ262101:IZ262169 SV262101:SV262169 ACR262101:ACR262169 AMN262101:AMN262169 AWJ262101:AWJ262169 BGF262101:BGF262169 BQB262101:BQB262169 BZX262101:BZX262169 CJT262101:CJT262169 CTP262101:CTP262169 DDL262101:DDL262169 DNH262101:DNH262169 DXD262101:DXD262169 EGZ262101:EGZ262169 EQV262101:EQV262169 FAR262101:FAR262169 FKN262101:FKN262169 FUJ262101:FUJ262169 GEF262101:GEF262169 GOB262101:GOB262169 GXX262101:GXX262169 HHT262101:HHT262169 HRP262101:HRP262169 IBL262101:IBL262169 ILH262101:ILH262169 IVD262101:IVD262169 JEZ262101:JEZ262169 JOV262101:JOV262169 JYR262101:JYR262169 KIN262101:KIN262169 KSJ262101:KSJ262169 LCF262101:LCF262169 LMB262101:LMB262169 LVX262101:LVX262169 MFT262101:MFT262169 MPP262101:MPP262169 MZL262101:MZL262169 NJH262101:NJH262169 NTD262101:NTD262169 OCZ262101:OCZ262169 OMV262101:OMV262169 OWR262101:OWR262169 PGN262101:PGN262169 PQJ262101:PQJ262169 QAF262101:QAF262169 QKB262101:QKB262169 QTX262101:QTX262169 RDT262101:RDT262169 RNP262101:RNP262169 RXL262101:RXL262169 SHH262101:SHH262169 SRD262101:SRD262169 TAZ262101:TAZ262169 TKV262101:TKV262169 TUR262101:TUR262169 UEN262101:UEN262169 UOJ262101:UOJ262169 UYF262101:UYF262169 VIB262101:VIB262169 VRX262101:VRX262169 WBT262101:WBT262169 WLP262101:WLP262169 WVL262101:WVL262169 IZ327637:IZ327705 SV327637:SV327705 ACR327637:ACR327705 AMN327637:AMN327705 AWJ327637:AWJ327705 BGF327637:BGF327705 BQB327637:BQB327705 BZX327637:BZX327705 CJT327637:CJT327705 CTP327637:CTP327705 DDL327637:DDL327705 DNH327637:DNH327705 DXD327637:DXD327705 EGZ327637:EGZ327705 EQV327637:EQV327705 FAR327637:FAR327705 FKN327637:FKN327705 FUJ327637:FUJ327705 GEF327637:GEF327705 GOB327637:GOB327705 GXX327637:GXX327705 HHT327637:HHT327705 HRP327637:HRP327705 IBL327637:IBL327705 ILH327637:ILH327705 IVD327637:IVD327705 JEZ327637:JEZ327705 JOV327637:JOV327705 JYR327637:JYR327705 KIN327637:KIN327705 KSJ327637:KSJ327705 LCF327637:LCF327705 LMB327637:LMB327705 LVX327637:LVX327705 MFT327637:MFT327705 MPP327637:MPP327705 MZL327637:MZL327705 NJH327637:NJH327705 NTD327637:NTD327705 OCZ327637:OCZ327705 OMV327637:OMV327705 OWR327637:OWR327705 PGN327637:PGN327705 PQJ327637:PQJ327705 QAF327637:QAF327705 QKB327637:QKB327705 QTX327637:QTX327705 RDT327637:RDT327705 RNP327637:RNP327705 RXL327637:RXL327705 SHH327637:SHH327705 SRD327637:SRD327705 TAZ327637:TAZ327705 TKV327637:TKV327705 TUR327637:TUR327705 UEN327637:UEN327705 UOJ327637:UOJ327705 UYF327637:UYF327705 VIB327637:VIB327705 VRX327637:VRX327705 WBT327637:WBT327705 WLP327637:WLP327705 WVL327637:WVL327705 IZ393173:IZ393241 SV393173:SV393241 ACR393173:ACR393241 AMN393173:AMN393241 AWJ393173:AWJ393241 BGF393173:BGF393241 BQB393173:BQB393241 BZX393173:BZX393241 CJT393173:CJT393241 CTP393173:CTP393241 DDL393173:DDL393241 DNH393173:DNH393241 DXD393173:DXD393241 EGZ393173:EGZ393241 EQV393173:EQV393241 FAR393173:FAR393241 FKN393173:FKN393241 FUJ393173:FUJ393241 GEF393173:GEF393241 GOB393173:GOB393241 GXX393173:GXX393241 HHT393173:HHT393241 HRP393173:HRP393241 IBL393173:IBL393241 ILH393173:ILH393241 IVD393173:IVD393241 JEZ393173:JEZ393241 JOV393173:JOV393241 JYR393173:JYR393241 KIN393173:KIN393241 KSJ393173:KSJ393241 LCF393173:LCF393241 LMB393173:LMB393241 LVX393173:LVX393241 MFT393173:MFT393241 MPP393173:MPP393241 MZL393173:MZL393241 NJH393173:NJH393241 NTD393173:NTD393241 OCZ393173:OCZ393241 OMV393173:OMV393241 OWR393173:OWR393241 PGN393173:PGN393241 PQJ393173:PQJ393241 QAF393173:QAF393241 QKB393173:QKB393241 QTX393173:QTX393241 RDT393173:RDT393241 RNP393173:RNP393241 RXL393173:RXL393241 SHH393173:SHH393241 SRD393173:SRD393241 TAZ393173:TAZ393241 TKV393173:TKV393241 TUR393173:TUR393241 UEN393173:UEN393241 UOJ393173:UOJ393241 UYF393173:UYF393241 VIB393173:VIB393241 VRX393173:VRX393241 WBT393173:WBT393241 WLP393173:WLP393241 WVL393173:WVL393241 IZ458709:IZ458777 SV458709:SV458777 ACR458709:ACR458777 AMN458709:AMN458777 AWJ458709:AWJ458777 BGF458709:BGF458777 BQB458709:BQB458777 BZX458709:BZX458777 CJT458709:CJT458777 CTP458709:CTP458777 DDL458709:DDL458777 DNH458709:DNH458777 DXD458709:DXD458777 EGZ458709:EGZ458777 EQV458709:EQV458777 FAR458709:FAR458777 FKN458709:FKN458777 FUJ458709:FUJ458777 GEF458709:GEF458777 GOB458709:GOB458777 GXX458709:GXX458777 HHT458709:HHT458777 HRP458709:HRP458777 IBL458709:IBL458777 ILH458709:ILH458777 IVD458709:IVD458777 JEZ458709:JEZ458777 JOV458709:JOV458777 JYR458709:JYR458777 KIN458709:KIN458777 KSJ458709:KSJ458777 LCF458709:LCF458777 LMB458709:LMB458777 LVX458709:LVX458777 MFT458709:MFT458777 MPP458709:MPP458777 MZL458709:MZL458777 NJH458709:NJH458777 NTD458709:NTD458777 OCZ458709:OCZ458777 OMV458709:OMV458777 OWR458709:OWR458777 PGN458709:PGN458777 PQJ458709:PQJ458777 QAF458709:QAF458777 QKB458709:QKB458777 QTX458709:QTX458777 RDT458709:RDT458777 RNP458709:RNP458777 RXL458709:RXL458777 SHH458709:SHH458777 SRD458709:SRD458777 TAZ458709:TAZ458777 TKV458709:TKV458777 TUR458709:TUR458777 UEN458709:UEN458777 UOJ458709:UOJ458777 UYF458709:UYF458777 VIB458709:VIB458777 VRX458709:VRX458777 WBT458709:WBT458777 WLP458709:WLP458777 WVL458709:WVL458777 IZ524245:IZ524313 SV524245:SV524313 ACR524245:ACR524313 AMN524245:AMN524313 AWJ524245:AWJ524313 BGF524245:BGF524313 BQB524245:BQB524313 BZX524245:BZX524313 CJT524245:CJT524313 CTP524245:CTP524313 DDL524245:DDL524313 DNH524245:DNH524313 DXD524245:DXD524313 EGZ524245:EGZ524313 EQV524245:EQV524313 FAR524245:FAR524313 FKN524245:FKN524313 FUJ524245:FUJ524313 GEF524245:GEF524313 GOB524245:GOB524313 GXX524245:GXX524313 HHT524245:HHT524313 HRP524245:HRP524313 IBL524245:IBL524313 ILH524245:ILH524313 IVD524245:IVD524313 JEZ524245:JEZ524313 JOV524245:JOV524313 JYR524245:JYR524313 KIN524245:KIN524313 KSJ524245:KSJ524313 LCF524245:LCF524313 LMB524245:LMB524313 LVX524245:LVX524313 MFT524245:MFT524313 MPP524245:MPP524313 MZL524245:MZL524313 NJH524245:NJH524313 NTD524245:NTD524313 OCZ524245:OCZ524313 OMV524245:OMV524313 OWR524245:OWR524313 PGN524245:PGN524313 PQJ524245:PQJ524313 QAF524245:QAF524313 QKB524245:QKB524313 QTX524245:QTX524313 RDT524245:RDT524313 RNP524245:RNP524313 RXL524245:RXL524313 SHH524245:SHH524313 SRD524245:SRD524313 TAZ524245:TAZ524313 TKV524245:TKV524313 TUR524245:TUR524313 UEN524245:UEN524313 UOJ524245:UOJ524313 UYF524245:UYF524313 VIB524245:VIB524313 VRX524245:VRX524313 WBT524245:WBT524313 WLP524245:WLP524313 WVL524245:WVL524313 IZ589781:IZ589849 SV589781:SV589849 ACR589781:ACR589849 AMN589781:AMN589849 AWJ589781:AWJ589849 BGF589781:BGF589849 BQB589781:BQB589849 BZX589781:BZX589849 CJT589781:CJT589849 CTP589781:CTP589849 DDL589781:DDL589849 DNH589781:DNH589849 DXD589781:DXD589849 EGZ589781:EGZ589849 EQV589781:EQV589849 FAR589781:FAR589849 FKN589781:FKN589849 FUJ589781:FUJ589849 GEF589781:GEF589849 GOB589781:GOB589849 GXX589781:GXX589849 HHT589781:HHT589849 HRP589781:HRP589849 IBL589781:IBL589849 ILH589781:ILH589849 IVD589781:IVD589849 JEZ589781:JEZ589849 JOV589781:JOV589849 JYR589781:JYR589849 KIN589781:KIN589849 KSJ589781:KSJ589849 LCF589781:LCF589849 LMB589781:LMB589849 LVX589781:LVX589849 MFT589781:MFT589849 MPP589781:MPP589849 MZL589781:MZL589849 NJH589781:NJH589849 NTD589781:NTD589849 OCZ589781:OCZ589849 OMV589781:OMV589849 OWR589781:OWR589849 PGN589781:PGN589849 PQJ589781:PQJ589849 QAF589781:QAF589849 QKB589781:QKB589849 QTX589781:QTX589849 RDT589781:RDT589849 RNP589781:RNP589849 RXL589781:RXL589849 SHH589781:SHH589849 SRD589781:SRD589849 TAZ589781:TAZ589849 TKV589781:TKV589849 TUR589781:TUR589849 UEN589781:UEN589849 UOJ589781:UOJ589849 UYF589781:UYF589849 VIB589781:VIB589849 VRX589781:VRX589849 WBT589781:WBT589849 WLP589781:WLP589849 WVL589781:WVL589849 IZ655317:IZ655385 SV655317:SV655385 ACR655317:ACR655385 AMN655317:AMN655385 AWJ655317:AWJ655385 BGF655317:BGF655385 BQB655317:BQB655385 BZX655317:BZX655385 CJT655317:CJT655385 CTP655317:CTP655385 DDL655317:DDL655385 DNH655317:DNH655385 DXD655317:DXD655385 EGZ655317:EGZ655385 EQV655317:EQV655385 FAR655317:FAR655385 FKN655317:FKN655385 FUJ655317:FUJ655385 GEF655317:GEF655385 GOB655317:GOB655385 GXX655317:GXX655385 HHT655317:HHT655385 HRP655317:HRP655385 IBL655317:IBL655385 ILH655317:ILH655385 IVD655317:IVD655385 JEZ655317:JEZ655385 JOV655317:JOV655385 JYR655317:JYR655385 KIN655317:KIN655385 KSJ655317:KSJ655385 LCF655317:LCF655385 LMB655317:LMB655385 LVX655317:LVX655385 MFT655317:MFT655385 MPP655317:MPP655385 MZL655317:MZL655385 NJH655317:NJH655385 NTD655317:NTD655385 OCZ655317:OCZ655385 OMV655317:OMV655385 OWR655317:OWR655385 PGN655317:PGN655385 PQJ655317:PQJ655385 QAF655317:QAF655385 QKB655317:QKB655385 QTX655317:QTX655385 RDT655317:RDT655385 RNP655317:RNP655385 RXL655317:RXL655385 SHH655317:SHH655385 SRD655317:SRD655385 TAZ655317:TAZ655385 TKV655317:TKV655385 TUR655317:TUR655385 UEN655317:UEN655385 UOJ655317:UOJ655385 UYF655317:UYF655385 VIB655317:VIB655385 VRX655317:VRX655385 WBT655317:WBT655385 WLP655317:WLP655385 WVL655317:WVL655385 IZ720853:IZ720921 SV720853:SV720921 ACR720853:ACR720921 AMN720853:AMN720921 AWJ720853:AWJ720921 BGF720853:BGF720921 BQB720853:BQB720921 BZX720853:BZX720921 CJT720853:CJT720921 CTP720853:CTP720921 DDL720853:DDL720921 DNH720853:DNH720921 DXD720853:DXD720921 EGZ720853:EGZ720921 EQV720853:EQV720921 FAR720853:FAR720921 FKN720853:FKN720921 FUJ720853:FUJ720921 GEF720853:GEF720921 GOB720853:GOB720921 GXX720853:GXX720921 HHT720853:HHT720921 HRP720853:HRP720921 IBL720853:IBL720921 ILH720853:ILH720921 IVD720853:IVD720921 JEZ720853:JEZ720921 JOV720853:JOV720921 JYR720853:JYR720921 KIN720853:KIN720921 KSJ720853:KSJ720921 LCF720853:LCF720921 LMB720853:LMB720921 LVX720853:LVX720921 MFT720853:MFT720921 MPP720853:MPP720921 MZL720853:MZL720921 NJH720853:NJH720921 NTD720853:NTD720921 OCZ720853:OCZ720921 OMV720853:OMV720921 OWR720853:OWR720921 PGN720853:PGN720921 PQJ720853:PQJ720921 QAF720853:QAF720921 QKB720853:QKB720921 QTX720853:QTX720921 RDT720853:RDT720921 RNP720853:RNP720921 RXL720853:RXL720921 SHH720853:SHH720921 SRD720853:SRD720921 TAZ720853:TAZ720921 TKV720853:TKV720921 TUR720853:TUR720921 UEN720853:UEN720921 UOJ720853:UOJ720921 UYF720853:UYF720921 VIB720853:VIB720921 VRX720853:VRX720921 WBT720853:WBT720921 WLP720853:WLP720921 WVL720853:WVL720921 IZ786389:IZ786457 SV786389:SV786457 ACR786389:ACR786457 AMN786389:AMN786457 AWJ786389:AWJ786457 BGF786389:BGF786457 BQB786389:BQB786457 BZX786389:BZX786457 CJT786389:CJT786457 CTP786389:CTP786457 DDL786389:DDL786457 DNH786389:DNH786457 DXD786389:DXD786457 EGZ786389:EGZ786457 EQV786389:EQV786457 FAR786389:FAR786457 FKN786389:FKN786457 FUJ786389:FUJ786457 GEF786389:GEF786457 GOB786389:GOB786457 GXX786389:GXX786457 HHT786389:HHT786457 HRP786389:HRP786457 IBL786389:IBL786457 ILH786389:ILH786457 IVD786389:IVD786457 JEZ786389:JEZ786457 JOV786389:JOV786457 JYR786389:JYR786457 KIN786389:KIN786457 KSJ786389:KSJ786457 LCF786389:LCF786457 LMB786389:LMB786457 LVX786389:LVX786457 MFT786389:MFT786457 MPP786389:MPP786457 MZL786389:MZL786457 NJH786389:NJH786457 NTD786389:NTD786457 OCZ786389:OCZ786457 OMV786389:OMV786457 OWR786389:OWR786457 PGN786389:PGN786457 PQJ786389:PQJ786457 QAF786389:QAF786457 QKB786389:QKB786457 QTX786389:QTX786457 RDT786389:RDT786457 RNP786389:RNP786457 RXL786389:RXL786457 SHH786389:SHH786457 SRD786389:SRD786457 TAZ786389:TAZ786457 TKV786389:TKV786457 TUR786389:TUR786457 UEN786389:UEN786457 UOJ786389:UOJ786457 UYF786389:UYF786457 VIB786389:VIB786457 VRX786389:VRX786457 WBT786389:WBT786457 WLP786389:WLP786457 WVL786389:WVL786457 IZ851925:IZ851993 SV851925:SV851993 ACR851925:ACR851993 AMN851925:AMN851993 AWJ851925:AWJ851993 BGF851925:BGF851993 BQB851925:BQB851993 BZX851925:BZX851993 CJT851925:CJT851993 CTP851925:CTP851993 DDL851925:DDL851993 DNH851925:DNH851993 DXD851925:DXD851993 EGZ851925:EGZ851993 EQV851925:EQV851993 FAR851925:FAR851993 FKN851925:FKN851993 FUJ851925:FUJ851993 GEF851925:GEF851993 GOB851925:GOB851993 GXX851925:GXX851993 HHT851925:HHT851993 HRP851925:HRP851993 IBL851925:IBL851993 ILH851925:ILH851993 IVD851925:IVD851993 JEZ851925:JEZ851993 JOV851925:JOV851993 JYR851925:JYR851993 KIN851925:KIN851993 KSJ851925:KSJ851993 LCF851925:LCF851993 LMB851925:LMB851993 LVX851925:LVX851993 MFT851925:MFT851993 MPP851925:MPP851993 MZL851925:MZL851993 NJH851925:NJH851993 NTD851925:NTD851993 OCZ851925:OCZ851993 OMV851925:OMV851993 OWR851925:OWR851993 PGN851925:PGN851993 PQJ851925:PQJ851993 QAF851925:QAF851993 QKB851925:QKB851993 QTX851925:QTX851993 RDT851925:RDT851993 RNP851925:RNP851993 RXL851925:RXL851993 SHH851925:SHH851993 SRD851925:SRD851993 TAZ851925:TAZ851993 TKV851925:TKV851993 TUR851925:TUR851993 UEN851925:UEN851993 UOJ851925:UOJ851993 UYF851925:UYF851993 VIB851925:VIB851993 VRX851925:VRX851993 WBT851925:WBT851993 WLP851925:WLP851993 WVL851925:WVL851993 IZ917461:IZ917529 SV917461:SV917529 ACR917461:ACR917529 AMN917461:AMN917529 AWJ917461:AWJ917529 BGF917461:BGF917529 BQB917461:BQB917529 BZX917461:BZX917529 CJT917461:CJT917529 CTP917461:CTP917529 DDL917461:DDL917529 DNH917461:DNH917529 DXD917461:DXD917529 EGZ917461:EGZ917529 EQV917461:EQV917529 FAR917461:FAR917529 FKN917461:FKN917529 FUJ917461:FUJ917529 GEF917461:GEF917529 GOB917461:GOB917529 GXX917461:GXX917529 HHT917461:HHT917529 HRP917461:HRP917529 IBL917461:IBL917529 ILH917461:ILH917529 IVD917461:IVD917529 JEZ917461:JEZ917529 JOV917461:JOV917529 JYR917461:JYR917529 KIN917461:KIN917529 KSJ917461:KSJ917529 LCF917461:LCF917529 LMB917461:LMB917529 LVX917461:LVX917529 MFT917461:MFT917529 MPP917461:MPP917529 MZL917461:MZL917529 NJH917461:NJH917529 NTD917461:NTD917529 OCZ917461:OCZ917529 OMV917461:OMV917529 OWR917461:OWR917529 PGN917461:PGN917529 PQJ917461:PQJ917529 QAF917461:QAF917529 QKB917461:QKB917529 QTX917461:QTX917529 RDT917461:RDT917529 RNP917461:RNP917529 RXL917461:RXL917529 SHH917461:SHH917529 SRD917461:SRD917529 TAZ917461:TAZ917529 TKV917461:TKV917529 TUR917461:TUR917529 UEN917461:UEN917529 UOJ917461:UOJ917529 UYF917461:UYF917529 VIB917461:VIB917529 VRX917461:VRX917529 WBT917461:WBT917529 WLP917461:WLP917529 WVL917461:WVL917529 IZ982997:IZ983065 SV982997:SV983065 ACR982997:ACR983065 AMN982997:AMN983065 AWJ982997:AWJ983065 BGF982997:BGF983065 BQB982997:BQB983065 BZX982997:BZX983065 CJT982997:CJT983065 CTP982997:CTP983065 DDL982997:DDL983065 DNH982997:DNH983065 DXD982997:DXD983065 EGZ982997:EGZ983065 EQV982997:EQV983065 FAR982997:FAR983065 FKN982997:FKN983065 FUJ982997:FUJ983065 GEF982997:GEF983065 GOB982997:GOB983065 GXX982997:GXX983065 HHT982997:HHT983065 HRP982997:HRP983065 IBL982997:IBL983065 ILH982997:ILH983065 IVD982997:IVD983065 JEZ982997:JEZ983065 JOV982997:JOV983065 JYR982997:JYR983065 KIN982997:KIN983065 KSJ982997:KSJ983065 LCF982997:LCF983065 LMB982997:LMB983065 LVX982997:LVX983065 MFT982997:MFT983065 MPP982997:MPP983065 MZL982997:MZL983065 NJH982997:NJH983065 NTD982997:NTD983065 OCZ982997:OCZ983065 OMV982997:OMV983065 OWR982997:OWR983065 PGN982997:PGN983065 PQJ982997:PQJ983065 QAF982997:QAF983065 QKB982997:QKB983065 QTX982997:QTX983065 RDT982997:RDT983065 RNP982997:RNP983065 RXL982997:RXL983065 SHH982997:SHH983065 SRD982997:SRD983065 TAZ982997:TAZ983065 TKV982997:TKV983065 TUR982997:TUR983065 UEN982997:UEN983065 UOJ982997:UOJ983065 UYF982997:UYF983065 VIB982997:VIB983065 VRX982997:VRX983065 WBT982997:WBT983065 WLP982997:WLP983065 IZ4:IZ25 SV4:SV25 ACR4:ACR25 AMN4:AMN25 AWJ4:AWJ25 BGF4:BGF25 BQB4:BQB25 BZX4:BZX25 CJT4:CJT25 CTP4:CTP25 DDL4:DDL25 DNH4:DNH25 DXD4:DXD25 EGZ4:EGZ25 EQV4:EQV25 FAR4:FAR25 FKN4:FKN25 FUJ4:FUJ25 GEF4:GEF25 GOB4:GOB25 GXX4:GXX25 HHT4:HHT25 HRP4:HRP25 IBL4:IBL25 ILH4:ILH25 IVD4:IVD25 JEZ4:JEZ25 JOV4:JOV25 JYR4:JYR25 KIN4:KIN25 KSJ4:KSJ25 LCF4:LCF25 LMB4:LMB25 LVX4:LVX25 MFT4:MFT25 MPP4:MPP25 MZL4:MZL25 NJH4:NJH25 NTD4:NTD25 OCZ4:OCZ25 OMV4:OMV25 OWR4:OWR25 PGN4:PGN25 PQJ4:PQJ25 QAF4:QAF25 QKB4:QKB25 QTX4:QTX25 RDT4:RDT25 RNP4:RNP25 RXL4:RXL25 SHH4:SHH25 SRD4:SRD25 TAZ4:TAZ25 TKV4:TKV25 TUR4:TUR25 UEN4:UEN25 UOJ4:UOJ25 UYF4:UYF25 VIB4:VIB25 VRX4:VRX25 WBT4:WBT25 WLP4:WLP25 WVL4:WVL25">
      <formula1>"Following,Modified Following,Preceding,Modified Preceding,Month End Reference,Unadjusted Month End,Unadjusted"</formula1>
    </dataValidation>
    <dataValidation type="list" allowBlank="1" showInputMessage="1" showErrorMessage="1" sqref="WVK982997:WVK983065 IY65493:IY65561 SU65493:SU65561 ACQ65493:ACQ65561 AMM65493:AMM65561 AWI65493:AWI65561 BGE65493:BGE65561 BQA65493:BQA65561 BZW65493:BZW65561 CJS65493:CJS65561 CTO65493:CTO65561 DDK65493:DDK65561 DNG65493:DNG65561 DXC65493:DXC65561 EGY65493:EGY65561 EQU65493:EQU65561 FAQ65493:FAQ65561 FKM65493:FKM65561 FUI65493:FUI65561 GEE65493:GEE65561 GOA65493:GOA65561 GXW65493:GXW65561 HHS65493:HHS65561 HRO65493:HRO65561 IBK65493:IBK65561 ILG65493:ILG65561 IVC65493:IVC65561 JEY65493:JEY65561 JOU65493:JOU65561 JYQ65493:JYQ65561 KIM65493:KIM65561 KSI65493:KSI65561 LCE65493:LCE65561 LMA65493:LMA65561 LVW65493:LVW65561 MFS65493:MFS65561 MPO65493:MPO65561 MZK65493:MZK65561 NJG65493:NJG65561 NTC65493:NTC65561 OCY65493:OCY65561 OMU65493:OMU65561 OWQ65493:OWQ65561 PGM65493:PGM65561 PQI65493:PQI65561 QAE65493:QAE65561 QKA65493:QKA65561 QTW65493:QTW65561 RDS65493:RDS65561 RNO65493:RNO65561 RXK65493:RXK65561 SHG65493:SHG65561 SRC65493:SRC65561 TAY65493:TAY65561 TKU65493:TKU65561 TUQ65493:TUQ65561 UEM65493:UEM65561 UOI65493:UOI65561 UYE65493:UYE65561 VIA65493:VIA65561 VRW65493:VRW65561 WBS65493:WBS65561 WLO65493:WLO65561 WVK65493:WVK65561 IY131029:IY131097 SU131029:SU131097 ACQ131029:ACQ131097 AMM131029:AMM131097 AWI131029:AWI131097 BGE131029:BGE131097 BQA131029:BQA131097 BZW131029:BZW131097 CJS131029:CJS131097 CTO131029:CTO131097 DDK131029:DDK131097 DNG131029:DNG131097 DXC131029:DXC131097 EGY131029:EGY131097 EQU131029:EQU131097 FAQ131029:FAQ131097 FKM131029:FKM131097 FUI131029:FUI131097 GEE131029:GEE131097 GOA131029:GOA131097 GXW131029:GXW131097 HHS131029:HHS131097 HRO131029:HRO131097 IBK131029:IBK131097 ILG131029:ILG131097 IVC131029:IVC131097 JEY131029:JEY131097 JOU131029:JOU131097 JYQ131029:JYQ131097 KIM131029:KIM131097 KSI131029:KSI131097 LCE131029:LCE131097 LMA131029:LMA131097 LVW131029:LVW131097 MFS131029:MFS131097 MPO131029:MPO131097 MZK131029:MZK131097 NJG131029:NJG131097 NTC131029:NTC131097 OCY131029:OCY131097 OMU131029:OMU131097 OWQ131029:OWQ131097 PGM131029:PGM131097 PQI131029:PQI131097 QAE131029:QAE131097 QKA131029:QKA131097 QTW131029:QTW131097 RDS131029:RDS131097 RNO131029:RNO131097 RXK131029:RXK131097 SHG131029:SHG131097 SRC131029:SRC131097 TAY131029:TAY131097 TKU131029:TKU131097 TUQ131029:TUQ131097 UEM131029:UEM131097 UOI131029:UOI131097 UYE131029:UYE131097 VIA131029:VIA131097 VRW131029:VRW131097 WBS131029:WBS131097 WLO131029:WLO131097 WVK131029:WVK131097 IY196565:IY196633 SU196565:SU196633 ACQ196565:ACQ196633 AMM196565:AMM196633 AWI196565:AWI196633 BGE196565:BGE196633 BQA196565:BQA196633 BZW196565:BZW196633 CJS196565:CJS196633 CTO196565:CTO196633 DDK196565:DDK196633 DNG196565:DNG196633 DXC196565:DXC196633 EGY196565:EGY196633 EQU196565:EQU196633 FAQ196565:FAQ196633 FKM196565:FKM196633 FUI196565:FUI196633 GEE196565:GEE196633 GOA196565:GOA196633 GXW196565:GXW196633 HHS196565:HHS196633 HRO196565:HRO196633 IBK196565:IBK196633 ILG196565:ILG196633 IVC196565:IVC196633 JEY196565:JEY196633 JOU196565:JOU196633 JYQ196565:JYQ196633 KIM196565:KIM196633 KSI196565:KSI196633 LCE196565:LCE196633 LMA196565:LMA196633 LVW196565:LVW196633 MFS196565:MFS196633 MPO196565:MPO196633 MZK196565:MZK196633 NJG196565:NJG196633 NTC196565:NTC196633 OCY196565:OCY196633 OMU196565:OMU196633 OWQ196565:OWQ196633 PGM196565:PGM196633 PQI196565:PQI196633 QAE196565:QAE196633 QKA196565:QKA196633 QTW196565:QTW196633 RDS196565:RDS196633 RNO196565:RNO196633 RXK196565:RXK196633 SHG196565:SHG196633 SRC196565:SRC196633 TAY196565:TAY196633 TKU196565:TKU196633 TUQ196565:TUQ196633 UEM196565:UEM196633 UOI196565:UOI196633 UYE196565:UYE196633 VIA196565:VIA196633 VRW196565:VRW196633 WBS196565:WBS196633 WLO196565:WLO196633 WVK196565:WVK196633 IY262101:IY262169 SU262101:SU262169 ACQ262101:ACQ262169 AMM262101:AMM262169 AWI262101:AWI262169 BGE262101:BGE262169 BQA262101:BQA262169 BZW262101:BZW262169 CJS262101:CJS262169 CTO262101:CTO262169 DDK262101:DDK262169 DNG262101:DNG262169 DXC262101:DXC262169 EGY262101:EGY262169 EQU262101:EQU262169 FAQ262101:FAQ262169 FKM262101:FKM262169 FUI262101:FUI262169 GEE262101:GEE262169 GOA262101:GOA262169 GXW262101:GXW262169 HHS262101:HHS262169 HRO262101:HRO262169 IBK262101:IBK262169 ILG262101:ILG262169 IVC262101:IVC262169 JEY262101:JEY262169 JOU262101:JOU262169 JYQ262101:JYQ262169 KIM262101:KIM262169 KSI262101:KSI262169 LCE262101:LCE262169 LMA262101:LMA262169 LVW262101:LVW262169 MFS262101:MFS262169 MPO262101:MPO262169 MZK262101:MZK262169 NJG262101:NJG262169 NTC262101:NTC262169 OCY262101:OCY262169 OMU262101:OMU262169 OWQ262101:OWQ262169 PGM262101:PGM262169 PQI262101:PQI262169 QAE262101:QAE262169 QKA262101:QKA262169 QTW262101:QTW262169 RDS262101:RDS262169 RNO262101:RNO262169 RXK262101:RXK262169 SHG262101:SHG262169 SRC262101:SRC262169 TAY262101:TAY262169 TKU262101:TKU262169 TUQ262101:TUQ262169 UEM262101:UEM262169 UOI262101:UOI262169 UYE262101:UYE262169 VIA262101:VIA262169 VRW262101:VRW262169 WBS262101:WBS262169 WLO262101:WLO262169 WVK262101:WVK262169 IY327637:IY327705 SU327637:SU327705 ACQ327637:ACQ327705 AMM327637:AMM327705 AWI327637:AWI327705 BGE327637:BGE327705 BQA327637:BQA327705 BZW327637:BZW327705 CJS327637:CJS327705 CTO327637:CTO327705 DDK327637:DDK327705 DNG327637:DNG327705 DXC327637:DXC327705 EGY327637:EGY327705 EQU327637:EQU327705 FAQ327637:FAQ327705 FKM327637:FKM327705 FUI327637:FUI327705 GEE327637:GEE327705 GOA327637:GOA327705 GXW327637:GXW327705 HHS327637:HHS327705 HRO327637:HRO327705 IBK327637:IBK327705 ILG327637:ILG327705 IVC327637:IVC327705 JEY327637:JEY327705 JOU327637:JOU327705 JYQ327637:JYQ327705 KIM327637:KIM327705 KSI327637:KSI327705 LCE327637:LCE327705 LMA327637:LMA327705 LVW327637:LVW327705 MFS327637:MFS327705 MPO327637:MPO327705 MZK327637:MZK327705 NJG327637:NJG327705 NTC327637:NTC327705 OCY327637:OCY327705 OMU327637:OMU327705 OWQ327637:OWQ327705 PGM327637:PGM327705 PQI327637:PQI327705 QAE327637:QAE327705 QKA327637:QKA327705 QTW327637:QTW327705 RDS327637:RDS327705 RNO327637:RNO327705 RXK327637:RXK327705 SHG327637:SHG327705 SRC327637:SRC327705 TAY327637:TAY327705 TKU327637:TKU327705 TUQ327637:TUQ327705 UEM327637:UEM327705 UOI327637:UOI327705 UYE327637:UYE327705 VIA327637:VIA327705 VRW327637:VRW327705 WBS327637:WBS327705 WLO327637:WLO327705 WVK327637:WVK327705 IY393173:IY393241 SU393173:SU393241 ACQ393173:ACQ393241 AMM393173:AMM393241 AWI393173:AWI393241 BGE393173:BGE393241 BQA393173:BQA393241 BZW393173:BZW393241 CJS393173:CJS393241 CTO393173:CTO393241 DDK393173:DDK393241 DNG393173:DNG393241 DXC393173:DXC393241 EGY393173:EGY393241 EQU393173:EQU393241 FAQ393173:FAQ393241 FKM393173:FKM393241 FUI393173:FUI393241 GEE393173:GEE393241 GOA393173:GOA393241 GXW393173:GXW393241 HHS393173:HHS393241 HRO393173:HRO393241 IBK393173:IBK393241 ILG393173:ILG393241 IVC393173:IVC393241 JEY393173:JEY393241 JOU393173:JOU393241 JYQ393173:JYQ393241 KIM393173:KIM393241 KSI393173:KSI393241 LCE393173:LCE393241 LMA393173:LMA393241 LVW393173:LVW393241 MFS393173:MFS393241 MPO393173:MPO393241 MZK393173:MZK393241 NJG393173:NJG393241 NTC393173:NTC393241 OCY393173:OCY393241 OMU393173:OMU393241 OWQ393173:OWQ393241 PGM393173:PGM393241 PQI393173:PQI393241 QAE393173:QAE393241 QKA393173:QKA393241 QTW393173:QTW393241 RDS393173:RDS393241 RNO393173:RNO393241 RXK393173:RXK393241 SHG393173:SHG393241 SRC393173:SRC393241 TAY393173:TAY393241 TKU393173:TKU393241 TUQ393173:TUQ393241 UEM393173:UEM393241 UOI393173:UOI393241 UYE393173:UYE393241 VIA393173:VIA393241 VRW393173:VRW393241 WBS393173:WBS393241 WLO393173:WLO393241 WVK393173:WVK393241 IY458709:IY458777 SU458709:SU458777 ACQ458709:ACQ458777 AMM458709:AMM458777 AWI458709:AWI458777 BGE458709:BGE458777 BQA458709:BQA458777 BZW458709:BZW458777 CJS458709:CJS458777 CTO458709:CTO458777 DDK458709:DDK458777 DNG458709:DNG458777 DXC458709:DXC458777 EGY458709:EGY458777 EQU458709:EQU458777 FAQ458709:FAQ458777 FKM458709:FKM458777 FUI458709:FUI458777 GEE458709:GEE458777 GOA458709:GOA458777 GXW458709:GXW458777 HHS458709:HHS458777 HRO458709:HRO458777 IBK458709:IBK458777 ILG458709:ILG458777 IVC458709:IVC458777 JEY458709:JEY458777 JOU458709:JOU458777 JYQ458709:JYQ458777 KIM458709:KIM458777 KSI458709:KSI458777 LCE458709:LCE458777 LMA458709:LMA458777 LVW458709:LVW458777 MFS458709:MFS458777 MPO458709:MPO458777 MZK458709:MZK458777 NJG458709:NJG458777 NTC458709:NTC458777 OCY458709:OCY458777 OMU458709:OMU458777 OWQ458709:OWQ458777 PGM458709:PGM458777 PQI458709:PQI458777 QAE458709:QAE458777 QKA458709:QKA458777 QTW458709:QTW458777 RDS458709:RDS458777 RNO458709:RNO458777 RXK458709:RXK458777 SHG458709:SHG458777 SRC458709:SRC458777 TAY458709:TAY458777 TKU458709:TKU458777 TUQ458709:TUQ458777 UEM458709:UEM458777 UOI458709:UOI458777 UYE458709:UYE458777 VIA458709:VIA458777 VRW458709:VRW458777 WBS458709:WBS458777 WLO458709:WLO458777 WVK458709:WVK458777 IY524245:IY524313 SU524245:SU524313 ACQ524245:ACQ524313 AMM524245:AMM524313 AWI524245:AWI524313 BGE524245:BGE524313 BQA524245:BQA524313 BZW524245:BZW524313 CJS524245:CJS524313 CTO524245:CTO524313 DDK524245:DDK524313 DNG524245:DNG524313 DXC524245:DXC524313 EGY524245:EGY524313 EQU524245:EQU524313 FAQ524245:FAQ524313 FKM524245:FKM524313 FUI524245:FUI524313 GEE524245:GEE524313 GOA524245:GOA524313 GXW524245:GXW524313 HHS524245:HHS524313 HRO524245:HRO524313 IBK524245:IBK524313 ILG524245:ILG524313 IVC524245:IVC524313 JEY524245:JEY524313 JOU524245:JOU524313 JYQ524245:JYQ524313 KIM524245:KIM524313 KSI524245:KSI524313 LCE524245:LCE524313 LMA524245:LMA524313 LVW524245:LVW524313 MFS524245:MFS524313 MPO524245:MPO524313 MZK524245:MZK524313 NJG524245:NJG524313 NTC524245:NTC524313 OCY524245:OCY524313 OMU524245:OMU524313 OWQ524245:OWQ524313 PGM524245:PGM524313 PQI524245:PQI524313 QAE524245:QAE524313 QKA524245:QKA524313 QTW524245:QTW524313 RDS524245:RDS524313 RNO524245:RNO524313 RXK524245:RXK524313 SHG524245:SHG524313 SRC524245:SRC524313 TAY524245:TAY524313 TKU524245:TKU524313 TUQ524245:TUQ524313 UEM524245:UEM524313 UOI524245:UOI524313 UYE524245:UYE524313 VIA524245:VIA524313 VRW524245:VRW524313 WBS524245:WBS524313 WLO524245:WLO524313 WVK524245:WVK524313 IY589781:IY589849 SU589781:SU589849 ACQ589781:ACQ589849 AMM589781:AMM589849 AWI589781:AWI589849 BGE589781:BGE589849 BQA589781:BQA589849 BZW589781:BZW589849 CJS589781:CJS589849 CTO589781:CTO589849 DDK589781:DDK589849 DNG589781:DNG589849 DXC589781:DXC589849 EGY589781:EGY589849 EQU589781:EQU589849 FAQ589781:FAQ589849 FKM589781:FKM589849 FUI589781:FUI589849 GEE589781:GEE589849 GOA589781:GOA589849 GXW589781:GXW589849 HHS589781:HHS589849 HRO589781:HRO589849 IBK589781:IBK589849 ILG589781:ILG589849 IVC589781:IVC589849 JEY589781:JEY589849 JOU589781:JOU589849 JYQ589781:JYQ589849 KIM589781:KIM589849 KSI589781:KSI589849 LCE589781:LCE589849 LMA589781:LMA589849 LVW589781:LVW589849 MFS589781:MFS589849 MPO589781:MPO589849 MZK589781:MZK589849 NJG589781:NJG589849 NTC589781:NTC589849 OCY589781:OCY589849 OMU589781:OMU589849 OWQ589781:OWQ589849 PGM589781:PGM589849 PQI589781:PQI589849 QAE589781:QAE589849 QKA589781:QKA589849 QTW589781:QTW589849 RDS589781:RDS589849 RNO589781:RNO589849 RXK589781:RXK589849 SHG589781:SHG589849 SRC589781:SRC589849 TAY589781:TAY589849 TKU589781:TKU589849 TUQ589781:TUQ589849 UEM589781:UEM589849 UOI589781:UOI589849 UYE589781:UYE589849 VIA589781:VIA589849 VRW589781:VRW589849 WBS589781:WBS589849 WLO589781:WLO589849 WVK589781:WVK589849 IY655317:IY655385 SU655317:SU655385 ACQ655317:ACQ655385 AMM655317:AMM655385 AWI655317:AWI655385 BGE655317:BGE655385 BQA655317:BQA655385 BZW655317:BZW655385 CJS655317:CJS655385 CTO655317:CTO655385 DDK655317:DDK655385 DNG655317:DNG655385 DXC655317:DXC655385 EGY655317:EGY655385 EQU655317:EQU655385 FAQ655317:FAQ655385 FKM655317:FKM655385 FUI655317:FUI655385 GEE655317:GEE655385 GOA655317:GOA655385 GXW655317:GXW655385 HHS655317:HHS655385 HRO655317:HRO655385 IBK655317:IBK655385 ILG655317:ILG655385 IVC655317:IVC655385 JEY655317:JEY655385 JOU655317:JOU655385 JYQ655317:JYQ655385 KIM655317:KIM655385 KSI655317:KSI655385 LCE655317:LCE655385 LMA655317:LMA655385 LVW655317:LVW655385 MFS655317:MFS655385 MPO655317:MPO655385 MZK655317:MZK655385 NJG655317:NJG655385 NTC655317:NTC655385 OCY655317:OCY655385 OMU655317:OMU655385 OWQ655317:OWQ655385 PGM655317:PGM655385 PQI655317:PQI655385 QAE655317:QAE655385 QKA655317:QKA655385 QTW655317:QTW655385 RDS655317:RDS655385 RNO655317:RNO655385 RXK655317:RXK655385 SHG655317:SHG655385 SRC655317:SRC655385 TAY655317:TAY655385 TKU655317:TKU655385 TUQ655317:TUQ655385 UEM655317:UEM655385 UOI655317:UOI655385 UYE655317:UYE655385 VIA655317:VIA655385 VRW655317:VRW655385 WBS655317:WBS655385 WLO655317:WLO655385 WVK655317:WVK655385 IY720853:IY720921 SU720853:SU720921 ACQ720853:ACQ720921 AMM720853:AMM720921 AWI720853:AWI720921 BGE720853:BGE720921 BQA720853:BQA720921 BZW720853:BZW720921 CJS720853:CJS720921 CTO720853:CTO720921 DDK720853:DDK720921 DNG720853:DNG720921 DXC720853:DXC720921 EGY720853:EGY720921 EQU720853:EQU720921 FAQ720853:FAQ720921 FKM720853:FKM720921 FUI720853:FUI720921 GEE720853:GEE720921 GOA720853:GOA720921 GXW720853:GXW720921 HHS720853:HHS720921 HRO720853:HRO720921 IBK720853:IBK720921 ILG720853:ILG720921 IVC720853:IVC720921 JEY720853:JEY720921 JOU720853:JOU720921 JYQ720853:JYQ720921 KIM720853:KIM720921 KSI720853:KSI720921 LCE720853:LCE720921 LMA720853:LMA720921 LVW720853:LVW720921 MFS720853:MFS720921 MPO720853:MPO720921 MZK720853:MZK720921 NJG720853:NJG720921 NTC720853:NTC720921 OCY720853:OCY720921 OMU720853:OMU720921 OWQ720853:OWQ720921 PGM720853:PGM720921 PQI720853:PQI720921 QAE720853:QAE720921 QKA720853:QKA720921 QTW720853:QTW720921 RDS720853:RDS720921 RNO720853:RNO720921 RXK720853:RXK720921 SHG720853:SHG720921 SRC720853:SRC720921 TAY720853:TAY720921 TKU720853:TKU720921 TUQ720853:TUQ720921 UEM720853:UEM720921 UOI720853:UOI720921 UYE720853:UYE720921 VIA720853:VIA720921 VRW720853:VRW720921 WBS720853:WBS720921 WLO720853:WLO720921 WVK720853:WVK720921 IY786389:IY786457 SU786389:SU786457 ACQ786389:ACQ786457 AMM786389:AMM786457 AWI786389:AWI786457 BGE786389:BGE786457 BQA786389:BQA786457 BZW786389:BZW786457 CJS786389:CJS786457 CTO786389:CTO786457 DDK786389:DDK786457 DNG786389:DNG786457 DXC786389:DXC786457 EGY786389:EGY786457 EQU786389:EQU786457 FAQ786389:FAQ786457 FKM786389:FKM786457 FUI786389:FUI786457 GEE786389:GEE786457 GOA786389:GOA786457 GXW786389:GXW786457 HHS786389:HHS786457 HRO786389:HRO786457 IBK786389:IBK786457 ILG786389:ILG786457 IVC786389:IVC786457 JEY786389:JEY786457 JOU786389:JOU786457 JYQ786389:JYQ786457 KIM786389:KIM786457 KSI786389:KSI786457 LCE786389:LCE786457 LMA786389:LMA786457 LVW786389:LVW786457 MFS786389:MFS786457 MPO786389:MPO786457 MZK786389:MZK786457 NJG786389:NJG786457 NTC786389:NTC786457 OCY786389:OCY786457 OMU786389:OMU786457 OWQ786389:OWQ786457 PGM786389:PGM786457 PQI786389:PQI786457 QAE786389:QAE786457 QKA786389:QKA786457 QTW786389:QTW786457 RDS786389:RDS786457 RNO786389:RNO786457 RXK786389:RXK786457 SHG786389:SHG786457 SRC786389:SRC786457 TAY786389:TAY786457 TKU786389:TKU786457 TUQ786389:TUQ786457 UEM786389:UEM786457 UOI786389:UOI786457 UYE786389:UYE786457 VIA786389:VIA786457 VRW786389:VRW786457 WBS786389:WBS786457 WLO786389:WLO786457 WVK786389:WVK786457 IY851925:IY851993 SU851925:SU851993 ACQ851925:ACQ851993 AMM851925:AMM851993 AWI851925:AWI851993 BGE851925:BGE851993 BQA851925:BQA851993 BZW851925:BZW851993 CJS851925:CJS851993 CTO851925:CTO851993 DDK851925:DDK851993 DNG851925:DNG851993 DXC851925:DXC851993 EGY851925:EGY851993 EQU851925:EQU851993 FAQ851925:FAQ851993 FKM851925:FKM851993 FUI851925:FUI851993 GEE851925:GEE851993 GOA851925:GOA851993 GXW851925:GXW851993 HHS851925:HHS851993 HRO851925:HRO851993 IBK851925:IBK851993 ILG851925:ILG851993 IVC851925:IVC851993 JEY851925:JEY851993 JOU851925:JOU851993 JYQ851925:JYQ851993 KIM851925:KIM851993 KSI851925:KSI851993 LCE851925:LCE851993 LMA851925:LMA851993 LVW851925:LVW851993 MFS851925:MFS851993 MPO851925:MPO851993 MZK851925:MZK851993 NJG851925:NJG851993 NTC851925:NTC851993 OCY851925:OCY851993 OMU851925:OMU851993 OWQ851925:OWQ851993 PGM851925:PGM851993 PQI851925:PQI851993 QAE851925:QAE851993 QKA851925:QKA851993 QTW851925:QTW851993 RDS851925:RDS851993 RNO851925:RNO851993 RXK851925:RXK851993 SHG851925:SHG851993 SRC851925:SRC851993 TAY851925:TAY851993 TKU851925:TKU851993 TUQ851925:TUQ851993 UEM851925:UEM851993 UOI851925:UOI851993 UYE851925:UYE851993 VIA851925:VIA851993 VRW851925:VRW851993 WBS851925:WBS851993 WLO851925:WLO851993 WVK851925:WVK851993 IY917461:IY917529 SU917461:SU917529 ACQ917461:ACQ917529 AMM917461:AMM917529 AWI917461:AWI917529 BGE917461:BGE917529 BQA917461:BQA917529 BZW917461:BZW917529 CJS917461:CJS917529 CTO917461:CTO917529 DDK917461:DDK917529 DNG917461:DNG917529 DXC917461:DXC917529 EGY917461:EGY917529 EQU917461:EQU917529 FAQ917461:FAQ917529 FKM917461:FKM917529 FUI917461:FUI917529 GEE917461:GEE917529 GOA917461:GOA917529 GXW917461:GXW917529 HHS917461:HHS917529 HRO917461:HRO917529 IBK917461:IBK917529 ILG917461:ILG917529 IVC917461:IVC917529 JEY917461:JEY917529 JOU917461:JOU917529 JYQ917461:JYQ917529 KIM917461:KIM917529 KSI917461:KSI917529 LCE917461:LCE917529 LMA917461:LMA917529 LVW917461:LVW917529 MFS917461:MFS917529 MPO917461:MPO917529 MZK917461:MZK917529 NJG917461:NJG917529 NTC917461:NTC917529 OCY917461:OCY917529 OMU917461:OMU917529 OWQ917461:OWQ917529 PGM917461:PGM917529 PQI917461:PQI917529 QAE917461:QAE917529 QKA917461:QKA917529 QTW917461:QTW917529 RDS917461:RDS917529 RNO917461:RNO917529 RXK917461:RXK917529 SHG917461:SHG917529 SRC917461:SRC917529 TAY917461:TAY917529 TKU917461:TKU917529 TUQ917461:TUQ917529 UEM917461:UEM917529 UOI917461:UOI917529 UYE917461:UYE917529 VIA917461:VIA917529 VRW917461:VRW917529 WBS917461:WBS917529 WLO917461:WLO917529 WVK917461:WVK917529 IY982997:IY983065 SU982997:SU983065 ACQ982997:ACQ983065 AMM982997:AMM983065 AWI982997:AWI983065 BGE982997:BGE983065 BQA982997:BQA983065 BZW982997:BZW983065 CJS982997:CJS983065 CTO982997:CTO983065 DDK982997:DDK983065 DNG982997:DNG983065 DXC982997:DXC983065 EGY982997:EGY983065 EQU982997:EQU983065 FAQ982997:FAQ983065 FKM982997:FKM983065 FUI982997:FUI983065 GEE982997:GEE983065 GOA982997:GOA983065 GXW982997:GXW983065 HHS982997:HHS983065 HRO982997:HRO983065 IBK982997:IBK983065 ILG982997:ILG983065 IVC982997:IVC983065 JEY982997:JEY983065 JOU982997:JOU983065 JYQ982997:JYQ983065 KIM982997:KIM983065 KSI982997:KSI983065 LCE982997:LCE983065 LMA982997:LMA983065 LVW982997:LVW983065 MFS982997:MFS983065 MPO982997:MPO983065 MZK982997:MZK983065 NJG982997:NJG983065 NTC982997:NTC983065 OCY982997:OCY983065 OMU982997:OMU983065 OWQ982997:OWQ983065 PGM982997:PGM983065 PQI982997:PQI983065 QAE982997:QAE983065 QKA982997:QKA983065 QTW982997:QTW983065 RDS982997:RDS983065 RNO982997:RNO983065 RXK982997:RXK983065 SHG982997:SHG983065 SRC982997:SRC983065 TAY982997:TAY983065 TKU982997:TKU983065 TUQ982997:TUQ983065 UEM982997:UEM983065 UOI982997:UOI983065 UYE982997:UYE983065 VIA982997:VIA983065 VRW982997:VRW983065 WBS982997:WBS983065 WLO982997:WLO983065 IY4:IY25 SU4:SU25 ACQ4:ACQ25 AMM4:AMM25 AWI4:AWI25 BGE4:BGE25 BQA4:BQA25 BZW4:BZW25 CJS4:CJS25 CTO4:CTO25 DDK4:DDK25 DNG4:DNG25 DXC4:DXC25 EGY4:EGY25 EQU4:EQU25 FAQ4:FAQ25 FKM4:FKM25 FUI4:FUI25 GEE4:GEE25 GOA4:GOA25 GXW4:GXW25 HHS4:HHS25 HRO4:HRO25 IBK4:IBK25 ILG4:ILG25 IVC4:IVC25 JEY4:JEY25 JOU4:JOU25 JYQ4:JYQ25 KIM4:KIM25 KSI4:KSI25 LCE4:LCE25 LMA4:LMA25 LVW4:LVW25 MFS4:MFS25 MPO4:MPO25 MZK4:MZK25 NJG4:NJG25 NTC4:NTC25 OCY4:OCY25 OMU4:OMU25 OWQ4:OWQ25 PGM4:PGM25 PQI4:PQI25 QAE4:QAE25 QKA4:QKA25 QTW4:QTW25 RDS4:RDS25 RNO4:RNO25 RXK4:RXK25 SHG4:SHG25 SRC4:SRC25 TAY4:TAY25 TKU4:TKU25 TUQ4:TUQ25 UEM4:UEM25 UOI4:UOI25 UYE4:UYE25 VIA4:VIA25 VRW4:VRW25 WBS4:WBS25 WLO4:WLO25 WVK4:WVK2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9"/>
  <sheetViews>
    <sheetView workbookViewId="0">
      <selection activeCell="G5" sqref="G5"/>
    </sheetView>
  </sheetViews>
  <sheetFormatPr defaultRowHeight="11.25" x14ac:dyDescent="0.2"/>
  <cols>
    <col min="1" max="1" width="2.7109375" style="93" customWidth="1"/>
    <col min="2" max="2" width="3" style="93" bestFit="1" customWidth="1"/>
    <col min="3" max="3" width="17.28515625" style="93" bestFit="1" customWidth="1"/>
    <col min="4" max="4" width="24.42578125" style="93" bestFit="1" customWidth="1"/>
    <col min="5" max="6" width="11" style="93" bestFit="1" customWidth="1"/>
    <col min="7" max="7" width="24.42578125" style="93" bestFit="1" customWidth="1"/>
    <col min="8" max="8" width="2.7109375" style="93" customWidth="1"/>
    <col min="9" max="16384" width="9.140625" style="93"/>
  </cols>
  <sheetData>
    <row r="1" spans="1:8" x14ac:dyDescent="0.2">
      <c r="A1" s="177"/>
      <c r="B1" s="177"/>
      <c r="C1" s="177"/>
      <c r="D1" s="177"/>
      <c r="E1" s="177"/>
      <c r="F1" s="177"/>
      <c r="G1" s="177"/>
      <c r="H1" s="178"/>
    </row>
    <row r="2" spans="1:8" x14ac:dyDescent="0.2">
      <c r="A2" s="177"/>
      <c r="B2" s="177"/>
      <c r="C2" s="247" t="s">
        <v>127</v>
      </c>
      <c r="D2" s="249">
        <f>_xll.qlCalendarAdvance(Calendar,_xll.qlSettingsEvaluationDate(),NDays&amp;"D","f",,Trigger)</f>
        <v>42152</v>
      </c>
      <c r="E2" s="177"/>
      <c r="F2" s="177"/>
      <c r="G2" s="177"/>
      <c r="H2" s="178"/>
    </row>
    <row r="3" spans="1:8" ht="22.5" x14ac:dyDescent="0.2">
      <c r="A3" s="177"/>
      <c r="B3" s="177"/>
      <c r="C3" s="247" t="s">
        <v>128</v>
      </c>
      <c r="D3" s="249">
        <f>_xll.qlCalendarEndOfMonth(Calendar,EDATE(DATE(YEAR(D2),MONTH(D2),1),-1))</f>
        <v>42124</v>
      </c>
      <c r="E3" s="177"/>
      <c r="F3" s="177"/>
      <c r="G3" s="177"/>
      <c r="H3" s="178"/>
    </row>
    <row r="4" spans="1:8" ht="13.35" customHeight="1" x14ac:dyDescent="0.2">
      <c r="A4" s="177"/>
      <c r="B4" s="177"/>
      <c r="C4" s="177"/>
      <c r="D4" s="177"/>
      <c r="E4" s="177"/>
      <c r="F4" s="177"/>
      <c r="G4" s="177"/>
      <c r="H4" s="178"/>
    </row>
    <row r="5" spans="1:8" ht="13.35" customHeight="1" x14ac:dyDescent="0.2">
      <c r="A5" s="177"/>
      <c r="B5" s="247" t="s">
        <v>129</v>
      </c>
      <c r="C5" s="248" t="s">
        <v>125</v>
      </c>
      <c r="D5" s="248" t="s">
        <v>130</v>
      </c>
      <c r="E5" s="248" t="s">
        <v>126</v>
      </c>
      <c r="F5" s="248" t="s">
        <v>133</v>
      </c>
      <c r="G5" s="248" t="s">
        <v>134</v>
      </c>
      <c r="H5" s="178"/>
    </row>
    <row r="6" spans="1:8" ht="13.35" customHeight="1" x14ac:dyDescent="0.2">
      <c r="A6" s="177"/>
      <c r="B6" s="181">
        <v>1</v>
      </c>
      <c r="C6" s="182">
        <f>_xll.qlCalendarEndOfMonth(Calendar,_xll.qlCalendarAdvance(Calendar,D3,"1m","mf",FALSE),Trigger)</f>
        <v>42153</v>
      </c>
      <c r="D6" s="181" t="str">
        <f t="shared" ref="D6:D18" si="0">Currency&amp;"Jump"&amp;B6&amp;"_SYNTHON"&amp;QuoteSuffix</f>
        <v>EURJump1_SYNTHON_Quote</v>
      </c>
      <c r="E6" s="172">
        <f>IF(_xll.qlQuoteIsValid(D6,Trigger),_xll.qlQuoteValue(D6,Trigger),1)</f>
        <v>0.99999629999999995</v>
      </c>
      <c r="F6" s="171"/>
      <c r="G6" s="172" t="str">
        <f>IF(ISBLANK(F6),D6,F6)</f>
        <v>EURJump1_SYNTHON_Quote</v>
      </c>
      <c r="H6" s="178"/>
    </row>
    <row r="7" spans="1:8" ht="13.35" customHeight="1" x14ac:dyDescent="0.2">
      <c r="A7" s="177"/>
      <c r="B7" s="183">
        <v>2</v>
      </c>
      <c r="C7" s="184">
        <f>_xll.qlCalendarEndOfMonth(Calendar,_xll.qlCalendarAdvance(Calendar,C6,"1m","mf",TRUE),Trigger)</f>
        <v>42185</v>
      </c>
      <c r="D7" s="183" t="str">
        <f t="shared" si="0"/>
        <v>EURJump2_SYNTHON_Quote</v>
      </c>
      <c r="E7" s="174">
        <f>IF(_xll.qlQuoteIsValid(D7,Trigger),_xll.qlQuoteValue(D7,Trigger),1)</f>
        <v>0.99999400000000005</v>
      </c>
      <c r="F7" s="173"/>
      <c r="G7" s="174" t="str">
        <f t="shared" ref="G7:G18" si="1">IF(ISBLANK(F7),D7,F7)</f>
        <v>EURJump2_SYNTHON_Quote</v>
      </c>
      <c r="H7" s="178"/>
    </row>
    <row r="8" spans="1:8" ht="13.35" customHeight="1" x14ac:dyDescent="0.2">
      <c r="A8" s="177"/>
      <c r="B8" s="183">
        <v>3</v>
      </c>
      <c r="C8" s="184">
        <f>_xll.qlCalendarEndOfMonth(Calendar,_xll.qlCalendarAdvance(Calendar,C7,"1m","mf",TRUE),Trigger)</f>
        <v>42216</v>
      </c>
      <c r="D8" s="183" t="str">
        <f t="shared" si="0"/>
        <v>EURJump3_SYNTHON_Quote</v>
      </c>
      <c r="E8" s="174">
        <f>IF(_xll.qlQuoteIsValid(D8,Trigger),_xll.qlQuoteValue(D8,Trigger),1)</f>
        <v>0.99999850000000001</v>
      </c>
      <c r="F8" s="173"/>
      <c r="G8" s="174" t="str">
        <f t="shared" si="1"/>
        <v>EURJump3_SYNTHON_Quote</v>
      </c>
      <c r="H8" s="178"/>
    </row>
    <row r="9" spans="1:8" ht="13.35" customHeight="1" x14ac:dyDescent="0.2">
      <c r="A9" s="177"/>
      <c r="B9" s="183">
        <v>4</v>
      </c>
      <c r="C9" s="184">
        <f>_xll.qlCalendarEndOfMonth(Calendar,_xll.qlCalendarAdvance(Calendar,C8,"1m","mf",TRUE),Trigger)</f>
        <v>42247</v>
      </c>
      <c r="D9" s="183" t="str">
        <f t="shared" si="0"/>
        <v>EURJump4_SYNTHON_Quote</v>
      </c>
      <c r="E9" s="174">
        <f>IF(_xll.qlQuoteIsValid(D9,Trigger),_xll.qlQuoteValue(D9,Trigger),1)</f>
        <v>0.99999970000000005</v>
      </c>
      <c r="F9" s="173"/>
      <c r="G9" s="174" t="str">
        <f t="shared" si="1"/>
        <v>EURJump4_SYNTHON_Quote</v>
      </c>
      <c r="H9" s="178"/>
    </row>
    <row r="10" spans="1:8" ht="13.35" customHeight="1" x14ac:dyDescent="0.2">
      <c r="A10" s="177"/>
      <c r="B10" s="183">
        <v>5</v>
      </c>
      <c r="C10" s="184">
        <f>_xll.qlCalendarEndOfMonth(Calendar,_xll.qlCalendarAdvance(Calendar,C9,"1m","mf",TRUE),Trigger)</f>
        <v>42277</v>
      </c>
      <c r="D10" s="183" t="str">
        <f t="shared" si="0"/>
        <v>EURJump5_SYNTHON_Quote</v>
      </c>
      <c r="E10" s="174">
        <f>IF(_xll.qlQuoteIsValid(D10,Trigger),_xll.qlQuoteValue(D10,Trigger),1)</f>
        <v>0.99999640000000001</v>
      </c>
      <c r="F10" s="173"/>
      <c r="G10" s="174" t="str">
        <f t="shared" si="1"/>
        <v>EURJump5_SYNTHON_Quote</v>
      </c>
      <c r="H10" s="178"/>
    </row>
    <row r="11" spans="1:8" ht="13.35" customHeight="1" x14ac:dyDescent="0.2">
      <c r="A11" s="177"/>
      <c r="B11" s="183">
        <v>6</v>
      </c>
      <c r="C11" s="184">
        <f>_xll.qlCalendarEndOfMonth(Calendar,_xll.qlCalendarAdvance(Calendar,C10,"1m","mf",TRUE),Trigger)</f>
        <v>42307</v>
      </c>
      <c r="D11" s="183" t="str">
        <f t="shared" si="0"/>
        <v>EURJump6_SYNTHON_Quote</v>
      </c>
      <c r="E11" s="174">
        <f>IF(_xll.qlQuoteIsValid(D11,Trigger),_xll.qlQuoteValue(D11,Trigger),1)</f>
        <v>1</v>
      </c>
      <c r="F11" s="173"/>
      <c r="G11" s="174" t="str">
        <f t="shared" si="1"/>
        <v>EURJump6_SYNTHON_Quote</v>
      </c>
      <c r="H11" s="178"/>
    </row>
    <row r="12" spans="1:8" ht="13.35" customHeight="1" x14ac:dyDescent="0.2">
      <c r="A12" s="177"/>
      <c r="B12" s="183">
        <v>7</v>
      </c>
      <c r="C12" s="184">
        <f>_xll.qlCalendarEndOfMonth(Calendar,_xll.qlCalendarAdvance(Calendar,C11,"1m","mf",TRUE),Trigger)</f>
        <v>42338</v>
      </c>
      <c r="D12" s="183" t="str">
        <f t="shared" si="0"/>
        <v>EURJump7_SYNTHON_Quote</v>
      </c>
      <c r="E12" s="174">
        <f>IF(_xll.qlQuoteIsValid(D12,Trigger),_xll.qlQuoteValue(D12,Trigger),1)</f>
        <v>0.99997239999999998</v>
      </c>
      <c r="F12" s="173"/>
      <c r="G12" s="174" t="str">
        <f t="shared" si="1"/>
        <v>EURJump7_SYNTHON_Quote</v>
      </c>
      <c r="H12" s="178"/>
    </row>
    <row r="13" spans="1:8" ht="13.35" customHeight="1" x14ac:dyDescent="0.2">
      <c r="A13" s="177"/>
      <c r="B13" s="183">
        <v>8</v>
      </c>
      <c r="C13" s="184">
        <f>_xll.qlCalendarEndOfMonth(Calendar,_xll.qlCalendarAdvance(Calendar,C12,"1m","mf",TRUE),Trigger)</f>
        <v>42369</v>
      </c>
      <c r="D13" s="183" t="str">
        <f t="shared" si="0"/>
        <v>EURJump8_SYNTHON_Quote</v>
      </c>
      <c r="E13" s="174">
        <f>IF(_xll.qlQuoteIsValid(D13,Trigger),_xll.qlQuoteValue(D13,Trigger),1)</f>
        <v>0.99999190000000004</v>
      </c>
      <c r="F13" s="173"/>
      <c r="G13" s="174" t="str">
        <f t="shared" si="1"/>
        <v>EURJump8_SYNTHON_Quote</v>
      </c>
      <c r="H13" s="178"/>
    </row>
    <row r="14" spans="1:8" ht="13.35" customHeight="1" x14ac:dyDescent="0.2">
      <c r="A14" s="177"/>
      <c r="B14" s="183">
        <v>9</v>
      </c>
      <c r="C14" s="184">
        <f>_xll.qlCalendarEndOfMonth(Calendar,_xll.qlCalendarAdvance(Calendar,C13,"1m","mf",TRUE),Trigger)</f>
        <v>42398</v>
      </c>
      <c r="D14" s="183" t="str">
        <f t="shared" si="0"/>
        <v>EURJump9_SYNTHON_Quote</v>
      </c>
      <c r="E14" s="174">
        <f>IF(_xll.qlQuoteIsValid(D14,Trigger),_xll.qlQuoteValue(D14,Trigger),1)</f>
        <v>0.99999289999999996</v>
      </c>
      <c r="F14" s="173"/>
      <c r="G14" s="174" t="str">
        <f t="shared" si="1"/>
        <v>EURJump9_SYNTHON_Quote</v>
      </c>
      <c r="H14" s="178"/>
    </row>
    <row r="15" spans="1:8" ht="13.35" customHeight="1" x14ac:dyDescent="0.2">
      <c r="A15" s="177"/>
      <c r="B15" s="183">
        <v>10</v>
      </c>
      <c r="C15" s="184">
        <f>_xll.qlCalendarEndOfMonth(Calendar,_xll.qlCalendarAdvance(Calendar,C14,"1m","mf",TRUE),Trigger)</f>
        <v>42429</v>
      </c>
      <c r="D15" s="183" t="str">
        <f t="shared" si="0"/>
        <v>EURJump10_SYNTHON_Quote</v>
      </c>
      <c r="E15" s="174">
        <f>IF(_xll.qlQuoteIsValid(D15,Trigger),_xll.qlQuoteValue(D15,Trigger),1)</f>
        <v>0.99999700000000002</v>
      </c>
      <c r="F15" s="173"/>
      <c r="G15" s="174" t="str">
        <f t="shared" si="1"/>
        <v>EURJump10_SYNTHON_Quote</v>
      </c>
      <c r="H15" s="178"/>
    </row>
    <row r="16" spans="1:8" ht="13.35" customHeight="1" x14ac:dyDescent="0.2">
      <c r="A16" s="177"/>
      <c r="B16" s="183">
        <v>11</v>
      </c>
      <c r="C16" s="184">
        <f>_xll.qlCalendarEndOfMonth(Calendar,_xll.qlCalendarAdvance(Calendar,C15,"1m","mf",TRUE),Trigger)</f>
        <v>42460</v>
      </c>
      <c r="D16" s="183" t="str">
        <f t="shared" si="0"/>
        <v>EURJump11_SYNTHON_Quote</v>
      </c>
      <c r="E16" s="174">
        <f>IF(_xll.qlQuoteIsValid(D16,Trigger),_xll.qlQuoteValue(D16,Trigger),1)</f>
        <v>0.99999269999999996</v>
      </c>
      <c r="F16" s="173"/>
      <c r="G16" s="174" t="str">
        <f t="shared" si="1"/>
        <v>EURJump11_SYNTHON_Quote</v>
      </c>
      <c r="H16" s="178"/>
    </row>
    <row r="17" spans="1:8" ht="13.35" customHeight="1" x14ac:dyDescent="0.2">
      <c r="A17" s="177"/>
      <c r="B17" s="183">
        <v>12</v>
      </c>
      <c r="C17" s="184">
        <f>_xll.qlCalendarEndOfMonth(Calendar,_xll.qlCalendarAdvance(Calendar,C16,"1m","mf",TRUE),Trigger)</f>
        <v>42489</v>
      </c>
      <c r="D17" s="183" t="str">
        <f t="shared" si="0"/>
        <v>EURJump12_SYNTHON_Quote</v>
      </c>
      <c r="E17" s="174">
        <f>IF(_xll.qlQuoteIsValid(D17,Trigger),_xll.qlQuoteValue(D17,Trigger),1)</f>
        <v>0.99998949999999998</v>
      </c>
      <c r="F17" s="173"/>
      <c r="G17" s="174" t="str">
        <f t="shared" si="1"/>
        <v>EURJump12_SYNTHON_Quote</v>
      </c>
      <c r="H17" s="178"/>
    </row>
    <row r="18" spans="1:8" ht="13.35" customHeight="1" x14ac:dyDescent="0.2">
      <c r="A18" s="177"/>
      <c r="B18" s="185">
        <v>13</v>
      </c>
      <c r="C18" s="186">
        <f>_xll.qlCalendarAdjust(Calendar,DATE(YEAR(D2)+1,12,31),"preceding",Trigger)</f>
        <v>42734</v>
      </c>
      <c r="D18" s="185" t="str">
        <f t="shared" si="0"/>
        <v>EURJump13_SYNTHON_Quote</v>
      </c>
      <c r="E18" s="176">
        <f>IF(_xll.qlQuoteIsValid(D18,Trigger),_xll.qlQuoteValue(D18,Trigger),1)</f>
        <v>0.99996940000000001</v>
      </c>
      <c r="F18" s="175"/>
      <c r="G18" s="176" t="str">
        <f t="shared" si="1"/>
        <v>EURJump13_SYNTHON_Quote</v>
      </c>
      <c r="H18" s="178"/>
    </row>
    <row r="19" spans="1:8" ht="12" thickBot="1" x14ac:dyDescent="0.25">
      <c r="A19" s="179"/>
      <c r="B19" s="179"/>
      <c r="C19" s="179"/>
      <c r="D19" s="179"/>
      <c r="E19" s="179"/>
      <c r="F19" s="179"/>
      <c r="G19" s="179"/>
      <c r="H19" s="18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sheetPr>
  <dimension ref="A1:AD3559"/>
  <sheetViews>
    <sheetView topLeftCell="A10" zoomScaleNormal="100" zoomScaleSheetLayoutView="110" workbookViewId="0">
      <selection activeCell="J12" sqref="J12"/>
    </sheetView>
  </sheetViews>
  <sheetFormatPr defaultRowHeight="11.25" outlineLevelRow="1" outlineLevelCol="1" x14ac:dyDescent="0.2"/>
  <cols>
    <col min="1" max="1" width="7" style="1" bestFit="1" customWidth="1"/>
    <col min="2" max="2" width="6" style="93" customWidth="1"/>
    <col min="3" max="3" width="17.28515625" style="93" bestFit="1" customWidth="1"/>
    <col min="4" max="4" width="7" style="1" bestFit="1" customWidth="1"/>
    <col min="5" max="5" width="17.28515625" style="1" bestFit="1" customWidth="1"/>
    <col min="6" max="6" width="20.28515625" style="93" bestFit="1" customWidth="1"/>
    <col min="7" max="8" width="7" style="93" customWidth="1"/>
    <col min="9" max="9" width="11" style="93" bestFit="1" customWidth="1"/>
    <col min="10" max="10" width="15.140625" style="93" bestFit="1" customWidth="1"/>
    <col min="11" max="11" width="10" style="93" bestFit="1" customWidth="1"/>
    <col min="12" max="12" width="4.28515625" style="93" customWidth="1"/>
    <col min="13" max="13" width="3.5703125" style="1" hidden="1" customWidth="1"/>
    <col min="14" max="14" width="16.28515625" style="1" bestFit="1" customWidth="1"/>
    <col min="15" max="15" width="17.42578125" style="1" bestFit="1" customWidth="1"/>
    <col min="16" max="16" width="9" style="1" bestFit="1" customWidth="1"/>
    <col min="17" max="18" width="6" style="1" hidden="1" customWidth="1" outlineLevel="1"/>
    <col min="19" max="19" width="15.140625" style="1" hidden="1" customWidth="1" outlineLevel="1"/>
    <col min="20" max="20" width="9" style="1" hidden="1" customWidth="1" outlineLevel="1"/>
    <col min="21" max="21" width="10" style="95" bestFit="1" customWidth="1" collapsed="1"/>
    <col min="22" max="22" width="10" style="1" bestFit="1" customWidth="1"/>
    <col min="23" max="23" width="3.7109375" style="1" customWidth="1"/>
    <col min="24" max="24" width="10" style="1" bestFit="1" customWidth="1"/>
    <col min="25" max="26" width="17.28515625" style="1" bestFit="1" customWidth="1"/>
    <col min="27" max="27" width="9.28515625" style="1" customWidth="1"/>
    <col min="28" max="28" width="15.140625" style="1" bestFit="1" customWidth="1"/>
    <col min="29" max="16384" width="9.140625" style="1"/>
  </cols>
  <sheetData>
    <row r="1" spans="1:30" s="93" customFormat="1" ht="11.25" hidden="1" customHeight="1" outlineLevel="1" thickBot="1" x14ac:dyDescent="0.25">
      <c r="A1" s="97"/>
      <c r="B1" s="97" t="s">
        <v>112</v>
      </c>
      <c r="C1" s="98"/>
      <c r="D1" s="98"/>
      <c r="E1" s="98"/>
      <c r="F1" s="99"/>
      <c r="G1" s="100" t="s">
        <v>113</v>
      </c>
      <c r="H1" s="98"/>
      <c r="I1" s="101"/>
      <c r="J1" s="100"/>
      <c r="K1" s="148"/>
    </row>
    <row r="2" spans="1:30" hidden="1" outlineLevel="1" x14ac:dyDescent="0.2">
      <c r="A2" s="123"/>
      <c r="B2" s="149" t="s">
        <v>98</v>
      </c>
      <c r="C2" s="150" t="s">
        <v>99</v>
      </c>
      <c r="D2" s="150" t="s">
        <v>72</v>
      </c>
      <c r="E2" s="150" t="s">
        <v>100</v>
      </c>
      <c r="F2" s="151" t="s">
        <v>114</v>
      </c>
      <c r="G2" s="149" t="s">
        <v>99</v>
      </c>
      <c r="H2" s="150" t="s">
        <v>100</v>
      </c>
      <c r="I2" s="151" t="s">
        <v>101</v>
      </c>
      <c r="J2" s="149" t="s">
        <v>122</v>
      </c>
      <c r="K2" s="150" t="s">
        <v>123</v>
      </c>
    </row>
    <row r="3" spans="1:30" ht="11.25" hidden="1" customHeight="1" outlineLevel="1" x14ac:dyDescent="0.2">
      <c r="A3" s="121"/>
      <c r="B3" s="121" t="str">
        <f>_xll.qlPeriodEquivalent(D3&amp;"M")</f>
        <v>1Y</v>
      </c>
      <c r="C3" s="124">
        <f>_xll.qlDateEndOfMonth(EDATE(_xll.qlSettingsEvaluationDate(Trigger),-1))</f>
        <v>42124</v>
      </c>
      <c r="D3" s="125">
        <v>12</v>
      </c>
      <c r="E3" s="124">
        <f t="shared" ref="E3:E9" si="0">EDATE($Z$11,$D3)</f>
        <v>42518</v>
      </c>
      <c r="F3" s="161">
        <f>IF(D3&lt;=12,1,IF(D3&lt;=24,3,IF(D3&lt;=120,6,IF(D3&lt;=240,12,IF(D3&lt;=360,36,60)))))</f>
        <v>1</v>
      </c>
      <c r="G3" s="152">
        <f>IF(J3&gt;=0,ROUNDDOWN(J3*10,2)/10,ROUNDUP(J3*10,2)/10)</f>
        <v>-2E-3</v>
      </c>
      <c r="H3" s="153">
        <f t="shared" ref="H3" si="1">IF(K3-J3&gt;1%,(QUOTIENT(K3*10000,50)+1)*0.5%,(QUOTIENT(K3*10000,10)+1)*0.1%)</f>
        <v>9.0000000000000011E-3</v>
      </c>
      <c r="I3" s="154">
        <f>IF(H3-G3&lt;0.25%,0.025%,IF(H3-G3&lt;0.5%,0.05%,IF(H3-G3&lt;1%,0.1%,IF(H3-G3&lt;2%,0.25%,0.5%))))</f>
        <v>2.5000000000000001E-3</v>
      </c>
      <c r="J3" s="155">
        <f>MIN($AA$11:INDEX($AA$11:$AA$3544,MATCH(E3+1,$Z$11:$Z$35444,1),1))</f>
        <v>-1.6166821652596752E-3</v>
      </c>
      <c r="K3" s="156">
        <f>MAX($AA$11:INDEX($AA$11:$AA$3544,MATCH(E3+1,$Z$11:$Z$35444,1),1))</f>
        <v>8.3195474543895642E-3</v>
      </c>
      <c r="L3" s="145"/>
    </row>
    <row r="4" spans="1:30" ht="11.25" hidden="1" customHeight="1" outlineLevel="1" x14ac:dyDescent="0.25">
      <c r="A4" s="121"/>
      <c r="B4" s="121" t="str">
        <f>_xll.qlPeriodEquivalent(D4&amp;"M")</f>
        <v>2Y</v>
      </c>
      <c r="C4" s="124">
        <f>_xll.qlDateEndOfMonth(EDATE(_xll.qlIMMNextDate(_xll.qlSettingsEvaluationDate(Trigger)-1,TRUE),-3))</f>
        <v>42094</v>
      </c>
      <c r="D4" s="125">
        <v>24</v>
      </c>
      <c r="E4" s="124">
        <f t="shared" si="0"/>
        <v>42883</v>
      </c>
      <c r="F4" s="161">
        <f t="shared" ref="F4:F9" si="2">IF(D4&lt;=12,1,IF(D4&lt;=24,3,IF(D4&lt;=120,6,IF(D4&lt;=240,12,IF(D4&lt;=360,36,60)))))</f>
        <v>3</v>
      </c>
      <c r="G4" s="152">
        <f t="shared" ref="G4:G9" si="3">IF(J4&gt;=0,ROUNDDOWN(J4*10,2)/10,ROUNDUP(J4*10,2)/10)</f>
        <v>-2E-3</v>
      </c>
      <c r="H4" s="153">
        <f>IF(K4-J4&gt;1%,(QUOTIENT(K4*10000,50)+1)*0.5%,(QUOTIENT(K4*10000,10)+1)*0.1%)</f>
        <v>9.0000000000000011E-3</v>
      </c>
      <c r="I4" s="154">
        <f t="shared" ref="I4:I9" si="4">IF(H4-G4&lt;0.5%,0.05%,IF(H4-G4&lt;1%,0.1%,IF(H4-G4&lt;2%,0.25%,0.5%)))</f>
        <v>2.5000000000000001E-3</v>
      </c>
      <c r="J4" s="155">
        <f>MIN($AA$11:INDEX($AA$11:$AA$3544,MATCH(E4+1,$Z$11:$Z$35444,1),1))</f>
        <v>-1.6166821652596752E-3</v>
      </c>
      <c r="K4" s="156">
        <f>MAX($AA$11:INDEX($AA$11:$AA$3544,MATCH(E4+1,$Z$11:$Z$35444,1),1))</f>
        <v>8.3195474543895642E-3</v>
      </c>
      <c r="L4" s="145"/>
      <c r="N4" s="147"/>
      <c r="O4" s="147"/>
      <c r="P4" s="146"/>
      <c r="V4"/>
      <c r="W4"/>
      <c r="X4"/>
      <c r="Y4"/>
      <c r="Z4"/>
      <c r="AA4"/>
      <c r="AB4"/>
    </row>
    <row r="5" spans="1:30" ht="11.25" hidden="1" customHeight="1" outlineLevel="1" x14ac:dyDescent="0.2">
      <c r="A5" s="121"/>
      <c r="B5" s="121" t="str">
        <f>_xll.qlPeriodEquivalent(D5&amp;"M")</f>
        <v>5Y</v>
      </c>
      <c r="C5" s="12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25">
        <v>60</v>
      </c>
      <c r="E5" s="124">
        <f t="shared" si="0"/>
        <v>43979</v>
      </c>
      <c r="F5" s="161">
        <f t="shared" si="2"/>
        <v>6</v>
      </c>
      <c r="G5" s="152">
        <f t="shared" si="3"/>
        <v>-2E-3</v>
      </c>
      <c r="H5" s="153">
        <f t="shared" ref="H5:H9" si="5">IF(K5-J5&gt;1%,(QUOTIENT(K5*10000,50)+1)*0.5%,(QUOTIENT(K5*10000,10)+1)*0.1%)</f>
        <v>9.0000000000000011E-3</v>
      </c>
      <c r="I5" s="154">
        <f t="shared" si="4"/>
        <v>2.5000000000000001E-3</v>
      </c>
      <c r="J5" s="155">
        <f>MIN($AA$11:INDEX($AA$11:$AA$3544,MATCH(E5+1,$Z$11:$Z$35444,1),1))</f>
        <v>-1.6166821652596752E-3</v>
      </c>
      <c r="K5" s="153">
        <f>MAX($AA$11:INDEX($AA$11:$AA$3544,MATCH(E5+1,$Z$11:$Z$35444,1),1))</f>
        <v>8.3195474543895642E-3</v>
      </c>
      <c r="L5" s="145"/>
    </row>
    <row r="6" spans="1:30" ht="11.25" hidden="1" customHeight="1" outlineLevel="1" x14ac:dyDescent="0.2">
      <c r="A6" s="121" t="s">
        <v>115</v>
      </c>
      <c r="B6" s="121" t="str">
        <f>_xll.qlPeriodEquivalent(D6&amp;"M")</f>
        <v>10Y</v>
      </c>
      <c r="C6" s="124">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6" s="125">
        <v>120</v>
      </c>
      <c r="E6" s="124">
        <f t="shared" si="0"/>
        <v>45805</v>
      </c>
      <c r="F6" s="161">
        <f t="shared" si="2"/>
        <v>6</v>
      </c>
      <c r="G6" s="155">
        <f t="shared" si="3"/>
        <v>-2E-3</v>
      </c>
      <c r="H6" s="153">
        <f t="shared" si="5"/>
        <v>0.02</v>
      </c>
      <c r="I6" s="154">
        <f t="shared" si="4"/>
        <v>5.0000000000000001E-3</v>
      </c>
      <c r="J6" s="155">
        <f>MIN($AA$11:INDEX($AA$11:$AA$3544,MATCH(E6+1,$Z$11:$Z$35444,1),1))</f>
        <v>-1.6166821652596752E-3</v>
      </c>
      <c r="K6" s="153">
        <f>MAX($AA$11:INDEX($AA$11:$AA$3544,MATCH(E6+1,$Z$11:$Z$35444,1),1))</f>
        <v>1.5188682240010465E-2</v>
      </c>
      <c r="L6" s="145"/>
    </row>
    <row r="7" spans="1:30" ht="11.25" hidden="1" customHeight="1" outlineLevel="1" x14ac:dyDescent="0.2">
      <c r="A7" s="121"/>
      <c r="B7" s="121" t="str">
        <f>_xll.qlPeriodEquivalent(D7&amp;"M")</f>
        <v>20Y</v>
      </c>
      <c r="C7" s="124">
        <f>IF(AND(MONTH(C6)=12),C6,_xll.qlDateEndOfMonth(EDATE(C6,-6)))</f>
        <v>42004</v>
      </c>
      <c r="D7" s="125">
        <v>240</v>
      </c>
      <c r="E7" s="124">
        <f t="shared" si="0"/>
        <v>49457</v>
      </c>
      <c r="F7" s="161">
        <f t="shared" si="2"/>
        <v>12</v>
      </c>
      <c r="G7" s="155">
        <f t="shared" si="3"/>
        <v>-2E-3</v>
      </c>
      <c r="H7" s="153">
        <f t="shared" si="5"/>
        <v>0.02</v>
      </c>
      <c r="I7" s="154">
        <f t="shared" si="4"/>
        <v>5.0000000000000001E-3</v>
      </c>
      <c r="J7" s="155">
        <f>MIN($AA$11:INDEX($AA$11:$AA$3544,MATCH(E7+1,$Z$11:$Z$35444,1),1))</f>
        <v>-1.6166821652596752E-3</v>
      </c>
      <c r="K7" s="153">
        <f>MAX($AA$11:INDEX($AA$11:$AA$3544,MATCH(E7+1,$Z$11:$Z$35444,1),1))</f>
        <v>1.6241623774053693E-2</v>
      </c>
      <c r="L7" s="145"/>
    </row>
    <row r="8" spans="1:30" ht="11.25" hidden="1" customHeight="1" outlineLevel="1" x14ac:dyDescent="0.2">
      <c r="A8" s="121"/>
      <c r="B8" s="121" t="str">
        <f>_xll.qlPeriodEquivalent(D8&amp;"M")</f>
        <v>30Y</v>
      </c>
      <c r="C8" s="124">
        <f>IF(AND(MONTH(C7)=12),C7,_xll.qlDateEndOfMonth(EDATE(C7,-6)))</f>
        <v>42004</v>
      </c>
      <c r="D8" s="125">
        <v>360</v>
      </c>
      <c r="E8" s="124">
        <f t="shared" si="0"/>
        <v>53110</v>
      </c>
      <c r="F8" s="161">
        <f t="shared" si="2"/>
        <v>36</v>
      </c>
      <c r="G8" s="155">
        <f t="shared" si="3"/>
        <v>-2E-3</v>
      </c>
      <c r="H8" s="153">
        <f t="shared" si="5"/>
        <v>0.02</v>
      </c>
      <c r="I8" s="154">
        <f t="shared" si="4"/>
        <v>5.0000000000000001E-3</v>
      </c>
      <c r="J8" s="155">
        <f>MIN($AA$11:INDEX($AA$11:$AA$3544,MATCH(E8+1,$Z$11:$Z$35444,1),1))</f>
        <v>-1.6166821652596752E-3</v>
      </c>
      <c r="K8" s="153">
        <f>MAX($AA$11:INDEX($AA$11:$AA$3544,MATCH(E8+1,$Z$11:$Z$35444,1),1))</f>
        <v>1.6241623774053693E-2</v>
      </c>
      <c r="L8" s="145"/>
      <c r="W8" s="93"/>
      <c r="AA8" s="102" t="s">
        <v>102</v>
      </c>
      <c r="AC8" s="1" t="s">
        <v>152</v>
      </c>
      <c r="AD8" s="1" t="s">
        <v>153</v>
      </c>
    </row>
    <row r="9" spans="1:30" ht="11.25" hidden="1" customHeight="1" outlineLevel="1" thickBot="1" x14ac:dyDescent="0.25">
      <c r="A9" s="122"/>
      <c r="B9" s="122" t="str">
        <f>_xll.qlPeriodEquivalent(D9&amp;"M")</f>
        <v>60Y</v>
      </c>
      <c r="C9" s="124">
        <f>IF(AND(MONTH(C8)=12),C8,_xll.qlDateEndOfMonth(EDATE(C8,-6)))</f>
        <v>42004</v>
      </c>
      <c r="D9" s="127">
        <v>720</v>
      </c>
      <c r="E9" s="126">
        <f t="shared" si="0"/>
        <v>64067</v>
      </c>
      <c r="F9" s="162">
        <f t="shared" si="2"/>
        <v>60</v>
      </c>
      <c r="G9" s="157">
        <f t="shared" si="3"/>
        <v>-2E-3</v>
      </c>
      <c r="H9" s="158">
        <f t="shared" si="5"/>
        <v>0.02</v>
      </c>
      <c r="I9" s="159">
        <f t="shared" si="4"/>
        <v>5.0000000000000001E-3</v>
      </c>
      <c r="J9" s="157">
        <f>MIN($AA$11:INDEX($AA$11:$AA$3544,MATCH(E9+1,$Z$11:$Z$35444,1),1))</f>
        <v>-1.6166821652596752E-3</v>
      </c>
      <c r="K9" s="158">
        <f>MAX($AA$11:INDEX($AA$11:$AA$3544,MATCH(E9+1,$Z$11:$Z$35444,1),1))</f>
        <v>1.6241623774053693E-2</v>
      </c>
      <c r="L9" s="145"/>
      <c r="W9" s="104"/>
      <c r="AA9" s="105" t="str">
        <f>_xll.qlEonia(,YieldCurve,,YieldCurve)</f>
        <v>obj_00547#0114</v>
      </c>
      <c r="AC9" s="1" t="str">
        <f>_xll.qlEonia(,YieldCurve1st)</f>
        <v>obj_0087a#0008</v>
      </c>
      <c r="AD9" s="1" t="str">
        <f>_xll.qlEonia(,YieldCurve2nd)</f>
        <v>obj_0087b#0001</v>
      </c>
    </row>
    <row r="10" spans="1:30" ht="23.25" collapsed="1" thickBot="1" x14ac:dyDescent="0.25">
      <c r="C10" s="160"/>
      <c r="J10" s="113"/>
      <c r="M10" s="103" t="s">
        <v>118</v>
      </c>
      <c r="N10" s="134" t="s">
        <v>106</v>
      </c>
      <c r="O10" s="135" t="s">
        <v>103</v>
      </c>
      <c r="P10" s="135" t="s">
        <v>50</v>
      </c>
      <c r="Q10" s="135" t="s">
        <v>107</v>
      </c>
      <c r="R10" s="135" t="s">
        <v>141</v>
      </c>
      <c r="S10" s="135" t="s">
        <v>108</v>
      </c>
      <c r="T10" s="135" t="s">
        <v>120</v>
      </c>
      <c r="U10" s="136" t="s">
        <v>109</v>
      </c>
      <c r="V10" s="102" t="s">
        <v>110</v>
      </c>
      <c r="W10" s="144"/>
      <c r="X10" s="141" t="s">
        <v>104</v>
      </c>
      <c r="Y10" s="141" t="s">
        <v>105</v>
      </c>
      <c r="Z10" s="141" t="s">
        <v>103</v>
      </c>
      <c r="AA10" s="141" t="s">
        <v>115</v>
      </c>
      <c r="AB10" s="142"/>
    </row>
    <row r="11" spans="1:30" ht="12" thickBot="1" x14ac:dyDescent="0.25">
      <c r="J11" s="94" t="s">
        <v>97</v>
      </c>
      <c r="M11" s="107" t="str">
        <f t="array" ref="M11:M46">_xll.ohFilter(RateHelpers!A19:A40,IF(ISERROR(RateHelpers!D19:D40),FALSE,TRUE))</f>
        <v>obj_0084d#0016</v>
      </c>
      <c r="N11" s="107" t="str">
        <f>_xll.qlRateHelperQuoteName(M11)</f>
        <v>EUREONSW_Quote</v>
      </c>
      <c r="O11" s="106">
        <f>_xll.qlRateHelperLatestDate(M11,Trigger)</f>
        <v>42163</v>
      </c>
      <c r="P11" s="112">
        <f>_xll.qlRateHelperQuoteValue(M11,_xll.ohTrigger(RecalcTrigger,YieldCurve))</f>
        <v>-1.2000000000000001E-3</v>
      </c>
      <c r="Q11" s="116" t="str">
        <f t="shared" ref="Q11:Q46" si="6">SUBSTITUTE(SUBSTITUTE(N11,"_Quote",""),"EUREON","")</f>
        <v>SW</v>
      </c>
      <c r="R11" s="116">
        <v>2</v>
      </c>
      <c r="S11" s="113" t="str">
        <f>_xll.qlMakeOIS(,R11,IF(Q11="SW","1W",Q11),IborIndex,,"0D",,,,_xll.ohTrigger(RecalcTrigger,YieldCurve))</f>
        <v>obj_00557#0105</v>
      </c>
      <c r="T11" s="114">
        <f>_xll.qlOvernightIndexedSwapFairRate(S11,_xll.ohTrigger(RecalcTrigger,YieldCurve))</f>
        <v>-1.2000000000021516E-3</v>
      </c>
      <c r="U11" s="115">
        <f t="shared" ref="U11:U46" si="7">T11-P11</f>
        <v>-2.151490791080235E-15</v>
      </c>
      <c r="V11" s="118">
        <f t="array" ref="V11">MAX(ABS(U11:U32))</f>
        <v>2.6711765373522382E-5</v>
      </c>
      <c r="W11" s="144"/>
      <c r="X11" s="113" t="s">
        <v>90</v>
      </c>
      <c r="Y11" s="108">
        <f>_xll.qlCalendarAdvance(Calendar,_xll.qlSettingsEvaluationDate(Trigger),NDays&amp;"D","f",FALSE,Trigger)</f>
        <v>42152</v>
      </c>
      <c r="Z11" s="108">
        <f>_xll.qlCalendarAdvance(Calendar,Y11,0&amp;"D")</f>
        <v>42152</v>
      </c>
      <c r="AA11" s="109">
        <f t="array" ref="AA11:AA3544">IFERROR(_xll.qlIndexFixing(IborIndex,Y11:Y3544,TRUE,RecalcTrigger),NA())</f>
        <v>-7.0000000000458584E-4</v>
      </c>
      <c r="AB11" s="363">
        <f>AA11-AC11</f>
        <v>0</v>
      </c>
      <c r="AC11" s="236">
        <f t="array" ref="AC11:AC3544">IFERROR(_xll.qlIndexFixing(AC9,Y11:Y3544,TRUE,RecalcTrigger),NA())</f>
        <v>-7.0000000000458584E-4</v>
      </c>
      <c r="AD11" s="236">
        <f t="array" ref="AD11:AD3544">IFERROR(_xll.qlIndexFixing(AD9,Y11:Y3544,TRUE,RecalcTrigger),NA())</f>
        <v>-1.0000000000065512E-3</v>
      </c>
    </row>
    <row r="12" spans="1:30" ht="12" thickBot="1" x14ac:dyDescent="0.25">
      <c r="J12" s="96"/>
      <c r="M12" s="107" t="str">
        <v>obj_0086d#0015</v>
      </c>
      <c r="N12" s="107" t="str">
        <f>_xll.qlRateHelperQuoteName(M12)</f>
        <v>EUREON2W_Quote</v>
      </c>
      <c r="O12" s="106">
        <f>_xll.qlRateHelperLatestDate(M12,Trigger)</f>
        <v>42170</v>
      </c>
      <c r="P12" s="112">
        <f>_xll.qlRateHelperQuoteValue(M12,_xll.ohTrigger(RecalcTrigger,YieldCurve))</f>
        <v>-1.1800000000000001E-3</v>
      </c>
      <c r="Q12" s="116" t="str">
        <f t="shared" si="6"/>
        <v>2W</v>
      </c>
      <c r="R12" s="116">
        <v>2</v>
      </c>
      <c r="S12" s="113" t="str">
        <f>_xll.qlMakeOIS(,R12,IF(Q12="SW","1W",Q12),IborIndex,,"0D",,,,_xll.ohTrigger(RecalcTrigger,YieldCurve))</f>
        <v>obj_00568#0103</v>
      </c>
      <c r="T12" s="114">
        <f>_xll.qlOvernightIndexedSwapFairRate(S12,_xll.ohTrigger(RecalcTrigger,YieldCurve))</f>
        <v>-1.1800000000088725E-3</v>
      </c>
      <c r="U12" s="115">
        <f t="shared" si="7"/>
        <v>-8.872460058317877E-15</v>
      </c>
      <c r="W12" s="144"/>
      <c r="X12" s="113" t="str">
        <f>X11</f>
        <v>1D</v>
      </c>
      <c r="Y12" s="106">
        <f>_xll.qlCalendarAdvance(Calendar,Y11,X12,"f",FALSE)</f>
        <v>42153</v>
      </c>
      <c r="Z12" s="108">
        <f>_xll.qlCalendarAdvance(Calendar,Y12,0&amp;"D")</f>
        <v>42153</v>
      </c>
      <c r="AA12" s="109">
        <v>-7.5601079731146825E-4</v>
      </c>
      <c r="AB12" s="363">
        <f t="shared" ref="AB12:AB75" si="8">AA12-AC12</f>
        <v>0</v>
      </c>
      <c r="AC12" s="236">
        <v>-7.5601079731146825E-4</v>
      </c>
      <c r="AD12" s="236">
        <v>-7.0000000143011221E-4</v>
      </c>
    </row>
    <row r="13" spans="1:30" ht="12" thickBot="1" x14ac:dyDescent="0.25">
      <c r="M13" s="107" t="str">
        <v>obj_0085e#0015</v>
      </c>
      <c r="N13" s="107" t="str">
        <f>_xll.qlRateHelperQuoteName(M13)</f>
        <v>EUREON3W_Quote</v>
      </c>
      <c r="O13" s="106">
        <f>_xll.qlRateHelperLatestDate(M13,Trigger)</f>
        <v>42177</v>
      </c>
      <c r="P13" s="112">
        <f>_xll.qlRateHelperQuoteValue(M13,_xll.ohTrigger(RecalcTrigger,YieldCurve))</f>
        <v>-1.17E-3</v>
      </c>
      <c r="Q13" s="116" t="str">
        <f t="shared" si="6"/>
        <v>3W</v>
      </c>
      <c r="R13" s="116">
        <v>2</v>
      </c>
      <c r="S13" s="113" t="str">
        <f>_xll.qlMakeOIS(,R13,IF(Q13="SW","1W",Q13),IborIndex,,"0D",,,,_xll.ohTrigger(RecalcTrigger,YieldCurve))</f>
        <v>obj_00567#0103</v>
      </c>
      <c r="T13" s="114">
        <f>_xll.qlOvernightIndexedSwapFairRate(S13,_xll.ohTrigger(RecalcTrigger,YieldCurve))</f>
        <v>-1.1700000000017651E-3</v>
      </c>
      <c r="U13" s="115">
        <f t="shared" si="7"/>
        <v>-1.7650811368064012E-15</v>
      </c>
      <c r="W13" s="144"/>
      <c r="X13" s="113" t="str">
        <f t="shared" ref="X13:X76" si="9">X12</f>
        <v>1D</v>
      </c>
      <c r="Y13" s="106">
        <f>_xll.qlCalendarAdvance(Calendar,Y12,X13,"f",FALSE)</f>
        <v>42156</v>
      </c>
      <c r="Z13" s="108">
        <f>_xll.qlCalendarAdvance(Calendar,Y13,0&amp;"D")</f>
        <v>42156</v>
      </c>
      <c r="AA13" s="109">
        <v>-1.2000120002086945E-3</v>
      </c>
      <c r="AB13" s="363">
        <f t="shared" si="8"/>
        <v>0</v>
      </c>
      <c r="AC13" s="236">
        <v>-1.2000120002086945E-3</v>
      </c>
      <c r="AD13" s="236">
        <v>-1.202637212176505E-3</v>
      </c>
    </row>
    <row r="14" spans="1:30" ht="12" thickBot="1" x14ac:dyDescent="0.25">
      <c r="D14" s="93"/>
      <c r="E14" s="93"/>
      <c r="J14" s="164" t="s">
        <v>131</v>
      </c>
      <c r="M14" s="107" t="str">
        <v>obj_0086a#0015</v>
      </c>
      <c r="N14" s="107" t="str">
        <f>_xll.qlRateHelperQuoteName(M14)</f>
        <v>EUREON1M_Quote</v>
      </c>
      <c r="O14" s="106">
        <f>_xll.qlRateHelperLatestDate(M14,Trigger)</f>
        <v>42186</v>
      </c>
      <c r="P14" s="112">
        <f>_xll.qlRateHelperQuoteValue(M14,_xll.ohTrigger(RecalcTrigger,YieldCurve))</f>
        <v>-1.14E-3</v>
      </c>
      <c r="Q14" s="116" t="str">
        <f t="shared" si="6"/>
        <v>1M</v>
      </c>
      <c r="R14" s="116">
        <v>2</v>
      </c>
      <c r="S14" s="113" t="str">
        <f>_xll.qlMakeOIS(,R14,IF(Q14="SW","1W",Q14),IborIndex,,"0D",,,,_xll.ohTrigger(RecalcTrigger,YieldCurve))</f>
        <v>obj_0056b#0103</v>
      </c>
      <c r="T14" s="114">
        <f>_xll.qlOvernightIndexedSwapFairRate(S14,_xll.ohTrigger(RecalcTrigger,YieldCurve))</f>
        <v>-1.1467034739767181E-3</v>
      </c>
      <c r="U14" s="115">
        <f t="shared" si="7"/>
        <v>-6.7034739767181644E-6</v>
      </c>
      <c r="W14" s="144"/>
      <c r="X14" s="113" t="str">
        <f t="shared" si="9"/>
        <v>1D</v>
      </c>
      <c r="Y14" s="106">
        <f>_xll.qlCalendarAdvance(Calendar,Y13,X14,"f",FALSE)</f>
        <v>42157</v>
      </c>
      <c r="Z14" s="108">
        <f>_xll.qlCalendarAdvance(Calendar,Y14,0&amp;"D")</f>
        <v>42157</v>
      </c>
      <c r="AA14" s="109">
        <v>-1.2000120001287584E-3</v>
      </c>
      <c r="AB14" s="363">
        <f t="shared" si="8"/>
        <v>0</v>
      </c>
      <c r="AC14" s="236">
        <v>-1.2000120001287584E-3</v>
      </c>
      <c r="AD14" s="236">
        <v>-1.2046543008725763E-3</v>
      </c>
    </row>
    <row r="15" spans="1:30" ht="12" thickBot="1" x14ac:dyDescent="0.25">
      <c r="J15" s="163" t="str">
        <f>ROUNDDOWN((_xll.qlTermStructureMaxDate(YieldCurve,Trigger)-_xll.qlTermStructureReferenceDate(YieldCurve,Trigger))/365,)&amp;"Y"</f>
        <v>60Y</v>
      </c>
      <c r="M15" s="107" t="str">
        <v>obj_00868#0015</v>
      </c>
      <c r="N15" s="107" t="str">
        <f>_xll.qlRateHelperQuoteName(M15)</f>
        <v>EUREON2M_Quote</v>
      </c>
      <c r="O15" s="106">
        <f>_xll.qlRateHelperLatestDate(M15,Trigger)</f>
        <v>42219</v>
      </c>
      <c r="P15" s="112">
        <f>_xll.qlRateHelperQuoteValue(M15,_xll.ohTrigger(RecalcTrigger,YieldCurve))</f>
        <v>-1.2099999999999999E-3</v>
      </c>
      <c r="Q15" s="116" t="str">
        <f t="shared" si="6"/>
        <v>2M</v>
      </c>
      <c r="R15" s="116">
        <v>2</v>
      </c>
      <c r="S15" s="113" t="str">
        <f>_xll.qlMakeOIS(,R15,IF(Q15="SW","1W",Q15),IborIndex,,"0D",,,,_xll.ohTrigger(RecalcTrigger,YieldCurve))</f>
        <v>obj_0055d#0104</v>
      </c>
      <c r="T15" s="114">
        <f>_xll.qlOvernightIndexedSwapFairRate(S15,_xll.ohTrigger(RecalcTrigger,YieldCurve))</f>
        <v>-1.2259620605105579E-3</v>
      </c>
      <c r="U15" s="115">
        <f t="shared" si="7"/>
        <v>-1.5962060510557943E-5</v>
      </c>
      <c r="W15" s="144"/>
      <c r="X15" s="113" t="str">
        <f t="shared" si="9"/>
        <v>1D</v>
      </c>
      <c r="Y15" s="106">
        <f>_xll.qlCalendarAdvance(Calendar,Y14,X15,"f",FALSE)</f>
        <v>42158</v>
      </c>
      <c r="Z15" s="108">
        <f>_xll.qlCalendarAdvance(Calendar,Y15,0&amp;"D")</f>
        <v>42158</v>
      </c>
      <c r="AA15" s="109">
        <v>-1.2000120001687264E-3</v>
      </c>
      <c r="AB15" s="363">
        <f t="shared" si="8"/>
        <v>0</v>
      </c>
      <c r="AC15" s="236">
        <v>-1.2000120001687264E-3</v>
      </c>
      <c r="AD15" s="236">
        <v>-1.2049360943811038E-3</v>
      </c>
    </row>
    <row r="16" spans="1:30" x14ac:dyDescent="0.2">
      <c r="M16" s="107" t="str">
        <v>obj_00866#0015</v>
      </c>
      <c r="N16" s="107" t="str">
        <f>_xll.qlRateHelperQuoteName(M16)</f>
        <v>EUREON3M_Quote</v>
      </c>
      <c r="O16" s="106">
        <f>_xll.qlRateHelperLatestDate(M16,Trigger)</f>
        <v>42248</v>
      </c>
      <c r="P16" s="112">
        <f>_xll.qlRateHelperQuoteValue(M16,_xll.ohTrigger(RecalcTrigger,YieldCurve))</f>
        <v>-1.24E-3</v>
      </c>
      <c r="Q16" s="116" t="str">
        <f t="shared" si="6"/>
        <v>3M</v>
      </c>
      <c r="R16" s="116">
        <v>2</v>
      </c>
      <c r="S16" s="113" t="str">
        <f>_xll.qlMakeOIS(,R16,IF(Q16="SW","1W",Q16),IborIndex,,"0D",,,,_xll.ohTrigger(RecalcTrigger,YieldCurve))</f>
        <v>obj_00559#0105</v>
      </c>
      <c r="T16" s="114">
        <f>_xll.qlOvernightIndexedSwapFairRate(S16,_xll.ohTrigger(RecalcTrigger,YieldCurve))</f>
        <v>-1.2427655470558388E-3</v>
      </c>
      <c r="U16" s="115">
        <f t="shared" si="7"/>
        <v>-2.7655470558388389E-6</v>
      </c>
      <c r="W16" s="144"/>
      <c r="X16" s="113" t="str">
        <f t="shared" si="9"/>
        <v>1D</v>
      </c>
      <c r="Y16" s="106">
        <f>_xll.qlCalendarAdvance(Calendar,Y15,X16,"f",FALSE)</f>
        <v>42159</v>
      </c>
      <c r="Z16" s="108">
        <f>_xll.qlCalendarAdvance(Calendar,Y16,0&amp;"D")</f>
        <v>42159</v>
      </c>
      <c r="AA16" s="109">
        <v>-1.2000120002086945E-3</v>
      </c>
      <c r="AB16" s="363">
        <f t="shared" si="8"/>
        <v>0</v>
      </c>
      <c r="AC16" s="236">
        <v>-1.2000120002086945E-3</v>
      </c>
      <c r="AD16" s="236">
        <v>-1.2034825932216719E-3</v>
      </c>
    </row>
    <row r="17" spans="13:30" x14ac:dyDescent="0.2">
      <c r="M17" s="107" t="str">
        <v>obj_00859#0015</v>
      </c>
      <c r="N17" s="107" t="str">
        <f>_xll.qlRateHelperQuoteName(M17)</f>
        <v>EUREON4M_Quote</v>
      </c>
      <c r="O17" s="106">
        <f>_xll.qlRateHelperLatestDate(M17,Trigger)</f>
        <v>42278</v>
      </c>
      <c r="P17" s="112">
        <f>_xll.qlRateHelperQuoteValue(M17,_xll.ohTrigger(RecalcTrigger,YieldCurve))</f>
        <v>-1.2600000000000001E-3</v>
      </c>
      <c r="Q17" s="116" t="str">
        <f t="shared" si="6"/>
        <v>4M</v>
      </c>
      <c r="R17" s="116">
        <v>2</v>
      </c>
      <c r="S17" s="113" t="str">
        <f>_xll.qlMakeOIS(,R17,IF(Q17="SW","1W",Q17),IborIndex,,"0D",,,,_xll.ohTrigger(RecalcTrigger,YieldCurve))</f>
        <v>obj_0054e#0105</v>
      </c>
      <c r="T17" s="114">
        <f>_xll.qlOvernightIndexedSwapFairRate(S17,_xll.ohTrigger(RecalcTrigger,YieldCurve))</f>
        <v>-1.2570094800344348E-3</v>
      </c>
      <c r="U17" s="115">
        <f t="shared" si="7"/>
        <v>2.990519965565203E-6</v>
      </c>
      <c r="W17" s="144"/>
      <c r="X17" s="113" t="str">
        <f t="shared" si="9"/>
        <v>1D</v>
      </c>
      <c r="Y17" s="106">
        <f>_xll.qlCalendarAdvance(Calendar,Y16,X17,"f",FALSE)</f>
        <v>42160</v>
      </c>
      <c r="Z17" s="108">
        <f>_xll.qlCalendarAdvance(Calendar,Y17,0&amp;"D")</f>
        <v>42160</v>
      </c>
      <c r="AA17" s="109">
        <v>-1.2000080000884594E-3</v>
      </c>
      <c r="AB17" s="363">
        <f t="shared" si="8"/>
        <v>0</v>
      </c>
      <c r="AC17" s="236">
        <v>-1.2000080000884594E-3</v>
      </c>
      <c r="AD17" s="236">
        <v>-1.1947873088624661E-3</v>
      </c>
    </row>
    <row r="18" spans="13:30" x14ac:dyDescent="0.2">
      <c r="M18" s="107" t="str">
        <v>obj_00851#0015</v>
      </c>
      <c r="N18" s="107" t="str">
        <f>_xll.qlRateHelperQuoteName(M18)</f>
        <v>EUREON5M_Quote</v>
      </c>
      <c r="O18" s="106">
        <f>_xll.qlRateHelperLatestDate(M18,Trigger)</f>
        <v>42310</v>
      </c>
      <c r="P18" s="112">
        <f>_xll.qlRateHelperQuoteValue(M18,_xll.ohTrigger(RecalcTrigger,YieldCurve))</f>
        <v>-1.2700000000000001E-3</v>
      </c>
      <c r="Q18" s="116" t="str">
        <f t="shared" si="6"/>
        <v>5M</v>
      </c>
      <c r="R18" s="116">
        <v>2</v>
      </c>
      <c r="S18" s="113" t="str">
        <f>_xll.qlMakeOIS(,R18,IF(Q18="SW","1W",Q18),IborIndex,,"0D",,,,_xll.ohTrigger(RecalcTrigger,YieldCurve))</f>
        <v>obj_00553#0105</v>
      </c>
      <c r="T18" s="114">
        <f>_xll.qlOvernightIndexedSwapFairRate(S18,_xll.ohTrigger(RecalcTrigger,YieldCurve))</f>
        <v>-1.2877535003897056E-3</v>
      </c>
      <c r="U18" s="115">
        <f t="shared" si="7"/>
        <v>-1.7753500389705492E-5</v>
      </c>
      <c r="W18" s="144"/>
      <c r="X18" s="113" t="str">
        <f t="shared" si="9"/>
        <v>1D</v>
      </c>
      <c r="Y18" s="106">
        <f>_xll.qlCalendarAdvance(Calendar,Y17,X18,"f",FALSE)</f>
        <v>42163</v>
      </c>
      <c r="Z18" s="108">
        <f>_xll.qlCalendarAdvance(Calendar,Y18,0&amp;"D")</f>
        <v>42163</v>
      </c>
      <c r="AA18" s="109">
        <v>-1.1600382813137244E-3</v>
      </c>
      <c r="AB18" s="363">
        <f t="shared" si="8"/>
        <v>0</v>
      </c>
      <c r="AC18" s="236">
        <v>-1.1600382813137244E-3</v>
      </c>
      <c r="AD18" s="236">
        <v>-1.1806990880591783E-3</v>
      </c>
    </row>
    <row r="19" spans="13:30" x14ac:dyDescent="0.2">
      <c r="M19" s="107" t="str">
        <v>obj_00862#0015</v>
      </c>
      <c r="N19" s="107" t="str">
        <f>_xll.qlRateHelperQuoteName(M19)</f>
        <v>EUREON6M_Quote</v>
      </c>
      <c r="O19" s="106">
        <f>_xll.qlRateHelperLatestDate(M19,Trigger)</f>
        <v>42339</v>
      </c>
      <c r="P19" s="112">
        <f>_xll.qlRateHelperQuoteValue(M19,_xll.ohTrigger(RecalcTrigger,YieldCurve))</f>
        <v>-1.2999999999999999E-3</v>
      </c>
      <c r="Q19" s="116" t="str">
        <f t="shared" si="6"/>
        <v>6M</v>
      </c>
      <c r="R19" s="116">
        <v>2</v>
      </c>
      <c r="S19" s="113" t="str">
        <f>_xll.qlMakeOIS(,R19,IF(Q19="SW","1W",Q19),IborIndex,,"0D",,,,_xll.ohTrigger(RecalcTrigger,YieldCurve))</f>
        <v>obj_00564#0103</v>
      </c>
      <c r="T19" s="114">
        <f>_xll.qlOvernightIndexedSwapFairRate(S19,_xll.ohTrigger(RecalcTrigger,YieldCurve))</f>
        <v>-1.2854619759323494E-3</v>
      </c>
      <c r="U19" s="115">
        <f t="shared" si="7"/>
        <v>1.4538024067650571E-5</v>
      </c>
      <c r="W19" s="144"/>
      <c r="X19" s="113" t="str">
        <f t="shared" si="9"/>
        <v>1D</v>
      </c>
      <c r="Y19" s="106">
        <f>_xll.qlCalendarAdvance(Calendar,Y18,X19,"f",FALSE)</f>
        <v>42164</v>
      </c>
      <c r="Z19" s="108">
        <f>_xll.qlCalendarAdvance(Calendar,Y19,0&amp;"D")</f>
        <v>42164</v>
      </c>
      <c r="AA19" s="109">
        <v>-1.1600382813137244E-3</v>
      </c>
      <c r="AB19" s="363">
        <f t="shared" si="8"/>
        <v>0</v>
      </c>
      <c r="AC19" s="236">
        <v>-1.1600382813137244E-3</v>
      </c>
      <c r="AD19" s="236">
        <v>-1.1728698108326441E-3</v>
      </c>
    </row>
    <row r="20" spans="13:30" x14ac:dyDescent="0.2">
      <c r="M20" s="107" t="str">
        <v>obj_00860#0015</v>
      </c>
      <c r="N20" s="107" t="str">
        <f>_xll.qlRateHelperQuoteName(M20)</f>
        <v>EUREON7M_Quote</v>
      </c>
      <c r="O20" s="106">
        <f>_xll.qlRateHelperLatestDate(M20,Trigger)</f>
        <v>42373</v>
      </c>
      <c r="P20" s="112">
        <f>_xll.qlRateHelperQuoteValue(M20,_xll.ohTrigger(RecalcTrigger,YieldCurve))</f>
        <v>-1.2700000000000001E-3</v>
      </c>
      <c r="Q20" s="116" t="str">
        <f t="shared" si="6"/>
        <v>7M</v>
      </c>
      <c r="R20" s="116">
        <v>2</v>
      </c>
      <c r="S20" s="113" t="str">
        <f>_xll.qlMakeOIS(,R20,IF(Q20="SW","1W",Q20),IborIndex,,"0D",,,,_xll.ohTrigger(RecalcTrigger,YieldCurve))</f>
        <v>obj_00555#0105</v>
      </c>
      <c r="T20" s="114">
        <f>_xll.qlOvernightIndexedSwapFairRate(S20,_xll.ohTrigger(RecalcTrigger,YieldCurve))</f>
        <v>-1.2967117653735225E-3</v>
      </c>
      <c r="U20" s="115">
        <f t="shared" si="7"/>
        <v>-2.6711765373522382E-5</v>
      </c>
      <c r="W20" s="144"/>
      <c r="X20" s="113" t="str">
        <f t="shared" si="9"/>
        <v>1D</v>
      </c>
      <c r="Y20" s="106">
        <f>_xll.qlCalendarAdvance(Calendar,Y19,X20,"f",FALSE)</f>
        <v>42165</v>
      </c>
      <c r="Z20" s="108">
        <f>_xll.qlCalendarAdvance(Calendar,Y20,0&amp;"D")</f>
        <v>42165</v>
      </c>
      <c r="AA20" s="109">
        <v>-1.1600382813137244E-3</v>
      </c>
      <c r="AB20" s="363">
        <f t="shared" si="8"/>
        <v>0</v>
      </c>
      <c r="AC20" s="236">
        <v>-1.1600382813137244E-3</v>
      </c>
      <c r="AD20" s="236">
        <v>-1.1656059378495343E-3</v>
      </c>
    </row>
    <row r="21" spans="13:30" x14ac:dyDescent="0.2">
      <c r="M21" s="107" t="str">
        <v>obj_0086f#0015</v>
      </c>
      <c r="N21" s="107" t="str">
        <f>_xll.qlRateHelperQuoteName(M21)</f>
        <v>EUREON8M_Quote</v>
      </c>
      <c r="O21" s="106">
        <f>_xll.qlRateHelperLatestDate(M21,Trigger)</f>
        <v>42401</v>
      </c>
      <c r="P21" s="112">
        <f>_xll.qlRateHelperQuoteValue(M21,_xll.ohTrigger(RecalcTrigger,YieldCurve))</f>
        <v>-1.2999999999999999E-3</v>
      </c>
      <c r="Q21" s="116" t="str">
        <f t="shared" si="6"/>
        <v>8M</v>
      </c>
      <c r="R21" s="116">
        <v>2</v>
      </c>
      <c r="S21" s="113" t="str">
        <f>_xll.qlMakeOIS(,R21,IF(Q21="SW","1W",Q21),IborIndex,,"0D",,,,_xll.ohTrigger(RecalcTrigger,YieldCurve))</f>
        <v>obj_0054c#0105</v>
      </c>
      <c r="T21" s="114">
        <f>_xll.qlOvernightIndexedSwapFairRate(S21,_xll.ohTrigger(RecalcTrigger,YieldCurve))</f>
        <v>-1.2976986766457849E-3</v>
      </c>
      <c r="U21" s="115">
        <f t="shared" si="7"/>
        <v>2.3013233542150575E-6</v>
      </c>
      <c r="W21" s="144"/>
      <c r="X21" s="113" t="str">
        <f t="shared" si="9"/>
        <v>1D</v>
      </c>
      <c r="Y21" s="106">
        <f>_xll.qlCalendarAdvance(Calendar,Y20,X21,"f",FALSE)</f>
        <v>42166</v>
      </c>
      <c r="Z21" s="108">
        <f>_xll.qlCalendarAdvance(Calendar,Y21,0&amp;"D")</f>
        <v>42166</v>
      </c>
      <c r="AA21" s="109">
        <v>-1.1600382814336285E-3</v>
      </c>
      <c r="AB21" s="363">
        <f t="shared" si="8"/>
        <v>0</v>
      </c>
      <c r="AC21" s="236">
        <v>-1.1600382814336285E-3</v>
      </c>
      <c r="AD21" s="236">
        <v>-1.158907469229753E-3</v>
      </c>
    </row>
    <row r="22" spans="13:30" x14ac:dyDescent="0.2">
      <c r="M22" s="107" t="str">
        <v>obj_0085c#0015</v>
      </c>
      <c r="N22" s="107" t="str">
        <f>_xll.qlRateHelperQuoteName(M22)</f>
        <v>EUREON9M_Quote</v>
      </c>
      <c r="O22" s="106">
        <f>_xll.qlRateHelperLatestDate(M22,Trigger)</f>
        <v>42430</v>
      </c>
      <c r="P22" s="112">
        <f>_xll.qlRateHelperQuoteValue(M22,_xll.ohTrigger(RecalcTrigger,YieldCurve))</f>
        <v>-1.31E-3</v>
      </c>
      <c r="Q22" s="116" t="str">
        <f t="shared" si="6"/>
        <v>9M</v>
      </c>
      <c r="R22" s="116">
        <v>2</v>
      </c>
      <c r="S22" s="113" t="str">
        <f>_xll.qlMakeOIS(,R22,IF(Q22="SW","1W",Q22),IborIndex,,"0D",,,,_xll.ohTrigger(RecalcTrigger,YieldCurve))</f>
        <v>obj_00551#0105</v>
      </c>
      <c r="T22" s="114">
        <f>_xll.qlOvernightIndexedSwapFairRate(S22,_xll.ohTrigger(RecalcTrigger,YieldCurve))</f>
        <v>-1.306864975097786E-3</v>
      </c>
      <c r="U22" s="115">
        <f t="shared" si="7"/>
        <v>3.1350249022140016E-6</v>
      </c>
      <c r="W22" s="144"/>
      <c r="X22" s="113" t="str">
        <f t="shared" si="9"/>
        <v>1D</v>
      </c>
      <c r="Y22" s="106">
        <f>_xll.qlCalendarAdvance(Calendar,Y21,X22,"f",FALSE)</f>
        <v>42167</v>
      </c>
      <c r="Z22" s="108">
        <f>_xll.qlCalendarAdvance(Calendar,Y22,0&amp;"D")</f>
        <v>42167</v>
      </c>
      <c r="AA22" s="109">
        <v>-1.1600345432905002E-3</v>
      </c>
      <c r="AB22" s="363">
        <f t="shared" si="8"/>
        <v>0</v>
      </c>
      <c r="AC22" s="236">
        <v>-1.1600345432905002E-3</v>
      </c>
      <c r="AD22" s="236">
        <v>-1.1473915561266423E-3</v>
      </c>
    </row>
    <row r="23" spans="13:30" x14ac:dyDescent="0.2">
      <c r="M23" s="107" t="str">
        <v>obj_0085a#0015</v>
      </c>
      <c r="N23" s="107" t="str">
        <f>_xll.qlRateHelperQuoteName(M23)</f>
        <v>EUREON10M_Quote</v>
      </c>
      <c r="O23" s="106">
        <f>_xll.qlRateHelperLatestDate(M23,Trigger)</f>
        <v>42461</v>
      </c>
      <c r="P23" s="112">
        <f>_xll.qlRateHelperQuoteValue(M23,_xll.ohTrigger(RecalcTrigger,YieldCurve))</f>
        <v>-1.31E-3</v>
      </c>
      <c r="Q23" s="116" t="str">
        <f t="shared" si="6"/>
        <v>10M</v>
      </c>
      <c r="R23" s="116">
        <v>2</v>
      </c>
      <c r="S23" s="113" t="str">
        <f>_xll.qlMakeOIS(,R23,IF(Q23="SW","1W",Q23),IborIndex,,"0D",,,,_xll.ohTrigger(RecalcTrigger,YieldCurve))</f>
        <v>obj_0055a#0105</v>
      </c>
      <c r="T23" s="114">
        <f>_xll.qlOvernightIndexedSwapFairRate(S23,_xll.ohTrigger(RecalcTrigger,YieldCurve))</f>
        <v>-1.3051681951437133E-3</v>
      </c>
      <c r="U23" s="115">
        <f t="shared" si="7"/>
        <v>4.8318048562867155E-6</v>
      </c>
      <c r="W23" s="144"/>
      <c r="X23" s="113" t="str">
        <f t="shared" si="9"/>
        <v>1D</v>
      </c>
      <c r="Y23" s="106">
        <f>_xll.qlCalendarAdvance(Calendar,Y22,X23,"f",FALSE)</f>
        <v>42170</v>
      </c>
      <c r="Z23" s="108">
        <f>_xll.qlCalendarAdvance(Calendar,Y23,0&amp;"D")</f>
        <v>42170</v>
      </c>
      <c r="AA23" s="109">
        <v>-1.1500637965955463E-3</v>
      </c>
      <c r="AB23" s="363">
        <f t="shared" si="8"/>
        <v>0</v>
      </c>
      <c r="AC23" s="236">
        <v>-1.1500637965955463E-3</v>
      </c>
      <c r="AD23" s="236">
        <v>-1.1381979132796261E-3</v>
      </c>
    </row>
    <row r="24" spans="13:30" x14ac:dyDescent="0.2">
      <c r="M24" s="107" t="str">
        <v>obj_00865#0015</v>
      </c>
      <c r="N24" s="107" t="str">
        <f>_xll.qlRateHelperQuoteName(M24)</f>
        <v>EUREON11M_Quote</v>
      </c>
      <c r="O24" s="106">
        <f>_xll.qlRateHelperLatestDate(M24,Trigger)</f>
        <v>42492</v>
      </c>
      <c r="P24" s="112">
        <f>_xll.qlRateHelperQuoteValue(M24,_xll.ohTrigger(RecalcTrigger,YieldCurve))</f>
        <v>-1.2999999999999999E-3</v>
      </c>
      <c r="Q24" s="116" t="str">
        <f t="shared" si="6"/>
        <v>11M</v>
      </c>
      <c r="R24" s="116">
        <v>2</v>
      </c>
      <c r="S24" s="113" t="str">
        <f>_xll.qlMakeOIS(,R24,IF(Q24="SW","1W",Q24),IborIndex,,"0D",,,,_xll.ohTrigger(RecalcTrigger,YieldCurve))</f>
        <v>obj_0055b#0104</v>
      </c>
      <c r="T24" s="114">
        <f>_xll.qlOvernightIndexedSwapFairRate(S24,_xll.ohTrigger(RecalcTrigger,YieldCurve))</f>
        <v>-1.2968821024024666E-3</v>
      </c>
      <c r="U24" s="115">
        <f t="shared" si="7"/>
        <v>3.1178975975333732E-6</v>
      </c>
      <c r="W24" s="144"/>
      <c r="X24" s="113" t="str">
        <f t="shared" si="9"/>
        <v>1D</v>
      </c>
      <c r="Y24" s="106">
        <f>_xll.qlCalendarAdvance(Calendar,Y23,X24,"f",FALSE)</f>
        <v>42171</v>
      </c>
      <c r="Z24" s="108">
        <f>_xll.qlCalendarAdvance(Calendar,Y24,0&amp;"D")</f>
        <v>42171</v>
      </c>
      <c r="AA24" s="109">
        <v>-1.1500637966355143E-3</v>
      </c>
      <c r="AB24" s="363">
        <f t="shared" si="8"/>
        <v>0</v>
      </c>
      <c r="AC24" s="236">
        <v>-1.1500637966355143E-3</v>
      </c>
      <c r="AD24" s="236">
        <v>-1.1369081166900941E-3</v>
      </c>
    </row>
    <row r="25" spans="13:30" x14ac:dyDescent="0.2">
      <c r="M25" s="107" t="str">
        <v>obj_00858#0015</v>
      </c>
      <c r="N25" s="107" t="str">
        <f>_xll.qlRateHelperQuoteName(M25)</f>
        <v>EUREON1Y_Quote</v>
      </c>
      <c r="O25" s="106">
        <f>_xll.qlRateHelperLatestDate(M25,Trigger)</f>
        <v>42522</v>
      </c>
      <c r="P25" s="112">
        <f>_xll.qlRateHelperQuoteValue(M25,_xll.ohTrigger(RecalcTrigger,YieldCurve))</f>
        <v>-1.2999999999999999E-3</v>
      </c>
      <c r="Q25" s="116" t="str">
        <f t="shared" si="6"/>
        <v>1Y</v>
      </c>
      <c r="R25" s="116">
        <v>2</v>
      </c>
      <c r="S25" s="113" t="str">
        <f>_xll.qlMakeOIS(,R25,IF(Q25="SW","1W",Q25),IborIndex,,"0D",,,,_xll.ohTrigger(RecalcTrigger,YieldCurve))</f>
        <v>obj_00565#0103</v>
      </c>
      <c r="T25" s="114">
        <f>_xll.qlOvernightIndexedSwapFairRate(S25,_xll.ohTrigger(RecalcTrigger,YieldCurve))</f>
        <v>-1.3027409088987522E-3</v>
      </c>
      <c r="U25" s="115">
        <f t="shared" si="7"/>
        <v>-2.7409088987522586E-6</v>
      </c>
      <c r="W25" s="144"/>
      <c r="X25" s="113" t="str">
        <f t="shared" si="9"/>
        <v>1D</v>
      </c>
      <c r="Y25" s="106">
        <f>_xll.qlCalendarAdvance(Calendar,Y24,X25,"f",FALSE)</f>
        <v>42172</v>
      </c>
      <c r="Z25" s="108">
        <f>_xll.qlCalendarAdvance(Calendar,Y25,0&amp;"D")</f>
        <v>42172</v>
      </c>
      <c r="AA25" s="109">
        <v>-1.1500637966355143E-3</v>
      </c>
      <c r="AB25" s="363">
        <f t="shared" si="8"/>
        <v>0</v>
      </c>
      <c r="AC25" s="236">
        <v>-1.1500637966355143E-3</v>
      </c>
      <c r="AD25" s="236">
        <v>-1.1387653747974014E-3</v>
      </c>
    </row>
    <row r="26" spans="13:30" x14ac:dyDescent="0.2">
      <c r="M26" s="107" t="str">
        <v>obj_00850#0015</v>
      </c>
      <c r="N26" s="107" t="str">
        <f>_xll.qlRateHelperQuoteName(M26)</f>
        <v>EUREON15M_Quote</v>
      </c>
      <c r="O26" s="106">
        <f>_xll.qlRateHelperLatestDate(M26,Trigger)</f>
        <v>42614</v>
      </c>
      <c r="P26" s="112">
        <f>_xll.qlRateHelperQuoteValue(M26,_xll.ohTrigger(RecalcTrigger,YieldCurve))</f>
        <v>-1.2900000000000001E-3</v>
      </c>
      <c r="Q26" s="116" t="str">
        <f t="shared" si="6"/>
        <v>15M</v>
      </c>
      <c r="R26" s="116">
        <v>2</v>
      </c>
      <c r="S26" s="113" t="str">
        <f>_xll.qlMakeOIS(,R26,IF(Q26="SW","1W",Q26),IborIndex,,"0D",,,,_xll.ohTrigger(RecalcTrigger,YieldCurve))</f>
        <v>obj_00548#0055</v>
      </c>
      <c r="T26" s="114">
        <f>_xll.qlOvernightIndexedSwapFairRate(S26,_xll.ohTrigger(RecalcTrigger,YieldCurve))</f>
        <v>-1.2899271350653113E-3</v>
      </c>
      <c r="U26" s="115">
        <f t="shared" si="7"/>
        <v>7.2864934688807864E-8</v>
      </c>
      <c r="W26" s="144"/>
      <c r="X26" s="113" t="str">
        <f t="shared" si="9"/>
        <v>1D</v>
      </c>
      <c r="Y26" s="106">
        <f>_xll.qlCalendarAdvance(Calendar,Y25,X26,"f",FALSE)</f>
        <v>42173</v>
      </c>
      <c r="Z26" s="108">
        <f>_xll.qlCalendarAdvance(Calendar,Y26,0&amp;"D")</f>
        <v>42173</v>
      </c>
      <c r="AA26" s="109">
        <v>-1.1500637966355143E-3</v>
      </c>
      <c r="AB26" s="363">
        <f t="shared" si="8"/>
        <v>0</v>
      </c>
      <c r="AC26" s="236">
        <v>-1.1500637966355143E-3</v>
      </c>
      <c r="AD26" s="236">
        <v>-1.1437696874816439E-3</v>
      </c>
    </row>
    <row r="27" spans="13:30" x14ac:dyDescent="0.2">
      <c r="M27" s="107" t="str">
        <v>obj_0086e#0015</v>
      </c>
      <c r="N27" s="107" t="str">
        <f>_xll.qlRateHelperQuoteName(M27)</f>
        <v>EUREON18M_Quote</v>
      </c>
      <c r="O27" s="106">
        <f>_xll.qlRateHelperLatestDate(M27,Trigger)</f>
        <v>42705</v>
      </c>
      <c r="P27" s="112">
        <f>_xll.qlRateHelperQuoteValue(M27,_xll.ohTrigger(RecalcTrigger,YieldCurve))</f>
        <v>-1.2700000000000001E-3</v>
      </c>
      <c r="Q27" s="116" t="str">
        <f t="shared" si="6"/>
        <v>18M</v>
      </c>
      <c r="R27" s="116">
        <v>2</v>
      </c>
      <c r="S27" s="113" t="str">
        <f>_xll.qlMakeOIS(,R27,IF(Q27="SW","1W",Q27),IborIndex,,"0D",,,,_xll.ohTrigger(RecalcTrigger,YieldCurve))</f>
        <v>obj_0055c#0054</v>
      </c>
      <c r="T27" s="114">
        <f>_xll.qlOvernightIndexedSwapFairRate(S27,_xll.ohTrigger(RecalcTrigger,YieldCurve))</f>
        <v>-1.2699395117115641E-3</v>
      </c>
      <c r="U27" s="115">
        <f t="shared" si="7"/>
        <v>6.0488288436020762E-8</v>
      </c>
      <c r="W27" s="144"/>
      <c r="X27" s="113" t="str">
        <f t="shared" si="9"/>
        <v>1D</v>
      </c>
      <c r="Y27" s="106">
        <f>_xll.qlCalendarAdvance(Calendar,Y26,X27,"f",FALSE)</f>
        <v>42174</v>
      </c>
      <c r="Z27" s="108">
        <f>_xll.qlCalendarAdvance(Calendar,Y27,0&amp;"D")</f>
        <v>42174</v>
      </c>
      <c r="AA27" s="109">
        <v>-1.1500601226011042E-3</v>
      </c>
      <c r="AB27" s="363">
        <f t="shared" si="8"/>
        <v>0</v>
      </c>
      <c r="AC27" s="236">
        <v>-1.1500601226011042E-3</v>
      </c>
      <c r="AD27" s="236">
        <v>-1.1642647289322738E-3</v>
      </c>
    </row>
    <row r="28" spans="13:30" x14ac:dyDescent="0.2">
      <c r="M28" s="107" t="str">
        <v>obj_00855#0015</v>
      </c>
      <c r="N28" s="107" t="str">
        <f>_xll.qlRateHelperQuoteName(M28)</f>
        <v>EUREON21M_Quote</v>
      </c>
      <c r="O28" s="106">
        <f>_xll.qlRateHelperLatestDate(M28,Trigger)</f>
        <v>42795</v>
      </c>
      <c r="P28" s="112">
        <f>_xll.qlRateHelperQuoteValue(M28,_xll.ohTrigger(RecalcTrigger,YieldCurve))</f>
        <v>-1.23E-3</v>
      </c>
      <c r="Q28" s="116" t="str">
        <f t="shared" si="6"/>
        <v>21M</v>
      </c>
      <c r="R28" s="116">
        <v>2</v>
      </c>
      <c r="S28" s="113" t="str">
        <f>_xll.qlMakeOIS(,R28,IF(Q28="SW","1W",Q28),IborIndex,,"0D",,,,_xll.ohTrigger(RecalcTrigger,YieldCurve))</f>
        <v>obj_0054d#0055</v>
      </c>
      <c r="T28" s="114">
        <f>_xll.qlOvernightIndexedSwapFairRate(S28,_xll.ohTrigger(RecalcTrigger,YieldCurve))</f>
        <v>-1.2299479486254153E-3</v>
      </c>
      <c r="U28" s="115">
        <f t="shared" si="7"/>
        <v>5.2051374584659305E-8</v>
      </c>
      <c r="W28" s="144"/>
      <c r="X28" s="113" t="str">
        <f t="shared" si="9"/>
        <v>1D</v>
      </c>
      <c r="Y28" s="106">
        <f>_xll.qlCalendarAdvance(Calendar,Y27,X28,"f",FALSE)</f>
        <v>42177</v>
      </c>
      <c r="Z28" s="108">
        <f>_xll.qlCalendarAdvance(Calendar,Y28,0&amp;"D")</f>
        <v>42177</v>
      </c>
      <c r="AA28" s="109">
        <v>-1.3324326425401267E-3</v>
      </c>
      <c r="AB28" s="363">
        <f t="shared" si="8"/>
        <v>0</v>
      </c>
      <c r="AC28" s="236">
        <v>-1.3324326425401267E-3</v>
      </c>
      <c r="AD28" s="236">
        <v>-1.1946037763399531E-3</v>
      </c>
    </row>
    <row r="29" spans="13:30" x14ac:dyDescent="0.2">
      <c r="M29" s="107" t="str">
        <v>obj_00854#0015</v>
      </c>
      <c r="N29" s="107" t="str">
        <f>_xll.qlRateHelperQuoteName(M29)</f>
        <v>EUREON2Y_Quote</v>
      </c>
      <c r="O29" s="106">
        <f>_xll.qlRateHelperLatestDate(M29,Trigger)</f>
        <v>42887</v>
      </c>
      <c r="P29" s="112">
        <f>_xll.qlRateHelperQuoteValue(M29,_xll.ohTrigger(RecalcTrigger,YieldCurve))</f>
        <v>-1.16E-3</v>
      </c>
      <c r="Q29" s="116" t="str">
        <f t="shared" si="6"/>
        <v>2Y</v>
      </c>
      <c r="R29" s="116">
        <v>2</v>
      </c>
      <c r="S29" s="113" t="str">
        <f>_xll.qlMakeOIS(,R29,IF(Q29="SW","1W",Q29),IborIndex,,"0D",,,,_xll.ohTrigger(RecalcTrigger,YieldCurve))</f>
        <v>obj_00569#0054</v>
      </c>
      <c r="T29" s="114">
        <f>_xll.qlOvernightIndexedSwapFairRate(S29,_xll.ohTrigger(RecalcTrigger,YieldCurve))</f>
        <v>-1.15995445693106E-3</v>
      </c>
      <c r="U29" s="115">
        <f t="shared" si="7"/>
        <v>4.5543068940027617E-8</v>
      </c>
      <c r="W29" s="144"/>
      <c r="X29" s="113" t="str">
        <f t="shared" si="9"/>
        <v>1D</v>
      </c>
      <c r="Y29" s="106">
        <f>_xll.qlCalendarAdvance(Calendar,Y28,X29,"f",FALSE)</f>
        <v>42178</v>
      </c>
      <c r="Z29" s="108">
        <f>_xll.qlCalendarAdvance(Calendar,Y29,0&amp;"D")</f>
        <v>42178</v>
      </c>
      <c r="AA29" s="109">
        <v>-1.3324326425800948E-3</v>
      </c>
      <c r="AB29" s="363">
        <f t="shared" si="8"/>
        <v>0</v>
      </c>
      <c r="AC29" s="236">
        <v>-1.3324326425800948E-3</v>
      </c>
      <c r="AD29" s="236">
        <v>-1.2114211342462156E-3</v>
      </c>
    </row>
    <row r="30" spans="13:30" x14ac:dyDescent="0.2">
      <c r="M30" s="107" t="str">
        <v>obj_00853#0015</v>
      </c>
      <c r="N30" s="107" t="str">
        <f>_xll.qlRateHelperQuoteName(M30)</f>
        <v>EUREON3Y_Quote</v>
      </c>
      <c r="O30" s="106">
        <f>_xll.qlRateHelperLatestDate(M30,Trigger)</f>
        <v>43252</v>
      </c>
      <c r="P30" s="112">
        <f>_xll.qlRateHelperQuoteValue(M30,_xll.ohTrigger(RecalcTrigger,YieldCurve))</f>
        <v>-6.9000000000000008E-4</v>
      </c>
      <c r="Q30" s="116" t="str">
        <f t="shared" si="6"/>
        <v>3Y</v>
      </c>
      <c r="R30" s="116">
        <v>2</v>
      </c>
      <c r="S30" s="113" t="str">
        <f>_xll.qlMakeOIS(,R30,IF(Q30="SW","1W",Q30),IborIndex,,"0D",,,,_xll.ohTrigger(RecalcTrigger,YieldCurve))</f>
        <v>obj_00566#0054</v>
      </c>
      <c r="T30" s="114">
        <f>_xll.qlOvernightIndexedSwapFairRate(S30,_xll.ohTrigger(RecalcTrigger,YieldCurve))</f>
        <v>-6.8996957573389537E-4</v>
      </c>
      <c r="U30" s="115">
        <f t="shared" si="7"/>
        <v>3.042426610470883E-8</v>
      </c>
      <c r="W30" s="144"/>
      <c r="X30" s="113" t="str">
        <f t="shared" si="9"/>
        <v>1D</v>
      </c>
      <c r="Y30" s="106">
        <f>_xll.qlCalendarAdvance(Calendar,Y29,X30,"f",FALSE)</f>
        <v>42179</v>
      </c>
      <c r="Z30" s="108">
        <f>_xll.qlCalendarAdvance(Calendar,Y30,0&amp;"D")</f>
        <v>42179</v>
      </c>
      <c r="AA30" s="109">
        <v>-1.3324326426600308E-3</v>
      </c>
      <c r="AB30" s="363">
        <f t="shared" si="8"/>
        <v>0</v>
      </c>
      <c r="AC30" s="236">
        <v>-1.3324326426600308E-3</v>
      </c>
      <c r="AD30" s="236">
        <v>-1.2274633211450947E-3</v>
      </c>
    </row>
    <row r="31" spans="13:30" x14ac:dyDescent="0.2">
      <c r="M31" s="107" t="str">
        <v>obj_00867#0015</v>
      </c>
      <c r="N31" s="107" t="str">
        <f>_xll.qlRateHelperQuoteName(M31)</f>
        <v>EUREON4Y_Quote</v>
      </c>
      <c r="O31" s="106">
        <f>_xll.qlRateHelperLatestDate(M31,Trigger)</f>
        <v>43619</v>
      </c>
      <c r="P31" s="112">
        <f>_xll.qlRateHelperQuoteValue(M31,_xll.ohTrigger(RecalcTrigger,YieldCurve))</f>
        <v>1.6000000000000001E-4</v>
      </c>
      <c r="Q31" s="116" t="str">
        <f t="shared" si="6"/>
        <v>4Y</v>
      </c>
      <c r="R31" s="116">
        <v>2</v>
      </c>
      <c r="S31" s="113" t="str">
        <f>_xll.qlMakeOIS(,R31,IF(Q31="SW","1W",Q31),IborIndex,,"0D",,,,_xll.ohTrigger(RecalcTrigger,YieldCurve))</f>
        <v>obj_0055e#0054</v>
      </c>
      <c r="T31" s="114">
        <f>_xll.qlOvernightIndexedSwapFairRate(S31,_xll.ohTrigger(RecalcTrigger,YieldCurve))</f>
        <v>1.600228767399659E-4</v>
      </c>
      <c r="U31" s="115">
        <f t="shared" si="7"/>
        <v>2.287673996588589E-8</v>
      </c>
      <c r="V31" s="117"/>
      <c r="W31" s="144"/>
      <c r="X31" s="113" t="str">
        <f t="shared" si="9"/>
        <v>1D</v>
      </c>
      <c r="Y31" s="106">
        <f>_xll.qlCalendarAdvance(Calendar,Y30,X31,"f",FALSE)</f>
        <v>42180</v>
      </c>
      <c r="Z31" s="108">
        <f>_xll.qlCalendarAdvance(Calendar,Y31,0&amp;"D")</f>
        <v>42180</v>
      </c>
      <c r="AA31" s="109">
        <v>-1.3324326425800948E-3</v>
      </c>
      <c r="AB31" s="363">
        <f t="shared" si="8"/>
        <v>0</v>
      </c>
      <c r="AC31" s="236">
        <v>-1.3324326425800948E-3</v>
      </c>
      <c r="AD31" s="236">
        <v>-1.2427303368767184E-3</v>
      </c>
    </row>
    <row r="32" spans="13:30" x14ac:dyDescent="0.2">
      <c r="M32" s="107" t="str">
        <v>obj_00864#0015</v>
      </c>
      <c r="N32" s="107" t="str">
        <f>_xll.qlRateHelperQuoteName(M32)</f>
        <v>EUREON5Y_Quote</v>
      </c>
      <c r="O32" s="106">
        <f>_xll.qlRateHelperLatestDate(M32,Trigger)</f>
        <v>43983</v>
      </c>
      <c r="P32" s="112">
        <f>_xll.qlRateHelperQuoteValue(M32,_xll.ohTrigger(RecalcTrigger,YieldCurve))</f>
        <v>1.1899999999999999E-3</v>
      </c>
      <c r="Q32" s="116" t="str">
        <f t="shared" si="6"/>
        <v>5Y</v>
      </c>
      <c r="R32" s="116">
        <v>2</v>
      </c>
      <c r="S32" s="113" t="str">
        <f>_xll.qlMakeOIS(,R32,IF(Q32="SW","1W",Q32),IborIndex,,"0D",,,,_xll.ohTrigger(RecalcTrigger,YieldCurve))</f>
        <v>obj_00549#0055</v>
      </c>
      <c r="T32" s="114">
        <f>_xll.qlOvernightIndexedSwapFairRate(S32,_xll.ohTrigger(RecalcTrigger,YieldCurve))</f>
        <v>1.1900184133924198E-3</v>
      </c>
      <c r="U32" s="115">
        <f t="shared" si="7"/>
        <v>1.8413392419971628E-8</v>
      </c>
      <c r="V32" s="117"/>
      <c r="W32" s="144"/>
      <c r="X32" s="113" t="str">
        <f t="shared" si="9"/>
        <v>1D</v>
      </c>
      <c r="Y32" s="106">
        <f>_xll.qlCalendarAdvance(Calendar,Y31,X32,"f",FALSE)</f>
        <v>42181</v>
      </c>
      <c r="Z32" s="108">
        <f>_xll.qlCalendarAdvance(Calendar,Y32,0&amp;"D")</f>
        <v>42181</v>
      </c>
      <c r="AA32" s="109">
        <v>-1.3324277110049465E-3</v>
      </c>
      <c r="AB32" s="363">
        <f t="shared" si="8"/>
        <v>0</v>
      </c>
      <c r="AC32" s="236">
        <v>-1.3324277110049465E-3</v>
      </c>
      <c r="AD32" s="236">
        <v>-1.2706759810487966E-3</v>
      </c>
    </row>
    <row r="33" spans="13:30" x14ac:dyDescent="0.2">
      <c r="M33" s="107" t="e">
        <v>#N/A</v>
      </c>
      <c r="N33" s="107" t="e">
        <f>_xll.qlRateHelperQuoteName(M33)</f>
        <v>#VALUE!</v>
      </c>
      <c r="O33" s="106" t="e">
        <f>_xll.qlRateHelperLatestDate(M33,Trigger)</f>
        <v>#VALUE!</v>
      </c>
      <c r="P33" s="112" t="e">
        <f>_xll.qlRateHelperQuoteValue(M33,_xll.ohTrigger(RecalcTrigger,YieldCurve))</f>
        <v>#VALUE!</v>
      </c>
      <c r="Q33" s="116" t="e">
        <f t="shared" si="6"/>
        <v>#VALUE!</v>
      </c>
      <c r="R33" s="116">
        <v>2</v>
      </c>
      <c r="S33" s="113" t="e">
        <f>_xll.qlMakeOIS(,R33,IF(Q33="SW","1W",Q33),IborIndex,,"0D",,,,_xll.ohTrigger(RecalcTrigger,YieldCurve))</f>
        <v>#VALUE!</v>
      </c>
      <c r="T33" s="114" t="e">
        <f>_xll.qlOvernightIndexedSwapFairRate(S33,_xll.ohTrigger(RecalcTrigger,YieldCurve))</f>
        <v>#VALUE!</v>
      </c>
      <c r="U33" s="115" t="e">
        <f t="shared" si="7"/>
        <v>#VALUE!</v>
      </c>
      <c r="V33" s="117"/>
      <c r="W33" s="144"/>
      <c r="X33" s="113" t="str">
        <f t="shared" si="9"/>
        <v>1D</v>
      </c>
      <c r="Y33" s="106">
        <f>_xll.qlCalendarAdvance(Calendar,Y32,X33,"f",FALSE)</f>
        <v>42184</v>
      </c>
      <c r="Z33" s="108">
        <f>_xll.qlCalendarAdvance(Calendar,Y33,0&amp;"D")</f>
        <v>42184</v>
      </c>
      <c r="AA33" s="109">
        <v>-1.3324326426600308E-3</v>
      </c>
      <c r="AB33" s="363">
        <f t="shared" si="8"/>
        <v>0</v>
      </c>
      <c r="AC33" s="236">
        <v>-1.3324326426600308E-3</v>
      </c>
      <c r="AD33" s="236">
        <v>-1.2960466928468861E-3</v>
      </c>
    </row>
    <row r="34" spans="13:30" x14ac:dyDescent="0.2">
      <c r="M34" s="107" t="e">
        <v>#N/A</v>
      </c>
      <c r="N34" s="107" t="e">
        <f>_xll.qlRateHelperQuoteName(M34)</f>
        <v>#VALUE!</v>
      </c>
      <c r="O34" s="106" t="e">
        <f>_xll.qlRateHelperLatestDate(M34,Trigger)</f>
        <v>#VALUE!</v>
      </c>
      <c r="P34" s="112" t="e">
        <f>_xll.qlRateHelperQuoteValue(M34,_xll.ohTrigger(RecalcTrigger,YieldCurve))</f>
        <v>#VALUE!</v>
      </c>
      <c r="Q34" s="116" t="e">
        <f t="shared" si="6"/>
        <v>#VALUE!</v>
      </c>
      <c r="R34" s="116">
        <v>2</v>
      </c>
      <c r="S34" s="113" t="e">
        <f>_xll.qlMakeOIS(,R34,IF(Q34="SW","1W",Q34),IborIndex,,"0D",,,,_xll.ohTrigger(RecalcTrigger,YieldCurve))</f>
        <v>#VALUE!</v>
      </c>
      <c r="T34" s="114" t="e">
        <f>_xll.qlOvernightIndexedSwapFairRate(S34,_xll.ohTrigger(RecalcTrigger,YieldCurve))</f>
        <v>#VALUE!</v>
      </c>
      <c r="U34" s="115" t="e">
        <f t="shared" si="7"/>
        <v>#VALUE!</v>
      </c>
      <c r="W34" s="144"/>
      <c r="X34" s="113" t="str">
        <f t="shared" si="9"/>
        <v>1D</v>
      </c>
      <c r="Y34" s="106">
        <f>_xll.qlCalendarAdvance(Calendar,Y33,X34,"f",FALSE)</f>
        <v>42185</v>
      </c>
      <c r="Z34" s="108">
        <f>_xll.qlCalendarAdvance(Calendar,Y34,0&amp;"D")</f>
        <v>42185</v>
      </c>
      <c r="AA34" s="109">
        <v>8.2757232283015014E-4</v>
      </c>
      <c r="AB34" s="363">
        <f t="shared" si="8"/>
        <v>0</v>
      </c>
      <c r="AC34" s="236">
        <v>8.2757232283015014E-4</v>
      </c>
      <c r="AD34" s="236">
        <v>8.525672599901668E-4</v>
      </c>
    </row>
    <row r="35" spans="13:30" x14ac:dyDescent="0.2">
      <c r="M35" s="107" t="e">
        <v>#N/A</v>
      </c>
      <c r="N35" s="107" t="e">
        <f>_xll.qlRateHelperQuoteName(M35)</f>
        <v>#VALUE!</v>
      </c>
      <c r="O35" s="106" t="e">
        <f>_xll.qlRateHelperLatestDate(M35,Trigger)</f>
        <v>#VALUE!</v>
      </c>
      <c r="P35" s="112" t="e">
        <f>_xll.qlRateHelperQuoteValue(M35,_xll.ohTrigger(RecalcTrigger,YieldCurve))</f>
        <v>#VALUE!</v>
      </c>
      <c r="Q35" s="116" t="e">
        <f t="shared" si="6"/>
        <v>#VALUE!</v>
      </c>
      <c r="R35" s="116">
        <v>2</v>
      </c>
      <c r="S35" s="113" t="e">
        <f>_xll.qlMakeOIS(,R35,IF(Q35="SW","1W",Q35),IborIndex,,"0D",,,,_xll.ohTrigger(RecalcTrigger,YieldCurve))</f>
        <v>#VALUE!</v>
      </c>
      <c r="T35" s="114" t="e">
        <f>_xll.qlOvernightIndexedSwapFairRate(S35,_xll.ohTrigger(RecalcTrigger,YieldCurve))</f>
        <v>#VALUE!</v>
      </c>
      <c r="U35" s="115" t="e">
        <f t="shared" si="7"/>
        <v>#VALUE!</v>
      </c>
      <c r="W35" s="144"/>
      <c r="X35" s="113" t="str">
        <f t="shared" si="9"/>
        <v>1D</v>
      </c>
      <c r="Y35" s="106">
        <f>_xll.qlCalendarAdvance(Calendar,Y34,X35,"f",FALSE)</f>
        <v>42186</v>
      </c>
      <c r="Z35" s="108">
        <f>_xll.qlCalendarAdvance(Calendar,Y35,0&amp;"D")</f>
        <v>42186</v>
      </c>
      <c r="AA35" s="109">
        <v>-1.3324326426999988E-3</v>
      </c>
      <c r="AB35" s="363">
        <f t="shared" si="8"/>
        <v>0</v>
      </c>
      <c r="AC35" s="236">
        <v>-1.3324326426999988E-3</v>
      </c>
      <c r="AD35" s="236">
        <v>-1.3180538474255599E-3</v>
      </c>
    </row>
    <row r="36" spans="13:30" x14ac:dyDescent="0.2">
      <c r="M36" s="107" t="e">
        <v>#N/A</v>
      </c>
      <c r="N36" s="107" t="e">
        <f>_xll.qlRateHelperQuoteName(M36)</f>
        <v>#VALUE!</v>
      </c>
      <c r="O36" s="106" t="e">
        <f>_xll.qlRateHelperLatestDate(M36,Trigger)</f>
        <v>#VALUE!</v>
      </c>
      <c r="P36" s="112" t="e">
        <f>_xll.qlRateHelperQuoteValue(M36,_xll.ohTrigger(RecalcTrigger,YieldCurve))</f>
        <v>#VALUE!</v>
      </c>
      <c r="Q36" s="116" t="e">
        <f t="shared" si="6"/>
        <v>#VALUE!</v>
      </c>
      <c r="R36" s="116">
        <v>2</v>
      </c>
      <c r="S36" s="113" t="e">
        <f>_xll.qlMakeOIS(,R36,IF(Q36="SW","1W",Q36),IborIndex,,"0D",,,,_xll.ohTrigger(RecalcTrigger,YieldCurve))</f>
        <v>#VALUE!</v>
      </c>
      <c r="T36" s="114" t="e">
        <f>_xll.qlOvernightIndexedSwapFairRate(S36,_xll.ohTrigger(RecalcTrigger,YieldCurve))</f>
        <v>#VALUE!</v>
      </c>
      <c r="U36" s="115" t="e">
        <f t="shared" si="7"/>
        <v>#VALUE!</v>
      </c>
      <c r="V36" s="117"/>
      <c r="W36" s="144"/>
      <c r="X36" s="113" t="str">
        <f t="shared" si="9"/>
        <v>1D</v>
      </c>
      <c r="Y36" s="106">
        <f>_xll.qlCalendarAdvance(Calendar,Y35,X36,"f",FALSE)</f>
        <v>42187</v>
      </c>
      <c r="Z36" s="108">
        <f>_xll.qlCalendarAdvance(Calendar,Y36,0&amp;"D")</f>
        <v>42187</v>
      </c>
      <c r="AA36" s="109">
        <v>-1.3324326425800948E-3</v>
      </c>
      <c r="AB36" s="363">
        <f t="shared" si="8"/>
        <v>0</v>
      </c>
      <c r="AC36" s="236">
        <v>-1.3324326425800948E-3</v>
      </c>
      <c r="AD36" s="236">
        <v>-1.3278946691830384E-3</v>
      </c>
    </row>
    <row r="37" spans="13:30" x14ac:dyDescent="0.2">
      <c r="M37" s="107" t="e">
        <v>#N/A</v>
      </c>
      <c r="N37" s="107" t="e">
        <f>_xll.qlRateHelperQuoteName(M37)</f>
        <v>#VALUE!</v>
      </c>
      <c r="O37" s="106" t="e">
        <f>_xll.qlRateHelperLatestDate(M37,Trigger)</f>
        <v>#VALUE!</v>
      </c>
      <c r="P37" s="112" t="e">
        <f>_xll.qlRateHelperQuoteValue(M37,_xll.ohTrigger(RecalcTrigger,YieldCurve))</f>
        <v>#VALUE!</v>
      </c>
      <c r="Q37" s="116" t="e">
        <f t="shared" si="6"/>
        <v>#VALUE!</v>
      </c>
      <c r="R37" s="116">
        <v>2</v>
      </c>
      <c r="S37" s="113" t="e">
        <f>_xll.qlMakeOIS(,R37,IF(Q37="SW","1W",Q37),IborIndex,,"0D",,,,_xll.ohTrigger(RecalcTrigger,YieldCurve))</f>
        <v>#VALUE!</v>
      </c>
      <c r="T37" s="114" t="e">
        <f>_xll.qlOvernightIndexedSwapFairRate(S37,_xll.ohTrigger(RecalcTrigger,YieldCurve))</f>
        <v>#VALUE!</v>
      </c>
      <c r="U37" s="115" t="e">
        <f t="shared" si="7"/>
        <v>#VALUE!</v>
      </c>
      <c r="V37" s="117"/>
      <c r="W37" s="144"/>
      <c r="X37" s="113" t="str">
        <f t="shared" si="9"/>
        <v>1D</v>
      </c>
      <c r="Y37" s="106">
        <f>_xll.qlCalendarAdvance(Calendar,Y36,X37,"f",FALSE)</f>
        <v>42188</v>
      </c>
      <c r="Z37" s="108">
        <f>_xll.qlCalendarAdvance(Calendar,Y37,0&amp;"D")</f>
        <v>42188</v>
      </c>
      <c r="AA37" s="109">
        <v>-1.3324277110049465E-3</v>
      </c>
      <c r="AB37" s="363">
        <f t="shared" si="8"/>
        <v>0</v>
      </c>
      <c r="AC37" s="236">
        <v>-1.3324277110049465E-3</v>
      </c>
      <c r="AD37" s="236">
        <v>-1.3449873868642825E-3</v>
      </c>
    </row>
    <row r="38" spans="13:30" x14ac:dyDescent="0.2">
      <c r="M38" s="107" t="e">
        <v>#N/A</v>
      </c>
      <c r="N38" s="107" t="e">
        <f>_xll.qlRateHelperQuoteName(M38)</f>
        <v>#VALUE!</v>
      </c>
      <c r="O38" s="106" t="e">
        <f>_xll.qlRateHelperLatestDate(M38,Trigger)</f>
        <v>#VALUE!</v>
      </c>
      <c r="P38" s="112" t="e">
        <f>_xll.qlRateHelperQuoteValue(M38,_xll.ohTrigger(RecalcTrigger,YieldCurve))</f>
        <v>#VALUE!</v>
      </c>
      <c r="Q38" s="116" t="e">
        <f t="shared" si="6"/>
        <v>#VALUE!</v>
      </c>
      <c r="R38" s="116">
        <v>2</v>
      </c>
      <c r="S38" s="113" t="e">
        <f>_xll.qlMakeOIS(,R38,IF(Q38="SW","1W",Q38),IborIndex,,"0D",,,,_xll.ohTrigger(RecalcTrigger,YieldCurve))</f>
        <v>#VALUE!</v>
      </c>
      <c r="T38" s="114" t="e">
        <f>_xll.qlOvernightIndexedSwapFairRate(S38,_xll.ohTrigger(RecalcTrigger,YieldCurve))</f>
        <v>#VALUE!</v>
      </c>
      <c r="U38" s="115" t="e">
        <f t="shared" si="7"/>
        <v>#VALUE!</v>
      </c>
      <c r="V38" s="117"/>
      <c r="W38" s="144"/>
      <c r="X38" s="113" t="str">
        <f t="shared" si="9"/>
        <v>1D</v>
      </c>
      <c r="Y38" s="106">
        <f>_xll.qlCalendarAdvance(Calendar,Y37,X38,"f",FALSE)</f>
        <v>42191</v>
      </c>
      <c r="Z38" s="108">
        <f>_xll.qlCalendarAdvance(Calendar,Y38,0&amp;"D")</f>
        <v>42191</v>
      </c>
      <c r="AA38" s="109">
        <v>-1.3324326425001587E-3</v>
      </c>
      <c r="AB38" s="363">
        <f t="shared" si="8"/>
        <v>0</v>
      </c>
      <c r="AC38" s="236">
        <v>-1.3324326425001587E-3</v>
      </c>
      <c r="AD38" s="236">
        <v>-1.359506253812981E-3</v>
      </c>
    </row>
    <row r="39" spans="13:30" x14ac:dyDescent="0.2">
      <c r="M39" s="107" t="e">
        <v>#N/A</v>
      </c>
      <c r="N39" s="107" t="e">
        <f>_xll.qlRateHelperQuoteName(M39)</f>
        <v>#VALUE!</v>
      </c>
      <c r="O39" s="106" t="e">
        <f>_xll.qlRateHelperLatestDate(M39,Trigger)</f>
        <v>#VALUE!</v>
      </c>
      <c r="P39" s="112" t="e">
        <f>_xll.qlRateHelperQuoteValue(M39,_xll.ohTrigger(RecalcTrigger,YieldCurve))</f>
        <v>#VALUE!</v>
      </c>
      <c r="Q39" s="116" t="e">
        <f t="shared" si="6"/>
        <v>#VALUE!</v>
      </c>
      <c r="R39" s="116">
        <v>2</v>
      </c>
      <c r="S39" s="113" t="e">
        <f>_xll.qlMakeOIS(,R39,IF(Q39="SW","1W",Q39),IborIndex,,"0D",,,,_xll.ohTrigger(RecalcTrigger,YieldCurve))</f>
        <v>#VALUE!</v>
      </c>
      <c r="T39" s="114" t="e">
        <f>_xll.qlOvernightIndexedSwapFairRate(S39,_xll.ohTrigger(RecalcTrigger,YieldCurve))</f>
        <v>#VALUE!</v>
      </c>
      <c r="U39" s="115" t="e">
        <f t="shared" si="7"/>
        <v>#VALUE!</v>
      </c>
      <c r="V39" s="117"/>
      <c r="W39" s="144"/>
      <c r="X39" s="113" t="str">
        <f t="shared" si="9"/>
        <v>1D</v>
      </c>
      <c r="Y39" s="106">
        <f>_xll.qlCalendarAdvance(Calendar,Y38,X39,"f",FALSE)</f>
        <v>42192</v>
      </c>
      <c r="Z39" s="108">
        <f>_xll.qlCalendarAdvance(Calendar,Y39,0&amp;"D")</f>
        <v>42192</v>
      </c>
      <c r="AA39" s="109">
        <v>-1.3324326426999988E-3</v>
      </c>
      <c r="AB39" s="363">
        <f t="shared" si="8"/>
        <v>0</v>
      </c>
      <c r="AC39" s="236">
        <v>-1.3324326426999988E-3</v>
      </c>
      <c r="AD39" s="236">
        <v>-1.3654712245703138E-3</v>
      </c>
    </row>
    <row r="40" spans="13:30" x14ac:dyDescent="0.2">
      <c r="M40" s="107" t="e">
        <v>#N/A</v>
      </c>
      <c r="N40" s="107" t="e">
        <f>_xll.qlRateHelperQuoteName(M40)</f>
        <v>#VALUE!</v>
      </c>
      <c r="O40" s="106" t="e">
        <f>_xll.qlRateHelperLatestDate(M40,Trigger)</f>
        <v>#VALUE!</v>
      </c>
      <c r="P40" s="112" t="e">
        <f>_xll.qlRateHelperQuoteValue(M40,_xll.ohTrigger(RecalcTrigger,YieldCurve))</f>
        <v>#VALUE!</v>
      </c>
      <c r="Q40" s="116" t="e">
        <f t="shared" si="6"/>
        <v>#VALUE!</v>
      </c>
      <c r="R40" s="116">
        <v>2</v>
      </c>
      <c r="S40" s="113" t="e">
        <f>_xll.qlMakeOIS(,R40,IF(Q40="SW","1W",Q40),IborIndex,,"0D",,,,_xll.ohTrigger(RecalcTrigger,YieldCurve))</f>
        <v>#VALUE!</v>
      </c>
      <c r="T40" s="114" t="e">
        <f>_xll.qlOvernightIndexedSwapFairRate(S40,_xll.ohTrigger(RecalcTrigger,YieldCurve))</f>
        <v>#VALUE!</v>
      </c>
      <c r="U40" s="115" t="e">
        <f t="shared" si="7"/>
        <v>#VALUE!</v>
      </c>
      <c r="V40" s="117"/>
      <c r="W40" s="144"/>
      <c r="X40" s="113" t="str">
        <f t="shared" si="9"/>
        <v>1D</v>
      </c>
      <c r="Y40" s="106">
        <f>_xll.qlCalendarAdvance(Calendar,Y39,X40,"f",FALSE)</f>
        <v>42193</v>
      </c>
      <c r="Z40" s="108">
        <f>_xll.qlCalendarAdvance(Calendar,Y40,0&amp;"D")</f>
        <v>42193</v>
      </c>
      <c r="AA40" s="109">
        <v>-1.3324326425800948E-3</v>
      </c>
      <c r="AB40" s="363">
        <f t="shared" si="8"/>
        <v>0</v>
      </c>
      <c r="AC40" s="236">
        <v>-1.3324326425800948E-3</v>
      </c>
      <c r="AD40" s="236">
        <v>-1.370661025359432E-3</v>
      </c>
    </row>
    <row r="41" spans="13:30" x14ac:dyDescent="0.2">
      <c r="M41" s="107" t="e">
        <v>#N/A</v>
      </c>
      <c r="N41" s="107" t="e">
        <f>_xll.qlRateHelperQuoteName(M41)</f>
        <v>#VALUE!</v>
      </c>
      <c r="O41" s="106" t="e">
        <f>_xll.qlRateHelperLatestDate(M41,Trigger)</f>
        <v>#VALUE!</v>
      </c>
      <c r="P41" s="112" t="e">
        <f>_xll.qlRateHelperQuoteValue(M41,_xll.ohTrigger(RecalcTrigger,YieldCurve))</f>
        <v>#VALUE!</v>
      </c>
      <c r="Q41" s="116" t="e">
        <f t="shared" si="6"/>
        <v>#VALUE!</v>
      </c>
      <c r="R41" s="116">
        <v>2</v>
      </c>
      <c r="S41" s="113" t="e">
        <f>_xll.qlMakeOIS(,R41,IF(Q41="SW","1W",Q41),IborIndex,,"0D",,,,_xll.ohTrigger(RecalcTrigger,YieldCurve))</f>
        <v>#VALUE!</v>
      </c>
      <c r="T41" s="114" t="e">
        <f>_xll.qlOvernightIndexedSwapFairRate(S41,_xll.ohTrigger(RecalcTrigger,YieldCurve))</f>
        <v>#VALUE!</v>
      </c>
      <c r="U41" s="115" t="e">
        <f t="shared" si="7"/>
        <v>#VALUE!</v>
      </c>
      <c r="V41" s="117"/>
      <c r="W41" s="144"/>
      <c r="X41" s="113" t="str">
        <f t="shared" si="9"/>
        <v>1D</v>
      </c>
      <c r="Y41" s="106">
        <f>_xll.qlCalendarAdvance(Calendar,Y40,X41,"f",FALSE)</f>
        <v>42194</v>
      </c>
      <c r="Z41" s="108">
        <f>_xll.qlCalendarAdvance(Calendar,Y41,0&amp;"D")</f>
        <v>42194</v>
      </c>
      <c r="AA41" s="109">
        <v>-1.3324326426200628E-3</v>
      </c>
      <c r="AB41" s="363">
        <f t="shared" si="8"/>
        <v>0</v>
      </c>
      <c r="AC41" s="236">
        <v>-1.3324326426200628E-3</v>
      </c>
      <c r="AD41" s="236">
        <v>-1.3750756561003996E-3</v>
      </c>
    </row>
    <row r="42" spans="13:30" x14ac:dyDescent="0.2">
      <c r="M42" s="107" t="e">
        <v>#N/A</v>
      </c>
      <c r="N42" s="107" t="e">
        <f>_xll.qlRateHelperQuoteName(M42)</f>
        <v>#VALUE!</v>
      </c>
      <c r="O42" s="106" t="e">
        <f>_xll.qlRateHelperLatestDate(M42,Trigger)</f>
        <v>#VALUE!</v>
      </c>
      <c r="P42" s="112" t="e">
        <f>_xll.qlRateHelperQuoteValue(M42,_xll.ohTrigger(RecalcTrigger,YieldCurve))</f>
        <v>#VALUE!</v>
      </c>
      <c r="Q42" s="116" t="e">
        <f t="shared" si="6"/>
        <v>#VALUE!</v>
      </c>
      <c r="R42" s="116">
        <v>2</v>
      </c>
      <c r="S42" s="113" t="e">
        <f>_xll.qlMakeOIS(,R42,IF(Q42="SW","1W",Q42),IborIndex,,"0D",,,,_xll.ohTrigger(RecalcTrigger,YieldCurve))</f>
        <v>#VALUE!</v>
      </c>
      <c r="T42" s="114" t="e">
        <f>_xll.qlOvernightIndexedSwapFairRate(S42,_xll.ohTrigger(RecalcTrigger,YieldCurve))</f>
        <v>#VALUE!</v>
      </c>
      <c r="U42" s="115" t="e">
        <f t="shared" si="7"/>
        <v>#VALUE!</v>
      </c>
      <c r="V42" s="117"/>
      <c r="W42" s="144"/>
      <c r="X42" s="113" t="str">
        <f t="shared" si="9"/>
        <v>1D</v>
      </c>
      <c r="Y42" s="106">
        <f>_xll.qlCalendarAdvance(Calendar,Y41,X42,"f",FALSE)</f>
        <v>42195</v>
      </c>
      <c r="Z42" s="108">
        <f>_xll.qlCalendarAdvance(Calendar,Y42,0&amp;"D")</f>
        <v>42195</v>
      </c>
      <c r="AA42" s="109">
        <v>-1.3324277109783011E-3</v>
      </c>
      <c r="AB42" s="363">
        <f t="shared" si="8"/>
        <v>0</v>
      </c>
      <c r="AC42" s="236">
        <v>-1.3324277109783011E-3</v>
      </c>
      <c r="AD42" s="236">
        <v>-1.3813157175279756E-3</v>
      </c>
    </row>
    <row r="43" spans="13:30" x14ac:dyDescent="0.2">
      <c r="M43" s="107" t="e">
        <v>#N/A</v>
      </c>
      <c r="N43" s="107" t="e">
        <f>_xll.qlRateHelperQuoteName(M43)</f>
        <v>#VALUE!</v>
      </c>
      <c r="O43" s="106" t="e">
        <f>_xll.qlRateHelperLatestDate(M43,Trigger)</f>
        <v>#VALUE!</v>
      </c>
      <c r="P43" s="112" t="e">
        <f>_xll.qlRateHelperQuoteValue(M43,_xll.ohTrigger(RecalcTrigger,YieldCurve))</f>
        <v>#VALUE!</v>
      </c>
      <c r="Q43" s="116" t="e">
        <f t="shared" si="6"/>
        <v>#VALUE!</v>
      </c>
      <c r="R43" s="116">
        <v>2</v>
      </c>
      <c r="S43" s="113" t="e">
        <f>_xll.qlMakeOIS(,R43,IF(Q43="SW","1W",Q43),IborIndex,,"0D",,,,_xll.ohTrigger(RecalcTrigger,YieldCurve))</f>
        <v>#VALUE!</v>
      </c>
      <c r="T43" s="114" t="e">
        <f>_xll.qlOvernightIndexedSwapFairRate(S43,_xll.ohTrigger(RecalcTrigger,YieldCurve))</f>
        <v>#VALUE!</v>
      </c>
      <c r="U43" s="115" t="e">
        <f t="shared" si="7"/>
        <v>#VALUE!</v>
      </c>
      <c r="V43" s="117"/>
      <c r="W43" s="144"/>
      <c r="X43" s="113" t="str">
        <f t="shared" si="9"/>
        <v>1D</v>
      </c>
      <c r="Y43" s="106">
        <f>_xll.qlCalendarAdvance(Calendar,Y42,X43,"f",FALSE)</f>
        <v>42198</v>
      </c>
      <c r="Z43" s="108">
        <f>_xll.qlCalendarAdvance(Calendar,Y43,0&amp;"D")</f>
        <v>42198</v>
      </c>
      <c r="AA43" s="109">
        <v>-1.3324326426600308E-3</v>
      </c>
      <c r="AB43" s="363">
        <f t="shared" si="8"/>
        <v>0</v>
      </c>
      <c r="AC43" s="236">
        <v>-1.3324326426600308E-3</v>
      </c>
      <c r="AD43" s="236">
        <v>-1.3849824793821242E-3</v>
      </c>
    </row>
    <row r="44" spans="13:30" x14ac:dyDescent="0.2">
      <c r="M44" s="107" t="e">
        <v>#N/A</v>
      </c>
      <c r="N44" s="107" t="e">
        <f>_xll.qlRateHelperQuoteName(M44)</f>
        <v>#VALUE!</v>
      </c>
      <c r="O44" s="106" t="e">
        <f>_xll.qlRateHelperLatestDate(M44,Trigger)</f>
        <v>#VALUE!</v>
      </c>
      <c r="P44" s="112" t="e">
        <f>_xll.qlRateHelperQuoteValue(M44,_xll.ohTrigger(RecalcTrigger,YieldCurve))</f>
        <v>#VALUE!</v>
      </c>
      <c r="Q44" s="116" t="e">
        <f t="shared" si="6"/>
        <v>#VALUE!</v>
      </c>
      <c r="R44" s="116">
        <v>2</v>
      </c>
      <c r="S44" s="113" t="e">
        <f>_xll.qlMakeOIS(,R44,IF(Q44="SW","1W",Q44),IborIndex,,"0D",,,,_xll.ohTrigger(RecalcTrigger,YieldCurve))</f>
        <v>#VALUE!</v>
      </c>
      <c r="T44" s="114" t="e">
        <f>_xll.qlOvernightIndexedSwapFairRate(S44,_xll.ohTrigger(RecalcTrigger,YieldCurve))</f>
        <v>#VALUE!</v>
      </c>
      <c r="U44" s="115" t="e">
        <f t="shared" si="7"/>
        <v>#VALUE!</v>
      </c>
      <c r="V44" s="117"/>
      <c r="W44" s="144"/>
      <c r="X44" s="113" t="str">
        <f t="shared" si="9"/>
        <v>1D</v>
      </c>
      <c r="Y44" s="106">
        <f>_xll.qlCalendarAdvance(Calendar,Y43,X44,"f",FALSE)</f>
        <v>42199</v>
      </c>
      <c r="Z44" s="108">
        <f>_xll.qlCalendarAdvance(Calendar,Y44,0&amp;"D")</f>
        <v>42199</v>
      </c>
      <c r="AA44" s="109">
        <v>-1.3324326426600308E-3</v>
      </c>
      <c r="AB44" s="363">
        <f t="shared" si="8"/>
        <v>0</v>
      </c>
      <c r="AC44" s="236">
        <v>-1.3324326426600308E-3</v>
      </c>
      <c r="AD44" s="236">
        <v>-1.3855212603219869E-3</v>
      </c>
    </row>
    <row r="45" spans="13:30" x14ac:dyDescent="0.2">
      <c r="M45" s="107" t="e">
        <v>#N/A</v>
      </c>
      <c r="N45" s="107" t="e">
        <f>_xll.qlRateHelperQuoteName(M45)</f>
        <v>#VALUE!</v>
      </c>
      <c r="O45" s="106" t="e">
        <f>_xll.qlRateHelperLatestDate(M45,Trigger)</f>
        <v>#VALUE!</v>
      </c>
      <c r="P45" s="112" t="e">
        <f>_xll.qlRateHelperQuoteValue(M45,_xll.ohTrigger(RecalcTrigger,YieldCurve))</f>
        <v>#VALUE!</v>
      </c>
      <c r="Q45" s="116" t="e">
        <f t="shared" si="6"/>
        <v>#VALUE!</v>
      </c>
      <c r="R45" s="116">
        <v>2</v>
      </c>
      <c r="S45" s="113" t="e">
        <f>_xll.qlMakeOIS(,R45,IF(Q45="SW","1W",Q45),IborIndex,,"0D",,,,_xll.ohTrigger(RecalcTrigger,YieldCurve))</f>
        <v>#VALUE!</v>
      </c>
      <c r="T45" s="114" t="e">
        <f>_xll.qlOvernightIndexedSwapFairRate(S45,_xll.ohTrigger(RecalcTrigger,YieldCurve))</f>
        <v>#VALUE!</v>
      </c>
      <c r="U45" s="115" t="e">
        <f t="shared" si="7"/>
        <v>#VALUE!</v>
      </c>
      <c r="V45" s="117"/>
      <c r="W45" s="144"/>
      <c r="X45" s="113" t="str">
        <f t="shared" si="9"/>
        <v>1D</v>
      </c>
      <c r="Y45" s="106">
        <f>_xll.qlCalendarAdvance(Calendar,Y44,X45,"f",FALSE)</f>
        <v>42200</v>
      </c>
      <c r="Z45" s="108">
        <f>_xll.qlCalendarAdvance(Calendar,Y45,0&amp;"D")</f>
        <v>42200</v>
      </c>
      <c r="AA45" s="109">
        <v>-1.3324326425800948E-3</v>
      </c>
      <c r="AB45" s="363">
        <f t="shared" si="8"/>
        <v>0</v>
      </c>
      <c r="AC45" s="236">
        <v>-1.3324326425800948E-3</v>
      </c>
      <c r="AD45" s="236">
        <v>-1.3852848714535071E-3</v>
      </c>
    </row>
    <row r="46" spans="13:30" ht="12" thickBot="1" x14ac:dyDescent="0.25">
      <c r="M46" s="119" t="e">
        <v>#N/A</v>
      </c>
      <c r="N46" s="107" t="e">
        <f>_xll.qlRateHelperQuoteName(M46)</f>
        <v>#VALUE!</v>
      </c>
      <c r="O46" s="106" t="e">
        <f>_xll.qlRateHelperLatestDate(M46,Trigger)</f>
        <v>#VALUE!</v>
      </c>
      <c r="P46" s="112" t="e">
        <f>_xll.qlRateHelperQuoteValue(M46,_xll.ohTrigger(RecalcTrigger,YieldCurve))</f>
        <v>#VALUE!</v>
      </c>
      <c r="Q46" s="116" t="e">
        <f t="shared" si="6"/>
        <v>#VALUE!</v>
      </c>
      <c r="R46" s="116">
        <v>2</v>
      </c>
      <c r="S46" s="113" t="e">
        <f>_xll.qlMakeOIS(,R46,IF(Q46="SW","1W",Q46),IborIndex,,"0D",,,,_xll.ohTrigger(RecalcTrigger,YieldCurve))</f>
        <v>#VALUE!</v>
      </c>
      <c r="T46" s="114" t="e">
        <f>_xll.qlOvernightIndexedSwapFairRate(S46,_xll.ohTrigger(RecalcTrigger,YieldCurve))</f>
        <v>#VALUE!</v>
      </c>
      <c r="U46" s="115" t="e">
        <f t="shared" si="7"/>
        <v>#VALUE!</v>
      </c>
      <c r="V46" s="117"/>
      <c r="W46" s="144"/>
      <c r="X46" s="113" t="str">
        <f t="shared" si="9"/>
        <v>1D</v>
      </c>
      <c r="Y46" s="106">
        <f>_xll.qlCalendarAdvance(Calendar,Y45,X46,"f",FALSE)</f>
        <v>42201</v>
      </c>
      <c r="Z46" s="108">
        <f>_xll.qlCalendarAdvance(Calendar,Y46,0&amp;"D")</f>
        <v>42201</v>
      </c>
      <c r="AA46" s="109">
        <v>-1.3324326426200628E-3</v>
      </c>
      <c r="AB46" s="363">
        <f t="shared" si="8"/>
        <v>0</v>
      </c>
      <c r="AC46" s="236">
        <v>-1.3324326426200628E-3</v>
      </c>
      <c r="AD46" s="236">
        <v>-1.3842733124969087E-3</v>
      </c>
    </row>
    <row r="47" spans="13:30" x14ac:dyDescent="0.2">
      <c r="N47" s="137"/>
      <c r="O47" s="138"/>
      <c r="P47" s="139"/>
      <c r="Q47" s="137"/>
      <c r="R47" s="137"/>
      <c r="S47" s="137"/>
      <c r="T47" s="137"/>
      <c r="U47" s="140"/>
      <c r="V47" s="117"/>
      <c r="W47" s="144"/>
      <c r="X47" s="113" t="str">
        <f t="shared" si="9"/>
        <v>1D</v>
      </c>
      <c r="Y47" s="106">
        <f>_xll.qlCalendarAdvance(Calendar,Y46,X47,"f",FALSE)</f>
        <v>42202</v>
      </c>
      <c r="Z47" s="108">
        <f>_xll.qlCalendarAdvance(Calendar,Y47,0&amp;"D")</f>
        <v>42202</v>
      </c>
      <c r="AA47" s="109">
        <v>-1.3324277109916238E-3</v>
      </c>
      <c r="AB47" s="363">
        <f t="shared" si="8"/>
        <v>0</v>
      </c>
      <c r="AC47" s="236">
        <v>-1.3324277109916238E-3</v>
      </c>
      <c r="AD47" s="236">
        <v>-1.3796610076122207E-3</v>
      </c>
    </row>
    <row r="48" spans="13:30" x14ac:dyDescent="0.2">
      <c r="O48" s="106"/>
      <c r="P48" s="112"/>
      <c r="V48" s="117"/>
      <c r="W48" s="144"/>
      <c r="X48" s="113" t="str">
        <f t="shared" si="9"/>
        <v>1D</v>
      </c>
      <c r="Y48" s="106">
        <f>_xll.qlCalendarAdvance(Calendar,Y47,X48,"f",FALSE)</f>
        <v>42205</v>
      </c>
      <c r="Z48" s="108">
        <f>_xll.qlCalendarAdvance(Calendar,Y48,0&amp;"D")</f>
        <v>42205</v>
      </c>
      <c r="AA48" s="109">
        <v>-1.3324326426200628E-3</v>
      </c>
      <c r="AB48" s="363">
        <f t="shared" si="8"/>
        <v>0</v>
      </c>
      <c r="AC48" s="236">
        <v>-1.3324326426200628E-3</v>
      </c>
      <c r="AD48" s="236">
        <v>-1.3724753776678256E-3</v>
      </c>
    </row>
    <row r="49" spans="15:30" x14ac:dyDescent="0.2">
      <c r="O49" s="106"/>
      <c r="P49" s="112"/>
      <c r="V49" s="117"/>
      <c r="W49" s="144"/>
      <c r="X49" s="113" t="str">
        <f t="shared" si="9"/>
        <v>1D</v>
      </c>
      <c r="Y49" s="106">
        <f>_xll.qlCalendarAdvance(Calendar,Y48,X49,"f",FALSE)</f>
        <v>42206</v>
      </c>
      <c r="Z49" s="108">
        <f>_xll.qlCalendarAdvance(Calendar,Y49,0&amp;"D")</f>
        <v>42206</v>
      </c>
      <c r="AA49" s="109">
        <v>-1.3324326426600308E-3</v>
      </c>
      <c r="AB49" s="363">
        <f t="shared" si="8"/>
        <v>0</v>
      </c>
      <c r="AC49" s="236">
        <v>-1.3324326426600308E-3</v>
      </c>
      <c r="AD49" s="236">
        <v>-1.3675879689900583E-3</v>
      </c>
    </row>
    <row r="50" spans="15:30" x14ac:dyDescent="0.2">
      <c r="V50" s="117"/>
      <c r="W50" s="144"/>
      <c r="X50" s="113" t="str">
        <f t="shared" si="9"/>
        <v>1D</v>
      </c>
      <c r="Y50" s="106">
        <f>_xll.qlCalendarAdvance(Calendar,Y49,X50,"f",FALSE)</f>
        <v>42207</v>
      </c>
      <c r="Z50" s="108">
        <f>_xll.qlCalendarAdvance(Calendar,Y50,0&amp;"D")</f>
        <v>42207</v>
      </c>
      <c r="AA50" s="109">
        <v>-1.2833319903959861E-3</v>
      </c>
      <c r="AB50" s="363">
        <f t="shared" si="8"/>
        <v>0</v>
      </c>
      <c r="AC50" s="236">
        <v>-1.2833319903959861E-3</v>
      </c>
      <c r="AD50" s="236">
        <v>-1.3620784000289987E-3</v>
      </c>
    </row>
    <row r="51" spans="15:30" x14ac:dyDescent="0.2">
      <c r="V51" s="117"/>
      <c r="W51" s="144"/>
      <c r="X51" s="113" t="str">
        <f t="shared" si="9"/>
        <v>1D</v>
      </c>
      <c r="Y51" s="106">
        <f>_xll.qlCalendarAdvance(Calendar,Y50,X51,"f",FALSE)</f>
        <v>42208</v>
      </c>
      <c r="Z51" s="108">
        <f>_xll.qlCalendarAdvance(Calendar,Y51,0&amp;"D")</f>
        <v>42208</v>
      </c>
      <c r="AA51" s="109">
        <v>-1.2833319903959861E-3</v>
      </c>
      <c r="AB51" s="363">
        <f t="shared" si="8"/>
        <v>0</v>
      </c>
      <c r="AC51" s="236">
        <v>-1.2833319903959861E-3</v>
      </c>
      <c r="AD51" s="236">
        <v>-1.3565587099639842E-3</v>
      </c>
    </row>
    <row r="52" spans="15:30" x14ac:dyDescent="0.2">
      <c r="V52" s="117"/>
      <c r="W52" s="144"/>
      <c r="X52" s="113" t="str">
        <f t="shared" si="9"/>
        <v>1D</v>
      </c>
      <c r="Y52" s="106">
        <f>_xll.qlCalendarAdvance(Calendar,Y51,X52,"f",FALSE)</f>
        <v>42209</v>
      </c>
      <c r="Z52" s="108">
        <f>_xll.qlCalendarAdvance(Calendar,Y52,0&amp;"D")</f>
        <v>42209</v>
      </c>
      <c r="AA52" s="109">
        <v>-1.2833274156154317E-3</v>
      </c>
      <c r="AB52" s="363">
        <f t="shared" si="8"/>
        <v>0</v>
      </c>
      <c r="AC52" s="236">
        <v>-1.2833274156154317E-3</v>
      </c>
      <c r="AD52" s="236">
        <v>-1.3459905927826199E-3</v>
      </c>
    </row>
    <row r="53" spans="15:30" x14ac:dyDescent="0.2">
      <c r="V53" s="117"/>
      <c r="W53" s="144"/>
      <c r="X53" s="113" t="str">
        <f t="shared" si="9"/>
        <v>1D</v>
      </c>
      <c r="Y53" s="106">
        <f>_xll.qlCalendarAdvance(Calendar,Y52,X53,"f",FALSE)</f>
        <v>42212</v>
      </c>
      <c r="Z53" s="108">
        <f>_xll.qlCalendarAdvance(Calendar,Y53,0&amp;"D")</f>
        <v>42212</v>
      </c>
      <c r="AA53" s="109">
        <v>-1.2833319904759222E-3</v>
      </c>
      <c r="AB53" s="363">
        <f t="shared" si="8"/>
        <v>0</v>
      </c>
      <c r="AC53" s="236">
        <v>-1.2833319904759222E-3</v>
      </c>
      <c r="AD53" s="236">
        <v>-1.335908836153088E-3</v>
      </c>
    </row>
    <row r="54" spans="15:30" x14ac:dyDescent="0.2">
      <c r="V54" s="117"/>
      <c r="W54" s="144"/>
      <c r="X54" s="113" t="str">
        <f t="shared" si="9"/>
        <v>1D</v>
      </c>
      <c r="Y54" s="106">
        <f>_xll.qlCalendarAdvance(Calendar,Y53,X54,"f",FALSE)</f>
        <v>42213</v>
      </c>
      <c r="Z54" s="108">
        <f>_xll.qlCalendarAdvance(Calendar,Y54,0&amp;"D")</f>
        <v>42213</v>
      </c>
      <c r="AA54" s="109">
        <v>-1.2833319903959861E-3</v>
      </c>
      <c r="AB54" s="363">
        <f t="shared" si="8"/>
        <v>0</v>
      </c>
      <c r="AC54" s="236">
        <v>-1.2833319903959861E-3</v>
      </c>
      <c r="AD54" s="236">
        <v>-1.3311035893526224E-3</v>
      </c>
    </row>
    <row r="55" spans="15:30" x14ac:dyDescent="0.2">
      <c r="V55" s="117"/>
      <c r="W55" s="144"/>
      <c r="X55" s="113" t="str">
        <f t="shared" si="9"/>
        <v>1D</v>
      </c>
      <c r="Y55" s="106">
        <f>_xll.qlCalendarAdvance(Calendar,Y54,X55,"f",FALSE)</f>
        <v>42214</v>
      </c>
      <c r="Z55" s="108">
        <f>_xll.qlCalendarAdvance(Calendar,Y55,0&amp;"D")</f>
        <v>42214</v>
      </c>
      <c r="AA55" s="109">
        <v>-1.2833319903560181E-3</v>
      </c>
      <c r="AB55" s="363">
        <f t="shared" si="8"/>
        <v>0</v>
      </c>
      <c r="AC55" s="236">
        <v>-1.2833319903560181E-3</v>
      </c>
      <c r="AD55" s="236">
        <v>-1.3264412312130602E-3</v>
      </c>
    </row>
    <row r="56" spans="15:30" x14ac:dyDescent="0.2">
      <c r="V56" s="117"/>
      <c r="W56" s="144"/>
      <c r="X56" s="113" t="str">
        <f t="shared" si="9"/>
        <v>1D</v>
      </c>
      <c r="Y56" s="106">
        <f>_xll.qlCalendarAdvance(Calendar,Y55,X56,"f",FALSE)</f>
        <v>42215</v>
      </c>
      <c r="Z56" s="108">
        <f>_xll.qlCalendarAdvance(Calendar,Y56,0&amp;"D")</f>
        <v>42215</v>
      </c>
      <c r="AA56" s="109">
        <v>-1.2833319904759222E-3</v>
      </c>
      <c r="AB56" s="363">
        <f t="shared" si="8"/>
        <v>0</v>
      </c>
      <c r="AC56" s="236">
        <v>-1.2833319904759222E-3</v>
      </c>
      <c r="AD56" s="236">
        <v>-1.3219217617743695E-3</v>
      </c>
    </row>
    <row r="57" spans="15:30" x14ac:dyDescent="0.2">
      <c r="V57" s="117"/>
      <c r="W57" s="144"/>
      <c r="X57" s="113" t="str">
        <f t="shared" si="9"/>
        <v>1D</v>
      </c>
      <c r="Y57" s="106">
        <f>_xll.qlCalendarAdvance(Calendar,Y56,X57,"f",FALSE)</f>
        <v>42216</v>
      </c>
      <c r="Z57" s="108">
        <f>_xll.qlCalendarAdvance(Calendar,Y57,0&amp;"D")</f>
        <v>42216</v>
      </c>
      <c r="AA57" s="109">
        <v>-1.1033290705864118E-3</v>
      </c>
      <c r="AB57" s="363">
        <f t="shared" si="8"/>
        <v>0</v>
      </c>
      <c r="AC57" s="236">
        <v>-1.1033290705864118E-3</v>
      </c>
      <c r="AD57" s="236">
        <v>-1.1333560270943011E-3</v>
      </c>
    </row>
    <row r="58" spans="15:30" x14ac:dyDescent="0.2">
      <c r="V58" s="117"/>
      <c r="W58" s="144"/>
      <c r="X58" s="113" t="str">
        <f t="shared" si="9"/>
        <v>1D</v>
      </c>
      <c r="Y58" s="106">
        <f>_xll.qlCalendarAdvance(Calendar,Y57,X58,"f",FALSE)</f>
        <v>42219</v>
      </c>
      <c r="Z58" s="108">
        <f>_xll.qlCalendarAdvance(Calendar,Y58,0&amp;"D")</f>
        <v>42219</v>
      </c>
      <c r="AA58" s="109">
        <v>-1.2833319904359541E-3</v>
      </c>
      <c r="AB58" s="363">
        <f t="shared" si="8"/>
        <v>0</v>
      </c>
      <c r="AC58" s="236">
        <v>-1.2833319904359541E-3</v>
      </c>
      <c r="AD58" s="236">
        <v>-1.3052727709084166E-3</v>
      </c>
    </row>
    <row r="59" spans="15:30" x14ac:dyDescent="0.2">
      <c r="V59" s="117"/>
      <c r="W59" s="144"/>
      <c r="X59" s="113" t="str">
        <f t="shared" si="9"/>
        <v>1D</v>
      </c>
      <c r="Y59" s="106">
        <f>_xll.qlCalendarAdvance(Calendar,Y58,X59,"f",FALSE)</f>
        <v>42220</v>
      </c>
      <c r="Z59" s="108">
        <f>_xll.qlCalendarAdvance(Calendar,Y59,0&amp;"D")</f>
        <v>42220</v>
      </c>
      <c r="AA59" s="109">
        <v>-1.2833319904359541E-3</v>
      </c>
      <c r="AB59" s="363">
        <f t="shared" si="8"/>
        <v>0</v>
      </c>
      <c r="AC59" s="236">
        <v>-1.2833319904359541E-3</v>
      </c>
      <c r="AD59" s="236">
        <v>-1.301467744894147E-3</v>
      </c>
    </row>
    <row r="60" spans="15:30" x14ac:dyDescent="0.2">
      <c r="V60" s="117"/>
      <c r="W60" s="144"/>
      <c r="X60" s="113" t="str">
        <f t="shared" si="9"/>
        <v>1D</v>
      </c>
      <c r="Y60" s="106">
        <f>_xll.qlCalendarAdvance(Calendar,Y59,X60,"f",FALSE)</f>
        <v>42221</v>
      </c>
      <c r="Z60" s="108">
        <f>_xll.qlCalendarAdvance(Calendar,Y60,0&amp;"D")</f>
        <v>42221</v>
      </c>
      <c r="AA60" s="109">
        <v>-1.2833319903959861E-3</v>
      </c>
      <c r="AB60" s="363">
        <f t="shared" si="8"/>
        <v>0</v>
      </c>
      <c r="AC60" s="236">
        <v>-1.2833319903959861E-3</v>
      </c>
      <c r="AD60" s="236">
        <v>-1.2978056075407807E-3</v>
      </c>
    </row>
    <row r="61" spans="15:30" x14ac:dyDescent="0.2">
      <c r="V61" s="117"/>
      <c r="W61" s="144"/>
      <c r="X61" s="113" t="str">
        <f t="shared" si="9"/>
        <v>1D</v>
      </c>
      <c r="Y61" s="106">
        <f>_xll.qlCalendarAdvance(Calendar,Y60,X61,"f",FALSE)</f>
        <v>42222</v>
      </c>
      <c r="Z61" s="108">
        <f>_xll.qlCalendarAdvance(Calendar,Y61,0&amp;"D")</f>
        <v>42222</v>
      </c>
      <c r="AA61" s="109">
        <v>-1.2833319903959861E-3</v>
      </c>
      <c r="AB61" s="363">
        <f t="shared" si="8"/>
        <v>0</v>
      </c>
      <c r="AC61" s="236">
        <v>-1.2833319903959861E-3</v>
      </c>
      <c r="AD61" s="236">
        <v>-1.2942863590481579E-3</v>
      </c>
    </row>
    <row r="62" spans="15:30" x14ac:dyDescent="0.2">
      <c r="V62" s="117"/>
      <c r="W62" s="144"/>
      <c r="X62" s="113" t="str">
        <f t="shared" si="9"/>
        <v>1D</v>
      </c>
      <c r="Y62" s="106">
        <f>_xll.qlCalendarAdvance(Calendar,Y61,X62,"f",FALSE)</f>
        <v>42223</v>
      </c>
      <c r="Z62" s="108">
        <f>_xll.qlCalendarAdvance(Calendar,Y62,0&amp;"D")</f>
        <v>42223</v>
      </c>
      <c r="AA62" s="109">
        <v>-1.2833274156287544E-3</v>
      </c>
      <c r="AB62" s="363">
        <f t="shared" si="8"/>
        <v>0</v>
      </c>
      <c r="AC62" s="236">
        <v>-1.2833274156287544E-3</v>
      </c>
      <c r="AD62" s="236">
        <v>-1.2877195514704454E-3</v>
      </c>
    </row>
    <row r="63" spans="15:30" x14ac:dyDescent="0.2">
      <c r="V63" s="117"/>
      <c r="W63" s="144"/>
      <c r="X63" s="113" t="str">
        <f t="shared" si="9"/>
        <v>1D</v>
      </c>
      <c r="Y63" s="106">
        <f>_xll.qlCalendarAdvance(Calendar,Y62,X63,"f",FALSE)</f>
        <v>42226</v>
      </c>
      <c r="Z63" s="108">
        <f>_xll.qlCalendarAdvance(Calendar,Y63,0&amp;"D")</f>
        <v>42226</v>
      </c>
      <c r="AA63" s="109">
        <v>-1.2833319903959861E-3</v>
      </c>
      <c r="AB63" s="363">
        <f t="shared" si="8"/>
        <v>0</v>
      </c>
      <c r="AC63" s="236">
        <v>-1.2833319903959861E-3</v>
      </c>
      <c r="AD63" s="236">
        <v>-1.2816382520064451E-3</v>
      </c>
    </row>
    <row r="64" spans="15:30" x14ac:dyDescent="0.2">
      <c r="V64" s="117"/>
      <c r="W64" s="144"/>
      <c r="X64" s="113" t="str">
        <f t="shared" si="9"/>
        <v>1D</v>
      </c>
      <c r="Y64" s="106">
        <f>_xll.qlCalendarAdvance(Calendar,Y63,X64,"f",FALSE)</f>
        <v>42227</v>
      </c>
      <c r="Z64" s="108">
        <f>_xll.qlCalendarAdvance(Calendar,Y64,0&amp;"D")</f>
        <v>42227</v>
      </c>
      <c r="AA64" s="109">
        <v>-1.2833319903959861E-3</v>
      </c>
      <c r="AB64" s="363">
        <f t="shared" si="8"/>
        <v>0</v>
      </c>
      <c r="AC64" s="236">
        <v>-1.2833319903959861E-3</v>
      </c>
      <c r="AD64" s="236">
        <v>-1.2788334469782114E-3</v>
      </c>
    </row>
    <row r="65" spans="22:30" x14ac:dyDescent="0.2">
      <c r="V65" s="117"/>
      <c r="W65" s="144"/>
      <c r="X65" s="113" t="str">
        <f t="shared" si="9"/>
        <v>1D</v>
      </c>
      <c r="Y65" s="106">
        <f>_xll.qlCalendarAdvance(Calendar,Y64,X65,"f",FALSE)</f>
        <v>42228</v>
      </c>
      <c r="Z65" s="108">
        <f>_xll.qlCalendarAdvance(Calendar,Y65,0&amp;"D")</f>
        <v>42228</v>
      </c>
      <c r="AA65" s="109">
        <v>-1.2833319903959861E-3</v>
      </c>
      <c r="AB65" s="363">
        <f t="shared" si="8"/>
        <v>0</v>
      </c>
      <c r="AC65" s="236">
        <v>-1.2833319903959861E-3</v>
      </c>
      <c r="AD65" s="236">
        <v>-1.2761715308906574E-3</v>
      </c>
    </row>
    <row r="66" spans="22:30" x14ac:dyDescent="0.2">
      <c r="V66" s="117"/>
      <c r="W66" s="144"/>
      <c r="X66" s="113" t="str">
        <f t="shared" si="9"/>
        <v>1D</v>
      </c>
      <c r="Y66" s="106">
        <f>_xll.qlCalendarAdvance(Calendar,Y65,X66,"f",FALSE)</f>
        <v>42229</v>
      </c>
      <c r="Z66" s="108">
        <f>_xll.qlCalendarAdvance(Calendar,Y66,0&amp;"D")</f>
        <v>42229</v>
      </c>
      <c r="AA66" s="109">
        <v>-1.2833319903959861E-3</v>
      </c>
      <c r="AB66" s="363">
        <f t="shared" si="8"/>
        <v>0</v>
      </c>
      <c r="AC66" s="236">
        <v>-1.2833319903959861E-3</v>
      </c>
      <c r="AD66" s="236">
        <v>-1.2736525034240387E-3</v>
      </c>
    </row>
    <row r="67" spans="22:30" x14ac:dyDescent="0.2">
      <c r="W67" s="144"/>
      <c r="X67" s="113" t="str">
        <f t="shared" si="9"/>
        <v>1D</v>
      </c>
      <c r="Y67" s="106">
        <f>_xll.qlCalendarAdvance(Calendar,Y66,X67,"f",FALSE)</f>
        <v>42230</v>
      </c>
      <c r="Z67" s="108">
        <f>_xll.qlCalendarAdvance(Calendar,Y67,0&amp;"D")</f>
        <v>42230</v>
      </c>
      <c r="AA67" s="109">
        <v>-1.2833274156154317E-3</v>
      </c>
      <c r="AB67" s="363">
        <f t="shared" si="8"/>
        <v>0</v>
      </c>
      <c r="AC67" s="236">
        <v>-1.2833274156154317E-3</v>
      </c>
      <c r="AD67" s="236">
        <v>-1.269086270432318E-3</v>
      </c>
    </row>
    <row r="68" spans="22:30" x14ac:dyDescent="0.2">
      <c r="W68" s="144"/>
      <c r="X68" s="113" t="str">
        <f t="shared" si="9"/>
        <v>1D</v>
      </c>
      <c r="Y68" s="106">
        <f>_xll.qlCalendarAdvance(Calendar,Y67,X68,"f",FALSE)</f>
        <v>42233</v>
      </c>
      <c r="Z68" s="108">
        <f>_xll.qlCalendarAdvance(Calendar,Y68,0&amp;"D")</f>
        <v>42233</v>
      </c>
      <c r="AA68" s="109">
        <v>-1.2833319903959861E-3</v>
      </c>
      <c r="AB68" s="363">
        <f t="shared" si="8"/>
        <v>0</v>
      </c>
      <c r="AC68" s="236">
        <v>-1.2833319903959861E-3</v>
      </c>
      <c r="AD68" s="236">
        <v>-1.2650052810458945E-3</v>
      </c>
    </row>
    <row r="69" spans="22:30" x14ac:dyDescent="0.2">
      <c r="W69" s="144"/>
      <c r="X69" s="113" t="str">
        <f t="shared" si="9"/>
        <v>1D</v>
      </c>
      <c r="Y69" s="106">
        <f>_xll.qlCalendarAdvance(Calendar,Y68,X69,"f",FALSE)</f>
        <v>42234</v>
      </c>
      <c r="Z69" s="108">
        <f>_xll.qlCalendarAdvance(Calendar,Y69,0&amp;"D")</f>
        <v>42234</v>
      </c>
      <c r="AA69" s="109">
        <v>-1.2833319904759222E-3</v>
      </c>
      <c r="AB69" s="363">
        <f t="shared" si="8"/>
        <v>0</v>
      </c>
      <c r="AC69" s="236">
        <v>-1.2833319904759222E-3</v>
      </c>
      <c r="AD69" s="236">
        <v>-1.263200697203537E-3</v>
      </c>
    </row>
    <row r="70" spans="22:30" x14ac:dyDescent="0.2">
      <c r="W70" s="144"/>
      <c r="X70" s="113" t="str">
        <f t="shared" si="9"/>
        <v>1D</v>
      </c>
      <c r="Y70" s="106">
        <f>_xll.qlCalendarAdvance(Calendar,Y69,X70,"f",FALSE)</f>
        <v>42235</v>
      </c>
      <c r="Z70" s="108">
        <f>_xll.qlCalendarAdvance(Calendar,Y70,0&amp;"D")</f>
        <v>42235</v>
      </c>
      <c r="AA70" s="109">
        <v>-1.2833319903560181E-3</v>
      </c>
      <c r="AB70" s="363">
        <f t="shared" si="8"/>
        <v>0</v>
      </c>
      <c r="AC70" s="236">
        <v>-1.2833319903560181E-3</v>
      </c>
      <c r="AD70" s="236">
        <v>-1.2615390023418271E-3</v>
      </c>
    </row>
    <row r="71" spans="22:30" x14ac:dyDescent="0.2">
      <c r="W71" s="144"/>
      <c r="X71" s="113" t="str">
        <f t="shared" si="9"/>
        <v>1D</v>
      </c>
      <c r="Y71" s="106">
        <f>_xll.qlCalendarAdvance(Calendar,Y70,X71,"f",FALSE)</f>
        <v>42236</v>
      </c>
      <c r="Z71" s="108">
        <f>_xll.qlCalendarAdvance(Calendar,Y71,0&amp;"D")</f>
        <v>42236</v>
      </c>
      <c r="AA71" s="109">
        <v>-1.2833319904759222E-3</v>
      </c>
      <c r="AB71" s="363">
        <f t="shared" si="8"/>
        <v>0</v>
      </c>
      <c r="AC71" s="236">
        <v>-1.2833319904759222E-3</v>
      </c>
      <c r="AD71" s="236">
        <v>-1.2600201960211166E-3</v>
      </c>
    </row>
    <row r="72" spans="22:30" x14ac:dyDescent="0.2">
      <c r="W72" s="144"/>
      <c r="X72" s="113" t="str">
        <f t="shared" si="9"/>
        <v>1D</v>
      </c>
      <c r="Y72" s="106">
        <f>_xll.qlCalendarAdvance(Calendar,Y71,X72,"f",FALSE)</f>
        <v>42237</v>
      </c>
      <c r="Z72" s="108">
        <f>_xll.qlCalendarAdvance(Calendar,Y72,0&amp;"D")</f>
        <v>42237</v>
      </c>
      <c r="AA72" s="109">
        <v>-1.2833274156154317E-3</v>
      </c>
      <c r="AB72" s="363">
        <f t="shared" si="8"/>
        <v>0</v>
      </c>
      <c r="AC72" s="236">
        <v>-1.2833274156154317E-3</v>
      </c>
      <c r="AD72" s="236">
        <v>-1.2574544873089621E-3</v>
      </c>
    </row>
    <row r="73" spans="22:30" x14ac:dyDescent="0.2">
      <c r="W73" s="144"/>
      <c r="X73" s="113" t="str">
        <f t="shared" si="9"/>
        <v>1D</v>
      </c>
      <c r="Y73" s="106">
        <f>_xll.qlCalendarAdvance(Calendar,Y72,X73,"f",FALSE)</f>
        <v>42240</v>
      </c>
      <c r="Z73" s="108">
        <f>_xll.qlCalendarAdvance(Calendar,Y73,0&amp;"D")</f>
        <v>42240</v>
      </c>
      <c r="AA73" s="109">
        <v>-1.2833319904359541E-3</v>
      </c>
      <c r="AB73" s="363">
        <f t="shared" si="8"/>
        <v>0</v>
      </c>
      <c r="AC73" s="236">
        <v>-1.2833319904359541E-3</v>
      </c>
      <c r="AD73" s="236">
        <v>-1.2553738588261254E-3</v>
      </c>
    </row>
    <row r="74" spans="22:30" x14ac:dyDescent="0.2">
      <c r="W74" s="144"/>
      <c r="X74" s="113" t="str">
        <f t="shared" si="9"/>
        <v>1D</v>
      </c>
      <c r="Y74" s="106">
        <f>_xll.qlCalendarAdvance(Calendar,Y73,X74,"f",FALSE)</f>
        <v>42241</v>
      </c>
      <c r="Z74" s="108">
        <f>_xll.qlCalendarAdvance(Calendar,Y74,0&amp;"D")</f>
        <v>42241</v>
      </c>
      <c r="AA74" s="109">
        <v>-1.2833319903560181E-3</v>
      </c>
      <c r="AB74" s="363">
        <f t="shared" si="8"/>
        <v>0</v>
      </c>
      <c r="AC74" s="236">
        <v>-1.2833319903560181E-3</v>
      </c>
      <c r="AD74" s="236">
        <v>-1.2545694963295162E-3</v>
      </c>
    </row>
    <row r="75" spans="22:30" x14ac:dyDescent="0.2">
      <c r="W75" s="144"/>
      <c r="X75" s="113" t="str">
        <f t="shared" si="9"/>
        <v>1D</v>
      </c>
      <c r="Y75" s="106">
        <f>_xll.qlCalendarAdvance(Calendar,Y74,X75,"f",FALSE)</f>
        <v>42242</v>
      </c>
      <c r="Z75" s="108">
        <f>_xll.qlCalendarAdvance(Calendar,Y75,0&amp;"D")</f>
        <v>42242</v>
      </c>
      <c r="AA75" s="109">
        <v>-1.2833319903959861E-3</v>
      </c>
      <c r="AB75" s="363">
        <f t="shared" si="8"/>
        <v>0</v>
      </c>
      <c r="AC75" s="236">
        <v>-1.2833319903959861E-3</v>
      </c>
      <c r="AD75" s="236">
        <v>-1.2539080227336186E-3</v>
      </c>
    </row>
    <row r="76" spans="22:30" x14ac:dyDescent="0.2">
      <c r="W76" s="144"/>
      <c r="X76" s="113" t="str">
        <f t="shared" si="9"/>
        <v>1D</v>
      </c>
      <c r="Y76" s="106">
        <f>_xll.qlCalendarAdvance(Calendar,Y75,X76,"f",FALSE)</f>
        <v>42243</v>
      </c>
      <c r="Z76" s="108">
        <f>_xll.qlCalendarAdvance(Calendar,Y76,0&amp;"D")</f>
        <v>42243</v>
      </c>
      <c r="AA76" s="109">
        <v>-1.2833319905558582E-3</v>
      </c>
      <c r="AB76" s="363">
        <f t="shared" ref="AB76:AB139" si="10">AA76-AC76</f>
        <v>0</v>
      </c>
      <c r="AC76" s="236">
        <v>-1.2833319905558582E-3</v>
      </c>
      <c r="AD76" s="236">
        <v>-1.2533894379185284E-3</v>
      </c>
    </row>
    <row r="77" spans="22:30" x14ac:dyDescent="0.2">
      <c r="W77" s="144"/>
      <c r="X77" s="113" t="str">
        <f t="shared" ref="X77:X140" si="11">X76</f>
        <v>1D</v>
      </c>
      <c r="Y77" s="106">
        <f>_xll.qlCalendarAdvance(Calendar,Y76,X77,"f",FALSE)</f>
        <v>42244</v>
      </c>
      <c r="Z77" s="108">
        <f>_xll.qlCalendarAdvance(Calendar,Y77,0&amp;"D")</f>
        <v>42244</v>
      </c>
      <c r="AA77" s="109">
        <v>-1.2833274156021091E-3</v>
      </c>
      <c r="AB77" s="363">
        <f t="shared" si="10"/>
        <v>0</v>
      </c>
      <c r="AC77" s="236">
        <v>-1.2833274156021091E-3</v>
      </c>
      <c r="AD77" s="236">
        <v>-1.2528242040188431E-3</v>
      </c>
    </row>
    <row r="78" spans="22:30" x14ac:dyDescent="0.2">
      <c r="W78" s="144"/>
      <c r="X78" s="113" t="str">
        <f t="shared" si="11"/>
        <v>1D</v>
      </c>
      <c r="Y78" s="106">
        <f>_xll.qlCalendarAdvance(Calendar,Y77,X78,"f",FALSE)</f>
        <v>42247</v>
      </c>
      <c r="Z78" s="108">
        <f>_xll.qlCalendarAdvance(Calendar,Y78,0&amp;"D")</f>
        <v>42247</v>
      </c>
      <c r="AA78" s="109">
        <v>-1.1753323430108154E-3</v>
      </c>
      <c r="AB78" s="363">
        <f t="shared" si="10"/>
        <v>0</v>
      </c>
      <c r="AC78" s="236">
        <v>-1.1753323430108154E-3</v>
      </c>
      <c r="AD78" s="236">
        <v>-1.1447443294487769E-3</v>
      </c>
    </row>
    <row r="79" spans="22:30" x14ac:dyDescent="0.2">
      <c r="W79" s="144"/>
      <c r="X79" s="113" t="str">
        <f t="shared" si="11"/>
        <v>1D</v>
      </c>
      <c r="Y79" s="106">
        <f>_xll.qlCalendarAdvance(Calendar,Y78,X79,"f",FALSE)</f>
        <v>42248</v>
      </c>
      <c r="Z79" s="108">
        <f>_xll.qlCalendarAdvance(Calendar,Y79,0&amp;"D")</f>
        <v>42248</v>
      </c>
      <c r="AA79" s="109">
        <v>-1.2833319903560181E-3</v>
      </c>
      <c r="AB79" s="363">
        <f t="shared" si="10"/>
        <v>0</v>
      </c>
      <c r="AC79" s="236">
        <v>-1.2833319903560181E-3</v>
      </c>
      <c r="AD79" s="236">
        <v>-1.2529398448757334E-3</v>
      </c>
    </row>
    <row r="80" spans="22:30" x14ac:dyDescent="0.2">
      <c r="W80" s="144"/>
      <c r="X80" s="113" t="str">
        <f t="shared" si="11"/>
        <v>1D</v>
      </c>
      <c r="Y80" s="106">
        <f>_xll.qlCalendarAdvance(Calendar,Y79,X80,"f",FALSE)</f>
        <v>42249</v>
      </c>
      <c r="Z80" s="108">
        <f>_xll.qlCalendarAdvance(Calendar,Y80,0&amp;"D")</f>
        <v>42249</v>
      </c>
      <c r="AA80" s="109">
        <v>-1.2833319903959861E-3</v>
      </c>
      <c r="AB80" s="363">
        <f t="shared" si="10"/>
        <v>0</v>
      </c>
      <c r="AC80" s="236">
        <v>-1.2833319903959861E-3</v>
      </c>
      <c r="AD80" s="236">
        <v>-1.253278592545648E-3</v>
      </c>
    </row>
    <row r="81" spans="23:30" x14ac:dyDescent="0.2">
      <c r="W81" s="144"/>
      <c r="X81" s="113" t="str">
        <f t="shared" si="11"/>
        <v>1D</v>
      </c>
      <c r="Y81" s="106">
        <f>_xll.qlCalendarAdvance(Calendar,Y80,X81,"f",FALSE)</f>
        <v>42250</v>
      </c>
      <c r="Z81" s="108">
        <f>_xll.qlCalendarAdvance(Calendar,Y81,0&amp;"D")</f>
        <v>42250</v>
      </c>
      <c r="AA81" s="109">
        <v>-1.2833319904359541E-3</v>
      </c>
      <c r="AB81" s="363">
        <f t="shared" si="10"/>
        <v>0</v>
      </c>
      <c r="AC81" s="236">
        <v>-1.2833319904359541E-3</v>
      </c>
      <c r="AD81" s="236">
        <v>-1.2537602291562422E-3</v>
      </c>
    </row>
    <row r="82" spans="23:30" x14ac:dyDescent="0.2">
      <c r="W82" s="144"/>
      <c r="X82" s="113" t="str">
        <f t="shared" si="11"/>
        <v>1D</v>
      </c>
      <c r="Y82" s="106">
        <f>_xll.qlCalendarAdvance(Calendar,Y81,X82,"f",FALSE)</f>
        <v>42251</v>
      </c>
      <c r="Z82" s="108">
        <f>_xll.qlCalendarAdvance(Calendar,Y82,0&amp;"D")</f>
        <v>42251</v>
      </c>
      <c r="AA82" s="109">
        <v>-1.2833274156021091E-3</v>
      </c>
      <c r="AB82" s="363">
        <f t="shared" si="10"/>
        <v>0</v>
      </c>
      <c r="AC82" s="236">
        <v>-1.2833274156021091E-3</v>
      </c>
      <c r="AD82" s="236">
        <v>-1.2551954214945482E-3</v>
      </c>
    </row>
    <row r="83" spans="23:30" x14ac:dyDescent="0.2">
      <c r="W83" s="144"/>
      <c r="X83" s="113" t="str">
        <f t="shared" si="11"/>
        <v>1D</v>
      </c>
      <c r="Y83" s="106">
        <f>_xll.qlCalendarAdvance(Calendar,Y82,X83,"f",FALSE)</f>
        <v>42254</v>
      </c>
      <c r="Z83" s="108">
        <f>_xll.qlCalendarAdvance(Calendar,Y83,0&amp;"D")</f>
        <v>42254</v>
      </c>
      <c r="AA83" s="109">
        <v>-1.2833319904759222E-3</v>
      </c>
      <c r="AB83" s="363">
        <f t="shared" si="10"/>
        <v>0</v>
      </c>
      <c r="AC83" s="236">
        <v>-1.2833319904759222E-3</v>
      </c>
      <c r="AD83" s="236">
        <v>-1.2571156626473012E-3</v>
      </c>
    </row>
    <row r="84" spans="23:30" x14ac:dyDescent="0.2">
      <c r="W84" s="144"/>
      <c r="X84" s="113" t="str">
        <f t="shared" si="11"/>
        <v>1D</v>
      </c>
      <c r="Y84" s="106">
        <f>_xll.qlCalendarAdvance(Calendar,Y83,X84,"f",FALSE)</f>
        <v>42255</v>
      </c>
      <c r="Z84" s="108">
        <f>_xll.qlCalendarAdvance(Calendar,Y84,0&amp;"D")</f>
        <v>42255</v>
      </c>
      <c r="AA84" s="109">
        <v>-1.2833319904359541E-3</v>
      </c>
      <c r="AB84" s="363">
        <f t="shared" si="10"/>
        <v>0</v>
      </c>
      <c r="AC84" s="236">
        <v>-1.2833319904359541E-3</v>
      </c>
      <c r="AD84" s="236">
        <v>-1.2583117428821566E-3</v>
      </c>
    </row>
    <row r="85" spans="23:30" x14ac:dyDescent="0.2">
      <c r="W85" s="144"/>
      <c r="X85" s="113" t="str">
        <f t="shared" si="11"/>
        <v>1D</v>
      </c>
      <c r="Y85" s="106">
        <f>_xll.qlCalendarAdvance(Calendar,Y84,X85,"f",FALSE)</f>
        <v>42256</v>
      </c>
      <c r="Z85" s="108">
        <f>_xll.qlCalendarAdvance(Calendar,Y85,0&amp;"D")</f>
        <v>42256</v>
      </c>
      <c r="AA85" s="109">
        <v>-1.3665686488417705E-3</v>
      </c>
      <c r="AB85" s="363">
        <f t="shared" si="10"/>
        <v>0</v>
      </c>
      <c r="AC85" s="236">
        <v>-1.3665686488417705E-3</v>
      </c>
      <c r="AD85" s="236">
        <v>-1.2596580535850777E-3</v>
      </c>
    </row>
    <row r="86" spans="23:30" x14ac:dyDescent="0.2">
      <c r="W86" s="144"/>
      <c r="X86" s="113" t="str">
        <f t="shared" si="11"/>
        <v>1D</v>
      </c>
      <c r="Y86" s="106">
        <f>_xll.qlCalendarAdvance(Calendar,Y85,X86,"f",FALSE)</f>
        <v>42257</v>
      </c>
      <c r="Z86" s="108">
        <f>_xll.qlCalendarAdvance(Calendar,Y86,0&amp;"D")</f>
        <v>42257</v>
      </c>
      <c r="AA86" s="109">
        <v>-1.3665686488018025E-3</v>
      </c>
      <c r="AB86" s="363">
        <f t="shared" si="10"/>
        <v>0</v>
      </c>
      <c r="AC86" s="236">
        <v>-1.3665686488018025E-3</v>
      </c>
      <c r="AD86" s="236">
        <v>-1.2611839611453846E-3</v>
      </c>
    </row>
    <row r="87" spans="23:30" x14ac:dyDescent="0.2">
      <c r="W87" s="144"/>
      <c r="X87" s="113" t="str">
        <f t="shared" si="11"/>
        <v>1D</v>
      </c>
      <c r="Y87" s="106">
        <f>_xll.qlCalendarAdvance(Calendar,Y86,X87,"f",FALSE)</f>
        <v>42258</v>
      </c>
      <c r="Z87" s="108">
        <f>_xll.qlCalendarAdvance(Calendar,Y87,0&amp;"D")</f>
        <v>42258</v>
      </c>
      <c r="AA87" s="109">
        <v>-1.3665634613380107E-3</v>
      </c>
      <c r="AB87" s="363">
        <f t="shared" si="10"/>
        <v>0</v>
      </c>
      <c r="AC87" s="236">
        <v>-1.3665634613380107E-3</v>
      </c>
      <c r="AD87" s="236">
        <v>-1.2648544597171352E-3</v>
      </c>
    </row>
    <row r="88" spans="23:30" x14ac:dyDescent="0.2">
      <c r="W88" s="144"/>
      <c r="X88" s="113" t="str">
        <f t="shared" si="11"/>
        <v>1D</v>
      </c>
      <c r="Y88" s="106">
        <f>_xll.qlCalendarAdvance(Calendar,Y87,X88,"f",FALSE)</f>
        <v>42261</v>
      </c>
      <c r="Z88" s="108">
        <f>_xll.qlCalendarAdvance(Calendar,Y88,0&amp;"D")</f>
        <v>42261</v>
      </c>
      <c r="AA88" s="109">
        <v>-1.3665686488417705E-3</v>
      </c>
      <c r="AB88" s="363">
        <f t="shared" si="10"/>
        <v>0</v>
      </c>
      <c r="AC88" s="236">
        <v>-1.3665686488417705E-3</v>
      </c>
      <c r="AD88" s="236">
        <v>-1.2691569745948428E-3</v>
      </c>
    </row>
    <row r="89" spans="23:30" x14ac:dyDescent="0.2">
      <c r="W89" s="144"/>
      <c r="X89" s="113" t="str">
        <f t="shared" si="11"/>
        <v>1D</v>
      </c>
      <c r="Y89" s="106">
        <f>_xll.qlCalendarAdvance(Calendar,Y88,X89,"f",FALSE)</f>
        <v>42262</v>
      </c>
      <c r="Z89" s="108">
        <f>_xll.qlCalendarAdvance(Calendar,Y89,0&amp;"D")</f>
        <v>42262</v>
      </c>
      <c r="AA89" s="109">
        <v>-1.3665686488018025E-3</v>
      </c>
      <c r="AB89" s="363">
        <f t="shared" si="10"/>
        <v>0</v>
      </c>
      <c r="AC89" s="236">
        <v>-1.3665686488018025E-3</v>
      </c>
      <c r="AD89" s="236">
        <v>-1.271617573759265E-3</v>
      </c>
    </row>
    <row r="90" spans="23:30" x14ac:dyDescent="0.2">
      <c r="W90" s="144"/>
      <c r="X90" s="113" t="str">
        <f t="shared" si="11"/>
        <v>1D</v>
      </c>
      <c r="Y90" s="106">
        <f>_xll.qlCalendarAdvance(Calendar,Y89,X90,"f",FALSE)</f>
        <v>42263</v>
      </c>
      <c r="Z90" s="108">
        <f>_xll.qlCalendarAdvance(Calendar,Y90,0&amp;"D")</f>
        <v>42263</v>
      </c>
      <c r="AA90" s="109">
        <v>-1.3665686488817386E-3</v>
      </c>
      <c r="AB90" s="363">
        <f t="shared" si="10"/>
        <v>0</v>
      </c>
      <c r="AC90" s="236">
        <v>-1.3665686488817386E-3</v>
      </c>
      <c r="AD90" s="236">
        <v>-1.2742651114283632E-3</v>
      </c>
    </row>
    <row r="91" spans="23:30" x14ac:dyDescent="0.2">
      <c r="W91" s="144"/>
      <c r="X91" s="113" t="str">
        <f t="shared" si="11"/>
        <v>1D</v>
      </c>
      <c r="Y91" s="106">
        <f>_xll.qlCalendarAdvance(Calendar,Y90,X91,"f",FALSE)</f>
        <v>42264</v>
      </c>
      <c r="Z91" s="108">
        <f>_xll.qlCalendarAdvance(Calendar,Y91,0&amp;"D")</f>
        <v>42264</v>
      </c>
      <c r="AA91" s="109">
        <v>-1.3665686488817386E-3</v>
      </c>
      <c r="AB91" s="363">
        <f t="shared" si="10"/>
        <v>0</v>
      </c>
      <c r="AC91" s="236">
        <v>-1.3665686488817386E-3</v>
      </c>
      <c r="AD91" s="236">
        <v>-1.2770995874022972E-3</v>
      </c>
    </row>
    <row r="92" spans="23:30" x14ac:dyDescent="0.2">
      <c r="W92" s="144"/>
      <c r="X92" s="113" t="str">
        <f t="shared" si="11"/>
        <v>1D</v>
      </c>
      <c r="Y92" s="106">
        <f>_xll.qlCalendarAdvance(Calendar,Y91,X92,"f",FALSE)</f>
        <v>42265</v>
      </c>
      <c r="Z92" s="108">
        <f>_xll.qlCalendarAdvance(Calendar,Y92,0&amp;"D")</f>
        <v>42265</v>
      </c>
      <c r="AA92" s="109">
        <v>-1.366563461324688E-3</v>
      </c>
      <c r="AB92" s="363">
        <f t="shared" si="10"/>
        <v>0</v>
      </c>
      <c r="AC92" s="236">
        <v>-1.366563461324688E-3</v>
      </c>
      <c r="AD92" s="236">
        <v>-1.283387092052557E-3</v>
      </c>
    </row>
    <row r="93" spans="23:30" x14ac:dyDescent="0.2">
      <c r="W93" s="144"/>
      <c r="X93" s="113" t="str">
        <f t="shared" si="11"/>
        <v>1D</v>
      </c>
      <c r="Y93" s="106">
        <f>_xll.qlCalendarAdvance(Calendar,Y92,X93,"f",FALSE)</f>
        <v>42268</v>
      </c>
      <c r="Z93" s="108">
        <f>_xll.qlCalendarAdvance(Calendar,Y93,0&amp;"D")</f>
        <v>42268</v>
      </c>
      <c r="AA93" s="109">
        <v>-1.3665686488417705E-3</v>
      </c>
      <c r="AB93" s="363">
        <f t="shared" si="10"/>
        <v>0</v>
      </c>
      <c r="AC93" s="236">
        <v>-1.3665686488417705E-3</v>
      </c>
      <c r="AD93" s="236">
        <v>-1.2903068748659763E-3</v>
      </c>
    </row>
    <row r="94" spans="23:30" x14ac:dyDescent="0.2">
      <c r="W94" s="144"/>
      <c r="X94" s="113" t="str">
        <f t="shared" si="11"/>
        <v>1D</v>
      </c>
      <c r="Y94" s="106">
        <f>_xll.qlCalendarAdvance(Calendar,Y93,X94,"f",FALSE)</f>
        <v>42269</v>
      </c>
      <c r="Z94" s="108">
        <f>_xll.qlCalendarAdvance(Calendar,Y94,0&amp;"D")</f>
        <v>42269</v>
      </c>
      <c r="AA94" s="109">
        <v>-1.3665686488018025E-3</v>
      </c>
      <c r="AB94" s="363">
        <f t="shared" si="10"/>
        <v>0</v>
      </c>
      <c r="AC94" s="236">
        <v>-1.3665686488018025E-3</v>
      </c>
      <c r="AD94" s="236">
        <v>-1.2940760426438658E-3</v>
      </c>
    </row>
    <row r="95" spans="23:30" x14ac:dyDescent="0.2">
      <c r="W95" s="144"/>
      <c r="X95" s="113" t="str">
        <f t="shared" si="11"/>
        <v>1D</v>
      </c>
      <c r="Y95" s="106">
        <f>_xll.qlCalendarAdvance(Calendar,Y94,X95,"f",FALSE)</f>
        <v>42270</v>
      </c>
      <c r="Z95" s="108">
        <f>_xll.qlCalendarAdvance(Calendar,Y95,0&amp;"D")</f>
        <v>42270</v>
      </c>
      <c r="AA95" s="109">
        <v>-1.3665686488417705E-3</v>
      </c>
      <c r="AB95" s="363">
        <f t="shared" si="10"/>
        <v>0</v>
      </c>
      <c r="AC95" s="236">
        <v>-1.3665686488417705E-3</v>
      </c>
      <c r="AD95" s="236">
        <v>-1.2980321486866231E-3</v>
      </c>
    </row>
    <row r="96" spans="23:30" x14ac:dyDescent="0.2">
      <c r="W96" s="144"/>
      <c r="X96" s="113" t="str">
        <f t="shared" si="11"/>
        <v>1D</v>
      </c>
      <c r="Y96" s="106">
        <f>_xll.qlCalendarAdvance(Calendar,Y95,X96,"f",FALSE)</f>
        <v>42271</v>
      </c>
      <c r="Z96" s="108">
        <f>_xll.qlCalendarAdvance(Calendar,Y96,0&amp;"D")</f>
        <v>42271</v>
      </c>
      <c r="AA96" s="109">
        <v>-1.3665686489217066E-3</v>
      </c>
      <c r="AB96" s="363">
        <f t="shared" si="10"/>
        <v>0</v>
      </c>
      <c r="AC96" s="236">
        <v>-1.3665686489217066E-3</v>
      </c>
      <c r="AD96" s="236">
        <v>-1.3021751929942482E-3</v>
      </c>
    </row>
    <row r="97" spans="23:30" x14ac:dyDescent="0.2">
      <c r="W97" s="144"/>
      <c r="X97" s="113" t="str">
        <f t="shared" si="11"/>
        <v>1D</v>
      </c>
      <c r="Y97" s="106">
        <f>_xll.qlCalendarAdvance(Calendar,Y96,X97,"f",FALSE)</f>
        <v>42272</v>
      </c>
      <c r="Z97" s="108">
        <f>_xll.qlCalendarAdvance(Calendar,Y97,0&amp;"D")</f>
        <v>42272</v>
      </c>
      <c r="AA97" s="109">
        <v>-1.3665634612980426E-3</v>
      </c>
      <c r="AB97" s="363">
        <f t="shared" si="10"/>
        <v>0</v>
      </c>
      <c r="AC97" s="236">
        <v>-1.3665634612980426E-3</v>
      </c>
      <c r="AD97" s="236">
        <v>-1.3110796346316178E-3</v>
      </c>
    </row>
    <row r="98" spans="23:30" x14ac:dyDescent="0.2">
      <c r="W98" s="144"/>
      <c r="X98" s="113" t="str">
        <f t="shared" si="11"/>
        <v>1D</v>
      </c>
      <c r="Y98" s="106">
        <f>_xll.qlCalendarAdvance(Calendar,Y97,X98,"f",FALSE)</f>
        <v>42275</v>
      </c>
      <c r="Z98" s="108">
        <f>_xll.qlCalendarAdvance(Calendar,Y98,0&amp;"D")</f>
        <v>42275</v>
      </c>
      <c r="AA98" s="109">
        <v>-1.3665686488417705E-3</v>
      </c>
      <c r="AB98" s="363">
        <f t="shared" si="10"/>
        <v>0</v>
      </c>
      <c r="AC98" s="236">
        <v>-1.3665686488417705E-3</v>
      </c>
      <c r="AD98" s="236">
        <v>-1.3206167535528834E-3</v>
      </c>
    </row>
    <row r="99" spans="23:30" x14ac:dyDescent="0.2">
      <c r="W99" s="144"/>
      <c r="X99" s="113" t="str">
        <f t="shared" si="11"/>
        <v>1D</v>
      </c>
      <c r="Y99" s="106">
        <f>_xll.qlCalendarAdvance(Calendar,Y98,X99,"f",FALSE)</f>
        <v>42276</v>
      </c>
      <c r="Z99" s="108">
        <f>_xll.qlCalendarAdvance(Calendar,Y99,0&amp;"D")</f>
        <v>42276</v>
      </c>
      <c r="AA99" s="109">
        <v>-1.3665686488417705E-3</v>
      </c>
      <c r="AB99" s="363">
        <f t="shared" si="10"/>
        <v>0</v>
      </c>
      <c r="AC99" s="236">
        <v>-1.3665686488417705E-3</v>
      </c>
      <c r="AD99" s="236">
        <v>-1.3256944893846878E-3</v>
      </c>
    </row>
    <row r="100" spans="23:30" x14ac:dyDescent="0.2">
      <c r="W100" s="144"/>
      <c r="X100" s="113" t="str">
        <f t="shared" si="11"/>
        <v>1D</v>
      </c>
      <c r="Y100" s="106">
        <f>_xll.qlCalendarAdvance(Calendar,Y99,X100,"f",FALSE)</f>
        <v>42277</v>
      </c>
      <c r="Z100" s="108">
        <f>_xll.qlCalendarAdvance(Calendar,Y100,0&amp;"D")</f>
        <v>42277</v>
      </c>
      <c r="AA100" s="109">
        <v>-7.0568902961198887E-5</v>
      </c>
      <c r="AB100" s="363">
        <f t="shared" si="10"/>
        <v>0</v>
      </c>
      <c r="AC100" s="236">
        <v>-7.0568902961198887E-5</v>
      </c>
      <c r="AD100" s="236">
        <v>-3.4959289423319717E-5</v>
      </c>
    </row>
    <row r="101" spans="23:30" x14ac:dyDescent="0.2">
      <c r="W101" s="144"/>
      <c r="X101" s="113" t="str">
        <f t="shared" si="11"/>
        <v>1D</v>
      </c>
      <c r="Y101" s="106">
        <f>_xll.qlCalendarAdvance(Calendar,Y100,X101,"f",FALSE)</f>
        <v>42278</v>
      </c>
      <c r="Z101" s="108">
        <f>_xll.qlCalendarAdvance(Calendar,Y101,0&amp;"D")</f>
        <v>42278</v>
      </c>
      <c r="AA101" s="109">
        <v>-1.3665686488417705E-3</v>
      </c>
      <c r="AB101" s="363">
        <f t="shared" si="10"/>
        <v>0</v>
      </c>
      <c r="AC101" s="236">
        <v>-1.3665686488417705E-3</v>
      </c>
      <c r="AD101" s="236">
        <v>-1.3364107758429E-3</v>
      </c>
    </row>
    <row r="102" spans="23:30" x14ac:dyDescent="0.2">
      <c r="W102" s="144"/>
      <c r="X102" s="113" t="str">
        <f t="shared" si="11"/>
        <v>1D</v>
      </c>
      <c r="Y102" s="106">
        <f>_xll.qlCalendarAdvance(Calendar,Y101,X102,"f",FALSE)</f>
        <v>42279</v>
      </c>
      <c r="Z102" s="108">
        <f>_xll.qlCalendarAdvance(Calendar,Y102,0&amp;"D")</f>
        <v>42279</v>
      </c>
      <c r="AA102" s="109">
        <v>-1.3665634613380107E-3</v>
      </c>
      <c r="AB102" s="363">
        <f t="shared" si="10"/>
        <v>0</v>
      </c>
      <c r="AC102" s="236">
        <v>-1.3665634613380107E-3</v>
      </c>
      <c r="AD102" s="236">
        <v>-1.3479320812059825E-3</v>
      </c>
    </row>
    <row r="103" spans="23:30" x14ac:dyDescent="0.2">
      <c r="W103" s="144"/>
      <c r="X103" s="113" t="str">
        <f t="shared" si="11"/>
        <v>1D</v>
      </c>
      <c r="Y103" s="106">
        <f>_xll.qlCalendarAdvance(Calendar,Y102,X103,"f",FALSE)</f>
        <v>42282</v>
      </c>
      <c r="Z103" s="108">
        <f>_xll.qlCalendarAdvance(Calendar,Y103,0&amp;"D")</f>
        <v>42282</v>
      </c>
      <c r="AA103" s="109">
        <v>-1.3665686488018025E-3</v>
      </c>
      <c r="AB103" s="363">
        <f t="shared" si="10"/>
        <v>0</v>
      </c>
      <c r="AC103" s="236">
        <v>-1.3665686488018025E-3</v>
      </c>
      <c r="AD103" s="236">
        <v>-1.3600866078977703E-3</v>
      </c>
    </row>
    <row r="104" spans="23:30" x14ac:dyDescent="0.2">
      <c r="W104" s="144"/>
      <c r="X104" s="113" t="str">
        <f t="shared" si="11"/>
        <v>1D</v>
      </c>
      <c r="Y104" s="106">
        <f>_xll.qlCalendarAdvance(Calendar,Y103,X104,"f",FALSE)</f>
        <v>42283</v>
      </c>
      <c r="Z104" s="108">
        <f>_xll.qlCalendarAdvance(Calendar,Y104,0&amp;"D")</f>
        <v>42283</v>
      </c>
      <c r="AA104" s="109">
        <v>-1.3665686488417705E-3</v>
      </c>
      <c r="AB104" s="363">
        <f t="shared" si="10"/>
        <v>0</v>
      </c>
      <c r="AC104" s="236">
        <v>-1.3665686488417705E-3</v>
      </c>
      <c r="AD104" s="236">
        <v>-1.3664729116236174E-3</v>
      </c>
    </row>
    <row r="105" spans="23:30" x14ac:dyDescent="0.2">
      <c r="W105" s="144"/>
      <c r="X105" s="113" t="str">
        <f t="shared" si="11"/>
        <v>1D</v>
      </c>
      <c r="Y105" s="106">
        <f>_xll.qlCalendarAdvance(Calendar,Y104,X105,"f",FALSE)</f>
        <v>42284</v>
      </c>
      <c r="Z105" s="108">
        <f>_xll.qlCalendarAdvance(Calendar,Y105,0&amp;"D")</f>
        <v>42284</v>
      </c>
      <c r="AA105" s="109">
        <v>-1.3665686488417705E-3</v>
      </c>
      <c r="AB105" s="363">
        <f t="shared" si="10"/>
        <v>0</v>
      </c>
      <c r="AC105" s="236">
        <v>-1.3665686488417705E-3</v>
      </c>
      <c r="AD105" s="236">
        <v>-1.3730461533745242E-3</v>
      </c>
    </row>
    <row r="106" spans="23:30" x14ac:dyDescent="0.2">
      <c r="W106" s="144"/>
      <c r="X106" s="113" t="str">
        <f t="shared" si="11"/>
        <v>1D</v>
      </c>
      <c r="Y106" s="106">
        <f>_xll.qlCalendarAdvance(Calendar,Y105,X106,"f",FALSE)</f>
        <v>42285</v>
      </c>
      <c r="Z106" s="108">
        <f>_xll.qlCalendarAdvance(Calendar,Y106,0&amp;"D")</f>
        <v>42285</v>
      </c>
      <c r="AA106" s="109">
        <v>-1.3665686488417705E-3</v>
      </c>
      <c r="AB106" s="363">
        <f t="shared" si="10"/>
        <v>0</v>
      </c>
      <c r="AC106" s="236">
        <v>-1.3665686488417705E-3</v>
      </c>
      <c r="AD106" s="236">
        <v>-1.3798063333902988E-3</v>
      </c>
    </row>
    <row r="107" spans="23:30" x14ac:dyDescent="0.2">
      <c r="W107" s="144"/>
      <c r="X107" s="113" t="str">
        <f t="shared" si="11"/>
        <v>1D</v>
      </c>
      <c r="Y107" s="106">
        <f>_xll.qlCalendarAdvance(Calendar,Y106,X107,"f",FALSE)</f>
        <v>42286</v>
      </c>
      <c r="Z107" s="108">
        <f>_xll.qlCalendarAdvance(Calendar,Y107,0&amp;"D")</f>
        <v>42286</v>
      </c>
      <c r="AA107" s="109">
        <v>-1.366563461324688E-3</v>
      </c>
      <c r="AB107" s="363">
        <f t="shared" si="10"/>
        <v>0</v>
      </c>
      <c r="AC107" s="236">
        <v>-1.366563461324688E-3</v>
      </c>
      <c r="AD107" s="236">
        <v>-1.3939444232757836E-3</v>
      </c>
    </row>
    <row r="108" spans="23:30" x14ac:dyDescent="0.2">
      <c r="W108" s="144"/>
      <c r="X108" s="113" t="str">
        <f t="shared" si="11"/>
        <v>1D</v>
      </c>
      <c r="Y108" s="106">
        <f>_xll.qlCalendarAdvance(Calendar,Y107,X108,"f",FALSE)</f>
        <v>42289</v>
      </c>
      <c r="Z108" s="108">
        <f>_xll.qlCalendarAdvance(Calendar,Y108,0&amp;"D")</f>
        <v>42289</v>
      </c>
      <c r="AA108" s="109">
        <v>-1.3665686488417705E-3</v>
      </c>
      <c r="AB108" s="363">
        <f t="shared" si="10"/>
        <v>0</v>
      </c>
      <c r="AC108" s="236">
        <v>-1.3665686488417705E-3</v>
      </c>
      <c r="AD108" s="236">
        <v>-1.4087164353027148E-3</v>
      </c>
    </row>
    <row r="109" spans="23:30" x14ac:dyDescent="0.2">
      <c r="W109" s="144"/>
      <c r="X109" s="113" t="str">
        <f t="shared" si="11"/>
        <v>1D</v>
      </c>
      <c r="Y109" s="106">
        <f>_xll.qlCalendarAdvance(Calendar,Y108,X109,"f",FALSE)</f>
        <v>42290</v>
      </c>
      <c r="Z109" s="108">
        <f>_xll.qlCalendarAdvance(Calendar,Y109,0&amp;"D")</f>
        <v>42290</v>
      </c>
      <c r="AA109" s="109">
        <v>-1.3665686488018025E-3</v>
      </c>
      <c r="AB109" s="363">
        <f t="shared" si="10"/>
        <v>0</v>
      </c>
      <c r="AC109" s="236">
        <v>-1.3665686488018025E-3</v>
      </c>
      <c r="AD109" s="236">
        <v>-1.4164113061232442E-3</v>
      </c>
    </row>
    <row r="110" spans="23:30" x14ac:dyDescent="0.2">
      <c r="W110" s="144"/>
      <c r="X110" s="113" t="str">
        <f t="shared" si="11"/>
        <v>1D</v>
      </c>
      <c r="Y110" s="106">
        <f>_xll.qlCalendarAdvance(Calendar,Y109,X110,"f",FALSE)</f>
        <v>42291</v>
      </c>
      <c r="Z110" s="108">
        <f>_xll.qlCalendarAdvance(Calendar,Y110,0&amp;"D")</f>
        <v>42291</v>
      </c>
      <c r="AA110" s="109">
        <v>-1.3665686489217066E-3</v>
      </c>
      <c r="AB110" s="363">
        <f t="shared" si="10"/>
        <v>0</v>
      </c>
      <c r="AC110" s="236">
        <v>-1.3665686489217066E-3</v>
      </c>
      <c r="AD110" s="236">
        <v>-1.4242931150487692E-3</v>
      </c>
    </row>
    <row r="111" spans="23:30" x14ac:dyDescent="0.2">
      <c r="W111" s="144"/>
      <c r="X111" s="113" t="str">
        <f t="shared" si="11"/>
        <v>1D</v>
      </c>
      <c r="Y111" s="106">
        <f>_xll.qlCalendarAdvance(Calendar,Y110,X111,"f",FALSE)</f>
        <v>42292</v>
      </c>
      <c r="Z111" s="108">
        <f>_xll.qlCalendarAdvance(Calendar,Y111,0&amp;"D")</f>
        <v>42292</v>
      </c>
      <c r="AA111" s="109">
        <v>-1.3665686488018025E-3</v>
      </c>
      <c r="AB111" s="363">
        <f t="shared" si="10"/>
        <v>0</v>
      </c>
      <c r="AC111" s="236">
        <v>-1.3665686488018025E-3</v>
      </c>
      <c r="AD111" s="236">
        <v>-1.432361862199194E-3</v>
      </c>
    </row>
    <row r="112" spans="23:30" x14ac:dyDescent="0.2">
      <c r="W112" s="144"/>
      <c r="X112" s="113" t="str">
        <f t="shared" si="11"/>
        <v>1D</v>
      </c>
      <c r="Y112" s="106">
        <f>_xll.qlCalendarAdvance(Calendar,Y111,X112,"f",FALSE)</f>
        <v>42293</v>
      </c>
      <c r="Z112" s="108">
        <f>_xll.qlCalendarAdvance(Calendar,Y112,0&amp;"D")</f>
        <v>42293</v>
      </c>
      <c r="AA112" s="109">
        <v>-1.366563461324688E-3</v>
      </c>
      <c r="AB112" s="363">
        <f t="shared" si="10"/>
        <v>0</v>
      </c>
      <c r="AC112" s="236">
        <v>-1.366563461324688E-3</v>
      </c>
      <c r="AD112" s="236">
        <v>-1.4491166503827202E-3</v>
      </c>
    </row>
    <row r="113" spans="23:30" x14ac:dyDescent="0.2">
      <c r="W113" s="144"/>
      <c r="X113" s="113" t="str">
        <f t="shared" si="11"/>
        <v>1D</v>
      </c>
      <c r="Y113" s="106">
        <f>_xll.qlCalendarAdvance(Calendar,Y112,X113,"f",FALSE)</f>
        <v>42296</v>
      </c>
      <c r="Z113" s="108">
        <f>_xll.qlCalendarAdvance(Calendar,Y113,0&amp;"D")</f>
        <v>42296</v>
      </c>
      <c r="AA113" s="109">
        <v>-1.3665686488018025E-3</v>
      </c>
      <c r="AB113" s="363">
        <f t="shared" si="10"/>
        <v>0</v>
      </c>
      <c r="AC113" s="236">
        <v>-1.3665686488018025E-3</v>
      </c>
      <c r="AD113" s="236">
        <v>-1.4665062316510102E-3</v>
      </c>
    </row>
    <row r="114" spans="23:30" x14ac:dyDescent="0.2">
      <c r="W114" s="144"/>
      <c r="X114" s="113" t="str">
        <f t="shared" si="11"/>
        <v>1D</v>
      </c>
      <c r="Y114" s="106">
        <f>_xll.qlCalendarAdvance(Calendar,Y113,X114,"f",FALSE)</f>
        <v>42297</v>
      </c>
      <c r="Z114" s="108">
        <f>_xll.qlCalendarAdvance(Calendar,Y114,0&amp;"D")</f>
        <v>42297</v>
      </c>
      <c r="AA114" s="109">
        <v>-1.3665686488817386E-3</v>
      </c>
      <c r="AB114" s="363">
        <f t="shared" si="10"/>
        <v>0</v>
      </c>
      <c r="AC114" s="236">
        <v>-1.3665686488817386E-3</v>
      </c>
      <c r="AD114" s="236">
        <v>-1.4755096692864456E-3</v>
      </c>
    </row>
    <row r="115" spans="23:30" x14ac:dyDescent="0.2">
      <c r="W115" s="144"/>
      <c r="X115" s="113" t="str">
        <f t="shared" si="11"/>
        <v>1D</v>
      </c>
      <c r="Y115" s="106">
        <f>_xll.qlCalendarAdvance(Calendar,Y114,X115,"f",FALSE)</f>
        <v>42298</v>
      </c>
      <c r="Z115" s="108">
        <f>_xll.qlCalendarAdvance(Calendar,Y115,0&amp;"D")</f>
        <v>42298</v>
      </c>
      <c r="AA115" s="109">
        <v>-1.3665686489217066E-3</v>
      </c>
      <c r="AB115" s="363">
        <f t="shared" si="10"/>
        <v>0</v>
      </c>
      <c r="AC115" s="236">
        <v>-1.3665686489217066E-3</v>
      </c>
      <c r="AD115" s="236">
        <v>-1.4847000447870684E-3</v>
      </c>
    </row>
    <row r="116" spans="23:30" x14ac:dyDescent="0.2">
      <c r="W116" s="144"/>
      <c r="X116" s="113" t="str">
        <f t="shared" si="11"/>
        <v>1D</v>
      </c>
      <c r="Y116" s="106">
        <f>_xll.qlCalendarAdvance(Calendar,Y115,X116,"f",FALSE)</f>
        <v>42299</v>
      </c>
      <c r="Z116" s="108">
        <f>_xll.qlCalendarAdvance(Calendar,Y116,0&amp;"D")</f>
        <v>42299</v>
      </c>
      <c r="AA116" s="109">
        <v>-1.3665686488018025E-3</v>
      </c>
      <c r="AB116" s="363">
        <f t="shared" si="10"/>
        <v>0</v>
      </c>
      <c r="AC116" s="236">
        <v>-1.3665686488018025E-3</v>
      </c>
      <c r="AD116" s="236">
        <v>-1.494077358392687E-3</v>
      </c>
    </row>
    <row r="117" spans="23:30" x14ac:dyDescent="0.2">
      <c r="W117" s="144"/>
      <c r="X117" s="113" t="str">
        <f t="shared" si="11"/>
        <v>1D</v>
      </c>
      <c r="Y117" s="106">
        <f>_xll.qlCalendarAdvance(Calendar,Y116,X117,"f",FALSE)</f>
        <v>42300</v>
      </c>
      <c r="Z117" s="108">
        <f>_xll.qlCalendarAdvance(Calendar,Y117,0&amp;"D")</f>
        <v>42300</v>
      </c>
      <c r="AA117" s="109">
        <v>-1.366563461324688E-3</v>
      </c>
      <c r="AB117" s="363">
        <f t="shared" si="10"/>
        <v>0</v>
      </c>
      <c r="AC117" s="236">
        <v>-1.366563461324688E-3</v>
      </c>
      <c r="AD117" s="236">
        <v>-1.5134487497769911E-3</v>
      </c>
    </row>
    <row r="118" spans="23:30" x14ac:dyDescent="0.2">
      <c r="W118" s="144"/>
      <c r="X118" s="113" t="str">
        <f t="shared" si="11"/>
        <v>1D</v>
      </c>
      <c r="Y118" s="106">
        <f>_xll.qlCalendarAdvance(Calendar,Y117,X118,"f",FALSE)</f>
        <v>42303</v>
      </c>
      <c r="Z118" s="108">
        <f>_xll.qlCalendarAdvance(Calendar,Y118,0&amp;"D")</f>
        <v>42303</v>
      </c>
      <c r="AA118" s="109">
        <v>-1.3665686488018025E-3</v>
      </c>
      <c r="AB118" s="363">
        <f t="shared" si="10"/>
        <v>0</v>
      </c>
      <c r="AC118" s="236">
        <v>-1.3665686488018025E-3</v>
      </c>
      <c r="AD118" s="236">
        <v>-1.5334559929058855E-3</v>
      </c>
    </row>
    <row r="119" spans="23:30" x14ac:dyDescent="0.2">
      <c r="W119" s="144"/>
      <c r="X119" s="113" t="str">
        <f t="shared" si="11"/>
        <v>1D</v>
      </c>
      <c r="Y119" s="106">
        <f>_xll.qlCalendarAdvance(Calendar,Y118,X119,"f",FALSE)</f>
        <v>42304</v>
      </c>
      <c r="Z119" s="108">
        <f>_xll.qlCalendarAdvance(Calendar,Y119,0&amp;"D")</f>
        <v>42304</v>
      </c>
      <c r="AA119" s="109">
        <v>-1.3665686489217066E-3</v>
      </c>
      <c r="AB119" s="363">
        <f t="shared" si="10"/>
        <v>0</v>
      </c>
      <c r="AC119" s="236">
        <v>-1.3665686489217066E-3</v>
      </c>
      <c r="AD119" s="236">
        <v>-1.5437679963570261E-3</v>
      </c>
    </row>
    <row r="120" spans="23:30" x14ac:dyDescent="0.2">
      <c r="W120" s="144"/>
      <c r="X120" s="113" t="str">
        <f t="shared" si="11"/>
        <v>1D</v>
      </c>
      <c r="Y120" s="106">
        <f>_xll.qlCalendarAdvance(Calendar,Y119,X120,"f",FALSE)</f>
        <v>42305</v>
      </c>
      <c r="Z120" s="108">
        <f>_xll.qlCalendarAdvance(Calendar,Y120,0&amp;"D")</f>
        <v>42305</v>
      </c>
      <c r="AA120" s="109">
        <v>-1.6166821650598351E-3</v>
      </c>
      <c r="AB120" s="363">
        <f t="shared" si="10"/>
        <v>0</v>
      </c>
      <c r="AC120" s="236">
        <v>-1.6166821650598351E-3</v>
      </c>
      <c r="AD120" s="236">
        <v>-1.5541491703974231E-3</v>
      </c>
    </row>
    <row r="121" spans="23:30" x14ac:dyDescent="0.2">
      <c r="W121" s="144"/>
      <c r="X121" s="113" t="str">
        <f t="shared" si="11"/>
        <v>1D</v>
      </c>
      <c r="Y121" s="106">
        <f>_xll.qlCalendarAdvance(Calendar,Y120,X121,"f",FALSE)</f>
        <v>42306</v>
      </c>
      <c r="Z121" s="108">
        <f>_xll.qlCalendarAdvance(Calendar,Y121,0&amp;"D")</f>
        <v>42306</v>
      </c>
      <c r="AA121" s="109">
        <v>-1.6166821652596752E-3</v>
      </c>
      <c r="AB121" s="363">
        <f t="shared" si="10"/>
        <v>0</v>
      </c>
      <c r="AC121" s="236">
        <v>-1.6166821652596752E-3</v>
      </c>
      <c r="AD121" s="236">
        <v>-1.5641284452039272E-3</v>
      </c>
    </row>
    <row r="122" spans="23:30" x14ac:dyDescent="0.2">
      <c r="W122" s="144"/>
      <c r="X122" s="113" t="str">
        <f t="shared" si="11"/>
        <v>1D</v>
      </c>
      <c r="Y122" s="106">
        <f>_xll.qlCalendarAdvance(Calendar,Y121,X122,"f",FALSE)</f>
        <v>42307</v>
      </c>
      <c r="Z122" s="108">
        <f>_xll.qlCalendarAdvance(Calendar,Y122,0&amp;"D")</f>
        <v>42307</v>
      </c>
      <c r="AA122" s="109">
        <v>-1.6166749049739693E-3</v>
      </c>
      <c r="AB122" s="363">
        <f t="shared" si="10"/>
        <v>0</v>
      </c>
      <c r="AC122" s="236">
        <v>-1.6166749049739693E-3</v>
      </c>
      <c r="AD122" s="236">
        <v>-1.5823478178811357E-3</v>
      </c>
    </row>
    <row r="123" spans="23:30" x14ac:dyDescent="0.2">
      <c r="W123" s="144"/>
      <c r="X123" s="113" t="str">
        <f t="shared" si="11"/>
        <v>1D</v>
      </c>
      <c r="Y123" s="106">
        <f>_xll.qlCalendarAdvance(Calendar,Y122,X123,"f",FALSE)</f>
        <v>42310</v>
      </c>
      <c r="Z123" s="108">
        <f>_xll.qlCalendarAdvance(Calendar,Y123,0&amp;"D")</f>
        <v>42310</v>
      </c>
      <c r="AA123" s="109">
        <v>-1.6166821651397711E-3</v>
      </c>
      <c r="AB123" s="363">
        <f t="shared" si="10"/>
        <v>0</v>
      </c>
      <c r="AC123" s="236">
        <v>-1.6166821651397711E-3</v>
      </c>
      <c r="AD123" s="236">
        <v>-1.5988488788920563E-3</v>
      </c>
    </row>
    <row r="124" spans="23:30" x14ac:dyDescent="0.2">
      <c r="W124" s="144"/>
      <c r="X124" s="113" t="str">
        <f t="shared" si="11"/>
        <v>1D</v>
      </c>
      <c r="Y124" s="106">
        <f>_xll.qlCalendarAdvance(Calendar,Y123,X124,"f",FALSE)</f>
        <v>42311</v>
      </c>
      <c r="Z124" s="108">
        <f>_xll.qlCalendarAdvance(Calendar,Y124,0&amp;"D")</f>
        <v>42311</v>
      </c>
      <c r="AA124" s="109">
        <v>-1.6166821651397711E-3</v>
      </c>
      <c r="AB124" s="363">
        <f t="shared" si="10"/>
        <v>0</v>
      </c>
      <c r="AC124" s="236">
        <v>-1.6166821651397711E-3</v>
      </c>
      <c r="AD124" s="236">
        <v>-1.6062298211494408E-3</v>
      </c>
    </row>
    <row r="125" spans="23:30" x14ac:dyDescent="0.2">
      <c r="W125" s="144"/>
      <c r="X125" s="113" t="str">
        <f t="shared" si="11"/>
        <v>1D</v>
      </c>
      <c r="Y125" s="106">
        <f>_xll.qlCalendarAdvance(Calendar,Y124,X125,"f",FALSE)</f>
        <v>42312</v>
      </c>
      <c r="Z125" s="108">
        <f>_xll.qlCalendarAdvance(Calendar,Y125,0&amp;"D")</f>
        <v>42312</v>
      </c>
      <c r="AA125" s="109">
        <v>-1.6166821651397711E-3</v>
      </c>
      <c r="AB125" s="363">
        <f t="shared" si="10"/>
        <v>0</v>
      </c>
      <c r="AC125" s="236">
        <v>-1.6166821651397711E-3</v>
      </c>
      <c r="AD125" s="236">
        <v>-1.6130910968170653E-3</v>
      </c>
    </row>
    <row r="126" spans="23:30" x14ac:dyDescent="0.2">
      <c r="W126" s="144"/>
      <c r="X126" s="113" t="str">
        <f t="shared" si="11"/>
        <v>1D</v>
      </c>
      <c r="Y126" s="106">
        <f>_xll.qlCalendarAdvance(Calendar,Y125,X126,"f",FALSE)</f>
        <v>42313</v>
      </c>
      <c r="Z126" s="108">
        <f>_xll.qlCalendarAdvance(Calendar,Y126,0&amp;"D")</f>
        <v>42313</v>
      </c>
      <c r="AA126" s="109">
        <v>-1.6166821651397711E-3</v>
      </c>
      <c r="AB126" s="363">
        <f t="shared" si="10"/>
        <v>0</v>
      </c>
      <c r="AC126" s="236">
        <v>-1.6166821651397711E-3</v>
      </c>
      <c r="AD126" s="236">
        <v>-1.6194327063345781E-3</v>
      </c>
    </row>
    <row r="127" spans="23:30" x14ac:dyDescent="0.2">
      <c r="W127" s="144"/>
      <c r="X127" s="113" t="str">
        <f t="shared" si="11"/>
        <v>1D</v>
      </c>
      <c r="Y127" s="106">
        <f>_xll.qlCalendarAdvance(Calendar,Y126,X127,"f",FALSE)</f>
        <v>42314</v>
      </c>
      <c r="Z127" s="108">
        <f>_xll.qlCalendarAdvance(Calendar,Y127,0&amp;"D")</f>
        <v>42314</v>
      </c>
      <c r="AA127" s="109">
        <v>-1.6166749049739693E-3</v>
      </c>
      <c r="AB127" s="363">
        <f t="shared" si="10"/>
        <v>0</v>
      </c>
      <c r="AC127" s="236">
        <v>-1.6166749049739693E-3</v>
      </c>
      <c r="AD127" s="236">
        <v>-1.6303763201763743E-3</v>
      </c>
    </row>
    <row r="128" spans="23:30" x14ac:dyDescent="0.2">
      <c r="W128" s="144"/>
      <c r="X128" s="113" t="str">
        <f t="shared" si="11"/>
        <v>1D</v>
      </c>
      <c r="Y128" s="106">
        <f>_xll.qlCalendarAdvance(Calendar,Y127,X128,"f",FALSE)</f>
        <v>42317</v>
      </c>
      <c r="Z128" s="108">
        <f>_xll.qlCalendarAdvance(Calendar,Y128,0&amp;"D")</f>
        <v>42317</v>
      </c>
      <c r="AA128" s="109">
        <v>-1.6166821651797392E-3</v>
      </c>
      <c r="AB128" s="363">
        <f t="shared" si="10"/>
        <v>0</v>
      </c>
      <c r="AC128" s="236">
        <v>-1.6166821651797392E-3</v>
      </c>
      <c r="AD128" s="236">
        <v>-1.639602480465463E-3</v>
      </c>
    </row>
    <row r="129" spans="23:30" x14ac:dyDescent="0.2">
      <c r="W129" s="144"/>
      <c r="X129" s="113" t="str">
        <f t="shared" si="11"/>
        <v>1D</v>
      </c>
      <c r="Y129" s="106">
        <f>_xll.qlCalendarAdvance(Calendar,Y128,X129,"f",FALSE)</f>
        <v>42318</v>
      </c>
      <c r="Z129" s="108">
        <f>_xll.qlCalendarAdvance(Calendar,Y129,0&amp;"D")</f>
        <v>42318</v>
      </c>
      <c r="AA129" s="109">
        <v>-1.6166821651397711E-3</v>
      </c>
      <c r="AB129" s="363">
        <f t="shared" si="10"/>
        <v>0</v>
      </c>
      <c r="AC129" s="236">
        <v>-1.6166821651397711E-3</v>
      </c>
      <c r="AD129" s="236">
        <v>-1.6433457582731847E-3</v>
      </c>
    </row>
    <row r="130" spans="23:30" x14ac:dyDescent="0.2">
      <c r="W130" s="144"/>
      <c r="X130" s="113" t="str">
        <f t="shared" si="11"/>
        <v>1D</v>
      </c>
      <c r="Y130" s="106">
        <f>_xll.qlCalendarAdvance(Calendar,Y129,X130,"f",FALSE)</f>
        <v>42319</v>
      </c>
      <c r="Z130" s="108">
        <f>_xll.qlCalendarAdvance(Calendar,Y130,0&amp;"D")</f>
        <v>42319</v>
      </c>
      <c r="AA130" s="109">
        <v>-1.6166821651797392E-3</v>
      </c>
      <c r="AB130" s="363">
        <f t="shared" si="10"/>
        <v>0</v>
      </c>
      <c r="AC130" s="236">
        <v>-1.6166821651797392E-3</v>
      </c>
      <c r="AD130" s="236">
        <v>-1.6465693698108907E-3</v>
      </c>
    </row>
    <row r="131" spans="23:30" x14ac:dyDescent="0.2">
      <c r="W131" s="144"/>
      <c r="X131" s="113" t="str">
        <f t="shared" si="11"/>
        <v>1D</v>
      </c>
      <c r="Y131" s="106">
        <f>_xll.qlCalendarAdvance(Calendar,Y130,X131,"f",FALSE)</f>
        <v>42320</v>
      </c>
      <c r="Z131" s="108">
        <f>_xll.qlCalendarAdvance(Calendar,Y131,0&amp;"D")</f>
        <v>42320</v>
      </c>
      <c r="AA131" s="109">
        <v>-1.6166821650998031E-3</v>
      </c>
      <c r="AB131" s="363">
        <f t="shared" si="10"/>
        <v>0</v>
      </c>
      <c r="AC131" s="236">
        <v>-1.6166821650998031E-3</v>
      </c>
      <c r="AD131" s="236">
        <v>-1.6492733151984851E-3</v>
      </c>
    </row>
    <row r="132" spans="23:30" x14ac:dyDescent="0.2">
      <c r="W132" s="144"/>
      <c r="X132" s="113" t="str">
        <f t="shared" si="11"/>
        <v>1D</v>
      </c>
      <c r="Y132" s="106">
        <f>_xll.qlCalendarAdvance(Calendar,Y131,X132,"f",FALSE)</f>
        <v>42321</v>
      </c>
      <c r="Z132" s="108">
        <f>_xll.qlCalendarAdvance(Calendar,Y132,0&amp;"D")</f>
        <v>42321</v>
      </c>
      <c r="AA132" s="109">
        <v>-1.6166749050139373E-3</v>
      </c>
      <c r="AB132" s="363">
        <f t="shared" si="10"/>
        <v>0</v>
      </c>
      <c r="AC132" s="236">
        <v>-1.6166749050139373E-3</v>
      </c>
      <c r="AD132" s="236">
        <v>-1.6529413954780026E-3</v>
      </c>
    </row>
    <row r="133" spans="23:30" x14ac:dyDescent="0.2">
      <c r="W133" s="144"/>
      <c r="X133" s="113" t="str">
        <f t="shared" si="11"/>
        <v>1D</v>
      </c>
      <c r="Y133" s="106">
        <f>_xll.qlCalendarAdvance(Calendar,Y132,X133,"f",FALSE)</f>
        <v>42324</v>
      </c>
      <c r="Z133" s="108">
        <f>_xll.qlCalendarAdvance(Calendar,Y133,0&amp;"D")</f>
        <v>42324</v>
      </c>
      <c r="AA133" s="109">
        <v>-1.6166821650998031E-3</v>
      </c>
      <c r="AB133" s="363">
        <f t="shared" si="10"/>
        <v>0</v>
      </c>
      <c r="AC133" s="236">
        <v>-1.6166821650998031E-3</v>
      </c>
      <c r="AD133" s="236">
        <v>-1.6548924342085769E-3</v>
      </c>
    </row>
    <row r="134" spans="23:30" x14ac:dyDescent="0.2">
      <c r="W134" s="144"/>
      <c r="X134" s="113" t="str">
        <f t="shared" si="11"/>
        <v>1D</v>
      </c>
      <c r="Y134" s="106">
        <f>_xll.qlCalendarAdvance(Calendar,Y133,X134,"f",FALSE)</f>
        <v>42325</v>
      </c>
      <c r="Z134" s="108">
        <f>_xll.qlCalendarAdvance(Calendar,Y134,0&amp;"D")</f>
        <v>42325</v>
      </c>
      <c r="AA134" s="109">
        <v>-1.6166821652197072E-3</v>
      </c>
      <c r="AB134" s="363">
        <f t="shared" si="10"/>
        <v>0</v>
      </c>
      <c r="AC134" s="236">
        <v>-1.6166821652197072E-3</v>
      </c>
      <c r="AD134" s="236">
        <v>-1.6549980483659965E-3</v>
      </c>
    </row>
    <row r="135" spans="23:30" x14ac:dyDescent="0.2">
      <c r="W135" s="144"/>
      <c r="X135" s="113" t="str">
        <f t="shared" si="11"/>
        <v>1D</v>
      </c>
      <c r="Y135" s="106">
        <f>_xll.qlCalendarAdvance(Calendar,Y134,X135,"f",FALSE)</f>
        <v>42326</v>
      </c>
      <c r="Z135" s="108">
        <f>_xll.qlCalendarAdvance(Calendar,Y135,0&amp;"D")</f>
        <v>42326</v>
      </c>
      <c r="AA135" s="109">
        <v>-1.6166821650998031E-3</v>
      </c>
      <c r="AB135" s="363">
        <f t="shared" si="10"/>
        <v>0</v>
      </c>
      <c r="AC135" s="236">
        <v>-1.6166821650998031E-3</v>
      </c>
      <c r="AD135" s="236">
        <v>-1.6545839963733044E-3</v>
      </c>
    </row>
    <row r="136" spans="23:30" x14ac:dyDescent="0.2">
      <c r="W136" s="144"/>
      <c r="X136" s="113" t="str">
        <f t="shared" si="11"/>
        <v>1D</v>
      </c>
      <c r="Y136" s="106">
        <f>_xll.qlCalendarAdvance(Calendar,Y135,X136,"f",FALSE)</f>
        <v>42327</v>
      </c>
      <c r="Z136" s="108">
        <f>_xll.qlCalendarAdvance(Calendar,Y136,0&amp;"D")</f>
        <v>42327</v>
      </c>
      <c r="AA136" s="109">
        <v>-1.6166821651397711E-3</v>
      </c>
      <c r="AB136" s="363">
        <f t="shared" si="10"/>
        <v>0</v>
      </c>
      <c r="AC136" s="236">
        <v>-1.6166821651397711E-3</v>
      </c>
      <c r="AD136" s="236">
        <v>-1.6536502782704687E-3</v>
      </c>
    </row>
    <row r="137" spans="23:30" x14ac:dyDescent="0.2">
      <c r="W137" s="144"/>
      <c r="X137" s="113" t="str">
        <f t="shared" si="11"/>
        <v>1D</v>
      </c>
      <c r="Y137" s="106">
        <f>_xll.qlCalendarAdvance(Calendar,Y136,X137,"f",FALSE)</f>
        <v>42328</v>
      </c>
      <c r="Z137" s="108">
        <f>_xll.qlCalendarAdvance(Calendar,Y137,0&amp;"D")</f>
        <v>42328</v>
      </c>
      <c r="AA137" s="109">
        <v>-1.6166749049872919E-3</v>
      </c>
      <c r="AB137" s="363">
        <f t="shared" si="10"/>
        <v>0</v>
      </c>
      <c r="AC137" s="236">
        <v>-1.6166749049872919E-3</v>
      </c>
      <c r="AD137" s="236">
        <v>-1.6500430581478653E-3</v>
      </c>
    </row>
    <row r="138" spans="23:30" x14ac:dyDescent="0.2">
      <c r="W138" s="144"/>
      <c r="X138" s="113" t="str">
        <f t="shared" si="11"/>
        <v>1D</v>
      </c>
      <c r="Y138" s="106">
        <f>_xll.qlCalendarAdvance(Calendar,Y137,X138,"f",FALSE)</f>
        <v>42331</v>
      </c>
      <c r="Z138" s="108">
        <f>_xll.qlCalendarAdvance(Calendar,Y138,0&amp;"D")</f>
        <v>42331</v>
      </c>
      <c r="AA138" s="109">
        <v>-1.6166821651797392E-3</v>
      </c>
      <c r="AB138" s="363">
        <f t="shared" si="10"/>
        <v>0</v>
      </c>
      <c r="AC138" s="236">
        <v>-1.6166821651797392E-3</v>
      </c>
      <c r="AD138" s="236">
        <v>-1.6447187431989363E-3</v>
      </c>
    </row>
    <row r="139" spans="23:30" x14ac:dyDescent="0.2">
      <c r="W139" s="144"/>
      <c r="X139" s="113" t="str">
        <f t="shared" si="11"/>
        <v>1D</v>
      </c>
      <c r="Y139" s="106">
        <f>_xll.qlCalendarAdvance(Calendar,Y138,X139,"f",FALSE)</f>
        <v>42332</v>
      </c>
      <c r="Z139" s="108">
        <f>_xll.qlCalendarAdvance(Calendar,Y139,0&amp;"D")</f>
        <v>42332</v>
      </c>
      <c r="AA139" s="109">
        <v>-1.6166821651797392E-3</v>
      </c>
      <c r="AB139" s="363">
        <f t="shared" si="10"/>
        <v>0</v>
      </c>
      <c r="AC139" s="236">
        <v>-1.6166821651797392E-3</v>
      </c>
      <c r="AD139" s="236">
        <v>-1.6411866938659259E-3</v>
      </c>
    </row>
    <row r="140" spans="23:30" x14ac:dyDescent="0.2">
      <c r="W140" s="144"/>
      <c r="X140" s="113" t="str">
        <f t="shared" si="11"/>
        <v>1D</v>
      </c>
      <c r="Y140" s="106">
        <f>_xll.qlCalendarAdvance(Calendar,Y139,X140,"f",FALSE)</f>
        <v>42333</v>
      </c>
      <c r="Z140" s="108">
        <f>_xll.qlCalendarAdvance(Calendar,Y140,0&amp;"D")</f>
        <v>42333</v>
      </c>
      <c r="AA140" s="109">
        <v>-1.6166821650598351E-3</v>
      </c>
      <c r="AB140" s="363">
        <f t="shared" ref="AB140:AB203" si="12">AA140-AC140</f>
        <v>0</v>
      </c>
      <c r="AC140" s="236">
        <v>-1.6166821650598351E-3</v>
      </c>
      <c r="AD140" s="236">
        <v>-1.6371349783028677E-3</v>
      </c>
    </row>
    <row r="141" spans="23:30" x14ac:dyDescent="0.2">
      <c r="W141" s="144"/>
      <c r="X141" s="113" t="str">
        <f t="shared" ref="X141:X204" si="13">X140</f>
        <v>1D</v>
      </c>
      <c r="Y141" s="106">
        <f>_xll.qlCalendarAdvance(Calendar,Y140,X141,"f",FALSE)</f>
        <v>42334</v>
      </c>
      <c r="Z141" s="108">
        <f>_xll.qlCalendarAdvance(Calendar,Y141,0&amp;"D")</f>
        <v>42334</v>
      </c>
      <c r="AA141" s="109">
        <v>-1.6166821651797392E-3</v>
      </c>
      <c r="AB141" s="363">
        <f t="shared" si="12"/>
        <v>0</v>
      </c>
      <c r="AC141" s="236">
        <v>-1.6166821651797392E-3</v>
      </c>
      <c r="AD141" s="236">
        <v>-1.6325635963099216E-3</v>
      </c>
    </row>
    <row r="142" spans="23:30" x14ac:dyDescent="0.2">
      <c r="W142" s="144"/>
      <c r="X142" s="113" t="str">
        <f t="shared" si="13"/>
        <v>1D</v>
      </c>
      <c r="Y142" s="106">
        <f>_xll.qlCalendarAdvance(Calendar,Y141,X142,"f",FALSE)</f>
        <v>42335</v>
      </c>
      <c r="Z142" s="108">
        <f>_xll.qlCalendarAdvance(Calendar,Y142,0&amp;"D")</f>
        <v>42335</v>
      </c>
      <c r="AA142" s="109">
        <v>-1.6166749049872919E-3</v>
      </c>
      <c r="AB142" s="363">
        <f t="shared" si="12"/>
        <v>0</v>
      </c>
      <c r="AC142" s="236">
        <v>-1.6166749049872919E-3</v>
      </c>
      <c r="AD142" s="236">
        <v>-1.6216813063474333E-3</v>
      </c>
    </row>
    <row r="143" spans="23:30" x14ac:dyDescent="0.2">
      <c r="W143" s="144"/>
      <c r="X143" s="113" t="str">
        <f t="shared" si="13"/>
        <v>1D</v>
      </c>
      <c r="Y143" s="106">
        <f>_xll.qlCalendarAdvance(Calendar,Y142,X143,"f",FALSE)</f>
        <v>42338</v>
      </c>
      <c r="Z143" s="108">
        <f>_xll.qlCalendarAdvance(Calendar,Y143,0&amp;"D")</f>
        <v>42338</v>
      </c>
      <c r="AA143" s="109">
        <v>8.3195474543895642E-3</v>
      </c>
      <c r="AB143" s="363">
        <f t="shared" si="12"/>
        <v>0</v>
      </c>
      <c r="AC143" s="236">
        <v>8.3195474543895642E-3</v>
      </c>
      <c r="AD143" s="236">
        <v>8.3271484238434113E-3</v>
      </c>
    </row>
    <row r="144" spans="23:30" x14ac:dyDescent="0.2">
      <c r="W144" s="144"/>
      <c r="X144" s="113" t="str">
        <f t="shared" si="13"/>
        <v>1D</v>
      </c>
      <c r="Y144" s="106">
        <f>_xll.qlCalendarAdvance(Calendar,Y143,X144,"f",FALSE)</f>
        <v>42339</v>
      </c>
      <c r="Z144" s="108">
        <f>_xll.qlCalendarAdvance(Calendar,Y144,0&amp;"D")</f>
        <v>42339</v>
      </c>
      <c r="AA144" s="109">
        <v>-1.6166821652596752E-3</v>
      </c>
      <c r="AB144" s="363">
        <f t="shared" si="12"/>
        <v>0</v>
      </c>
      <c r="AC144" s="236">
        <v>-1.6166821652596752E-3</v>
      </c>
      <c r="AD144" s="236">
        <v>-1.6019116918153387E-3</v>
      </c>
    </row>
    <row r="145" spans="23:30" x14ac:dyDescent="0.2">
      <c r="W145" s="144"/>
      <c r="X145" s="113" t="str">
        <f t="shared" si="13"/>
        <v>1D</v>
      </c>
      <c r="Y145" s="106">
        <f>_xll.qlCalendarAdvance(Calendar,Y144,X145,"f",FALSE)</f>
        <v>42340</v>
      </c>
      <c r="Z145" s="108">
        <f>_xll.qlCalendarAdvance(Calendar,Y145,0&amp;"D")</f>
        <v>42340</v>
      </c>
      <c r="AA145" s="109">
        <v>-1.6166821651397711E-3</v>
      </c>
      <c r="AB145" s="363">
        <f t="shared" si="12"/>
        <v>0</v>
      </c>
      <c r="AC145" s="236">
        <v>-1.6166821651397711E-3</v>
      </c>
      <c r="AD145" s="236">
        <v>-1.5942223116427456E-3</v>
      </c>
    </row>
    <row r="146" spans="23:30" x14ac:dyDescent="0.2">
      <c r="W146" s="144"/>
      <c r="X146" s="113" t="str">
        <f t="shared" si="13"/>
        <v>1D</v>
      </c>
      <c r="Y146" s="106">
        <f>_xll.qlCalendarAdvance(Calendar,Y145,X146,"f",FALSE)</f>
        <v>42341</v>
      </c>
      <c r="Z146" s="108">
        <f>_xll.qlCalendarAdvance(Calendar,Y146,0&amp;"D")</f>
        <v>42341</v>
      </c>
      <c r="AA146" s="109">
        <v>-1.6166821651397711E-3</v>
      </c>
      <c r="AB146" s="363">
        <f t="shared" si="12"/>
        <v>0</v>
      </c>
      <c r="AC146" s="236">
        <v>-1.6166821651397711E-3</v>
      </c>
      <c r="AD146" s="236">
        <v>-1.5860132652401049E-3</v>
      </c>
    </row>
    <row r="147" spans="23:30" x14ac:dyDescent="0.2">
      <c r="W147" s="144"/>
      <c r="X147" s="113" t="str">
        <f t="shared" si="13"/>
        <v>1D</v>
      </c>
      <c r="Y147" s="106">
        <f>_xll.qlCalendarAdvance(Calendar,Y146,X147,"f",FALSE)</f>
        <v>42342</v>
      </c>
      <c r="Z147" s="108">
        <f>_xll.qlCalendarAdvance(Calendar,Y147,0&amp;"D")</f>
        <v>42342</v>
      </c>
      <c r="AA147" s="109">
        <v>-1.6166749049739693E-3</v>
      </c>
      <c r="AB147" s="363">
        <f t="shared" si="12"/>
        <v>0</v>
      </c>
      <c r="AC147" s="236">
        <v>-1.6166749049739693E-3</v>
      </c>
      <c r="AD147" s="236">
        <v>-1.5678561219711895E-3</v>
      </c>
    </row>
    <row r="148" spans="23:30" x14ac:dyDescent="0.2">
      <c r="W148" s="144"/>
      <c r="X148" s="113" t="str">
        <f t="shared" si="13"/>
        <v>1D</v>
      </c>
      <c r="Y148" s="106">
        <f>_xll.qlCalendarAdvance(Calendar,Y147,X148,"f",FALSE)</f>
        <v>42345</v>
      </c>
      <c r="Z148" s="108">
        <f>_xll.qlCalendarAdvance(Calendar,Y148,0&amp;"D")</f>
        <v>42345</v>
      </c>
      <c r="AA148" s="109">
        <v>-1.6166821651797392E-3</v>
      </c>
      <c r="AB148" s="363">
        <f t="shared" si="12"/>
        <v>0</v>
      </c>
      <c r="AC148" s="236">
        <v>-1.6166821651797392E-3</v>
      </c>
      <c r="AD148" s="236">
        <v>-1.5479804133322617E-3</v>
      </c>
    </row>
    <row r="149" spans="23:30" x14ac:dyDescent="0.2">
      <c r="W149" s="144"/>
      <c r="X149" s="113" t="str">
        <f t="shared" si="13"/>
        <v>1D</v>
      </c>
      <c r="Y149" s="106">
        <f>_xll.qlCalendarAdvance(Calendar,Y148,X149,"f",FALSE)</f>
        <v>42346</v>
      </c>
      <c r="Z149" s="108">
        <f>_xll.qlCalendarAdvance(Calendar,Y149,0&amp;"D")</f>
        <v>42346</v>
      </c>
      <c r="AA149" s="109">
        <v>-1.6166821651797392E-3</v>
      </c>
      <c r="AB149" s="363">
        <f t="shared" si="12"/>
        <v>0</v>
      </c>
      <c r="AC149" s="236">
        <v>-1.6166821651797392E-3</v>
      </c>
      <c r="AD149" s="236">
        <v>-1.5371730339008849E-3</v>
      </c>
    </row>
    <row r="150" spans="23:30" x14ac:dyDescent="0.2">
      <c r="W150" s="144"/>
      <c r="X150" s="113" t="str">
        <f t="shared" si="13"/>
        <v>1D</v>
      </c>
      <c r="Y150" s="106">
        <f>_xll.qlCalendarAdvance(Calendar,Y149,X150,"f",FALSE)</f>
        <v>42347</v>
      </c>
      <c r="Z150" s="108">
        <f>_xll.qlCalendarAdvance(Calendar,Y150,0&amp;"D")</f>
        <v>42347</v>
      </c>
      <c r="AA150" s="109">
        <v>-1.3908654998129322E-3</v>
      </c>
      <c r="AB150" s="363">
        <f t="shared" si="12"/>
        <v>0</v>
      </c>
      <c r="AC150" s="236">
        <v>-1.3908654998129322E-3</v>
      </c>
      <c r="AD150" s="236">
        <v>-1.5259895077557317E-3</v>
      </c>
    </row>
    <row r="151" spans="23:30" x14ac:dyDescent="0.2">
      <c r="W151" s="144"/>
      <c r="X151" s="113" t="str">
        <f t="shared" si="13"/>
        <v>1D</v>
      </c>
      <c r="Y151" s="106">
        <f>_xll.qlCalendarAdvance(Calendar,Y150,X151,"f",FALSE)</f>
        <v>42348</v>
      </c>
      <c r="Z151" s="108">
        <f>_xll.qlCalendarAdvance(Calendar,Y151,0&amp;"D")</f>
        <v>42348</v>
      </c>
      <c r="AA151" s="109">
        <v>-1.3908654997729641E-3</v>
      </c>
      <c r="AB151" s="363">
        <f t="shared" si="12"/>
        <v>0</v>
      </c>
      <c r="AC151" s="236">
        <v>-1.3908654997729641E-3</v>
      </c>
      <c r="AD151" s="236">
        <v>-1.5150039155598094E-3</v>
      </c>
    </row>
    <row r="152" spans="23:30" x14ac:dyDescent="0.2">
      <c r="W152" s="144"/>
      <c r="X152" s="113" t="str">
        <f t="shared" si="13"/>
        <v>1D</v>
      </c>
      <c r="Y152" s="106">
        <f>_xll.qlCalendarAdvance(Calendar,Y151,X152,"f",FALSE)</f>
        <v>42349</v>
      </c>
      <c r="Z152" s="108">
        <f>_xll.qlCalendarAdvance(Calendar,Y152,0&amp;"D")</f>
        <v>42349</v>
      </c>
      <c r="AA152" s="109">
        <v>-1.3908601262313525E-3</v>
      </c>
      <c r="AB152" s="363">
        <f t="shared" si="12"/>
        <v>0</v>
      </c>
      <c r="AC152" s="236">
        <v>-1.3908601262313525E-3</v>
      </c>
      <c r="AD152" s="236">
        <v>-1.4941647106381239E-3</v>
      </c>
    </row>
    <row r="153" spans="23:30" x14ac:dyDescent="0.2">
      <c r="W153" s="144"/>
      <c r="X153" s="113" t="str">
        <f t="shared" si="13"/>
        <v>1D</v>
      </c>
      <c r="Y153" s="106">
        <f>_xll.qlCalendarAdvance(Calendar,Y152,X153,"f",FALSE)</f>
        <v>42352</v>
      </c>
      <c r="Z153" s="108">
        <f>_xll.qlCalendarAdvance(Calendar,Y153,0&amp;"D")</f>
        <v>42352</v>
      </c>
      <c r="AA153" s="109">
        <v>-1.3908654997729641E-3</v>
      </c>
      <c r="AB153" s="363">
        <f t="shared" si="12"/>
        <v>0</v>
      </c>
      <c r="AC153" s="236">
        <v>-1.3908654997729641E-3</v>
      </c>
      <c r="AD153" s="236">
        <v>-1.4744760891849396E-3</v>
      </c>
    </row>
    <row r="154" spans="23:30" x14ac:dyDescent="0.2">
      <c r="W154" s="144"/>
      <c r="X154" s="113" t="str">
        <f t="shared" si="13"/>
        <v>1D</v>
      </c>
      <c r="Y154" s="106">
        <f>_xll.qlCalendarAdvance(Calendar,Y153,X154,"f",FALSE)</f>
        <v>42353</v>
      </c>
      <c r="Z154" s="108">
        <f>_xll.qlCalendarAdvance(Calendar,Y154,0&amp;"D")</f>
        <v>42353</v>
      </c>
      <c r="AA154" s="109">
        <v>-1.3908654998129322E-3</v>
      </c>
      <c r="AB154" s="363">
        <f t="shared" si="12"/>
        <v>0</v>
      </c>
      <c r="AC154" s="236">
        <v>-1.3908654998129322E-3</v>
      </c>
      <c r="AD154" s="236">
        <v>-1.4651977680335548E-3</v>
      </c>
    </row>
    <row r="155" spans="23:30" x14ac:dyDescent="0.2">
      <c r="W155" s="144"/>
      <c r="X155" s="113" t="str">
        <f t="shared" si="13"/>
        <v>1D</v>
      </c>
      <c r="Y155" s="106">
        <f>_xll.qlCalendarAdvance(Calendar,Y154,X155,"f",FALSE)</f>
        <v>42354</v>
      </c>
      <c r="Z155" s="108">
        <f>_xll.qlCalendarAdvance(Calendar,Y155,0&amp;"D")</f>
        <v>42354</v>
      </c>
      <c r="AA155" s="109">
        <v>-1.3908654997729641E-3</v>
      </c>
      <c r="AB155" s="363">
        <f t="shared" si="12"/>
        <v>0</v>
      </c>
      <c r="AC155" s="236">
        <v>-1.3908654997729641E-3</v>
      </c>
      <c r="AD155" s="236">
        <v>-1.4562609014667771E-3</v>
      </c>
    </row>
    <row r="156" spans="23:30" x14ac:dyDescent="0.2">
      <c r="W156" s="144"/>
      <c r="X156" s="113" t="str">
        <f t="shared" si="13"/>
        <v>1D</v>
      </c>
      <c r="Y156" s="106">
        <f>_xll.qlCalendarAdvance(Calendar,Y155,X156,"f",FALSE)</f>
        <v>42355</v>
      </c>
      <c r="Z156" s="108">
        <f>_xll.qlCalendarAdvance(Calendar,Y156,0&amp;"D")</f>
        <v>42355</v>
      </c>
      <c r="AA156" s="109">
        <v>-1.3908654998529002E-3</v>
      </c>
      <c r="AB156" s="363">
        <f t="shared" si="12"/>
        <v>0</v>
      </c>
      <c r="AC156" s="236">
        <v>-1.3908654998529002E-3</v>
      </c>
      <c r="AD156" s="236">
        <v>-1.4476654888850859E-3</v>
      </c>
    </row>
    <row r="157" spans="23:30" x14ac:dyDescent="0.2">
      <c r="W157" s="144"/>
      <c r="X157" s="113" t="str">
        <f t="shared" si="13"/>
        <v>1D</v>
      </c>
      <c r="Y157" s="106">
        <f>_xll.qlCalendarAdvance(Calendar,Y156,X157,"f",FALSE)</f>
        <v>42356</v>
      </c>
      <c r="Z157" s="108">
        <f>_xll.qlCalendarAdvance(Calendar,Y157,0&amp;"D")</f>
        <v>42356</v>
      </c>
      <c r="AA157" s="109">
        <v>-1.3908601262180298E-3</v>
      </c>
      <c r="AB157" s="363">
        <f t="shared" si="12"/>
        <v>0</v>
      </c>
      <c r="AC157" s="236">
        <v>-1.3908601262180298E-3</v>
      </c>
      <c r="AD157" s="236">
        <v>-1.4316071523712282E-3</v>
      </c>
    </row>
    <row r="158" spans="23:30" x14ac:dyDescent="0.2">
      <c r="W158" s="144"/>
      <c r="X158" s="113" t="str">
        <f t="shared" si="13"/>
        <v>1D</v>
      </c>
      <c r="Y158" s="106">
        <f>_xll.qlCalendarAdvance(Calendar,Y157,X158,"f",FALSE)</f>
        <v>42359</v>
      </c>
      <c r="Z158" s="108">
        <f>_xll.qlCalendarAdvance(Calendar,Y158,0&amp;"D")</f>
        <v>42359</v>
      </c>
      <c r="AA158" s="109">
        <v>-1.3908654998529002E-3</v>
      </c>
      <c r="AB158" s="363">
        <f t="shared" si="12"/>
        <v>0</v>
      </c>
      <c r="AC158" s="236">
        <v>-1.3908654998529002E-3</v>
      </c>
      <c r="AD158" s="236">
        <v>-1.4166983830854463E-3</v>
      </c>
    </row>
    <row r="159" spans="23:30" x14ac:dyDescent="0.2">
      <c r="W159" s="144"/>
      <c r="X159" s="113" t="str">
        <f t="shared" si="13"/>
        <v>1D</v>
      </c>
      <c r="Y159" s="106">
        <f>_xll.qlCalendarAdvance(Calendar,Y158,X159,"f",FALSE)</f>
        <v>42360</v>
      </c>
      <c r="Z159" s="108">
        <f>_xll.qlCalendarAdvance(Calendar,Y159,0&amp;"D")</f>
        <v>42360</v>
      </c>
      <c r="AA159" s="109">
        <v>-1.3908654997729641E-3</v>
      </c>
      <c r="AB159" s="363">
        <f t="shared" si="12"/>
        <v>0</v>
      </c>
      <c r="AC159" s="236">
        <v>-1.3908654997729641E-3</v>
      </c>
      <c r="AD159" s="236">
        <v>-1.4098102427073655E-3</v>
      </c>
    </row>
    <row r="160" spans="23:30" x14ac:dyDescent="0.2">
      <c r="W160" s="144"/>
      <c r="X160" s="113" t="str">
        <f t="shared" si="13"/>
        <v>1D</v>
      </c>
      <c r="Y160" s="106">
        <f>_xll.qlCalendarAdvance(Calendar,Y159,X160,"f",FALSE)</f>
        <v>42361</v>
      </c>
      <c r="Z160" s="108">
        <f>_xll.qlCalendarAdvance(Calendar,Y160,0&amp;"D")</f>
        <v>42361</v>
      </c>
      <c r="AA160" s="109">
        <v>-1.3908654998529002E-3</v>
      </c>
      <c r="AB160" s="363">
        <f t="shared" si="12"/>
        <v>0</v>
      </c>
      <c r="AC160" s="236">
        <v>-1.3908654998529002E-3</v>
      </c>
      <c r="AD160" s="236">
        <v>-1.4032635565941476E-3</v>
      </c>
    </row>
    <row r="161" spans="23:30" x14ac:dyDescent="0.2">
      <c r="W161" s="144"/>
      <c r="X161" s="113" t="str">
        <f t="shared" si="13"/>
        <v>1D</v>
      </c>
      <c r="Y161" s="106">
        <f>_xll.qlCalendarAdvance(Calendar,Y160,X161,"f",FALSE)</f>
        <v>42362</v>
      </c>
      <c r="Z161" s="108">
        <f>_xll.qlCalendarAdvance(Calendar,Y161,0&amp;"D")</f>
        <v>42362</v>
      </c>
      <c r="AA161" s="109">
        <v>-1.3908574394105866E-3</v>
      </c>
      <c r="AB161" s="363">
        <f t="shared" si="12"/>
        <v>0</v>
      </c>
      <c r="AC161" s="236">
        <v>-1.3908574394105866E-3</v>
      </c>
      <c r="AD161" s="236">
        <v>-1.388596080020843E-3</v>
      </c>
    </row>
    <row r="162" spans="23:30" x14ac:dyDescent="0.2">
      <c r="W162" s="144"/>
      <c r="X162" s="113" t="str">
        <f t="shared" si="13"/>
        <v>1D</v>
      </c>
      <c r="Y162" s="106">
        <f>_xll.qlCalendarAdvance(Calendar,Y161,X162,"f",FALSE)</f>
        <v>42366</v>
      </c>
      <c r="Z162" s="108">
        <f>_xll.qlCalendarAdvance(Calendar,Y162,0&amp;"D")</f>
        <v>42366</v>
      </c>
      <c r="AA162" s="109">
        <v>-1.3908654997329961E-3</v>
      </c>
      <c r="AB162" s="363">
        <f t="shared" si="12"/>
        <v>0</v>
      </c>
      <c r="AC162" s="236">
        <v>-1.3908654997329961E-3</v>
      </c>
      <c r="AD162" s="236">
        <v>-1.3756519442775783E-3</v>
      </c>
    </row>
    <row r="163" spans="23:30" x14ac:dyDescent="0.2">
      <c r="W163" s="144"/>
      <c r="X163" s="113" t="str">
        <f t="shared" si="13"/>
        <v>1D</v>
      </c>
      <c r="Y163" s="106">
        <f>_xll.qlCalendarAdvance(Calendar,Y162,X163,"f",FALSE)</f>
        <v>42367</v>
      </c>
      <c r="Z163" s="108">
        <f>_xll.qlCalendarAdvance(Calendar,Y163,0&amp;"D")</f>
        <v>42367</v>
      </c>
      <c r="AA163" s="109">
        <v>-1.3908654998529002E-3</v>
      </c>
      <c r="AB163" s="363">
        <f t="shared" si="12"/>
        <v>0</v>
      </c>
      <c r="AC163" s="236">
        <v>-1.3908654998529002E-3</v>
      </c>
      <c r="AD163" s="236">
        <v>-1.3711539853922261E-3</v>
      </c>
    </row>
    <row r="164" spans="23:30" x14ac:dyDescent="0.2">
      <c r="W164" s="144"/>
      <c r="X164" s="113" t="str">
        <f t="shared" si="13"/>
        <v>1D</v>
      </c>
      <c r="Y164" s="106">
        <f>_xll.qlCalendarAdvance(Calendar,Y163,X164,"f",FALSE)</f>
        <v>42368</v>
      </c>
      <c r="Z164" s="108">
        <f>_xll.qlCalendarAdvance(Calendar,Y164,0&amp;"D")</f>
        <v>42368</v>
      </c>
      <c r="AA164" s="109">
        <v>-1.3908654998928682E-3</v>
      </c>
      <c r="AB164" s="363">
        <f t="shared" si="12"/>
        <v>0</v>
      </c>
      <c r="AC164" s="236">
        <v>-1.3908654998928682E-3</v>
      </c>
      <c r="AD164" s="236">
        <v>-1.3669974810914809E-3</v>
      </c>
    </row>
    <row r="165" spans="23:30" x14ac:dyDescent="0.2">
      <c r="W165" s="144"/>
      <c r="X165" s="113" t="str">
        <f t="shared" si="13"/>
        <v>1D</v>
      </c>
      <c r="Y165" s="106">
        <f>_xll.qlCalendarAdvance(Calendar,Y164,X165,"f",FALSE)</f>
        <v>42369</v>
      </c>
      <c r="Z165" s="108">
        <f>_xll.qlCalendarAdvance(Calendar,Y165,0&amp;"D")</f>
        <v>42369</v>
      </c>
      <c r="AA165" s="109">
        <v>-6.6186280047619839E-4</v>
      </c>
      <c r="AB165" s="363">
        <f t="shared" si="12"/>
        <v>0</v>
      </c>
      <c r="AC165" s="236">
        <v>-6.6186280047619839E-4</v>
      </c>
      <c r="AD165" s="236">
        <v>-6.2931090306861392E-4</v>
      </c>
    </row>
    <row r="166" spans="23:30" x14ac:dyDescent="0.2">
      <c r="W166" s="144"/>
      <c r="X166" s="113" t="str">
        <f t="shared" si="13"/>
        <v>1D</v>
      </c>
      <c r="Y166" s="106">
        <f>_xll.qlCalendarAdvance(Calendar,Y165,X166,"f",FALSE)</f>
        <v>42373</v>
      </c>
      <c r="Z166" s="108">
        <f>_xll.qlCalendarAdvance(Calendar,Y166,0&amp;"D")</f>
        <v>42373</v>
      </c>
      <c r="AA166" s="109">
        <v>-1.3908654998928682E-3</v>
      </c>
      <c r="AB166" s="363">
        <f t="shared" si="12"/>
        <v>0</v>
      </c>
      <c r="AC166" s="236">
        <v>-1.3908654998928682E-3</v>
      </c>
      <c r="AD166" s="236">
        <v>-1.3513367783968278E-3</v>
      </c>
    </row>
    <row r="167" spans="23:30" x14ac:dyDescent="0.2">
      <c r="W167" s="144"/>
      <c r="X167" s="113" t="str">
        <f t="shared" si="13"/>
        <v>1D</v>
      </c>
      <c r="Y167" s="106">
        <f>_xll.qlCalendarAdvance(Calendar,Y166,X167,"f",FALSE)</f>
        <v>42374</v>
      </c>
      <c r="Z167" s="108">
        <f>_xll.qlCalendarAdvance(Calendar,Y167,0&amp;"D")</f>
        <v>42374</v>
      </c>
      <c r="AA167" s="109">
        <v>-1.3908654998529002E-3</v>
      </c>
      <c r="AB167" s="363">
        <f t="shared" si="12"/>
        <v>0</v>
      </c>
      <c r="AC167" s="236">
        <v>-1.3908654998529002E-3</v>
      </c>
      <c r="AD167" s="236">
        <v>-1.3492290016037245E-3</v>
      </c>
    </row>
    <row r="168" spans="23:30" x14ac:dyDescent="0.2">
      <c r="W168" s="144"/>
      <c r="X168" s="113" t="str">
        <f t="shared" si="13"/>
        <v>1D</v>
      </c>
      <c r="Y168" s="106">
        <f>_xll.qlCalendarAdvance(Calendar,Y167,X168,"f",FALSE)</f>
        <v>42375</v>
      </c>
      <c r="Z168" s="108">
        <f>_xll.qlCalendarAdvance(Calendar,Y168,0&amp;"D")</f>
        <v>42375</v>
      </c>
      <c r="AA168" s="109">
        <v>-1.3908654998529002E-3</v>
      </c>
      <c r="AB168" s="363">
        <f t="shared" si="12"/>
        <v>0</v>
      </c>
      <c r="AC168" s="236">
        <v>-1.3908654998529002E-3</v>
      </c>
      <c r="AD168" s="236">
        <v>-1.3474626795950684E-3</v>
      </c>
    </row>
    <row r="169" spans="23:30" x14ac:dyDescent="0.2">
      <c r="W169" s="144"/>
      <c r="X169" s="113" t="str">
        <f t="shared" si="13"/>
        <v>1D</v>
      </c>
      <c r="Y169" s="106">
        <f>_xll.qlCalendarAdvance(Calendar,Y168,X169,"f",FALSE)</f>
        <v>42376</v>
      </c>
      <c r="Z169" s="108">
        <f>_xll.qlCalendarAdvance(Calendar,Y169,0&amp;"D")</f>
        <v>42376</v>
      </c>
      <c r="AA169" s="109">
        <v>-1.3908654998129322E-3</v>
      </c>
      <c r="AB169" s="363">
        <f t="shared" si="12"/>
        <v>0</v>
      </c>
      <c r="AC169" s="236">
        <v>-1.3908654998129322E-3</v>
      </c>
      <c r="AD169" s="236">
        <v>-1.3460378121710193E-3</v>
      </c>
    </row>
    <row r="170" spans="23:30" x14ac:dyDescent="0.2">
      <c r="W170" s="144"/>
      <c r="X170" s="113" t="str">
        <f t="shared" si="13"/>
        <v>1D</v>
      </c>
      <c r="Y170" s="106">
        <f>_xll.qlCalendarAdvance(Calendar,Y169,X170,"f",FALSE)</f>
        <v>42377</v>
      </c>
      <c r="Z170" s="108">
        <f>_xll.qlCalendarAdvance(Calendar,Y170,0&amp;"D")</f>
        <v>42377</v>
      </c>
      <c r="AA170" s="109">
        <v>-1.3908601261780618E-3</v>
      </c>
      <c r="AB170" s="363">
        <f t="shared" si="12"/>
        <v>0</v>
      </c>
      <c r="AC170" s="236">
        <v>-1.3908601261780618E-3</v>
      </c>
      <c r="AD170" s="236">
        <v>-1.3443212392871828E-3</v>
      </c>
    </row>
    <row r="171" spans="23:30" x14ac:dyDescent="0.2">
      <c r="W171" s="144"/>
      <c r="X171" s="113" t="str">
        <f t="shared" si="13"/>
        <v>1D</v>
      </c>
      <c r="Y171" s="106">
        <f>_xll.qlCalendarAdvance(Calendar,Y170,X171,"f",FALSE)</f>
        <v>42380</v>
      </c>
      <c r="Z171" s="108">
        <f>_xll.qlCalendarAdvance(Calendar,Y171,0&amp;"D")</f>
        <v>42380</v>
      </c>
      <c r="AA171" s="109">
        <v>-1.3908654998928682E-3</v>
      </c>
      <c r="AB171" s="363">
        <f t="shared" si="12"/>
        <v>0</v>
      </c>
      <c r="AC171" s="236">
        <v>-1.3908654998928682E-3</v>
      </c>
      <c r="AD171" s="236">
        <v>-1.343752888760541E-3</v>
      </c>
    </row>
    <row r="172" spans="23:30" x14ac:dyDescent="0.2">
      <c r="W172" s="144"/>
      <c r="X172" s="113" t="str">
        <f t="shared" si="13"/>
        <v>1D</v>
      </c>
      <c r="Y172" s="106">
        <f>_xll.qlCalendarAdvance(Calendar,Y171,X172,"f",FALSE)</f>
        <v>42381</v>
      </c>
      <c r="Z172" s="108">
        <f>_xll.qlCalendarAdvance(Calendar,Y172,0&amp;"D")</f>
        <v>42381</v>
      </c>
      <c r="AA172" s="109">
        <v>-1.3908654997729641E-3</v>
      </c>
      <c r="AB172" s="363">
        <f t="shared" si="12"/>
        <v>0</v>
      </c>
      <c r="AC172" s="236">
        <v>-1.3908654997729641E-3</v>
      </c>
      <c r="AD172" s="236">
        <v>-1.344035294499335E-3</v>
      </c>
    </row>
    <row r="173" spans="23:30" x14ac:dyDescent="0.2">
      <c r="W173" s="144"/>
      <c r="X173" s="113" t="str">
        <f t="shared" si="13"/>
        <v>1D</v>
      </c>
      <c r="Y173" s="106">
        <f>_xll.qlCalendarAdvance(Calendar,Y172,X173,"f",FALSE)</f>
        <v>42382</v>
      </c>
      <c r="Z173" s="108">
        <f>_xll.qlCalendarAdvance(Calendar,Y173,0&amp;"D")</f>
        <v>42382</v>
      </c>
      <c r="AA173" s="109">
        <v>-1.3908654998928682E-3</v>
      </c>
      <c r="AB173" s="363">
        <f t="shared" si="12"/>
        <v>0</v>
      </c>
      <c r="AC173" s="236">
        <v>-1.3908654998928682E-3</v>
      </c>
      <c r="AD173" s="236">
        <v>-1.3446591549026721E-3</v>
      </c>
    </row>
    <row r="174" spans="23:30" x14ac:dyDescent="0.2">
      <c r="W174" s="144"/>
      <c r="X174" s="113" t="str">
        <f t="shared" si="13"/>
        <v>1D</v>
      </c>
      <c r="Y174" s="106">
        <f>_xll.qlCalendarAdvance(Calendar,Y173,X174,"f",FALSE)</f>
        <v>42383</v>
      </c>
      <c r="Z174" s="108">
        <f>_xll.qlCalendarAdvance(Calendar,Y174,0&amp;"D")</f>
        <v>42383</v>
      </c>
      <c r="AA174" s="109">
        <v>-1.3908654997729641E-3</v>
      </c>
      <c r="AB174" s="363">
        <f t="shared" si="12"/>
        <v>0</v>
      </c>
      <c r="AC174" s="236">
        <v>-1.3908654997729641E-3</v>
      </c>
      <c r="AD174" s="236">
        <v>-1.3456244698906161E-3</v>
      </c>
    </row>
    <row r="175" spans="23:30" x14ac:dyDescent="0.2">
      <c r="W175" s="144"/>
      <c r="X175" s="113" t="str">
        <f t="shared" si="13"/>
        <v>1D</v>
      </c>
      <c r="Y175" s="106">
        <f>_xll.qlCalendarAdvance(Calendar,Y174,X175,"f",FALSE)</f>
        <v>42384</v>
      </c>
      <c r="Z175" s="108">
        <f>_xll.qlCalendarAdvance(Calendar,Y175,0&amp;"D")</f>
        <v>42384</v>
      </c>
      <c r="AA175" s="109">
        <v>-1.3908601262180298E-3</v>
      </c>
      <c r="AB175" s="363">
        <f t="shared" si="12"/>
        <v>0</v>
      </c>
      <c r="AC175" s="236">
        <v>-1.3908601262180298E-3</v>
      </c>
      <c r="AD175" s="236">
        <v>-1.34868822944334E-3</v>
      </c>
    </row>
    <row r="176" spans="23:30" x14ac:dyDescent="0.2">
      <c r="W176" s="144"/>
      <c r="X176" s="113" t="str">
        <f t="shared" si="13"/>
        <v>1D</v>
      </c>
      <c r="Y176" s="106">
        <f>_xll.qlCalendarAdvance(Calendar,Y175,X176,"f",FALSE)</f>
        <v>42387</v>
      </c>
      <c r="Z176" s="108">
        <f>_xll.qlCalendarAdvance(Calendar,Y176,0&amp;"D")</f>
        <v>42387</v>
      </c>
      <c r="AA176" s="109">
        <v>-1.3908654998529002E-3</v>
      </c>
      <c r="AB176" s="363">
        <f t="shared" si="12"/>
        <v>0</v>
      </c>
      <c r="AC176" s="236">
        <v>-1.3908654998529002E-3</v>
      </c>
      <c r="AD176" s="236">
        <v>-1.3529002765277909E-3</v>
      </c>
    </row>
    <row r="177" spans="23:30" x14ac:dyDescent="0.2">
      <c r="W177" s="144"/>
      <c r="X177" s="113" t="str">
        <f t="shared" si="13"/>
        <v>1D</v>
      </c>
      <c r="Y177" s="106">
        <f>_xll.qlCalendarAdvance(Calendar,Y176,X177,"f",FALSE)</f>
        <v>42388</v>
      </c>
      <c r="Z177" s="108">
        <f>_xll.qlCalendarAdvance(Calendar,Y177,0&amp;"D")</f>
        <v>42388</v>
      </c>
      <c r="AA177" s="109">
        <v>-1.3908654997729641E-3</v>
      </c>
      <c r="AB177" s="363">
        <f t="shared" si="12"/>
        <v>0</v>
      </c>
      <c r="AC177" s="236">
        <v>-1.3908654997729641E-3</v>
      </c>
      <c r="AD177" s="236">
        <v>-1.3555728646785781E-3</v>
      </c>
    </row>
    <row r="178" spans="23:30" x14ac:dyDescent="0.2">
      <c r="W178" s="144"/>
      <c r="X178" s="113" t="str">
        <f t="shared" si="13"/>
        <v>1D</v>
      </c>
      <c r="Y178" s="106">
        <f>_xll.qlCalendarAdvance(Calendar,Y177,X178,"f",FALSE)</f>
        <v>42389</v>
      </c>
      <c r="Z178" s="108">
        <f>_xll.qlCalendarAdvance(Calendar,Y178,0&amp;"D")</f>
        <v>42389</v>
      </c>
      <c r="AA178" s="109">
        <v>-1.3908654998529002E-3</v>
      </c>
      <c r="AB178" s="363">
        <f t="shared" si="12"/>
        <v>0</v>
      </c>
      <c r="AC178" s="236">
        <v>-1.3908654998529002E-3</v>
      </c>
      <c r="AD178" s="236">
        <v>-1.3585869074139723E-3</v>
      </c>
    </row>
    <row r="179" spans="23:30" x14ac:dyDescent="0.2">
      <c r="W179" s="144"/>
      <c r="X179" s="113" t="str">
        <f t="shared" si="13"/>
        <v>1D</v>
      </c>
      <c r="Y179" s="106">
        <f>_xll.qlCalendarAdvance(Calendar,Y178,X179,"f",FALSE)</f>
        <v>42390</v>
      </c>
      <c r="Z179" s="108">
        <f>_xll.qlCalendarAdvance(Calendar,Y179,0&amp;"D")</f>
        <v>42390</v>
      </c>
      <c r="AA179" s="109">
        <v>-1.3908654997729641E-3</v>
      </c>
      <c r="AB179" s="363">
        <f t="shared" si="12"/>
        <v>0</v>
      </c>
      <c r="AC179" s="236">
        <v>-1.3908654997729641E-3</v>
      </c>
      <c r="AD179" s="236">
        <v>-1.3619424048938455E-3</v>
      </c>
    </row>
    <row r="180" spans="23:30" x14ac:dyDescent="0.2">
      <c r="W180" s="144"/>
      <c r="X180" s="113" t="str">
        <f t="shared" si="13"/>
        <v>1D</v>
      </c>
      <c r="Y180" s="106">
        <f>_xll.qlCalendarAdvance(Calendar,Y179,X180,"f",FALSE)</f>
        <v>42391</v>
      </c>
      <c r="Z180" s="108">
        <f>_xll.qlCalendarAdvance(Calendar,Y180,0&amp;"D")</f>
        <v>42391</v>
      </c>
      <c r="AA180" s="109">
        <v>-1.3908601262180298E-3</v>
      </c>
      <c r="AB180" s="363">
        <f t="shared" si="12"/>
        <v>0</v>
      </c>
      <c r="AC180" s="236">
        <v>-1.3908601262180298E-3</v>
      </c>
      <c r="AD180" s="236">
        <v>-1.369786369611603E-3</v>
      </c>
    </row>
    <row r="181" spans="23:30" x14ac:dyDescent="0.2">
      <c r="W181" s="144"/>
      <c r="X181" s="113" t="str">
        <f t="shared" si="13"/>
        <v>1D</v>
      </c>
      <c r="Y181" s="106">
        <f>_xll.qlCalendarAdvance(Calendar,Y180,X181,"f",FALSE)</f>
        <v>42394</v>
      </c>
      <c r="Z181" s="108">
        <f>_xll.qlCalendarAdvance(Calendar,Y181,0&amp;"D")</f>
        <v>42394</v>
      </c>
      <c r="AA181" s="109">
        <v>-1.3908654998529002E-3</v>
      </c>
      <c r="AB181" s="363">
        <f t="shared" si="12"/>
        <v>0</v>
      </c>
      <c r="AC181" s="236">
        <v>-1.3908654998529002E-3</v>
      </c>
      <c r="AD181" s="236">
        <v>-1.3787789403796324E-3</v>
      </c>
    </row>
    <row r="182" spans="23:30" x14ac:dyDescent="0.2">
      <c r="W182" s="144"/>
      <c r="X182" s="113" t="str">
        <f t="shared" si="13"/>
        <v>1D</v>
      </c>
      <c r="Y182" s="106">
        <f>_xll.qlCalendarAdvance(Calendar,Y181,X182,"f",FALSE)</f>
        <v>42395</v>
      </c>
      <c r="Z182" s="108">
        <f>_xll.qlCalendarAdvance(Calendar,Y182,0&amp;"D")</f>
        <v>42395</v>
      </c>
      <c r="AA182" s="109">
        <v>-1.4228439804364612E-3</v>
      </c>
      <c r="AB182" s="363">
        <f t="shared" si="12"/>
        <v>0</v>
      </c>
      <c r="AC182" s="236">
        <v>-1.4228439804364612E-3</v>
      </c>
      <c r="AD182" s="236">
        <v>-1.383750809895723E-3</v>
      </c>
    </row>
    <row r="183" spans="23:30" x14ac:dyDescent="0.2">
      <c r="W183" s="144"/>
      <c r="X183" s="113" t="str">
        <f t="shared" si="13"/>
        <v>1D</v>
      </c>
      <c r="Y183" s="106">
        <f>_xll.qlCalendarAdvance(Calendar,Y182,X183,"f",FALSE)</f>
        <v>42396</v>
      </c>
      <c r="Z183" s="108">
        <f>_xll.qlCalendarAdvance(Calendar,Y183,0&amp;"D")</f>
        <v>42396</v>
      </c>
      <c r="AA183" s="109">
        <v>-1.4228439803565252E-3</v>
      </c>
      <c r="AB183" s="363">
        <f t="shared" si="12"/>
        <v>0</v>
      </c>
      <c r="AC183" s="236">
        <v>-1.4228439803565252E-3</v>
      </c>
      <c r="AD183" s="236">
        <v>-1.3886096314008611E-3</v>
      </c>
    </row>
    <row r="184" spans="23:30" x14ac:dyDescent="0.2">
      <c r="W184" s="144"/>
      <c r="X184" s="113" t="str">
        <f t="shared" si="13"/>
        <v>1D</v>
      </c>
      <c r="Y184" s="106">
        <f>_xll.qlCalendarAdvance(Calendar,Y183,X184,"f",FALSE)</f>
        <v>42397</v>
      </c>
      <c r="Z184" s="108">
        <f>_xll.qlCalendarAdvance(Calendar,Y184,0&amp;"D")</f>
        <v>42397</v>
      </c>
      <c r="AA184" s="109">
        <v>-1.4228439803964932E-3</v>
      </c>
      <c r="AB184" s="363">
        <f t="shared" si="12"/>
        <v>0</v>
      </c>
      <c r="AC184" s="236">
        <v>-1.4228439803964932E-3</v>
      </c>
      <c r="AD184" s="236">
        <v>-1.3932645036485169E-3</v>
      </c>
    </row>
    <row r="185" spans="23:30" x14ac:dyDescent="0.2">
      <c r="W185" s="144"/>
      <c r="X185" s="113" t="str">
        <f t="shared" si="13"/>
        <v>1D</v>
      </c>
      <c r="Y185" s="106">
        <f>_xll.qlCalendarAdvance(Calendar,Y184,X185,"f",FALSE)</f>
        <v>42398</v>
      </c>
      <c r="Z185" s="108">
        <f>_xll.qlCalendarAdvance(Calendar,Y185,0&amp;"D")</f>
        <v>42398</v>
      </c>
      <c r="AA185" s="109">
        <v>-5.7084240984828227E-4</v>
      </c>
      <c r="AB185" s="363">
        <f t="shared" si="12"/>
        <v>0</v>
      </c>
      <c r="AC185" s="236">
        <v>-5.7084240984828227E-4</v>
      </c>
      <c r="AD185" s="236">
        <v>-5.498928639768863E-4</v>
      </c>
    </row>
    <row r="186" spans="23:30" x14ac:dyDescent="0.2">
      <c r="W186" s="144"/>
      <c r="X186" s="113" t="str">
        <f t="shared" si="13"/>
        <v>1D</v>
      </c>
      <c r="Y186" s="106">
        <f>_xll.qlCalendarAdvance(Calendar,Y185,X186,"f",FALSE)</f>
        <v>42401</v>
      </c>
      <c r="Z186" s="108">
        <f>_xll.qlCalendarAdvance(Calendar,Y186,0&amp;"D")</f>
        <v>42401</v>
      </c>
      <c r="AA186" s="109">
        <v>-1.4228439803565252E-3</v>
      </c>
      <c r="AB186" s="363">
        <f t="shared" si="12"/>
        <v>0</v>
      </c>
      <c r="AC186" s="236">
        <v>-1.4228439803565252E-3</v>
      </c>
      <c r="AD186" s="236">
        <v>-1.4098445043808638E-3</v>
      </c>
    </row>
    <row r="187" spans="23:30" x14ac:dyDescent="0.2">
      <c r="W187" s="144"/>
      <c r="X187" s="113" t="str">
        <f t="shared" si="13"/>
        <v>1D</v>
      </c>
      <c r="Y187" s="106">
        <f>_xll.qlCalendarAdvance(Calendar,Y186,X187,"f",FALSE)</f>
        <v>42402</v>
      </c>
      <c r="Z187" s="108">
        <f>_xll.qlCalendarAdvance(Calendar,Y187,0&amp;"D")</f>
        <v>42402</v>
      </c>
      <c r="AA187" s="109">
        <v>-1.4228439804364612E-3</v>
      </c>
      <c r="AB187" s="363">
        <f t="shared" si="12"/>
        <v>0</v>
      </c>
      <c r="AC187" s="236">
        <v>-1.4228439804364612E-3</v>
      </c>
      <c r="AD187" s="236">
        <v>-1.4134796323395094E-3</v>
      </c>
    </row>
    <row r="188" spans="23:30" x14ac:dyDescent="0.2">
      <c r="W188" s="144"/>
      <c r="X188" s="113" t="str">
        <f t="shared" si="13"/>
        <v>1D</v>
      </c>
      <c r="Y188" s="106">
        <f>_xll.qlCalendarAdvance(Calendar,Y187,X188,"f",FALSE)</f>
        <v>42403</v>
      </c>
      <c r="Z188" s="108">
        <f>_xll.qlCalendarAdvance(Calendar,Y188,0&amp;"D")</f>
        <v>42403</v>
      </c>
      <c r="AA188" s="109">
        <v>-1.4228439803964932E-3</v>
      </c>
      <c r="AB188" s="363">
        <f t="shared" si="12"/>
        <v>0</v>
      </c>
      <c r="AC188" s="236">
        <v>-1.4228439803964932E-3</v>
      </c>
      <c r="AD188" s="236">
        <v>-1.4169108114803208E-3</v>
      </c>
    </row>
    <row r="189" spans="23:30" x14ac:dyDescent="0.2">
      <c r="W189" s="144"/>
      <c r="X189" s="113" t="str">
        <f t="shared" si="13"/>
        <v>1D</v>
      </c>
      <c r="Y189" s="106">
        <f>_xll.qlCalendarAdvance(Calendar,Y188,X189,"f",FALSE)</f>
        <v>42404</v>
      </c>
      <c r="Z189" s="108">
        <f>_xll.qlCalendarAdvance(Calendar,Y189,0&amp;"D")</f>
        <v>42404</v>
      </c>
      <c r="AA189" s="109">
        <v>-1.4228439804364612E-3</v>
      </c>
      <c r="AB189" s="363">
        <f t="shared" si="12"/>
        <v>0</v>
      </c>
      <c r="AC189" s="236">
        <v>-1.4228439804364612E-3</v>
      </c>
      <c r="AD189" s="236">
        <v>-1.4201380415235221E-3</v>
      </c>
    </row>
    <row r="190" spans="23:30" x14ac:dyDescent="0.2">
      <c r="W190" s="144"/>
      <c r="X190" s="113" t="str">
        <f t="shared" si="13"/>
        <v>1D</v>
      </c>
      <c r="Y190" s="106">
        <f>_xll.qlCalendarAdvance(Calendar,Y189,X190,"f",FALSE)</f>
        <v>42405</v>
      </c>
      <c r="Z190" s="108">
        <f>_xll.qlCalendarAdvance(Calendar,Y190,0&amp;"D")</f>
        <v>42405</v>
      </c>
      <c r="AA190" s="109">
        <v>-1.4228383568282155E-3</v>
      </c>
      <c r="AB190" s="363">
        <f t="shared" si="12"/>
        <v>0</v>
      </c>
      <c r="AC190" s="236">
        <v>-1.4228383568282155E-3</v>
      </c>
      <c r="AD190" s="236">
        <v>-1.4259070247479855E-3</v>
      </c>
    </row>
    <row r="191" spans="23:30" x14ac:dyDescent="0.2">
      <c r="W191" s="144"/>
      <c r="X191" s="113" t="str">
        <f t="shared" si="13"/>
        <v>1D</v>
      </c>
      <c r="Y191" s="106">
        <f>_xll.qlCalendarAdvance(Calendar,Y190,X191,"f",FALSE)</f>
        <v>42408</v>
      </c>
      <c r="Z191" s="108">
        <f>_xll.qlCalendarAdvance(Calendar,Y191,0&amp;"D")</f>
        <v>42408</v>
      </c>
      <c r="AA191" s="109">
        <v>-1.4228439803565252E-3</v>
      </c>
      <c r="AB191" s="363">
        <f t="shared" si="12"/>
        <v>0</v>
      </c>
      <c r="AC191" s="236">
        <v>-1.4228439803565252E-3</v>
      </c>
      <c r="AD191" s="236">
        <v>-1.4310074739576351E-3</v>
      </c>
    </row>
    <row r="192" spans="23:30" x14ac:dyDescent="0.2">
      <c r="W192" s="144"/>
      <c r="X192" s="113" t="str">
        <f t="shared" si="13"/>
        <v>1D</v>
      </c>
      <c r="Y192" s="106">
        <f>_xll.qlCalendarAdvance(Calendar,Y191,X192,"f",FALSE)</f>
        <v>42409</v>
      </c>
      <c r="Z192" s="108">
        <f>_xll.qlCalendarAdvance(Calendar,Y192,0&amp;"D")</f>
        <v>42409</v>
      </c>
      <c r="AA192" s="109">
        <v>-1.4228439804364612E-3</v>
      </c>
      <c r="AB192" s="363">
        <f t="shared" si="12"/>
        <v>0</v>
      </c>
      <c r="AC192" s="236">
        <v>-1.4228439804364612E-3</v>
      </c>
      <c r="AD192" s="236">
        <v>-1.4332149599516342E-3</v>
      </c>
    </row>
    <row r="193" spans="23:30" x14ac:dyDescent="0.2">
      <c r="W193" s="144"/>
      <c r="X193" s="113" t="str">
        <f t="shared" si="13"/>
        <v>1D</v>
      </c>
      <c r="Y193" s="106">
        <f>_xll.qlCalendarAdvance(Calendar,Y192,X193,"f",FALSE)</f>
        <v>42410</v>
      </c>
      <c r="Z193" s="108">
        <f>_xll.qlCalendarAdvance(Calendar,Y193,0&amp;"D")</f>
        <v>42410</v>
      </c>
      <c r="AA193" s="109">
        <v>-1.4228439803964932E-3</v>
      </c>
      <c r="AB193" s="363">
        <f t="shared" si="12"/>
        <v>0</v>
      </c>
      <c r="AC193" s="236">
        <v>-1.4228439803964932E-3</v>
      </c>
      <c r="AD193" s="236">
        <v>-1.4352184970478632E-3</v>
      </c>
    </row>
    <row r="194" spans="23:30" x14ac:dyDescent="0.2">
      <c r="W194" s="144"/>
      <c r="X194" s="113" t="str">
        <f t="shared" si="13"/>
        <v>1D</v>
      </c>
      <c r="Y194" s="106">
        <f>_xll.qlCalendarAdvance(Calendar,Y193,X194,"f",FALSE)</f>
        <v>42411</v>
      </c>
      <c r="Z194" s="108">
        <f>_xll.qlCalendarAdvance(Calendar,Y194,0&amp;"D")</f>
        <v>42411</v>
      </c>
      <c r="AA194" s="109">
        <v>-1.4228439804364612E-3</v>
      </c>
      <c r="AB194" s="363">
        <f t="shared" si="12"/>
        <v>0</v>
      </c>
      <c r="AC194" s="236">
        <v>-1.4228439804364612E-3</v>
      </c>
      <c r="AD194" s="236">
        <v>-1.4370180853262582E-3</v>
      </c>
    </row>
    <row r="195" spans="23:30" x14ac:dyDescent="0.2">
      <c r="W195" s="144"/>
      <c r="X195" s="113" t="str">
        <f t="shared" si="13"/>
        <v>1D</v>
      </c>
      <c r="Y195" s="106">
        <f>_xll.qlCalendarAdvance(Calendar,Y194,X195,"f",FALSE)</f>
        <v>42412</v>
      </c>
      <c r="Z195" s="108">
        <f>_xll.qlCalendarAdvance(Calendar,Y195,0&amp;"D")</f>
        <v>42412</v>
      </c>
      <c r="AA195" s="109">
        <v>-1.4228383568415381E-3</v>
      </c>
      <c r="AB195" s="363">
        <f t="shared" si="12"/>
        <v>0</v>
      </c>
      <c r="AC195" s="236">
        <v>-1.4228383568415381E-3</v>
      </c>
      <c r="AD195" s="236">
        <v>-1.4399316729774014E-3</v>
      </c>
    </row>
    <row r="196" spans="23:30" x14ac:dyDescent="0.2">
      <c r="W196" s="144"/>
      <c r="X196" s="113" t="str">
        <f t="shared" si="13"/>
        <v>1D</v>
      </c>
      <c r="Y196" s="106">
        <f>_xll.qlCalendarAdvance(Calendar,Y195,X196,"f",FALSE)</f>
        <v>42415</v>
      </c>
      <c r="Z196" s="108">
        <f>_xll.qlCalendarAdvance(Calendar,Y196,0&amp;"D")</f>
        <v>42415</v>
      </c>
      <c r="AA196" s="109">
        <v>-1.4228439803964932E-3</v>
      </c>
      <c r="AB196" s="363">
        <f t="shared" si="12"/>
        <v>0</v>
      </c>
      <c r="AC196" s="236">
        <v>-1.4228439803964932E-3</v>
      </c>
      <c r="AD196" s="236">
        <v>-1.4421769501815618E-3</v>
      </c>
    </row>
    <row r="197" spans="23:30" x14ac:dyDescent="0.2">
      <c r="W197" s="144"/>
      <c r="X197" s="113" t="str">
        <f t="shared" si="13"/>
        <v>1D</v>
      </c>
      <c r="Y197" s="106">
        <f>_xll.qlCalendarAdvance(Calendar,Y196,X197,"f",FALSE)</f>
        <v>42416</v>
      </c>
      <c r="Z197" s="108">
        <f>_xll.qlCalendarAdvance(Calendar,Y197,0&amp;"D")</f>
        <v>42416</v>
      </c>
      <c r="AA197" s="109">
        <v>-1.4228439803964932E-3</v>
      </c>
      <c r="AB197" s="363">
        <f t="shared" si="12"/>
        <v>0</v>
      </c>
      <c r="AC197" s="236">
        <v>-1.4228439803964932E-3</v>
      </c>
      <c r="AD197" s="236">
        <v>-1.4429567943308186E-3</v>
      </c>
    </row>
    <row r="198" spans="23:30" x14ac:dyDescent="0.2">
      <c r="W198" s="144"/>
      <c r="X198" s="113" t="str">
        <f t="shared" si="13"/>
        <v>1D</v>
      </c>
      <c r="Y198" s="106">
        <f>_xll.qlCalendarAdvance(Calendar,Y197,X198,"f",FALSE)</f>
        <v>42417</v>
      </c>
      <c r="Z198" s="108">
        <f>_xll.qlCalendarAdvance(Calendar,Y198,0&amp;"D")</f>
        <v>42417</v>
      </c>
      <c r="AA198" s="109">
        <v>-1.4228439804364612E-3</v>
      </c>
      <c r="AB198" s="363">
        <f t="shared" si="12"/>
        <v>0</v>
      </c>
      <c r="AC198" s="236">
        <v>-1.4228439804364612E-3</v>
      </c>
      <c r="AD198" s="236">
        <v>-1.4435326896622414E-3</v>
      </c>
    </row>
    <row r="199" spans="23:30" x14ac:dyDescent="0.2">
      <c r="W199" s="144"/>
      <c r="X199" s="113" t="str">
        <f t="shared" si="13"/>
        <v>1D</v>
      </c>
      <c r="Y199" s="106">
        <f>_xll.qlCalendarAdvance(Calendar,Y198,X199,"f",FALSE)</f>
        <v>42418</v>
      </c>
      <c r="Z199" s="108">
        <f>_xll.qlCalendarAdvance(Calendar,Y199,0&amp;"D")</f>
        <v>42418</v>
      </c>
      <c r="AA199" s="109">
        <v>-1.4228439804764292E-3</v>
      </c>
      <c r="AB199" s="363">
        <f t="shared" si="12"/>
        <v>0</v>
      </c>
      <c r="AC199" s="236">
        <v>-1.4228439804764292E-3</v>
      </c>
      <c r="AD199" s="236">
        <v>-1.4439046362557661E-3</v>
      </c>
    </row>
    <row r="200" spans="23:30" x14ac:dyDescent="0.2">
      <c r="W200" s="144"/>
      <c r="X200" s="113" t="str">
        <f t="shared" si="13"/>
        <v>1D</v>
      </c>
      <c r="Y200" s="106">
        <f>_xll.qlCalendarAdvance(Calendar,Y199,X200,"f",FALSE)</f>
        <v>42419</v>
      </c>
      <c r="Z200" s="108">
        <f>_xll.qlCalendarAdvance(Calendar,Y200,0&amp;"D")</f>
        <v>42419</v>
      </c>
      <c r="AA200" s="109">
        <v>-1.4228383568415381E-3</v>
      </c>
      <c r="AB200" s="363">
        <f t="shared" si="12"/>
        <v>0</v>
      </c>
      <c r="AC200" s="236">
        <v>-1.4228383568415381E-3</v>
      </c>
      <c r="AD200" s="236">
        <v>-1.4439629080298388E-3</v>
      </c>
    </row>
    <row r="201" spans="23:30" x14ac:dyDescent="0.2">
      <c r="W201" s="144"/>
      <c r="X201" s="113" t="str">
        <f t="shared" si="13"/>
        <v>1D</v>
      </c>
      <c r="Y201" s="106">
        <f>_xll.qlCalendarAdvance(Calendar,Y200,X201,"f",FALSE)</f>
        <v>42422</v>
      </c>
      <c r="Z201" s="108">
        <f>_xll.qlCalendarAdvance(Calendar,Y201,0&amp;"D")</f>
        <v>42422</v>
      </c>
      <c r="AA201" s="109">
        <v>-1.4228439803565252E-3</v>
      </c>
      <c r="AB201" s="363">
        <f t="shared" si="12"/>
        <v>0</v>
      </c>
      <c r="AC201" s="236">
        <v>-1.4228439803565252E-3</v>
      </c>
      <c r="AD201" s="236">
        <v>-1.4433529339719087E-3</v>
      </c>
    </row>
    <row r="202" spans="23:30" x14ac:dyDescent="0.2">
      <c r="W202" s="144"/>
      <c r="X202" s="113" t="str">
        <f t="shared" si="13"/>
        <v>1D</v>
      </c>
      <c r="Y202" s="106">
        <f>_xll.qlCalendarAdvance(Calendar,Y201,X202,"f",FALSE)</f>
        <v>42423</v>
      </c>
      <c r="Z202" s="108">
        <f>_xll.qlCalendarAdvance(Calendar,Y202,0&amp;"D")</f>
        <v>42423</v>
      </c>
      <c r="AA202" s="109">
        <v>-1.4228439803565252E-3</v>
      </c>
      <c r="AB202" s="363">
        <f t="shared" si="12"/>
        <v>0</v>
      </c>
      <c r="AC202" s="236">
        <v>-1.4228439803565252E-3</v>
      </c>
      <c r="AD202" s="236">
        <v>-1.4427051363963272E-3</v>
      </c>
    </row>
    <row r="203" spans="23:30" x14ac:dyDescent="0.2">
      <c r="W203" s="144"/>
      <c r="X203" s="113" t="str">
        <f t="shared" si="13"/>
        <v>1D</v>
      </c>
      <c r="Y203" s="106">
        <f>_xll.qlCalendarAdvance(Calendar,Y202,X203,"f",FALSE)</f>
        <v>42424</v>
      </c>
      <c r="Z203" s="108">
        <f>_xll.qlCalendarAdvance(Calendar,Y203,0&amp;"D")</f>
        <v>42424</v>
      </c>
      <c r="AA203" s="109">
        <v>-1.4228439805163973E-3</v>
      </c>
      <c r="AB203" s="363">
        <f t="shared" si="12"/>
        <v>0</v>
      </c>
      <c r="AC203" s="236">
        <v>-1.4228439805163973E-3</v>
      </c>
      <c r="AD203" s="236">
        <v>-1.4418533900029118E-3</v>
      </c>
    </row>
    <row r="204" spans="23:30" x14ac:dyDescent="0.2">
      <c r="W204" s="144"/>
      <c r="X204" s="113" t="str">
        <f t="shared" si="13"/>
        <v>1D</v>
      </c>
      <c r="Y204" s="106">
        <f>_xll.qlCalendarAdvance(Calendar,Y203,X204,"f",FALSE)</f>
        <v>42425</v>
      </c>
      <c r="Z204" s="108">
        <f>_xll.qlCalendarAdvance(Calendar,Y204,0&amp;"D")</f>
        <v>42425</v>
      </c>
      <c r="AA204" s="109">
        <v>-1.4228439803964932E-3</v>
      </c>
      <c r="AB204" s="363">
        <f t="shared" ref="AB204:AB267" si="14">AA204-AC204</f>
        <v>0</v>
      </c>
      <c r="AC204" s="236">
        <v>-1.4228439803964932E-3</v>
      </c>
      <c r="AD204" s="236">
        <v>-1.4407976947916623E-3</v>
      </c>
    </row>
    <row r="205" spans="23:30" x14ac:dyDescent="0.2">
      <c r="W205" s="144"/>
      <c r="X205" s="113" t="str">
        <f t="shared" ref="X205:X268" si="15">X204</f>
        <v>1D</v>
      </c>
      <c r="Y205" s="106">
        <f>_xll.qlCalendarAdvance(Calendar,Y204,X205,"f",FALSE)</f>
        <v>42426</v>
      </c>
      <c r="Z205" s="108">
        <f>_xll.qlCalendarAdvance(Calendar,Y205,0&amp;"D")</f>
        <v>42426</v>
      </c>
      <c r="AA205" s="109">
        <v>-1.4228383568415381E-3</v>
      </c>
      <c r="AB205" s="363">
        <f t="shared" si="14"/>
        <v>0</v>
      </c>
      <c r="AC205" s="236">
        <v>-1.4228383568415381E-3</v>
      </c>
      <c r="AD205" s="236">
        <v>-1.4380007308245624E-3</v>
      </c>
    </row>
    <row r="206" spans="23:30" x14ac:dyDescent="0.2">
      <c r="W206" s="144"/>
      <c r="X206" s="113" t="str">
        <f t="shared" si="15"/>
        <v>1D</v>
      </c>
      <c r="Y206" s="106">
        <f>_xll.qlCalendarAdvance(Calendar,Y205,X206,"f",FALSE)</f>
        <v>42429</v>
      </c>
      <c r="Z206" s="108">
        <f>_xll.qlCalendarAdvance(Calendar,Y206,0&amp;"D")</f>
        <v>42429</v>
      </c>
      <c r="AA206" s="109">
        <v>-3.4284500894266046E-4</v>
      </c>
      <c r="AB206" s="363">
        <f t="shared" si="14"/>
        <v>0</v>
      </c>
      <c r="AC206" s="236">
        <v>-3.4284500894266046E-4</v>
      </c>
      <c r="AD206" s="236">
        <v>-3.5453648920658054E-4</v>
      </c>
    </row>
    <row r="207" spans="23:30" x14ac:dyDescent="0.2">
      <c r="W207" s="144"/>
      <c r="X207" s="113" t="str">
        <f t="shared" si="15"/>
        <v>1D</v>
      </c>
      <c r="Y207" s="106">
        <f>_xll.qlCalendarAdvance(Calendar,Y206,X207,"f",FALSE)</f>
        <v>42430</v>
      </c>
      <c r="Z207" s="108">
        <f>_xll.qlCalendarAdvance(Calendar,Y207,0&amp;"D")</f>
        <v>42430</v>
      </c>
      <c r="AA207" s="109">
        <v>-1.4228439803964932E-3</v>
      </c>
      <c r="AB207" s="363">
        <f t="shared" si="14"/>
        <v>0</v>
      </c>
      <c r="AC207" s="236">
        <v>-1.4228439803964932E-3</v>
      </c>
      <c r="AD207" s="236">
        <v>-1.4324599861481602E-3</v>
      </c>
    </row>
    <row r="208" spans="23:30" x14ac:dyDescent="0.2">
      <c r="W208" s="144"/>
      <c r="X208" s="113" t="str">
        <f t="shared" si="15"/>
        <v>1D</v>
      </c>
      <c r="Y208" s="106">
        <f>_xll.qlCalendarAdvance(Calendar,Y207,X208,"f",FALSE)</f>
        <v>42431</v>
      </c>
      <c r="Z208" s="108">
        <f>_xll.qlCalendarAdvance(Calendar,Y208,0&amp;"D")</f>
        <v>42431</v>
      </c>
      <c r="AA208" s="109">
        <v>-1.4228439804764292E-3</v>
      </c>
      <c r="AB208" s="363">
        <f t="shared" si="14"/>
        <v>0</v>
      </c>
      <c r="AC208" s="236">
        <v>-1.4228439804764292E-3</v>
      </c>
      <c r="AD208" s="236">
        <v>-1.4301805978700344E-3</v>
      </c>
    </row>
    <row r="209" spans="23:30" x14ac:dyDescent="0.2">
      <c r="W209" s="144"/>
      <c r="X209" s="113" t="str">
        <f t="shared" si="15"/>
        <v>1D</v>
      </c>
      <c r="Y209" s="106">
        <f>_xll.qlCalendarAdvance(Calendar,Y208,X209,"f",FALSE)</f>
        <v>42432</v>
      </c>
      <c r="Z209" s="108">
        <f>_xll.qlCalendarAdvance(Calendar,Y209,0&amp;"D")</f>
        <v>42432</v>
      </c>
      <c r="AA209" s="109">
        <v>-1.4228439802765891E-3</v>
      </c>
      <c r="AB209" s="363">
        <f t="shared" si="14"/>
        <v>0</v>
      </c>
      <c r="AC209" s="236">
        <v>-1.4228439802765891E-3</v>
      </c>
      <c r="AD209" s="236">
        <v>-1.4276972608540106E-3</v>
      </c>
    </row>
    <row r="210" spans="23:30" x14ac:dyDescent="0.2">
      <c r="W210" s="144"/>
      <c r="X210" s="113" t="str">
        <f t="shared" si="15"/>
        <v>1D</v>
      </c>
      <c r="Y210" s="106">
        <f>_xll.qlCalendarAdvance(Calendar,Y209,X210,"f",FALSE)</f>
        <v>42433</v>
      </c>
      <c r="Z210" s="108">
        <f>_xll.qlCalendarAdvance(Calendar,Y210,0&amp;"D")</f>
        <v>42433</v>
      </c>
      <c r="AA210" s="109">
        <v>-1.4228383568681835E-3</v>
      </c>
      <c r="AB210" s="363">
        <f t="shared" si="14"/>
        <v>0</v>
      </c>
      <c r="AC210" s="236">
        <v>-1.4228383568681835E-3</v>
      </c>
      <c r="AD210" s="236">
        <v>-1.4220451398827549E-3</v>
      </c>
    </row>
    <row r="211" spans="23:30" x14ac:dyDescent="0.2">
      <c r="W211" s="144"/>
      <c r="X211" s="113" t="str">
        <f t="shared" si="15"/>
        <v>1D</v>
      </c>
      <c r="Y211" s="106">
        <f>_xll.qlCalendarAdvance(Calendar,Y210,X211,"f",FALSE)</f>
        <v>42436</v>
      </c>
      <c r="Z211" s="108">
        <f>_xll.qlCalendarAdvance(Calendar,Y211,0&amp;"D")</f>
        <v>42436</v>
      </c>
      <c r="AA211" s="109">
        <v>-1.4228439803565252E-3</v>
      </c>
      <c r="AB211" s="363">
        <f t="shared" si="14"/>
        <v>0</v>
      </c>
      <c r="AC211" s="236">
        <v>-1.4228439803565252E-3</v>
      </c>
      <c r="AD211" s="236">
        <v>-1.4157244240520228E-3</v>
      </c>
    </row>
    <row r="212" spans="23:30" x14ac:dyDescent="0.2">
      <c r="W212" s="144"/>
      <c r="X212" s="113" t="str">
        <f t="shared" si="15"/>
        <v>1D</v>
      </c>
      <c r="Y212" s="106">
        <f>_xll.qlCalendarAdvance(Calendar,Y211,X212,"f",FALSE)</f>
        <v>42437</v>
      </c>
      <c r="Z212" s="108">
        <f>_xll.qlCalendarAdvance(Calendar,Y212,0&amp;"D")</f>
        <v>42437</v>
      </c>
      <c r="AA212" s="109">
        <v>-1.4228439803964932E-3</v>
      </c>
      <c r="AB212" s="363">
        <f t="shared" si="14"/>
        <v>0</v>
      </c>
      <c r="AC212" s="236">
        <v>-1.4228439803964932E-3</v>
      </c>
      <c r="AD212" s="236">
        <v>-1.4122213426670527E-3</v>
      </c>
    </row>
    <row r="213" spans="23:30" x14ac:dyDescent="0.2">
      <c r="W213" s="144"/>
      <c r="X213" s="113" t="str">
        <f t="shared" si="15"/>
        <v>1D</v>
      </c>
      <c r="Y213" s="106">
        <f>_xll.qlCalendarAdvance(Calendar,Y212,X213,"f",FALSE)</f>
        <v>42438</v>
      </c>
      <c r="Z213" s="108">
        <f>_xll.qlCalendarAdvance(Calendar,Y213,0&amp;"D")</f>
        <v>42438</v>
      </c>
      <c r="AA213" s="109">
        <v>-1.4228439803964932E-3</v>
      </c>
      <c r="AB213" s="363">
        <f t="shared" si="14"/>
        <v>0</v>
      </c>
      <c r="AC213" s="236">
        <v>-1.4228439803964932E-3</v>
      </c>
      <c r="AD213" s="236">
        <v>-1.4085143123843125E-3</v>
      </c>
    </row>
    <row r="214" spans="23:30" x14ac:dyDescent="0.2">
      <c r="W214" s="144"/>
      <c r="X214" s="113" t="str">
        <f t="shared" si="15"/>
        <v>1D</v>
      </c>
      <c r="Y214" s="106">
        <f>_xll.qlCalendarAdvance(Calendar,Y213,X214,"f",FALSE)</f>
        <v>42439</v>
      </c>
      <c r="Z214" s="108">
        <f>_xll.qlCalendarAdvance(Calendar,Y214,0&amp;"D")</f>
        <v>42439</v>
      </c>
      <c r="AA214" s="109">
        <v>-1.4228439804364612E-3</v>
      </c>
      <c r="AB214" s="363">
        <f t="shared" si="14"/>
        <v>0</v>
      </c>
      <c r="AC214" s="236">
        <v>-1.4228439804364612E-3</v>
      </c>
      <c r="AD214" s="236">
        <v>-1.4046033333237062E-3</v>
      </c>
    </row>
    <row r="215" spans="23:30" x14ac:dyDescent="0.2">
      <c r="W215" s="144"/>
      <c r="X215" s="113" t="str">
        <f t="shared" si="15"/>
        <v>1D</v>
      </c>
      <c r="Y215" s="106">
        <f>_xll.qlCalendarAdvance(Calendar,Y214,X215,"f",FALSE)</f>
        <v>42440</v>
      </c>
      <c r="Z215" s="108">
        <f>_xll.qlCalendarAdvance(Calendar,Y215,0&amp;"D")</f>
        <v>42440</v>
      </c>
      <c r="AA215" s="109">
        <v>-1.4228383568282155E-3</v>
      </c>
      <c r="AB215" s="363">
        <f t="shared" si="14"/>
        <v>0</v>
      </c>
      <c r="AC215" s="236">
        <v>-1.4228383568282155E-3</v>
      </c>
      <c r="AD215" s="236">
        <v>-1.3960961312609044E-3</v>
      </c>
    </row>
    <row r="216" spans="23:30" x14ac:dyDescent="0.2">
      <c r="W216" s="144"/>
      <c r="X216" s="113" t="str">
        <f t="shared" si="15"/>
        <v>1D</v>
      </c>
      <c r="Y216" s="106">
        <f>_xll.qlCalendarAdvance(Calendar,Y215,X216,"f",FALSE)</f>
        <v>42443</v>
      </c>
      <c r="Z216" s="108">
        <f>_xll.qlCalendarAdvance(Calendar,Y216,0&amp;"D")</f>
        <v>42443</v>
      </c>
      <c r="AA216" s="109">
        <v>-1.4228439804764292E-3</v>
      </c>
      <c r="AB216" s="363">
        <f t="shared" si="14"/>
        <v>0</v>
      </c>
      <c r="AC216" s="236">
        <v>-1.4228439804764292E-3</v>
      </c>
      <c r="AD216" s="236">
        <v>-1.3869199279437083E-3</v>
      </c>
    </row>
    <row r="217" spans="23:30" x14ac:dyDescent="0.2">
      <c r="W217" s="144"/>
      <c r="X217" s="113" t="str">
        <f t="shared" si="15"/>
        <v>1D</v>
      </c>
      <c r="Y217" s="106">
        <f>_xll.qlCalendarAdvance(Calendar,Y216,X217,"f",FALSE)</f>
        <v>42444</v>
      </c>
      <c r="Z217" s="108">
        <f>_xll.qlCalendarAdvance(Calendar,Y217,0&amp;"D")</f>
        <v>42444</v>
      </c>
      <c r="AA217" s="109">
        <v>-1.4228439803565252E-3</v>
      </c>
      <c r="AB217" s="363">
        <f t="shared" si="14"/>
        <v>0</v>
      </c>
      <c r="AC217" s="236">
        <v>-1.4228439803565252E-3</v>
      </c>
      <c r="AD217" s="236">
        <v>-1.3819892042343795E-3</v>
      </c>
    </row>
    <row r="218" spans="23:30" x14ac:dyDescent="0.2">
      <c r="W218" s="144"/>
      <c r="X218" s="113" t="str">
        <f t="shared" si="15"/>
        <v>1D</v>
      </c>
      <c r="Y218" s="106">
        <f>_xll.qlCalendarAdvance(Calendar,Y217,X218,"f",FALSE)</f>
        <v>42445</v>
      </c>
      <c r="Z218" s="108">
        <f>_xll.qlCalendarAdvance(Calendar,Y218,0&amp;"D")</f>
        <v>42445</v>
      </c>
      <c r="AA218" s="109">
        <v>-1.3326632865640065E-3</v>
      </c>
      <c r="AB218" s="363">
        <f t="shared" si="14"/>
        <v>0</v>
      </c>
      <c r="AC218" s="236">
        <v>-1.3326632865640065E-3</v>
      </c>
      <c r="AD218" s="236">
        <v>-1.376923123839191E-3</v>
      </c>
    </row>
    <row r="219" spans="23:30" x14ac:dyDescent="0.2">
      <c r="W219" s="144"/>
      <c r="X219" s="113" t="str">
        <f t="shared" si="15"/>
        <v>1D</v>
      </c>
      <c r="Y219" s="106">
        <f>_xll.qlCalendarAdvance(Calendar,Y218,X219,"f",FALSE)</f>
        <v>42446</v>
      </c>
      <c r="Z219" s="108">
        <f>_xll.qlCalendarAdvance(Calendar,Y219,0&amp;"D")</f>
        <v>42446</v>
      </c>
      <c r="AA219" s="109">
        <v>-1.3326632865240384E-3</v>
      </c>
      <c r="AB219" s="363">
        <f t="shared" si="14"/>
        <v>0</v>
      </c>
      <c r="AC219" s="236">
        <v>-1.3326632865240384E-3</v>
      </c>
      <c r="AD219" s="236">
        <v>-1.3719960552061039E-3</v>
      </c>
    </row>
    <row r="220" spans="23:30" x14ac:dyDescent="0.2">
      <c r="W220" s="144"/>
      <c r="X220" s="113" t="str">
        <f t="shared" si="15"/>
        <v>1D</v>
      </c>
      <c r="Y220" s="106">
        <f>_xll.qlCalendarAdvance(Calendar,Y219,X220,"f",FALSE)</f>
        <v>42447</v>
      </c>
      <c r="Z220" s="108">
        <f>_xll.qlCalendarAdvance(Calendar,Y220,0&amp;"D")</f>
        <v>42447</v>
      </c>
      <c r="AA220" s="109">
        <v>-1.3326583532569103E-3</v>
      </c>
      <c r="AB220" s="363">
        <f t="shared" si="14"/>
        <v>0</v>
      </c>
      <c r="AC220" s="236">
        <v>-1.3326583532569103E-3</v>
      </c>
      <c r="AD220" s="236">
        <v>-1.3628287714206877E-3</v>
      </c>
    </row>
    <row r="221" spans="23:30" x14ac:dyDescent="0.2">
      <c r="W221" s="144"/>
      <c r="X221" s="113" t="str">
        <f t="shared" si="15"/>
        <v>1D</v>
      </c>
      <c r="Y221" s="106">
        <f>_xll.qlCalendarAdvance(Calendar,Y220,X221,"f",FALSE)</f>
        <v>42450</v>
      </c>
      <c r="Z221" s="108">
        <f>_xll.qlCalendarAdvance(Calendar,Y221,0&amp;"D")</f>
        <v>42450</v>
      </c>
      <c r="AA221" s="109">
        <v>-1.3326632864840704E-3</v>
      </c>
      <c r="AB221" s="363">
        <f t="shared" si="14"/>
        <v>0</v>
      </c>
      <c r="AC221" s="236">
        <v>-1.3326632864840704E-3</v>
      </c>
      <c r="AD221" s="236">
        <v>-1.354363818975024E-3</v>
      </c>
    </row>
    <row r="222" spans="23:30" x14ac:dyDescent="0.2">
      <c r="W222" s="144"/>
      <c r="X222" s="113" t="str">
        <f t="shared" si="15"/>
        <v>1D</v>
      </c>
      <c r="Y222" s="106">
        <f>_xll.qlCalendarAdvance(Calendar,Y221,X222,"f",FALSE)</f>
        <v>42451</v>
      </c>
      <c r="Z222" s="108">
        <f>_xll.qlCalendarAdvance(Calendar,Y222,0&amp;"D")</f>
        <v>42451</v>
      </c>
      <c r="AA222" s="109">
        <v>-1.3326632865640065E-3</v>
      </c>
      <c r="AB222" s="363">
        <f t="shared" si="14"/>
        <v>0</v>
      </c>
      <c r="AC222" s="236">
        <v>-1.3326632865640065E-3</v>
      </c>
      <c r="AD222" s="236">
        <v>-1.3504747697723474E-3</v>
      </c>
    </row>
    <row r="223" spans="23:30" x14ac:dyDescent="0.2">
      <c r="W223" s="144"/>
      <c r="X223" s="113" t="str">
        <f t="shared" si="15"/>
        <v>1D</v>
      </c>
      <c r="Y223" s="106">
        <f>_xll.qlCalendarAdvance(Calendar,Y222,X223,"f",FALSE)</f>
        <v>42452</v>
      </c>
      <c r="Z223" s="108">
        <f>_xll.qlCalendarAdvance(Calendar,Y223,0&amp;"D")</f>
        <v>42452</v>
      </c>
      <c r="AA223" s="109">
        <v>-1.3326632865640065E-3</v>
      </c>
      <c r="AB223" s="363">
        <f t="shared" si="14"/>
        <v>0</v>
      </c>
      <c r="AC223" s="236">
        <v>-1.3326632865640065E-3</v>
      </c>
      <c r="AD223" s="236">
        <v>-1.3467933242639063E-3</v>
      </c>
    </row>
    <row r="224" spans="23:30" x14ac:dyDescent="0.2">
      <c r="W224" s="144"/>
      <c r="X224" s="113" t="str">
        <f t="shared" si="15"/>
        <v>1D</v>
      </c>
      <c r="Y224" s="106">
        <f>_xll.qlCalendarAdvance(Calendar,Y223,X224,"f",FALSE)</f>
        <v>42453</v>
      </c>
      <c r="Z224" s="108">
        <f>_xll.qlCalendarAdvance(Calendar,Y224,0&amp;"D")</f>
        <v>42453</v>
      </c>
      <c r="AA224" s="109">
        <v>-1.3326534199684659E-3</v>
      </c>
      <c r="AB224" s="363">
        <f t="shared" si="14"/>
        <v>0</v>
      </c>
      <c r="AC224" s="236">
        <v>-1.3326534199684659E-3</v>
      </c>
      <c r="AD224" s="236">
        <v>-1.3371922814791048E-3</v>
      </c>
    </row>
    <row r="225" spans="23:30" x14ac:dyDescent="0.2">
      <c r="W225" s="144"/>
      <c r="X225" s="113" t="str">
        <f t="shared" si="15"/>
        <v>1D</v>
      </c>
      <c r="Y225" s="106">
        <f>_xll.qlCalendarAdvance(Calendar,Y224,X225,"f",FALSE)</f>
        <v>42458</v>
      </c>
      <c r="Z225" s="108">
        <f>_xll.qlCalendarAdvance(Calendar,Y225,0&amp;"D")</f>
        <v>42458</v>
      </c>
      <c r="AA225" s="109">
        <v>-1.3326632864840704E-3</v>
      </c>
      <c r="AB225" s="363">
        <f t="shared" si="14"/>
        <v>0</v>
      </c>
      <c r="AC225" s="236">
        <v>-1.3326632864840704E-3</v>
      </c>
      <c r="AD225" s="236">
        <v>-1.3290643338681463E-3</v>
      </c>
    </row>
    <row r="226" spans="23:30" x14ac:dyDescent="0.2">
      <c r="W226" s="144"/>
      <c r="X226" s="113" t="str">
        <f t="shared" si="15"/>
        <v>1D</v>
      </c>
      <c r="Y226" s="106">
        <f>_xll.qlCalendarAdvance(Calendar,Y225,X226,"f",FALSE)</f>
        <v>42459</v>
      </c>
      <c r="Z226" s="108">
        <f>_xll.qlCalendarAdvance(Calendar,Y226,0&amp;"D")</f>
        <v>42459</v>
      </c>
      <c r="AA226" s="109">
        <v>-1.3326632866039745E-3</v>
      </c>
      <c r="AB226" s="363">
        <f t="shared" si="14"/>
        <v>0</v>
      </c>
      <c r="AC226" s="236">
        <v>-1.3326632866039745E-3</v>
      </c>
      <c r="AD226" s="236">
        <v>-1.3268361158580433E-3</v>
      </c>
    </row>
    <row r="227" spans="23:30" x14ac:dyDescent="0.2">
      <c r="W227" s="144"/>
      <c r="X227" s="113" t="str">
        <f t="shared" si="15"/>
        <v>1D</v>
      </c>
      <c r="Y227" s="106">
        <f>_xll.qlCalendarAdvance(Calendar,Y226,X227,"f",FALSE)</f>
        <v>42460</v>
      </c>
      <c r="Z227" s="108">
        <f>_xll.qlCalendarAdvance(Calendar,Y227,0&amp;"D")</f>
        <v>42460</v>
      </c>
      <c r="AA227" s="109">
        <v>1.2953461695275337E-3</v>
      </c>
      <c r="AB227" s="363">
        <f t="shared" si="14"/>
        <v>0</v>
      </c>
      <c r="AC227" s="236">
        <v>1.2953461695275337E-3</v>
      </c>
      <c r="AD227" s="236">
        <v>1.3031940114238694E-3</v>
      </c>
    </row>
    <row r="228" spans="23:30" x14ac:dyDescent="0.2">
      <c r="W228" s="144"/>
      <c r="X228" s="113" t="str">
        <f t="shared" si="15"/>
        <v>1D</v>
      </c>
      <c r="Y228" s="106">
        <f>_xll.qlCalendarAdvance(Calendar,Y227,X228,"f",FALSE)</f>
        <v>42461</v>
      </c>
      <c r="Z228" s="108">
        <f>_xll.qlCalendarAdvance(Calendar,Y228,0&amp;"D")</f>
        <v>42461</v>
      </c>
      <c r="AA228" s="109">
        <v>-1.332658353270233E-3</v>
      </c>
      <c r="AB228" s="363">
        <f t="shared" si="14"/>
        <v>0</v>
      </c>
      <c r="AC228" s="236">
        <v>-1.332658353270233E-3</v>
      </c>
      <c r="AD228" s="236">
        <v>-1.3214614361567456E-3</v>
      </c>
    </row>
    <row r="229" spans="23:30" x14ac:dyDescent="0.2">
      <c r="W229" s="144"/>
      <c r="X229" s="113" t="str">
        <f t="shared" si="15"/>
        <v>1D</v>
      </c>
      <c r="Y229" s="106">
        <f>_xll.qlCalendarAdvance(Calendar,Y228,X229,"f",FALSE)</f>
        <v>42464</v>
      </c>
      <c r="Z229" s="108">
        <f>_xll.qlCalendarAdvance(Calendar,Y229,0&amp;"D")</f>
        <v>42464</v>
      </c>
      <c r="AA229" s="109">
        <v>-1.3326632864441024E-3</v>
      </c>
      <c r="AB229" s="363">
        <f t="shared" si="14"/>
        <v>0</v>
      </c>
      <c r="AC229" s="236">
        <v>-1.3326632864441024E-3</v>
      </c>
      <c r="AD229" s="236">
        <v>-1.3188090850979606E-3</v>
      </c>
    </row>
    <row r="230" spans="23:30" x14ac:dyDescent="0.2">
      <c r="W230" s="144"/>
      <c r="X230" s="113" t="str">
        <f t="shared" si="15"/>
        <v>1D</v>
      </c>
      <c r="Y230" s="106">
        <f>_xll.qlCalendarAdvance(Calendar,Y229,X230,"f",FALSE)</f>
        <v>42465</v>
      </c>
      <c r="Z230" s="108">
        <f>_xll.qlCalendarAdvance(Calendar,Y230,0&amp;"D")</f>
        <v>42465</v>
      </c>
      <c r="AA230" s="109">
        <v>-1.3326632866439425E-3</v>
      </c>
      <c r="AB230" s="363">
        <f t="shared" si="14"/>
        <v>0</v>
      </c>
      <c r="AC230" s="236">
        <v>-1.3326632866439425E-3</v>
      </c>
      <c r="AD230" s="236">
        <v>-1.3178264908120241E-3</v>
      </c>
    </row>
    <row r="231" spans="23:30" x14ac:dyDescent="0.2">
      <c r="W231" s="144"/>
      <c r="X231" s="113" t="str">
        <f t="shared" si="15"/>
        <v>1D</v>
      </c>
      <c r="Y231" s="106">
        <f>_xll.qlCalendarAdvance(Calendar,Y230,X231,"f",FALSE)</f>
        <v>42466</v>
      </c>
      <c r="Z231" s="108">
        <f>_xll.qlCalendarAdvance(Calendar,Y231,0&amp;"D")</f>
        <v>42466</v>
      </c>
      <c r="AA231" s="109">
        <v>-1.3326632864840704E-3</v>
      </c>
      <c r="AB231" s="363">
        <f t="shared" si="14"/>
        <v>0</v>
      </c>
      <c r="AC231" s="236">
        <v>-1.3326632864840704E-3</v>
      </c>
      <c r="AD231" s="236">
        <v>-1.3170515004601313E-3</v>
      </c>
    </row>
    <row r="232" spans="23:30" x14ac:dyDescent="0.2">
      <c r="W232" s="144"/>
      <c r="X232" s="113" t="str">
        <f t="shared" si="15"/>
        <v>1D</v>
      </c>
      <c r="Y232" s="106">
        <f>_xll.qlCalendarAdvance(Calendar,Y231,X232,"f",FALSE)</f>
        <v>42467</v>
      </c>
      <c r="Z232" s="108">
        <f>_xll.qlCalendarAdvance(Calendar,Y232,0&amp;"D")</f>
        <v>42467</v>
      </c>
      <c r="AA232" s="109">
        <v>-1.3326632865640065E-3</v>
      </c>
      <c r="AB232" s="363">
        <f t="shared" si="14"/>
        <v>0</v>
      </c>
      <c r="AC232" s="236">
        <v>-1.3326632865640065E-3</v>
      </c>
      <c r="AD232" s="236">
        <v>-1.3164841140023142E-3</v>
      </c>
    </row>
    <row r="233" spans="23:30" x14ac:dyDescent="0.2">
      <c r="W233" s="144"/>
      <c r="X233" s="113" t="str">
        <f t="shared" si="15"/>
        <v>1D</v>
      </c>
      <c r="Y233" s="106">
        <f>_xll.qlCalendarAdvance(Calendar,Y232,X233,"f",FALSE)</f>
        <v>42468</v>
      </c>
      <c r="Z233" s="108">
        <f>_xll.qlCalendarAdvance(Calendar,Y233,0&amp;"D")</f>
        <v>42468</v>
      </c>
      <c r="AA233" s="109">
        <v>-1.332658353270233E-3</v>
      </c>
      <c r="AB233" s="363">
        <f t="shared" si="14"/>
        <v>0</v>
      </c>
      <c r="AC233" s="236">
        <v>-1.332658353270233E-3</v>
      </c>
      <c r="AD233" s="236">
        <v>-1.3160365434083943E-3</v>
      </c>
    </row>
    <row r="234" spans="23:30" x14ac:dyDescent="0.2">
      <c r="W234" s="144"/>
      <c r="X234" s="113" t="str">
        <f t="shared" si="15"/>
        <v>1D</v>
      </c>
      <c r="Y234" s="106">
        <f>_xll.qlCalendarAdvance(Calendar,Y233,X234,"f",FALSE)</f>
        <v>42471</v>
      </c>
      <c r="Z234" s="108">
        <f>_xll.qlCalendarAdvance(Calendar,Y234,0&amp;"D")</f>
        <v>42471</v>
      </c>
      <c r="AA234" s="109">
        <v>-1.3326632864840704E-3</v>
      </c>
      <c r="AB234" s="363">
        <f t="shared" si="14"/>
        <v>0</v>
      </c>
      <c r="AC234" s="236">
        <v>-1.3326632864840704E-3</v>
      </c>
      <c r="AD234" s="236">
        <v>-1.3162906081110037E-3</v>
      </c>
    </row>
    <row r="235" spans="23:30" x14ac:dyDescent="0.2">
      <c r="W235" s="144"/>
      <c r="X235" s="113" t="str">
        <f t="shared" si="15"/>
        <v>1D</v>
      </c>
      <c r="Y235" s="106">
        <f>_xll.qlCalendarAdvance(Calendar,Y234,X235,"f",FALSE)</f>
        <v>42472</v>
      </c>
      <c r="Z235" s="108">
        <f>_xll.qlCalendarAdvance(Calendar,Y235,0&amp;"D")</f>
        <v>42472</v>
      </c>
      <c r="AA235" s="109">
        <v>-1.3326632865240384E-3</v>
      </c>
      <c r="AB235" s="363">
        <f t="shared" si="14"/>
        <v>0</v>
      </c>
      <c r="AC235" s="236">
        <v>-1.3326632865240384E-3</v>
      </c>
      <c r="AD235" s="236">
        <v>-1.3167612412834373E-3</v>
      </c>
    </row>
    <row r="236" spans="23:30" x14ac:dyDescent="0.2">
      <c r="W236" s="144"/>
      <c r="X236" s="113" t="str">
        <f t="shared" si="15"/>
        <v>1D</v>
      </c>
      <c r="Y236" s="106">
        <f>_xll.qlCalendarAdvance(Calendar,Y235,X236,"f",FALSE)</f>
        <v>42473</v>
      </c>
      <c r="Z236" s="108">
        <f>_xll.qlCalendarAdvance(Calendar,Y236,0&amp;"D")</f>
        <v>42473</v>
      </c>
      <c r="AA236" s="109">
        <v>-1.3326632865640065E-3</v>
      </c>
      <c r="AB236" s="363">
        <f t="shared" si="14"/>
        <v>0</v>
      </c>
      <c r="AC236" s="236">
        <v>-1.3326632865640065E-3</v>
      </c>
      <c r="AD236" s="236">
        <v>-1.3174394788295629E-3</v>
      </c>
    </row>
    <row r="237" spans="23:30" x14ac:dyDescent="0.2">
      <c r="W237" s="144"/>
      <c r="X237" s="113" t="str">
        <f t="shared" si="15"/>
        <v>1D</v>
      </c>
      <c r="Y237" s="106">
        <f>_xll.qlCalendarAdvance(Calendar,Y236,X237,"f",FALSE)</f>
        <v>42474</v>
      </c>
      <c r="Z237" s="108">
        <f>_xll.qlCalendarAdvance(Calendar,Y237,0&amp;"D")</f>
        <v>42474</v>
      </c>
      <c r="AA237" s="109">
        <v>-1.3326632865240384E-3</v>
      </c>
      <c r="AB237" s="363">
        <f t="shared" si="14"/>
        <v>0</v>
      </c>
      <c r="AC237" s="236">
        <v>-1.3326632865240384E-3</v>
      </c>
      <c r="AD237" s="236">
        <v>-1.318325319910052E-3</v>
      </c>
    </row>
    <row r="238" spans="23:30" x14ac:dyDescent="0.2">
      <c r="W238" s="144"/>
      <c r="X238" s="113" t="str">
        <f t="shared" si="15"/>
        <v>1D</v>
      </c>
      <c r="Y238" s="106">
        <f>_xll.qlCalendarAdvance(Calendar,Y237,X238,"f",FALSE)</f>
        <v>42475</v>
      </c>
      <c r="Z238" s="108">
        <f>_xll.qlCalendarAdvance(Calendar,Y238,0&amp;"D")</f>
        <v>42475</v>
      </c>
      <c r="AA238" s="109">
        <v>-1.3326583532569103E-3</v>
      </c>
      <c r="AB238" s="363">
        <f t="shared" si="14"/>
        <v>0</v>
      </c>
      <c r="AC238" s="236">
        <v>-1.3326583532569103E-3</v>
      </c>
      <c r="AD238" s="236">
        <v>-1.3207841700202394E-3</v>
      </c>
    </row>
    <row r="239" spans="23:30" x14ac:dyDescent="0.2">
      <c r="W239" s="144"/>
      <c r="X239" s="113" t="str">
        <f t="shared" si="15"/>
        <v>1D</v>
      </c>
      <c r="Y239" s="106">
        <f>_xll.qlCalendarAdvance(Calendar,Y238,X239,"f",FALSE)</f>
        <v>42478</v>
      </c>
      <c r="Z239" s="108">
        <f>_xll.qlCalendarAdvance(Calendar,Y239,0&amp;"D")</f>
        <v>42478</v>
      </c>
      <c r="AA239" s="109">
        <v>-1.3326632865240384E-3</v>
      </c>
      <c r="AB239" s="363">
        <f t="shared" si="14"/>
        <v>0</v>
      </c>
      <c r="AC239" s="236">
        <v>-1.3326632865240384E-3</v>
      </c>
      <c r="AD239" s="236">
        <v>-1.3239447246515823E-3</v>
      </c>
    </row>
    <row r="240" spans="23:30" x14ac:dyDescent="0.2">
      <c r="W240" s="144"/>
      <c r="X240" s="113" t="str">
        <f t="shared" si="15"/>
        <v>1D</v>
      </c>
      <c r="Y240" s="106">
        <f>_xll.qlCalendarAdvance(Calendar,Y239,X240,"f",FALSE)</f>
        <v>42479</v>
      </c>
      <c r="Z240" s="108">
        <f>_xll.qlCalendarAdvance(Calendar,Y240,0&amp;"D")</f>
        <v>42479</v>
      </c>
      <c r="AA240" s="109">
        <v>-1.3326632865240384E-3</v>
      </c>
      <c r="AB240" s="363">
        <f t="shared" si="14"/>
        <v>0</v>
      </c>
      <c r="AC240" s="236">
        <v>-1.3326632865240384E-3</v>
      </c>
      <c r="AD240" s="236">
        <v>-1.3258685857220343E-3</v>
      </c>
    </row>
    <row r="241" spans="23:30" x14ac:dyDescent="0.2">
      <c r="W241" s="144"/>
      <c r="X241" s="113" t="str">
        <f t="shared" si="15"/>
        <v>1D</v>
      </c>
      <c r="Y241" s="106">
        <f>_xll.qlCalendarAdvance(Calendar,Y240,X241,"f",FALSE)</f>
        <v>42480</v>
      </c>
      <c r="Z241" s="108">
        <f>_xll.qlCalendarAdvance(Calendar,Y241,0&amp;"D")</f>
        <v>42480</v>
      </c>
      <c r="AA241" s="109">
        <v>-1.3326632866039745E-3</v>
      </c>
      <c r="AB241" s="363">
        <f t="shared" si="14"/>
        <v>0</v>
      </c>
      <c r="AC241" s="236">
        <v>-1.3326632866039745E-3</v>
      </c>
      <c r="AD241" s="236">
        <v>-1.3280000506465939E-3</v>
      </c>
    </row>
    <row r="242" spans="23:30" x14ac:dyDescent="0.2">
      <c r="W242" s="144"/>
      <c r="X242" s="113" t="str">
        <f t="shared" si="15"/>
        <v>1D</v>
      </c>
      <c r="Y242" s="106">
        <f>_xll.qlCalendarAdvance(Calendar,Y241,X242,"f",FALSE)</f>
        <v>42481</v>
      </c>
      <c r="Z242" s="108">
        <f>_xll.qlCalendarAdvance(Calendar,Y242,0&amp;"D")</f>
        <v>42481</v>
      </c>
      <c r="AA242" s="109">
        <v>-1.3326632864840704E-3</v>
      </c>
      <c r="AB242" s="363">
        <f t="shared" si="14"/>
        <v>0</v>
      </c>
      <c r="AC242" s="236">
        <v>-1.3326632864840704E-3</v>
      </c>
      <c r="AD242" s="236">
        <v>-1.3303391195451653E-3</v>
      </c>
    </row>
    <row r="243" spans="23:30" x14ac:dyDescent="0.2">
      <c r="W243" s="144"/>
      <c r="X243" s="113" t="str">
        <f t="shared" si="15"/>
        <v>1D</v>
      </c>
      <c r="Y243" s="106">
        <f>_xll.qlCalendarAdvance(Calendar,Y242,X243,"f",FALSE)</f>
        <v>42482</v>
      </c>
      <c r="Z243" s="108">
        <f>_xll.qlCalendarAdvance(Calendar,Y243,0&amp;"D")</f>
        <v>42482</v>
      </c>
      <c r="AA243" s="109">
        <v>-1.3326583532569103E-3</v>
      </c>
      <c r="AB243" s="363">
        <f t="shared" si="14"/>
        <v>0</v>
      </c>
      <c r="AC243" s="236">
        <v>-1.3326583532569103E-3</v>
      </c>
      <c r="AD243" s="236">
        <v>-1.3357043146466907E-3</v>
      </c>
    </row>
    <row r="244" spans="23:30" x14ac:dyDescent="0.2">
      <c r="W244" s="144"/>
      <c r="X244" s="113" t="str">
        <f t="shared" si="15"/>
        <v>1D</v>
      </c>
      <c r="Y244" s="106">
        <f>_xll.qlCalendarAdvance(Calendar,Y243,X244,"f",FALSE)</f>
        <v>42485</v>
      </c>
      <c r="Z244" s="108">
        <f>_xll.qlCalendarAdvance(Calendar,Y244,0&amp;"D")</f>
        <v>42485</v>
      </c>
      <c r="AA244" s="109">
        <v>-1.3326632865240384E-3</v>
      </c>
      <c r="AB244" s="363">
        <f t="shared" si="14"/>
        <v>0</v>
      </c>
      <c r="AC244" s="236">
        <v>-1.3326632865240384E-3</v>
      </c>
      <c r="AD244" s="236">
        <v>-1.3417714345198561E-3</v>
      </c>
    </row>
    <row r="245" spans="23:30" x14ac:dyDescent="0.2">
      <c r="W245" s="144"/>
      <c r="X245" s="113" t="str">
        <f t="shared" si="15"/>
        <v>1D</v>
      </c>
      <c r="Y245" s="106">
        <f>_xll.qlCalendarAdvance(Calendar,Y244,X245,"f",FALSE)</f>
        <v>42486</v>
      </c>
      <c r="Z245" s="108">
        <f>_xll.qlCalendarAdvance(Calendar,Y245,0&amp;"D")</f>
        <v>42486</v>
      </c>
      <c r="AA245" s="109">
        <v>-1.3326632865640065E-3</v>
      </c>
      <c r="AB245" s="363">
        <f t="shared" si="14"/>
        <v>0</v>
      </c>
      <c r="AC245" s="236">
        <v>-1.3326632865640065E-3</v>
      </c>
      <c r="AD245" s="236">
        <v>-1.3451485230486782E-3</v>
      </c>
    </row>
    <row r="246" spans="23:30" x14ac:dyDescent="0.2">
      <c r="W246" s="144"/>
      <c r="X246" s="113" t="str">
        <f t="shared" si="15"/>
        <v>1D</v>
      </c>
      <c r="Y246" s="106">
        <f>_xll.qlCalendarAdvance(Calendar,Y245,X246,"f",FALSE)</f>
        <v>42487</v>
      </c>
      <c r="Z246" s="108">
        <f>_xll.qlCalendarAdvance(Calendar,Y246,0&amp;"D")</f>
        <v>42487</v>
      </c>
      <c r="AA246" s="109">
        <v>-1.3700934481342131E-3</v>
      </c>
      <c r="AB246" s="363">
        <f t="shared" si="14"/>
        <v>0</v>
      </c>
      <c r="AC246" s="236">
        <v>-1.3700934481342131E-3</v>
      </c>
      <c r="AD246" s="236">
        <v>-1.3486690845709859E-3</v>
      </c>
    </row>
    <row r="247" spans="23:30" x14ac:dyDescent="0.2">
      <c r="W247" s="144"/>
      <c r="X247" s="113" t="str">
        <f t="shared" si="15"/>
        <v>1D</v>
      </c>
      <c r="Y247" s="106">
        <f>_xll.qlCalendarAdvance(Calendar,Y246,X247,"f",FALSE)</f>
        <v>42488</v>
      </c>
      <c r="Z247" s="108">
        <f>_xll.qlCalendarAdvance(Calendar,Y247,0&amp;"D")</f>
        <v>42488</v>
      </c>
      <c r="AA247" s="109">
        <v>-1.3700934481741811E-3</v>
      </c>
      <c r="AB247" s="363">
        <f t="shared" si="14"/>
        <v>0</v>
      </c>
      <c r="AC247" s="236">
        <v>-1.3700934481741811E-3</v>
      </c>
      <c r="AD247" s="236">
        <v>-1.3520765954044833E-3</v>
      </c>
    </row>
    <row r="248" spans="23:30" x14ac:dyDescent="0.2">
      <c r="W248" s="144"/>
      <c r="X248" s="113" t="str">
        <f t="shared" si="15"/>
        <v>1D</v>
      </c>
      <c r="Y248" s="106">
        <f>_xll.qlCalendarAdvance(Calendar,Y247,X248,"f",FALSE)</f>
        <v>42489</v>
      </c>
      <c r="Z248" s="108">
        <f>_xll.qlCalendarAdvance(Calendar,Y248,0&amp;"D")</f>
        <v>42489</v>
      </c>
      <c r="AA248" s="109">
        <v>-1.1008938977763449E-4</v>
      </c>
      <c r="AB248" s="363">
        <f t="shared" si="14"/>
        <v>0</v>
      </c>
      <c r="AC248" s="236">
        <v>-1.1008938977763449E-4</v>
      </c>
      <c r="AD248" s="236">
        <v>-9.8296919337492739E-5</v>
      </c>
    </row>
    <row r="249" spans="23:30" x14ac:dyDescent="0.2">
      <c r="W249" s="144"/>
      <c r="X249" s="113" t="str">
        <f t="shared" si="15"/>
        <v>1D</v>
      </c>
      <c r="Y249" s="106">
        <f>_xll.qlCalendarAdvance(Calendar,Y248,X249,"f",FALSE)</f>
        <v>42492</v>
      </c>
      <c r="Z249" s="108">
        <f>_xll.qlCalendarAdvance(Calendar,Y249,0&amp;"D")</f>
        <v>42492</v>
      </c>
      <c r="AA249" s="109">
        <v>-1.3700934481342131E-3</v>
      </c>
      <c r="AB249" s="363">
        <f t="shared" si="14"/>
        <v>0</v>
      </c>
      <c r="AC249" s="236">
        <v>-1.3700934481342131E-3</v>
      </c>
      <c r="AD249" s="236">
        <v>-1.363934823803703E-3</v>
      </c>
    </row>
    <row r="250" spans="23:30" x14ac:dyDescent="0.2">
      <c r="W250" s="144"/>
      <c r="X250" s="113" t="str">
        <f t="shared" si="15"/>
        <v>1D</v>
      </c>
      <c r="Y250" s="106">
        <f>_xll.qlCalendarAdvance(Calendar,Y249,X250,"f",FALSE)</f>
        <v>42493</v>
      </c>
      <c r="Z250" s="108">
        <f>_xll.qlCalendarAdvance(Calendar,Y250,0&amp;"D")</f>
        <v>42493</v>
      </c>
      <c r="AA250" s="109">
        <v>-1.3700934482141491E-3</v>
      </c>
      <c r="AB250" s="363">
        <f t="shared" si="14"/>
        <v>0</v>
      </c>
      <c r="AC250" s="236">
        <v>-1.3700934482141491E-3</v>
      </c>
      <c r="AD250" s="236">
        <v>-1.3664564271698154E-3</v>
      </c>
    </row>
    <row r="251" spans="23:30" x14ac:dyDescent="0.2">
      <c r="W251" s="144"/>
      <c r="X251" s="113" t="str">
        <f t="shared" si="15"/>
        <v>1D</v>
      </c>
      <c r="Y251" s="106">
        <f>_xll.qlCalendarAdvance(Calendar,Y250,X251,"f",FALSE)</f>
        <v>42494</v>
      </c>
      <c r="Z251" s="108">
        <f>_xll.qlCalendarAdvance(Calendar,Y251,0&amp;"D")</f>
        <v>42494</v>
      </c>
      <c r="AA251" s="109">
        <v>-1.3700934481741811E-3</v>
      </c>
      <c r="AB251" s="363">
        <f t="shared" si="14"/>
        <v>0</v>
      </c>
      <c r="AC251" s="236">
        <v>-1.3700934481741811E-3</v>
      </c>
      <c r="AD251" s="236">
        <v>-1.3688008488665915E-3</v>
      </c>
    </row>
    <row r="252" spans="23:30" x14ac:dyDescent="0.2">
      <c r="W252" s="144"/>
      <c r="X252" s="113" t="str">
        <f t="shared" si="15"/>
        <v>1D</v>
      </c>
      <c r="Y252" s="106">
        <f>_xll.qlCalendarAdvance(Calendar,Y251,X252,"f",FALSE)</f>
        <v>42495</v>
      </c>
      <c r="Z252" s="108">
        <f>_xll.qlCalendarAdvance(Calendar,Y252,0&amp;"D")</f>
        <v>42495</v>
      </c>
      <c r="AA252" s="109">
        <v>-1.370093448094245E-3</v>
      </c>
      <c r="AB252" s="363">
        <f t="shared" si="14"/>
        <v>0</v>
      </c>
      <c r="AC252" s="236">
        <v>-1.370093448094245E-3</v>
      </c>
      <c r="AD252" s="236">
        <v>-1.3709680892137754E-3</v>
      </c>
    </row>
    <row r="253" spans="23:30" x14ac:dyDescent="0.2">
      <c r="W253" s="144"/>
      <c r="X253" s="113" t="str">
        <f t="shared" si="15"/>
        <v>1D</v>
      </c>
      <c r="Y253" s="106">
        <f>_xll.qlCalendarAdvance(Calendar,Y252,X253,"f",FALSE)</f>
        <v>42496</v>
      </c>
      <c r="Z253" s="108">
        <f>_xll.qlCalendarAdvance(Calendar,Y253,0&amp;"D")</f>
        <v>42496</v>
      </c>
      <c r="AA253" s="109">
        <v>-1.3700882338651965E-3</v>
      </c>
      <c r="AB253" s="363">
        <f t="shared" si="14"/>
        <v>0</v>
      </c>
      <c r="AC253" s="236">
        <v>-1.3700882338651965E-3</v>
      </c>
      <c r="AD253" s="236">
        <v>-1.3747067153024872E-3</v>
      </c>
    </row>
    <row r="254" spans="23:30" x14ac:dyDescent="0.2">
      <c r="W254" s="144"/>
      <c r="X254" s="113" t="str">
        <f t="shared" si="15"/>
        <v>1D</v>
      </c>
      <c r="Y254" s="106">
        <f>_xll.qlCalendarAdvance(Calendar,Y253,X254,"f",FALSE)</f>
        <v>42499</v>
      </c>
      <c r="Z254" s="108">
        <f>_xll.qlCalendarAdvance(Calendar,Y254,0&amp;"D")</f>
        <v>42499</v>
      </c>
      <c r="AA254" s="109">
        <v>-1.3700934481342131E-3</v>
      </c>
      <c r="AB254" s="363">
        <f t="shared" si="14"/>
        <v>0</v>
      </c>
      <c r="AC254" s="236">
        <v>-1.3700934481342131E-3</v>
      </c>
      <c r="AD254" s="236">
        <v>-1.377865235427933E-3</v>
      </c>
    </row>
    <row r="255" spans="23:30" x14ac:dyDescent="0.2">
      <c r="W255" s="144"/>
      <c r="X255" s="113" t="str">
        <f t="shared" si="15"/>
        <v>1D</v>
      </c>
      <c r="Y255" s="106">
        <f>_xll.qlCalendarAdvance(Calendar,Y254,X255,"f",FALSE)</f>
        <v>42500</v>
      </c>
      <c r="Z255" s="108">
        <f>_xll.qlCalendarAdvance(Calendar,Y255,0&amp;"D")</f>
        <v>42500</v>
      </c>
      <c r="AA255" s="109">
        <v>-1.3700934482141491E-3</v>
      </c>
      <c r="AB255" s="363">
        <f t="shared" si="14"/>
        <v>0</v>
      </c>
      <c r="AC255" s="236">
        <v>-1.3700934482141491E-3</v>
      </c>
      <c r="AD255" s="236">
        <v>-1.3791465682677639E-3</v>
      </c>
    </row>
    <row r="256" spans="23:30" x14ac:dyDescent="0.2">
      <c r="W256" s="144"/>
      <c r="X256" s="113" t="str">
        <f t="shared" si="15"/>
        <v>1D</v>
      </c>
      <c r="Y256" s="106">
        <f>_xll.qlCalendarAdvance(Calendar,Y255,X256,"f",FALSE)</f>
        <v>42501</v>
      </c>
      <c r="Z256" s="108">
        <f>_xll.qlCalendarAdvance(Calendar,Y256,0&amp;"D")</f>
        <v>42501</v>
      </c>
      <c r="AA256" s="109">
        <v>-1.3700934481342131E-3</v>
      </c>
      <c r="AB256" s="363">
        <f t="shared" si="14"/>
        <v>0</v>
      </c>
      <c r="AC256" s="236">
        <v>-1.3700934481342131E-3</v>
      </c>
      <c r="AD256" s="236">
        <v>-1.3802507196780667E-3</v>
      </c>
    </row>
    <row r="257" spans="23:30" x14ac:dyDescent="0.2">
      <c r="W257" s="144"/>
      <c r="X257" s="113" t="str">
        <f t="shared" si="15"/>
        <v>1D</v>
      </c>
      <c r="Y257" s="106">
        <f>_xll.qlCalendarAdvance(Calendar,Y256,X257,"f",FALSE)</f>
        <v>42502</v>
      </c>
      <c r="Z257" s="108">
        <f>_xll.qlCalendarAdvance(Calendar,Y257,0&amp;"D")</f>
        <v>42502</v>
      </c>
      <c r="AA257" s="109">
        <v>-1.3700934481741811E-3</v>
      </c>
      <c r="AB257" s="363">
        <f t="shared" si="14"/>
        <v>0</v>
      </c>
      <c r="AC257" s="236">
        <v>-1.3700934481741811E-3</v>
      </c>
      <c r="AD257" s="236">
        <v>-1.3811776894989691E-3</v>
      </c>
    </row>
    <row r="258" spans="23:30" x14ac:dyDescent="0.2">
      <c r="W258" s="144"/>
      <c r="X258" s="113" t="str">
        <f t="shared" si="15"/>
        <v>1D</v>
      </c>
      <c r="Y258" s="106">
        <f>_xll.qlCalendarAdvance(Calendar,Y257,X258,"f",FALSE)</f>
        <v>42503</v>
      </c>
      <c r="Z258" s="108">
        <f>_xll.qlCalendarAdvance(Calendar,Y258,0&amp;"D")</f>
        <v>42503</v>
      </c>
      <c r="AA258" s="109">
        <v>-1.3700882338252285E-3</v>
      </c>
      <c r="AB258" s="363">
        <f t="shared" si="14"/>
        <v>0</v>
      </c>
      <c r="AC258" s="236">
        <v>-1.3700882338252285E-3</v>
      </c>
      <c r="AD258" s="236">
        <v>-1.3824357155156619E-3</v>
      </c>
    </row>
    <row r="259" spans="23:30" x14ac:dyDescent="0.2">
      <c r="W259" s="144"/>
      <c r="X259" s="113" t="str">
        <f t="shared" si="15"/>
        <v>1D</v>
      </c>
      <c r="Y259" s="106">
        <f>_xll.qlCalendarAdvance(Calendar,Y258,X259,"f",FALSE)</f>
        <v>42506</v>
      </c>
      <c r="Z259" s="108">
        <f>_xll.qlCalendarAdvance(Calendar,Y259,0&amp;"D")</f>
        <v>42506</v>
      </c>
      <c r="AA259" s="109">
        <v>-1.3700934482141491E-3</v>
      </c>
      <c r="AB259" s="363">
        <f t="shared" si="14"/>
        <v>0</v>
      </c>
      <c r="AC259" s="236">
        <v>-1.3700934482141491E-3</v>
      </c>
      <c r="AD259" s="236">
        <v>-1.3831137540876171E-3</v>
      </c>
    </row>
    <row r="260" spans="23:30" x14ac:dyDescent="0.2">
      <c r="W260" s="144"/>
      <c r="X260" s="113" t="str">
        <f t="shared" si="15"/>
        <v>1D</v>
      </c>
      <c r="Y260" s="106">
        <f>_xll.qlCalendarAdvance(Calendar,Y259,X260,"f",FALSE)</f>
        <v>42507</v>
      </c>
      <c r="Z260" s="108">
        <f>_xll.qlCalendarAdvance(Calendar,Y260,0&amp;"D")</f>
        <v>42507</v>
      </c>
      <c r="AA260" s="109">
        <v>-1.3700934482141491E-3</v>
      </c>
      <c r="AB260" s="363">
        <f t="shared" si="14"/>
        <v>0</v>
      </c>
      <c r="AC260" s="236">
        <v>-1.3700934482141491E-3</v>
      </c>
      <c r="AD260" s="236">
        <v>-1.3831548165610386E-3</v>
      </c>
    </row>
    <row r="261" spans="23:30" x14ac:dyDescent="0.2">
      <c r="W261" s="144"/>
      <c r="X261" s="113" t="str">
        <f t="shared" si="15"/>
        <v>1D</v>
      </c>
      <c r="Y261" s="106">
        <f>_xll.qlCalendarAdvance(Calendar,Y260,X261,"f",FALSE)</f>
        <v>42508</v>
      </c>
      <c r="Z261" s="108">
        <f>_xll.qlCalendarAdvance(Calendar,Y261,0&amp;"D")</f>
        <v>42508</v>
      </c>
      <c r="AA261" s="109">
        <v>-1.3700934481342131E-3</v>
      </c>
      <c r="AB261" s="363">
        <f t="shared" si="14"/>
        <v>0</v>
      </c>
      <c r="AC261" s="236">
        <v>-1.3700934481342131E-3</v>
      </c>
      <c r="AD261" s="236">
        <v>-1.3830186975649639E-3</v>
      </c>
    </row>
    <row r="262" spans="23:30" x14ac:dyDescent="0.2">
      <c r="W262" s="144"/>
      <c r="X262" s="113" t="str">
        <f t="shared" si="15"/>
        <v>1D</v>
      </c>
      <c r="Y262" s="106">
        <f>_xll.qlCalendarAdvance(Calendar,Y261,X262,"f",FALSE)</f>
        <v>42509</v>
      </c>
      <c r="Z262" s="108">
        <f>_xll.qlCalendarAdvance(Calendar,Y262,0&amp;"D")</f>
        <v>42509</v>
      </c>
      <c r="AA262" s="109">
        <v>-1.3700934481342131E-3</v>
      </c>
      <c r="AB262" s="363">
        <f t="shared" si="14"/>
        <v>0</v>
      </c>
      <c r="AC262" s="236">
        <v>-1.3700934481342131E-3</v>
      </c>
      <c r="AD262" s="236">
        <v>-1.3827053969794889E-3</v>
      </c>
    </row>
    <row r="263" spans="23:30" x14ac:dyDescent="0.2">
      <c r="W263" s="144"/>
      <c r="X263" s="113" t="str">
        <f t="shared" si="15"/>
        <v>1D</v>
      </c>
      <c r="Y263" s="106">
        <f>_xll.qlCalendarAdvance(Calendar,Y262,X263,"f",FALSE)</f>
        <v>42510</v>
      </c>
      <c r="Z263" s="108">
        <f>_xll.qlCalendarAdvance(Calendar,Y263,0&amp;"D")</f>
        <v>42510</v>
      </c>
      <c r="AA263" s="109">
        <v>-1.3700882338385512E-3</v>
      </c>
      <c r="AB263" s="363">
        <f t="shared" si="14"/>
        <v>0</v>
      </c>
      <c r="AC263" s="236">
        <v>-1.3700882338385512E-3</v>
      </c>
      <c r="AD263" s="236">
        <v>-1.3814828896041575E-3</v>
      </c>
    </row>
    <row r="264" spans="23:30" x14ac:dyDescent="0.2">
      <c r="W264" s="144"/>
      <c r="X264" s="113" t="str">
        <f t="shared" si="15"/>
        <v>1D</v>
      </c>
      <c r="Y264" s="106">
        <f>_xll.qlCalendarAdvance(Calendar,Y263,X264,"f",FALSE)</f>
        <v>42513</v>
      </c>
      <c r="Z264" s="108">
        <f>_xll.qlCalendarAdvance(Calendar,Y264,0&amp;"D")</f>
        <v>42513</v>
      </c>
      <c r="AA264" s="109">
        <v>-1.3700934481741811E-3</v>
      </c>
      <c r="AB264" s="363">
        <f t="shared" si="14"/>
        <v>0</v>
      </c>
      <c r="AC264" s="236">
        <v>-1.3700934481741811E-3</v>
      </c>
      <c r="AD264" s="236">
        <v>-1.3796803801824353E-3</v>
      </c>
    </row>
    <row r="265" spans="23:30" x14ac:dyDescent="0.2">
      <c r="W265" s="144"/>
      <c r="X265" s="113" t="str">
        <f t="shared" si="15"/>
        <v>1D</v>
      </c>
      <c r="Y265" s="106">
        <f>_xll.qlCalendarAdvance(Calendar,Y264,X265,"f",FALSE)</f>
        <v>42514</v>
      </c>
      <c r="Z265" s="108">
        <f>_xll.qlCalendarAdvance(Calendar,Y265,0&amp;"D")</f>
        <v>42514</v>
      </c>
      <c r="AA265" s="109">
        <v>-1.3700934482141491E-3</v>
      </c>
      <c r="AB265" s="363">
        <f t="shared" si="14"/>
        <v>0</v>
      </c>
      <c r="AC265" s="236">
        <v>-1.3700934482141491E-3</v>
      </c>
      <c r="AD265" s="236">
        <v>-1.3784811721295753E-3</v>
      </c>
    </row>
    <row r="266" spans="23:30" x14ac:dyDescent="0.2">
      <c r="W266" s="144"/>
      <c r="X266" s="113" t="str">
        <f t="shared" si="15"/>
        <v>1D</v>
      </c>
      <c r="Y266" s="106">
        <f>_xll.qlCalendarAdvance(Calendar,Y265,X266,"f",FALSE)</f>
        <v>42515</v>
      </c>
      <c r="Z266" s="108">
        <f>_xll.qlCalendarAdvance(Calendar,Y266,0&amp;"D")</f>
        <v>42515</v>
      </c>
      <c r="AA266" s="109">
        <v>-1.370093448094245E-3</v>
      </c>
      <c r="AB266" s="363">
        <f t="shared" si="14"/>
        <v>0</v>
      </c>
      <c r="AC266" s="236">
        <v>-1.370093448094245E-3</v>
      </c>
      <c r="AD266" s="236">
        <v>-1.3771047827670913E-3</v>
      </c>
    </row>
    <row r="267" spans="23:30" x14ac:dyDescent="0.2">
      <c r="W267" s="144"/>
      <c r="X267" s="113" t="str">
        <f t="shared" si="15"/>
        <v>1D</v>
      </c>
      <c r="Y267" s="106">
        <f>_xll.qlCalendarAdvance(Calendar,Y266,X267,"f",FALSE)</f>
        <v>42516</v>
      </c>
      <c r="Z267" s="108">
        <f>_xll.qlCalendarAdvance(Calendar,Y267,0&amp;"D")</f>
        <v>42516</v>
      </c>
      <c r="AA267" s="109">
        <v>-1.3700934482541172E-3</v>
      </c>
      <c r="AB267" s="363">
        <f t="shared" si="14"/>
        <v>0</v>
      </c>
      <c r="AC267" s="236">
        <v>-1.3700934482541172E-3</v>
      </c>
      <c r="AD267" s="236">
        <v>-1.375551211895143E-3</v>
      </c>
    </row>
    <row r="268" spans="23:30" x14ac:dyDescent="0.2">
      <c r="W268" s="144"/>
      <c r="X268" s="113" t="str">
        <f t="shared" si="15"/>
        <v>1D</v>
      </c>
      <c r="Y268" s="106">
        <f>_xll.qlCalendarAdvance(Calendar,Y267,X268,"f",FALSE)</f>
        <v>42517</v>
      </c>
      <c r="Z268" s="108">
        <f>_xll.qlCalendarAdvance(Calendar,Y268,0&amp;"D")</f>
        <v>42517</v>
      </c>
      <c r="AA268" s="109">
        <v>-1.3700882338385512E-3</v>
      </c>
      <c r="AB268" s="363">
        <f t="shared" ref="AB268:AB275" si="16">AA268-AC268</f>
        <v>0</v>
      </c>
      <c r="AC268" s="236">
        <v>-1.3700882338385512E-3</v>
      </c>
      <c r="AD268" s="236">
        <v>-1.371848237328166E-3</v>
      </c>
    </row>
    <row r="269" spans="23:30" x14ac:dyDescent="0.2">
      <c r="W269" s="144"/>
      <c r="X269" s="113" t="str">
        <f t="shared" ref="X269:X332" si="17">X268</f>
        <v>1D</v>
      </c>
      <c r="Y269" s="106">
        <f>_xll.qlCalendarAdvance(Calendar,Y268,X269,"f",FALSE)</f>
        <v>42520</v>
      </c>
      <c r="Z269" s="108">
        <f>_xll.qlCalendarAdvance(Calendar,Y269,0&amp;"D")</f>
        <v>42520</v>
      </c>
      <c r="AA269" s="109">
        <v>-1.3700934482141491E-3</v>
      </c>
      <c r="AB269" s="363">
        <f t="shared" si="16"/>
        <v>0</v>
      </c>
      <c r="AC269" s="236">
        <v>-1.3700934482141491E-3</v>
      </c>
      <c r="AD269" s="236">
        <v>-1.3675651132727396E-3</v>
      </c>
    </row>
    <row r="270" spans="23:30" x14ac:dyDescent="0.2">
      <c r="W270" s="144"/>
      <c r="X270" s="113" t="str">
        <f t="shared" si="17"/>
        <v>1D</v>
      </c>
      <c r="Y270" s="106">
        <f>_xll.qlCalendarAdvance(Calendar,Y269,X270,"f",FALSE)</f>
        <v>42521</v>
      </c>
      <c r="Z270" s="108">
        <f>_xll.qlCalendarAdvance(Calendar,Y270,0&amp;"D")</f>
        <v>42521</v>
      </c>
      <c r="AA270" s="109">
        <v>-1.370093448094245E-3</v>
      </c>
      <c r="AB270" s="363">
        <f t="shared" si="16"/>
        <v>0</v>
      </c>
      <c r="AC270" s="236">
        <v>-1.370093448094245E-3</v>
      </c>
      <c r="AD270" s="236">
        <v>-1.3651256349334062E-3</v>
      </c>
    </row>
    <row r="271" spans="23:30" x14ac:dyDescent="0.2">
      <c r="W271" s="144"/>
      <c r="X271" s="113" t="str">
        <f t="shared" si="17"/>
        <v>1D</v>
      </c>
      <c r="Y271" s="106">
        <f>_xll.qlCalendarAdvance(Calendar,Y270,X271,"f",FALSE)</f>
        <v>42522</v>
      </c>
      <c r="Z271" s="108">
        <f>_xll.qlCalendarAdvance(Calendar,Y271,0&amp;"D")</f>
        <v>42522</v>
      </c>
      <c r="AA271" s="109">
        <v>-1.3700934482141491E-3</v>
      </c>
      <c r="AB271" s="363">
        <f t="shared" si="16"/>
        <v>0</v>
      </c>
      <c r="AC271" s="236">
        <v>-1.3700934482141491E-3</v>
      </c>
      <c r="AD271" s="236">
        <v>-1.3625089748847685E-3</v>
      </c>
    </row>
    <row r="272" spans="23:30" x14ac:dyDescent="0.2">
      <c r="W272" s="144"/>
      <c r="X272" s="113" t="str">
        <f t="shared" si="17"/>
        <v>1D</v>
      </c>
      <c r="Y272" s="106">
        <f>_xll.qlCalendarAdvance(Calendar,Y271,X272,"f",FALSE)</f>
        <v>42523</v>
      </c>
      <c r="Z272" s="108">
        <f>_xll.qlCalendarAdvance(Calendar,Y272,0&amp;"D")</f>
        <v>42523</v>
      </c>
      <c r="AA272" s="109">
        <v>-1.370093448094245E-3</v>
      </c>
      <c r="AB272" s="363">
        <f t="shared" si="16"/>
        <v>0</v>
      </c>
      <c r="AC272" s="236">
        <v>-1.370093448094245E-3</v>
      </c>
      <c r="AD272" s="236">
        <v>-1.3597151335664748E-3</v>
      </c>
    </row>
    <row r="273" spans="23:30" x14ac:dyDescent="0.2">
      <c r="W273" s="144"/>
      <c r="X273" s="113" t="str">
        <f t="shared" si="17"/>
        <v>1D</v>
      </c>
      <c r="Y273" s="106">
        <f>_xll.qlCalendarAdvance(Calendar,Y272,X273,"f",FALSE)</f>
        <v>42524</v>
      </c>
      <c r="Z273" s="108">
        <f>_xll.qlCalendarAdvance(Calendar,Y273,0&amp;"D")</f>
        <v>42524</v>
      </c>
      <c r="AA273" s="109">
        <v>-1.3700882338385512E-3</v>
      </c>
      <c r="AB273" s="363">
        <f t="shared" si="16"/>
        <v>0</v>
      </c>
      <c r="AC273" s="236">
        <v>-1.3700882338385512E-3</v>
      </c>
      <c r="AD273" s="236">
        <v>-1.3535317566093497E-3</v>
      </c>
    </row>
    <row r="274" spans="23:30" x14ac:dyDescent="0.2">
      <c r="W274" s="144"/>
      <c r="X274" s="113" t="str">
        <f t="shared" si="17"/>
        <v>1D</v>
      </c>
      <c r="Y274" s="106">
        <f>_xll.qlCalendarAdvance(Calendar,Y273,X274,"f",FALSE)</f>
        <v>42527</v>
      </c>
      <c r="Z274" s="108">
        <f>_xll.qlCalendarAdvance(Calendar,Y274,0&amp;"D")</f>
        <v>42527</v>
      </c>
      <c r="AA274" s="109">
        <v>-1.3700934482141491E-3</v>
      </c>
      <c r="AB274" s="363">
        <f t="shared" si="16"/>
        <v>0</v>
      </c>
      <c r="AC274" s="236">
        <v>-1.3700934482141491E-3</v>
      </c>
      <c r="AD274" s="236">
        <v>-1.3467679526391052E-3</v>
      </c>
    </row>
    <row r="275" spans="23:30" x14ac:dyDescent="0.2">
      <c r="W275" s="144"/>
      <c r="X275" s="113" t="str">
        <f t="shared" si="17"/>
        <v>1D</v>
      </c>
      <c r="Y275" s="106">
        <f>_xll.qlCalendarAdvance(Calendar,Y274,X275,"f",FALSE)</f>
        <v>42528</v>
      </c>
      <c r="Z275" s="108">
        <f>_xll.qlCalendarAdvance(Calendar,Y275,0&amp;"D")</f>
        <v>42528</v>
      </c>
      <c r="AA275" s="109">
        <v>-1.3700934481342131E-3</v>
      </c>
      <c r="AB275" s="363">
        <f t="shared" si="16"/>
        <v>0</v>
      </c>
      <c r="AC275" s="236">
        <v>-1.3700934481342131E-3</v>
      </c>
      <c r="AD275" s="236">
        <v>-1.3430882036535863E-3</v>
      </c>
    </row>
    <row r="276" spans="23:30" x14ac:dyDescent="0.2">
      <c r="W276" s="144"/>
      <c r="X276" s="113" t="str">
        <f t="shared" si="17"/>
        <v>1D</v>
      </c>
      <c r="Y276" s="106">
        <f>_xll.qlCalendarAdvance(Calendar,Y275,X276,"f",FALSE)</f>
        <v>42529</v>
      </c>
      <c r="Z276" s="108">
        <f>_xll.qlCalendarAdvance(Calendar,Y276,0&amp;"D")</f>
        <v>42529</v>
      </c>
      <c r="AA276" s="109">
        <v>-1.3392678647283773E-3</v>
      </c>
      <c r="AB276" s="143">
        <f>AA276-AD276</f>
        <v>0</v>
      </c>
      <c r="AC276" s="236" t="e">
        <v>#N/A</v>
      </c>
      <c r="AD276" s="236">
        <v>-1.3392678647283773E-3</v>
      </c>
    </row>
    <row r="277" spans="23:30" x14ac:dyDescent="0.2">
      <c r="W277" s="144"/>
      <c r="X277" s="113" t="str">
        <f t="shared" si="17"/>
        <v>1D</v>
      </c>
      <c r="Y277" s="106">
        <f>_xll.qlCalendarAdvance(Calendar,Y276,X277,"f",FALSE)</f>
        <v>42530</v>
      </c>
      <c r="Z277" s="108">
        <f>_xll.qlCalendarAdvance(Calendar,Y277,0&amp;"D")</f>
        <v>42530</v>
      </c>
      <c r="AA277" s="109">
        <v>-1.3354533029819038E-3</v>
      </c>
      <c r="AB277" s="143">
        <f t="shared" ref="AB277:AB340" si="18">AA277-AD277</f>
        <v>-7.9936057773011271E-14</v>
      </c>
      <c r="AC277" s="236" t="e">
        <v>#N/A</v>
      </c>
      <c r="AD277" s="236">
        <v>-1.3354533029019677E-3</v>
      </c>
    </row>
    <row r="278" spans="23:30" x14ac:dyDescent="0.2">
      <c r="W278" s="144"/>
      <c r="X278" s="113" t="str">
        <f t="shared" si="17"/>
        <v>1D</v>
      </c>
      <c r="Y278" s="106">
        <f>_xll.qlCalendarAdvance(Calendar,Y277,X278,"f",FALSE)</f>
        <v>42531</v>
      </c>
      <c r="Z278" s="108">
        <f>_xll.qlCalendarAdvance(Calendar,Y278,0&amp;"D")</f>
        <v>42531</v>
      </c>
      <c r="AA278" s="109">
        <v>-1.3279605100091629E-3</v>
      </c>
      <c r="AB278" s="143">
        <f t="shared" si="18"/>
        <v>2.6645352591003757E-14</v>
      </c>
      <c r="AC278" s="236" t="e">
        <v>#N/A</v>
      </c>
      <c r="AD278" s="236">
        <v>-1.3279605100358083E-3</v>
      </c>
    </row>
    <row r="279" spans="23:30" x14ac:dyDescent="0.2">
      <c r="W279" s="144"/>
      <c r="X279" s="113" t="str">
        <f t="shared" si="17"/>
        <v>1D</v>
      </c>
      <c r="Y279" s="106">
        <f>_xll.qlCalendarAdvance(Calendar,Y278,X279,"f",FALSE)</f>
        <v>42534</v>
      </c>
      <c r="Z279" s="108">
        <f>_xll.qlCalendarAdvance(Calendar,Y279,0&amp;"D")</f>
        <v>42534</v>
      </c>
      <c r="AA279" s="109">
        <v>-1.3206187436010097E-3</v>
      </c>
      <c r="AB279" s="143">
        <f t="shared" si="18"/>
        <v>-3.9968028886505635E-14</v>
      </c>
      <c r="AC279" s="236" t="e">
        <v>#N/A</v>
      </c>
      <c r="AD279" s="236">
        <v>-1.3206187435610417E-3</v>
      </c>
    </row>
    <row r="280" spans="23:30" x14ac:dyDescent="0.2">
      <c r="W280" s="144"/>
      <c r="X280" s="113" t="str">
        <f t="shared" si="17"/>
        <v>1D</v>
      </c>
      <c r="Y280" s="106">
        <f>_xll.qlCalendarAdvance(Calendar,Y279,X280,"f",FALSE)</f>
        <v>42535</v>
      </c>
      <c r="Z280" s="108">
        <f>_xll.qlCalendarAdvance(Calendar,Y280,0&amp;"D")</f>
        <v>42535</v>
      </c>
      <c r="AA280" s="109">
        <v>-1.3170160255970842E-3</v>
      </c>
      <c r="AB280" s="143">
        <f t="shared" si="18"/>
        <v>0</v>
      </c>
      <c r="AC280" s="236" t="e">
        <v>#N/A</v>
      </c>
      <c r="AD280" s="236">
        <v>-1.3170160255970842E-3</v>
      </c>
    </row>
    <row r="281" spans="23:30" x14ac:dyDescent="0.2">
      <c r="W281" s="144"/>
      <c r="X281" s="113" t="str">
        <f t="shared" si="17"/>
        <v>1D</v>
      </c>
      <c r="Y281" s="106">
        <f>_xll.qlCalendarAdvance(Calendar,Y280,X281,"f",FALSE)</f>
        <v>42536</v>
      </c>
      <c r="Z281" s="108">
        <f>_xll.qlCalendarAdvance(Calendar,Y281,0&amp;"D")</f>
        <v>42536</v>
      </c>
      <c r="AA281" s="109">
        <v>-1.3134556763816363E-3</v>
      </c>
      <c r="AB281" s="143">
        <f t="shared" si="18"/>
        <v>3.9968028886505635E-14</v>
      </c>
      <c r="AC281" s="236" t="e">
        <v>#N/A</v>
      </c>
      <c r="AD281" s="236">
        <v>-1.3134556764216043E-3</v>
      </c>
    </row>
    <row r="282" spans="23:30" x14ac:dyDescent="0.2">
      <c r="W282" s="144"/>
      <c r="X282" s="113" t="str">
        <f t="shared" si="17"/>
        <v>1D</v>
      </c>
      <c r="Y282" s="106">
        <f>_xll.qlCalendarAdvance(Calendar,Y281,X282,"f",FALSE)</f>
        <v>42537</v>
      </c>
      <c r="Z282" s="108">
        <f>_xll.qlCalendarAdvance(Calendar,Y282,0&amp;"D")</f>
        <v>42537</v>
      </c>
      <c r="AA282" s="109">
        <v>-1.3099376960346021E-3</v>
      </c>
      <c r="AB282" s="143">
        <f t="shared" si="18"/>
        <v>7.9936057773011271E-14</v>
      </c>
      <c r="AC282" s="236" t="e">
        <v>#N/A</v>
      </c>
      <c r="AD282" s="236">
        <v>-1.3099376961145381E-3</v>
      </c>
    </row>
    <row r="283" spans="23:30" x14ac:dyDescent="0.2">
      <c r="W283" s="144"/>
      <c r="X283" s="113" t="str">
        <f t="shared" si="17"/>
        <v>1D</v>
      </c>
      <c r="Y283" s="106">
        <f>_xll.qlCalendarAdvance(Calendar,Y282,X283,"f",FALSE)</f>
        <v>42538</v>
      </c>
      <c r="Z283" s="108">
        <f>_xll.qlCalendarAdvance(Calendar,Y283,0&amp;"D")</f>
        <v>42538</v>
      </c>
      <c r="AA283" s="109">
        <v>-1.3030382482881464E-3</v>
      </c>
      <c r="AB283" s="143">
        <f t="shared" si="18"/>
        <v>-2.6645352591003757E-14</v>
      </c>
      <c r="AC283" s="236" t="e">
        <v>#N/A</v>
      </c>
      <c r="AD283" s="236">
        <v>-1.3030382482615011E-3</v>
      </c>
    </row>
    <row r="284" spans="23:30" x14ac:dyDescent="0.2">
      <c r="W284" s="144"/>
      <c r="X284" s="113" t="str">
        <f t="shared" si="17"/>
        <v>1D</v>
      </c>
      <c r="Y284" s="106">
        <f>_xll.qlCalendarAdvance(Calendar,Y283,X284,"f",FALSE)</f>
        <v>42541</v>
      </c>
      <c r="Z284" s="108">
        <f>_xll.qlCalendarAdvance(Calendar,Y284,0&amp;"D")</f>
        <v>42541</v>
      </c>
      <c r="AA284" s="109">
        <v>-1.2962894625312416E-3</v>
      </c>
      <c r="AB284" s="143">
        <f t="shared" si="18"/>
        <v>3.9968028886505635E-14</v>
      </c>
      <c r="AC284" s="236" t="e">
        <v>#N/A</v>
      </c>
      <c r="AD284" s="236">
        <v>-1.2962894625712096E-3</v>
      </c>
    </row>
    <row r="285" spans="23:30" x14ac:dyDescent="0.2">
      <c r="W285" s="144"/>
      <c r="X285" s="113" t="str">
        <f t="shared" si="17"/>
        <v>1D</v>
      </c>
      <c r="Y285" s="106">
        <f>_xll.qlCalendarAdvance(Calendar,Y284,X285,"f",FALSE)</f>
        <v>42542</v>
      </c>
      <c r="Z285" s="108">
        <f>_xll.qlCalendarAdvance(Calendar,Y285,0&amp;"D")</f>
        <v>42542</v>
      </c>
      <c r="AA285" s="109">
        <v>-1.2929833260866275E-3</v>
      </c>
      <c r="AB285" s="143">
        <f t="shared" si="18"/>
        <v>0</v>
      </c>
      <c r="AC285" s="236" t="e">
        <v>#N/A</v>
      </c>
      <c r="AD285" s="236">
        <v>-1.2929833260866275E-3</v>
      </c>
    </row>
    <row r="286" spans="23:30" x14ac:dyDescent="0.2">
      <c r="W286" s="144"/>
      <c r="X286" s="113" t="str">
        <f t="shared" si="17"/>
        <v>1D</v>
      </c>
      <c r="Y286" s="106">
        <f>_xll.qlCalendarAdvance(Calendar,Y285,X286,"f",FALSE)</f>
        <v>42543</v>
      </c>
      <c r="Z286" s="108">
        <f>_xll.qlCalendarAdvance(Calendar,Y286,0&amp;"D")</f>
        <v>42543</v>
      </c>
      <c r="AA286" s="109">
        <v>-1.2897195585503951E-3</v>
      </c>
      <c r="AB286" s="143">
        <f t="shared" si="18"/>
        <v>0</v>
      </c>
      <c r="AC286" s="236" t="e">
        <v>#N/A</v>
      </c>
      <c r="AD286" s="236">
        <v>-1.2897195585503951E-3</v>
      </c>
    </row>
    <row r="287" spans="23:30" x14ac:dyDescent="0.2">
      <c r="W287" s="144"/>
      <c r="X287" s="113" t="str">
        <f t="shared" si="17"/>
        <v>1D</v>
      </c>
      <c r="Y287" s="106">
        <f>_xll.qlCalendarAdvance(Calendar,Y286,X287,"f",FALSE)</f>
        <v>42544</v>
      </c>
      <c r="Z287" s="108">
        <f>_xll.qlCalendarAdvance(Calendar,Y287,0&amp;"D")</f>
        <v>42544</v>
      </c>
      <c r="AA287" s="109">
        <v>-1.2864981596827363E-3</v>
      </c>
      <c r="AB287" s="143">
        <f t="shared" si="18"/>
        <v>3.9968028886505635E-14</v>
      </c>
      <c r="AC287" s="236" t="e">
        <v>#N/A</v>
      </c>
      <c r="AD287" s="236">
        <v>-1.2864981597227043E-3</v>
      </c>
    </row>
    <row r="288" spans="23:30" x14ac:dyDescent="0.2">
      <c r="W288" s="144"/>
      <c r="X288" s="113" t="str">
        <f t="shared" si="17"/>
        <v>1D</v>
      </c>
      <c r="Y288" s="106">
        <f>_xll.qlCalendarAdvance(Calendar,Y287,X288,"f",FALSE)</f>
        <v>42545</v>
      </c>
      <c r="Z288" s="108">
        <f>_xll.qlCalendarAdvance(Calendar,Y288,0&amp;"D")</f>
        <v>42545</v>
      </c>
      <c r="AA288" s="109">
        <v>-1.2801920388838539E-3</v>
      </c>
      <c r="AB288" s="143">
        <f t="shared" si="18"/>
        <v>-1.3322676295501878E-14</v>
      </c>
      <c r="AC288" s="236" t="e">
        <v>#N/A</v>
      </c>
      <c r="AD288" s="236">
        <v>-1.2801920388705312E-3</v>
      </c>
    </row>
    <row r="289" spans="23:30" x14ac:dyDescent="0.2">
      <c r="W289" s="144"/>
      <c r="X289" s="113" t="str">
        <f t="shared" si="17"/>
        <v>1D</v>
      </c>
      <c r="Y289" s="106">
        <f>_xll.qlCalendarAdvance(Calendar,Y288,X289,"f",FALSE)</f>
        <v>42548</v>
      </c>
      <c r="Z289" s="108">
        <f>_xll.qlCalendarAdvance(Calendar,Y289,0&amp;"D")</f>
        <v>42548</v>
      </c>
      <c r="AA289" s="109">
        <v>-1.2740362523366855E-3</v>
      </c>
      <c r="AB289" s="143">
        <f t="shared" si="18"/>
        <v>0</v>
      </c>
      <c r="AC289" s="236" t="e">
        <v>#N/A</v>
      </c>
      <c r="AD289" s="236">
        <v>-1.2740362523366855E-3</v>
      </c>
    </row>
    <row r="290" spans="23:30" x14ac:dyDescent="0.2">
      <c r="W290" s="144"/>
      <c r="X290" s="113" t="str">
        <f t="shared" si="17"/>
        <v>1D</v>
      </c>
      <c r="Y290" s="106">
        <f>_xll.qlCalendarAdvance(Calendar,Y289,X290,"f",FALSE)</f>
        <v>42549</v>
      </c>
      <c r="Z290" s="108">
        <f>_xll.qlCalendarAdvance(Calendar,Y290,0&amp;"D")</f>
        <v>42549</v>
      </c>
      <c r="AA290" s="109">
        <v>-1.2710266974913509E-3</v>
      </c>
      <c r="AB290" s="143">
        <f t="shared" si="18"/>
        <v>3.9968028886505635E-14</v>
      </c>
      <c r="AC290" s="236" t="e">
        <v>#N/A</v>
      </c>
      <c r="AD290" s="236">
        <v>-1.2710266975313189E-3</v>
      </c>
    </row>
    <row r="291" spans="23:30" x14ac:dyDescent="0.2">
      <c r="W291" s="144"/>
      <c r="X291" s="113" t="str">
        <f t="shared" si="17"/>
        <v>1D</v>
      </c>
      <c r="Y291" s="106">
        <f>_xll.qlCalendarAdvance(Calendar,Y290,X291,"f",FALSE)</f>
        <v>42550</v>
      </c>
      <c r="Z291" s="108">
        <f>_xll.qlCalendarAdvance(Calendar,Y291,0&amp;"D")</f>
        <v>42550</v>
      </c>
      <c r="AA291" s="109">
        <v>-1.2680595114344939E-3</v>
      </c>
      <c r="AB291" s="143">
        <f t="shared" si="18"/>
        <v>-3.9968028886505635E-14</v>
      </c>
      <c r="AC291" s="236" t="e">
        <v>#N/A</v>
      </c>
      <c r="AD291" s="236">
        <v>-1.2680595113945259E-3</v>
      </c>
    </row>
    <row r="292" spans="23:30" x14ac:dyDescent="0.2">
      <c r="W292" s="144"/>
      <c r="X292" s="113" t="str">
        <f t="shared" si="17"/>
        <v>1D</v>
      </c>
      <c r="Y292" s="106">
        <f>_xll.qlCalendarAdvance(Calendar,Y291,X292,"f",FALSE)</f>
        <v>42551</v>
      </c>
      <c r="Z292" s="108">
        <f>_xll.qlCalendarAdvance(Calendar,Y292,0&amp;"D")</f>
        <v>42551</v>
      </c>
      <c r="AA292" s="109">
        <v>-1.2651346941661146E-3</v>
      </c>
      <c r="AB292" s="143">
        <f t="shared" si="18"/>
        <v>3.9968028886505635E-14</v>
      </c>
      <c r="AC292" s="236" t="e">
        <v>#N/A</v>
      </c>
      <c r="AD292" s="236">
        <v>-1.2651346942060826E-3</v>
      </c>
    </row>
    <row r="293" spans="23:30" x14ac:dyDescent="0.2">
      <c r="W293" s="144"/>
      <c r="X293" s="113" t="str">
        <f t="shared" si="17"/>
        <v>1D</v>
      </c>
      <c r="Y293" s="106">
        <f>_xll.qlCalendarAdvance(Calendar,Y292,X293,"f",FALSE)</f>
        <v>42552</v>
      </c>
      <c r="Z293" s="108">
        <f>_xll.qlCalendarAdvance(Calendar,Y293,0&amp;"D")</f>
        <v>42552</v>
      </c>
      <c r="AA293" s="109">
        <v>-1.2594218830352943E-3</v>
      </c>
      <c r="AB293" s="143">
        <f t="shared" si="18"/>
        <v>1.3322676295501878E-14</v>
      </c>
      <c r="AC293" s="236" t="e">
        <v>#N/A</v>
      </c>
      <c r="AD293" s="236">
        <v>-1.259421883048617E-3</v>
      </c>
    </row>
    <row r="294" spans="23:30" x14ac:dyDescent="0.2">
      <c r="W294" s="144"/>
      <c r="X294" s="113" t="str">
        <f t="shared" si="17"/>
        <v>1D</v>
      </c>
      <c r="Y294" s="106">
        <f>_xll.qlCalendarAdvance(Calendar,Y293,X294,"f",FALSE)</f>
        <v>42555</v>
      </c>
      <c r="Z294" s="108">
        <f>_xll.qlCalendarAdvance(Calendar,Y294,0&amp;"D")</f>
        <v>42555</v>
      </c>
      <c r="AA294" s="109">
        <v>-1.2538591132971177E-3</v>
      </c>
      <c r="AB294" s="143">
        <f t="shared" si="18"/>
        <v>-7.9936057773011271E-14</v>
      </c>
      <c r="AC294" s="236" t="e">
        <v>#N/A</v>
      </c>
      <c r="AD294" s="236">
        <v>-1.2538591132171817E-3</v>
      </c>
    </row>
    <row r="295" spans="23:30" x14ac:dyDescent="0.2">
      <c r="W295" s="144"/>
      <c r="X295" s="113" t="str">
        <f t="shared" si="17"/>
        <v>1D</v>
      </c>
      <c r="Y295" s="106">
        <f>_xll.qlCalendarAdvance(Calendar,Y294,X295,"f",FALSE)</f>
        <v>42556</v>
      </c>
      <c r="Z295" s="108">
        <f>_xll.qlCalendarAdvance(Calendar,Y295,0&amp;"D")</f>
        <v>42556</v>
      </c>
      <c r="AA295" s="109">
        <v>-1.2511461400110946E-3</v>
      </c>
      <c r="AB295" s="143">
        <f t="shared" si="18"/>
        <v>0</v>
      </c>
      <c r="AC295" s="236" t="e">
        <v>#N/A</v>
      </c>
      <c r="AD295" s="236">
        <v>-1.2511461400110946E-3</v>
      </c>
    </row>
    <row r="296" spans="23:30" x14ac:dyDescent="0.2">
      <c r="W296" s="144"/>
      <c r="X296" s="113" t="str">
        <f t="shared" si="17"/>
        <v>1D</v>
      </c>
      <c r="Y296" s="106">
        <f>_xll.qlCalendarAdvance(Calendar,Y295,X296,"f",FALSE)</f>
        <v>42557</v>
      </c>
      <c r="Z296" s="108">
        <f>_xll.qlCalendarAdvance(Calendar,Y296,0&amp;"D")</f>
        <v>42557</v>
      </c>
      <c r="AA296" s="109">
        <v>-1.248475535393645E-3</v>
      </c>
      <c r="AB296" s="143">
        <f t="shared" si="18"/>
        <v>7.9936057773011271E-14</v>
      </c>
      <c r="AC296" s="236" t="e">
        <v>#N/A</v>
      </c>
      <c r="AD296" s="236">
        <v>-1.248475535473581E-3</v>
      </c>
    </row>
    <row r="297" spans="23:30" x14ac:dyDescent="0.2">
      <c r="W297" s="144"/>
      <c r="X297" s="113" t="str">
        <f t="shared" si="17"/>
        <v>1D</v>
      </c>
      <c r="Y297" s="106">
        <f>_xll.qlCalendarAdvance(Calendar,Y296,X297,"f",FALSE)</f>
        <v>42558</v>
      </c>
      <c r="Z297" s="108">
        <f>_xll.qlCalendarAdvance(Calendar,Y297,0&amp;"D")</f>
        <v>42558</v>
      </c>
      <c r="AA297" s="109">
        <v>-1.2458473000043213E-3</v>
      </c>
      <c r="AB297" s="143">
        <f t="shared" si="18"/>
        <v>-7.9936057773011271E-14</v>
      </c>
      <c r="AC297" s="236" t="e">
        <v>#N/A</v>
      </c>
      <c r="AD297" s="236">
        <v>-1.2458472999243853E-3</v>
      </c>
    </row>
    <row r="298" spans="23:30" x14ac:dyDescent="0.2">
      <c r="W298" s="144"/>
      <c r="X298" s="113" t="str">
        <f t="shared" si="17"/>
        <v>1D</v>
      </c>
      <c r="Y298" s="106">
        <f>_xll.qlCalendarAdvance(Calendar,Y297,X298,"f",FALSE)</f>
        <v>42559</v>
      </c>
      <c r="Z298" s="108">
        <f>_xll.qlCalendarAdvance(Calendar,Y298,0&amp;"D")</f>
        <v>42559</v>
      </c>
      <c r="AA298" s="109">
        <v>-1.2407277818482498E-3</v>
      </c>
      <c r="AB298" s="143">
        <f t="shared" si="18"/>
        <v>1.3322676295501878E-14</v>
      </c>
      <c r="AC298" s="236" t="e">
        <v>#N/A</v>
      </c>
      <c r="AD298" s="236">
        <v>-1.2407277818615725E-3</v>
      </c>
    </row>
    <row r="299" spans="23:30" x14ac:dyDescent="0.2">
      <c r="W299" s="144"/>
      <c r="X299" s="113" t="str">
        <f t="shared" si="17"/>
        <v>1D</v>
      </c>
      <c r="Y299" s="106">
        <f>_xll.qlCalendarAdvance(Calendar,Y298,X299,"f",FALSE)</f>
        <v>42562</v>
      </c>
      <c r="Z299" s="108">
        <f>_xll.qlCalendarAdvance(Calendar,Y299,0&amp;"D")</f>
        <v>42562</v>
      </c>
      <c r="AA299" s="109">
        <v>-1.2357580456123785E-3</v>
      </c>
      <c r="AB299" s="143">
        <f t="shared" si="18"/>
        <v>-7.9936057773011271E-14</v>
      </c>
      <c r="AC299" s="236" t="e">
        <v>#N/A</v>
      </c>
      <c r="AD299" s="236">
        <v>-1.2357580455324424E-3</v>
      </c>
    </row>
    <row r="300" spans="23:30" x14ac:dyDescent="0.2">
      <c r="W300" s="144"/>
      <c r="X300" s="113" t="str">
        <f t="shared" si="17"/>
        <v>1D</v>
      </c>
      <c r="Y300" s="106">
        <f>_xll.qlCalendarAdvance(Calendar,Y299,X300,"f",FALSE)</f>
        <v>42563</v>
      </c>
      <c r="Z300" s="108">
        <f>_xll.qlCalendarAdvance(Calendar,Y300,0&amp;"D")</f>
        <v>42563</v>
      </c>
      <c r="AA300" s="109">
        <v>-1.2333416539256348E-3</v>
      </c>
      <c r="AB300" s="143">
        <f t="shared" si="18"/>
        <v>0</v>
      </c>
      <c r="AC300" s="236" t="e">
        <v>#N/A</v>
      </c>
      <c r="AD300" s="236">
        <v>-1.2333416539256348E-3</v>
      </c>
    </row>
    <row r="301" spans="23:30" x14ac:dyDescent="0.2">
      <c r="W301" s="144"/>
      <c r="X301" s="113" t="str">
        <f t="shared" si="17"/>
        <v>1D</v>
      </c>
      <c r="Y301" s="106">
        <f>_xll.qlCalendarAdvance(Calendar,Y300,X301,"f",FALSE)</f>
        <v>42564</v>
      </c>
      <c r="Z301" s="108">
        <f>_xll.qlCalendarAdvance(Calendar,Y301,0&amp;"D")</f>
        <v>42564</v>
      </c>
      <c r="AA301" s="109">
        <v>-1.2309676311073048E-3</v>
      </c>
      <c r="AB301" s="143">
        <f t="shared" si="18"/>
        <v>0</v>
      </c>
      <c r="AC301" s="236" t="e">
        <v>#N/A</v>
      </c>
      <c r="AD301" s="236">
        <v>-1.2309676311073048E-3</v>
      </c>
    </row>
    <row r="302" spans="23:30" x14ac:dyDescent="0.2">
      <c r="W302" s="144"/>
      <c r="X302" s="113" t="str">
        <f t="shared" si="17"/>
        <v>1D</v>
      </c>
      <c r="Y302" s="106">
        <f>_xll.qlCalendarAdvance(Calendar,Y301,X302,"f",FALSE)</f>
        <v>42565</v>
      </c>
      <c r="Z302" s="108">
        <f>_xll.qlCalendarAdvance(Calendar,Y302,0&amp;"D")</f>
        <v>42565</v>
      </c>
      <c r="AA302" s="109">
        <v>-1.2286359771174205E-3</v>
      </c>
      <c r="AB302" s="143">
        <f t="shared" si="18"/>
        <v>7.9936057773011271E-14</v>
      </c>
      <c r="AC302" s="236" t="e">
        <v>#N/A</v>
      </c>
      <c r="AD302" s="236">
        <v>-1.2286359771973565E-3</v>
      </c>
    </row>
    <row r="303" spans="23:30" x14ac:dyDescent="0.2">
      <c r="W303" s="144"/>
      <c r="X303" s="113" t="str">
        <f t="shared" si="17"/>
        <v>1D</v>
      </c>
      <c r="Y303" s="106">
        <f>_xll.qlCalendarAdvance(Calendar,Y302,X303,"f",FALSE)</f>
        <v>42566</v>
      </c>
      <c r="Z303" s="108">
        <f>_xll.qlCalendarAdvance(Calendar,Y303,0&amp;"D")</f>
        <v>42566</v>
      </c>
      <c r="AA303" s="109">
        <v>-1.2241097363219211E-3</v>
      </c>
      <c r="AB303" s="143">
        <f t="shared" si="18"/>
        <v>-1.3322676295501878E-14</v>
      </c>
      <c r="AC303" s="236" t="e">
        <v>#N/A</v>
      </c>
      <c r="AD303" s="236">
        <v>-1.2241097363085984E-3</v>
      </c>
    </row>
    <row r="304" spans="23:30" x14ac:dyDescent="0.2">
      <c r="W304" s="144"/>
      <c r="X304" s="113" t="str">
        <f t="shared" si="17"/>
        <v>1D</v>
      </c>
      <c r="Y304" s="106">
        <f>_xll.qlCalendarAdvance(Calendar,Y303,X304,"f",FALSE)</f>
        <v>42569</v>
      </c>
      <c r="Z304" s="108">
        <f>_xll.qlCalendarAdvance(Calendar,Y304,0&amp;"D")</f>
        <v>42569</v>
      </c>
      <c r="AA304" s="109">
        <v>-1.2197330494823078E-3</v>
      </c>
      <c r="AB304" s="143">
        <f t="shared" si="18"/>
        <v>3.9968028886505635E-14</v>
      </c>
      <c r="AC304" s="236" t="e">
        <v>#N/A</v>
      </c>
      <c r="AD304" s="236">
        <v>-1.2197330495222758E-3</v>
      </c>
    </row>
    <row r="305" spans="23:30" x14ac:dyDescent="0.2">
      <c r="W305" s="144"/>
      <c r="X305" s="113" t="str">
        <f t="shared" si="17"/>
        <v>1D</v>
      </c>
      <c r="Y305" s="106">
        <f>_xll.qlCalendarAdvance(Calendar,Y304,X305,"f",FALSE)</f>
        <v>42570</v>
      </c>
      <c r="Z305" s="108">
        <f>_xll.qlCalendarAdvance(Calendar,Y305,0&amp;"D")</f>
        <v>42570</v>
      </c>
      <c r="AA305" s="109">
        <v>-1.2176132396346517E-3</v>
      </c>
      <c r="AB305" s="143">
        <f t="shared" si="18"/>
        <v>3.9968028886505635E-14</v>
      </c>
      <c r="AC305" s="236" t="e">
        <v>#N/A</v>
      </c>
      <c r="AD305" s="236">
        <v>-1.2176132396746198E-3</v>
      </c>
    </row>
    <row r="306" spans="23:30" x14ac:dyDescent="0.2">
      <c r="W306" s="144"/>
      <c r="X306" s="113" t="str">
        <f t="shared" si="17"/>
        <v>1D</v>
      </c>
      <c r="Y306" s="106">
        <f>_xll.qlCalendarAdvance(Calendar,Y305,X306,"f",FALSE)</f>
        <v>42571</v>
      </c>
      <c r="Z306" s="108">
        <f>_xll.qlCalendarAdvance(Calendar,Y306,0&amp;"D")</f>
        <v>42571</v>
      </c>
      <c r="AA306" s="109">
        <v>-1.2155357985754733E-3</v>
      </c>
      <c r="AB306" s="143">
        <f t="shared" si="18"/>
        <v>-3.9968028886505635E-14</v>
      </c>
      <c r="AC306" s="236" t="e">
        <v>#N/A</v>
      </c>
      <c r="AD306" s="236">
        <v>-1.2155357985355053E-3</v>
      </c>
    </row>
    <row r="307" spans="23:30" x14ac:dyDescent="0.2">
      <c r="W307" s="144"/>
      <c r="X307" s="113" t="str">
        <f t="shared" si="17"/>
        <v>1D</v>
      </c>
      <c r="Y307" s="106">
        <f>_xll.qlCalendarAdvance(Calendar,Y306,X307,"f",FALSE)</f>
        <v>42572</v>
      </c>
      <c r="Z307" s="108">
        <f>_xll.qlCalendarAdvance(Calendar,Y307,0&amp;"D")</f>
        <v>42572</v>
      </c>
      <c r="AA307" s="109">
        <v>-1.2135007263047726E-3</v>
      </c>
      <c r="AB307" s="143">
        <f t="shared" si="18"/>
        <v>0</v>
      </c>
      <c r="AC307" s="236" t="e">
        <v>#N/A</v>
      </c>
      <c r="AD307" s="236">
        <v>-1.2135007263047726E-3</v>
      </c>
    </row>
    <row r="308" spans="23:30" x14ac:dyDescent="0.2">
      <c r="W308" s="144"/>
      <c r="X308" s="113" t="str">
        <f t="shared" si="17"/>
        <v>1D</v>
      </c>
      <c r="Y308" s="106">
        <f>_xll.qlCalendarAdvance(Calendar,Y307,X308,"f",FALSE)</f>
        <v>42573</v>
      </c>
      <c r="Z308" s="108">
        <f>_xll.qlCalendarAdvance(Calendar,Y308,0&amp;"D")</f>
        <v>42573</v>
      </c>
      <c r="AA308" s="109">
        <v>-1.2095677472290234E-3</v>
      </c>
      <c r="AB308" s="143">
        <f t="shared" si="18"/>
        <v>0</v>
      </c>
      <c r="AC308" s="236" t="e">
        <v>#N/A</v>
      </c>
      <c r="AD308" s="236">
        <v>-1.2095677472290234E-3</v>
      </c>
    </row>
    <row r="309" spans="23:30" x14ac:dyDescent="0.2">
      <c r="W309" s="144"/>
      <c r="X309" s="113" t="str">
        <f t="shared" si="17"/>
        <v>1D</v>
      </c>
      <c r="Y309" s="106">
        <f>_xll.qlCalendarAdvance(Calendar,Y308,X309,"f",FALSE)</f>
        <v>42576</v>
      </c>
      <c r="Z309" s="108">
        <f>_xll.qlCalendarAdvance(Calendar,Y309,0&amp;"D")</f>
        <v>42576</v>
      </c>
      <c r="AA309" s="109">
        <v>-1.2057841255863622E-3</v>
      </c>
      <c r="AB309" s="143">
        <f t="shared" si="18"/>
        <v>-3.9968028886505635E-14</v>
      </c>
      <c r="AC309" s="236" t="e">
        <v>#N/A</v>
      </c>
      <c r="AD309" s="236">
        <v>-1.2057841255463941E-3</v>
      </c>
    </row>
    <row r="310" spans="23:30" x14ac:dyDescent="0.2">
      <c r="W310" s="144"/>
      <c r="X310" s="113" t="str">
        <f t="shared" si="17"/>
        <v>1D</v>
      </c>
      <c r="Y310" s="106">
        <f>_xll.qlCalendarAdvance(Calendar,Y309,X310,"f",FALSE)</f>
        <v>42577</v>
      </c>
      <c r="Z310" s="108">
        <f>_xll.qlCalendarAdvance(Calendar,Y310,0&amp;"D")</f>
        <v>42577</v>
      </c>
      <c r="AA310" s="109">
        <v>-1.2039608973779536E-3</v>
      </c>
      <c r="AB310" s="143">
        <f t="shared" si="18"/>
        <v>7.9936057773011271E-14</v>
      </c>
      <c r="AC310" s="236" t="e">
        <v>#N/A</v>
      </c>
      <c r="AD310" s="236">
        <v>-1.2039608974578897E-3</v>
      </c>
    </row>
    <row r="311" spans="23:30" x14ac:dyDescent="0.2">
      <c r="W311" s="144"/>
      <c r="X311" s="113" t="str">
        <f t="shared" si="17"/>
        <v>1D</v>
      </c>
      <c r="Y311" s="106">
        <f>_xll.qlCalendarAdvance(Calendar,Y310,X311,"f",FALSE)</f>
        <v>42578</v>
      </c>
      <c r="Z311" s="108">
        <f>_xll.qlCalendarAdvance(Calendar,Y311,0&amp;"D")</f>
        <v>42578</v>
      </c>
      <c r="AA311" s="109">
        <v>-1.2021800381978309E-3</v>
      </c>
      <c r="AB311" s="143">
        <f t="shared" si="18"/>
        <v>-7.9936057773011271E-14</v>
      </c>
      <c r="AC311" s="236" t="e">
        <v>#N/A</v>
      </c>
      <c r="AD311" s="236">
        <v>-1.2021800381178949E-3</v>
      </c>
    </row>
    <row r="312" spans="23:30" x14ac:dyDescent="0.2">
      <c r="W312" s="144"/>
      <c r="X312" s="113" t="str">
        <f t="shared" si="17"/>
        <v>1D</v>
      </c>
      <c r="Y312" s="106">
        <f>_xll.qlCalendarAdvance(Calendar,Y311,X312,"f",FALSE)</f>
        <v>42579</v>
      </c>
      <c r="Z312" s="108">
        <f>_xll.qlCalendarAdvance(Calendar,Y312,0&amp;"D")</f>
        <v>42579</v>
      </c>
      <c r="AA312" s="109">
        <v>-1.2004415476063457E-3</v>
      </c>
      <c r="AB312" s="143">
        <f t="shared" si="18"/>
        <v>0</v>
      </c>
      <c r="AC312" s="236" t="e">
        <v>#N/A</v>
      </c>
      <c r="AD312" s="236">
        <v>-1.2004415476063457E-3</v>
      </c>
    </row>
    <row r="313" spans="23:30" x14ac:dyDescent="0.2">
      <c r="W313" s="144"/>
      <c r="X313" s="113" t="str">
        <f t="shared" si="17"/>
        <v>1D</v>
      </c>
      <c r="Y313" s="106">
        <f>_xll.qlCalendarAdvance(Calendar,Y312,X313,"f",FALSE)</f>
        <v>42580</v>
      </c>
      <c r="Z313" s="108">
        <f>_xll.qlCalendarAdvance(Calendar,Y313,0&amp;"D")</f>
        <v>42580</v>
      </c>
      <c r="AA313" s="109">
        <v>-1.1971018153289492E-3</v>
      </c>
      <c r="AB313" s="143">
        <f t="shared" si="18"/>
        <v>0</v>
      </c>
      <c r="AC313" s="236" t="e">
        <v>#N/A</v>
      </c>
      <c r="AD313" s="236">
        <v>-1.1971018153289492E-3</v>
      </c>
    </row>
    <row r="314" spans="23:30" x14ac:dyDescent="0.2">
      <c r="W314" s="144"/>
      <c r="X314" s="113" t="str">
        <f t="shared" si="17"/>
        <v>1D</v>
      </c>
      <c r="Y314" s="106">
        <f>_xll.qlCalendarAdvance(Calendar,Y313,X314,"f",FALSE)</f>
        <v>42583</v>
      </c>
      <c r="Z314" s="108">
        <f>_xll.qlCalendarAdvance(Calendar,Y314,0&amp;"D")</f>
        <v>42583</v>
      </c>
      <c r="AA314" s="109">
        <v>-1.1939112738845736E-3</v>
      </c>
      <c r="AB314" s="143">
        <f t="shared" si="18"/>
        <v>3.9968028886505635E-14</v>
      </c>
      <c r="AC314" s="236" t="e">
        <v>#N/A</v>
      </c>
      <c r="AD314" s="236">
        <v>-1.1939112739245417E-3</v>
      </c>
    </row>
    <row r="315" spans="23:30" x14ac:dyDescent="0.2">
      <c r="W315" s="144"/>
      <c r="X315" s="113" t="str">
        <f t="shared" si="17"/>
        <v>1D</v>
      </c>
      <c r="Y315" s="106">
        <f>_xll.qlCalendarAdvance(Calendar,Y314,X315,"f",FALSE)</f>
        <v>42584</v>
      </c>
      <c r="Z315" s="108">
        <f>_xll.qlCalendarAdvance(Calendar,Y315,0&amp;"D")</f>
        <v>42584</v>
      </c>
      <c r="AA315" s="109">
        <v>-1.1923846275552208E-3</v>
      </c>
      <c r="AB315" s="143">
        <f t="shared" si="18"/>
        <v>-3.9968028886505635E-14</v>
      </c>
      <c r="AC315" s="236" t="e">
        <v>#N/A</v>
      </c>
      <c r="AD315" s="236">
        <v>-1.1923846275152528E-3</v>
      </c>
    </row>
    <row r="316" spans="23:30" x14ac:dyDescent="0.2">
      <c r="W316" s="144"/>
      <c r="X316" s="113" t="str">
        <f t="shared" si="17"/>
        <v>1D</v>
      </c>
      <c r="Y316" s="106">
        <f>_xll.qlCalendarAdvance(Calendar,Y315,X316,"f",FALSE)</f>
        <v>42585</v>
      </c>
      <c r="Z316" s="108">
        <f>_xll.qlCalendarAdvance(Calendar,Y316,0&amp;"D")</f>
        <v>42585</v>
      </c>
      <c r="AA316" s="109">
        <v>-1.1909003500143456E-3</v>
      </c>
      <c r="AB316" s="143">
        <f t="shared" si="18"/>
        <v>0</v>
      </c>
      <c r="AC316" s="236" t="e">
        <v>#N/A</v>
      </c>
      <c r="AD316" s="236">
        <v>-1.1909003500143456E-3</v>
      </c>
    </row>
    <row r="317" spans="23:30" x14ac:dyDescent="0.2">
      <c r="W317" s="144"/>
      <c r="X317" s="113" t="str">
        <f t="shared" si="17"/>
        <v>1D</v>
      </c>
      <c r="Y317" s="106">
        <f>_xll.qlCalendarAdvance(Calendar,Y316,X317,"f",FALSE)</f>
        <v>42586</v>
      </c>
      <c r="Z317" s="108">
        <f>_xll.qlCalendarAdvance(Calendar,Y317,0&amp;"D")</f>
        <v>42586</v>
      </c>
      <c r="AA317" s="109">
        <v>-1.18945844122198E-3</v>
      </c>
      <c r="AB317" s="143">
        <f t="shared" si="18"/>
        <v>3.9968028886505635E-14</v>
      </c>
      <c r="AC317" s="236" t="e">
        <v>#N/A</v>
      </c>
      <c r="AD317" s="236">
        <v>-1.189458441261948E-3</v>
      </c>
    </row>
    <row r="318" spans="23:30" x14ac:dyDescent="0.2">
      <c r="W318" s="144"/>
      <c r="X318" s="113" t="str">
        <f t="shared" si="17"/>
        <v>1D</v>
      </c>
      <c r="Y318" s="106">
        <f>_xll.qlCalendarAdvance(Calendar,Y317,X318,"f",FALSE)</f>
        <v>42587</v>
      </c>
      <c r="Z318" s="108">
        <f>_xll.qlCalendarAdvance(Calendar,Y318,0&amp;"D")</f>
        <v>42587</v>
      </c>
      <c r="AA318" s="109">
        <v>-1.1867119413544458E-3</v>
      </c>
      <c r="AB318" s="143">
        <f t="shared" si="18"/>
        <v>-2.6645352591003757E-14</v>
      </c>
      <c r="AC318" s="236" t="e">
        <v>#N/A</v>
      </c>
      <c r="AD318" s="236">
        <v>-1.1867119413278004E-3</v>
      </c>
    </row>
    <row r="319" spans="23:30" x14ac:dyDescent="0.2">
      <c r="W319" s="144"/>
      <c r="X319" s="113" t="str">
        <f t="shared" si="17"/>
        <v>1D</v>
      </c>
      <c r="Y319" s="106">
        <f>_xll.qlCalendarAdvance(Calendar,Y318,X319,"f",FALSE)</f>
        <v>42590</v>
      </c>
      <c r="Z319" s="108">
        <f>_xll.qlCalendarAdvance(Calendar,Y319,0&amp;"D")</f>
        <v>42590</v>
      </c>
      <c r="AA319" s="109">
        <v>-1.1841144946567184E-3</v>
      </c>
      <c r="AB319" s="143">
        <f t="shared" si="18"/>
        <v>7.9936057773011271E-14</v>
      </c>
      <c r="AC319" s="236" t="e">
        <v>#N/A</v>
      </c>
      <c r="AD319" s="236">
        <v>-1.1841144947366544E-3</v>
      </c>
    </row>
    <row r="320" spans="23:30" x14ac:dyDescent="0.2">
      <c r="W320" s="144"/>
      <c r="X320" s="113" t="str">
        <f t="shared" si="17"/>
        <v>1D</v>
      </c>
      <c r="Y320" s="106">
        <f>_xll.qlCalendarAdvance(Calendar,Y319,X320,"f",FALSE)</f>
        <v>42591</v>
      </c>
      <c r="Z320" s="108">
        <f>_xll.qlCalendarAdvance(Calendar,Y320,0&amp;"D")</f>
        <v>42591</v>
      </c>
      <c r="AA320" s="109">
        <v>-1.1828844300465491E-3</v>
      </c>
      <c r="AB320" s="143">
        <f t="shared" si="18"/>
        <v>0</v>
      </c>
      <c r="AC320" s="236" t="e">
        <v>#N/A</v>
      </c>
      <c r="AD320" s="236">
        <v>-1.1828844300465491E-3</v>
      </c>
    </row>
    <row r="321" spans="23:30" x14ac:dyDescent="0.2">
      <c r="W321" s="144"/>
      <c r="X321" s="113" t="str">
        <f t="shared" si="17"/>
        <v>1D</v>
      </c>
      <c r="Y321" s="106">
        <f>_xll.qlCalendarAdvance(Calendar,Y320,X321,"f",FALSE)</f>
        <v>42592</v>
      </c>
      <c r="Z321" s="108">
        <f>_xll.qlCalendarAdvance(Calendar,Y321,0&amp;"D")</f>
        <v>42592</v>
      </c>
      <c r="AA321" s="109">
        <v>-1.1816967343447615E-3</v>
      </c>
      <c r="AB321" s="143">
        <f t="shared" si="18"/>
        <v>7.9936057773011271E-14</v>
      </c>
      <c r="AC321" s="236" t="e">
        <v>#N/A</v>
      </c>
      <c r="AD321" s="236">
        <v>-1.1816967344246976E-3</v>
      </c>
    </row>
    <row r="322" spans="23:30" x14ac:dyDescent="0.2">
      <c r="W322" s="144"/>
      <c r="X322" s="113" t="str">
        <f t="shared" si="17"/>
        <v>1D</v>
      </c>
      <c r="Y322" s="106">
        <f>_xll.qlCalendarAdvance(Calendar,Y321,X322,"f",FALSE)</f>
        <v>42593</v>
      </c>
      <c r="Z322" s="108">
        <f>_xll.qlCalendarAdvance(Calendar,Y322,0&amp;"D")</f>
        <v>42593</v>
      </c>
      <c r="AA322" s="109">
        <v>-1.1805514074714196E-3</v>
      </c>
      <c r="AB322" s="143">
        <f t="shared" si="18"/>
        <v>-3.9968028886505635E-14</v>
      </c>
      <c r="AC322" s="236" t="e">
        <v>#N/A</v>
      </c>
      <c r="AD322" s="236">
        <v>-1.1805514074314516E-3</v>
      </c>
    </row>
    <row r="323" spans="23:30" x14ac:dyDescent="0.2">
      <c r="W323" s="144"/>
      <c r="X323" s="113" t="str">
        <f t="shared" si="17"/>
        <v>1D</v>
      </c>
      <c r="Y323" s="106">
        <f>_xll.qlCalendarAdvance(Calendar,Y322,X323,"f",FALSE)</f>
        <v>42594</v>
      </c>
      <c r="Z323" s="108">
        <f>_xll.qlCalendarAdvance(Calendar,Y323,0&amp;"D")</f>
        <v>42594</v>
      </c>
      <c r="AA323" s="109">
        <v>-1.1783981257451615E-3</v>
      </c>
      <c r="AB323" s="143">
        <f t="shared" si="18"/>
        <v>0</v>
      </c>
      <c r="AC323" s="236" t="e">
        <v>#N/A</v>
      </c>
      <c r="AD323" s="236">
        <v>-1.1783981257451615E-3</v>
      </c>
    </row>
    <row r="324" spans="23:30" x14ac:dyDescent="0.2">
      <c r="W324" s="144"/>
      <c r="X324" s="113" t="str">
        <f t="shared" si="17"/>
        <v>1D</v>
      </c>
      <c r="Y324" s="106">
        <f>_xll.qlCalendarAdvance(Calendar,Y323,X324,"f",FALSE)</f>
        <v>42597</v>
      </c>
      <c r="Z324" s="108">
        <f>_xll.qlCalendarAdvance(Calendar,Y324,0&amp;"D")</f>
        <v>42597</v>
      </c>
      <c r="AA324" s="109">
        <v>-1.1763937881026365E-3</v>
      </c>
      <c r="AB324" s="143">
        <f t="shared" si="18"/>
        <v>3.9968028886505635E-14</v>
      </c>
      <c r="AC324" s="236" t="e">
        <v>#N/A</v>
      </c>
      <c r="AD324" s="236">
        <v>-1.1763937881426045E-3</v>
      </c>
    </row>
    <row r="325" spans="23:30" x14ac:dyDescent="0.2">
      <c r="W325" s="144"/>
      <c r="X325" s="113" t="str">
        <f t="shared" si="17"/>
        <v>1D</v>
      </c>
      <c r="Y325" s="106">
        <f>_xll.qlCalendarAdvance(Calendar,Y324,X325,"f",FALSE)</f>
        <v>42598</v>
      </c>
      <c r="Z325" s="108">
        <f>_xll.qlCalendarAdvance(Calendar,Y325,0&amp;"D")</f>
        <v>42598</v>
      </c>
      <c r="AA325" s="109">
        <v>-1.1754603054114909E-3</v>
      </c>
      <c r="AB325" s="143">
        <f t="shared" si="18"/>
        <v>-3.9968028886505635E-14</v>
      </c>
      <c r="AC325" s="236" t="e">
        <v>#N/A</v>
      </c>
      <c r="AD325" s="236">
        <v>-1.1754603053715229E-3</v>
      </c>
    </row>
    <row r="326" spans="23:30" x14ac:dyDescent="0.2">
      <c r="W326" s="144"/>
      <c r="X326" s="113" t="str">
        <f t="shared" si="17"/>
        <v>1D</v>
      </c>
      <c r="Y326" s="106">
        <f>_xll.qlCalendarAdvance(Calendar,Y325,X326,"f",FALSE)</f>
        <v>42599</v>
      </c>
      <c r="Z326" s="108">
        <f>_xll.qlCalendarAdvance(Calendar,Y326,0&amp;"D")</f>
        <v>42599</v>
      </c>
      <c r="AA326" s="109">
        <v>-1.1745691914288869E-3</v>
      </c>
      <c r="AB326" s="143">
        <f t="shared" si="18"/>
        <v>-3.9968028886505635E-14</v>
      </c>
      <c r="AC326" s="236" t="e">
        <v>#N/A</v>
      </c>
      <c r="AD326" s="236">
        <v>-1.1745691913889189E-3</v>
      </c>
    </row>
    <row r="327" spans="23:30" x14ac:dyDescent="0.2">
      <c r="W327" s="144"/>
      <c r="X327" s="113" t="str">
        <f t="shared" si="17"/>
        <v>1D</v>
      </c>
      <c r="Y327" s="106">
        <f>_xll.qlCalendarAdvance(Calendar,Y326,X327,"f",FALSE)</f>
        <v>42600</v>
      </c>
      <c r="Z327" s="108">
        <f>_xll.qlCalendarAdvance(Calendar,Y327,0&amp;"D")</f>
        <v>42600</v>
      </c>
      <c r="AA327" s="109">
        <v>-1.1737204463546647E-3</v>
      </c>
      <c r="AB327" s="143">
        <f t="shared" si="18"/>
        <v>-3.9968028886505635E-14</v>
      </c>
      <c r="AC327" s="236" t="e">
        <v>#N/A</v>
      </c>
      <c r="AD327" s="236">
        <v>-1.1737204463146966E-3</v>
      </c>
    </row>
    <row r="328" spans="23:30" x14ac:dyDescent="0.2">
      <c r="W328" s="144"/>
      <c r="X328" s="113" t="str">
        <f t="shared" si="17"/>
        <v>1D</v>
      </c>
      <c r="Y328" s="106">
        <f>_xll.qlCalendarAdvance(Calendar,Y327,X328,"f",FALSE)</f>
        <v>42601</v>
      </c>
      <c r="Z328" s="108">
        <f>_xll.qlCalendarAdvance(Calendar,Y328,0&amp;"D")</f>
        <v>42601</v>
      </c>
      <c r="AA328" s="109">
        <v>-1.1721603690473259E-3</v>
      </c>
      <c r="AB328" s="143">
        <f t="shared" si="18"/>
        <v>1.3322676295501878E-14</v>
      </c>
      <c r="AC328" s="236" t="e">
        <v>#N/A</v>
      </c>
      <c r="AD328" s="236">
        <v>-1.1721603690606486E-3</v>
      </c>
    </row>
    <row r="329" spans="23:30" x14ac:dyDescent="0.2">
      <c r="W329" s="144"/>
      <c r="X329" s="113" t="str">
        <f t="shared" si="17"/>
        <v>1D</v>
      </c>
      <c r="Y329" s="106">
        <f>_xll.qlCalendarAdvance(Calendar,Y328,X329,"f",FALSE)</f>
        <v>42604</v>
      </c>
      <c r="Z329" s="108">
        <f>_xll.qlCalendarAdvance(Calendar,Y329,0&amp;"D")</f>
        <v>42604</v>
      </c>
      <c r="AA329" s="109">
        <v>-1.1707491543422321E-3</v>
      </c>
      <c r="AB329" s="143">
        <f t="shared" si="18"/>
        <v>-3.9968028886505635E-14</v>
      </c>
      <c r="AC329" s="236" t="e">
        <v>#N/A</v>
      </c>
      <c r="AD329" s="236">
        <v>-1.1707491543022641E-3</v>
      </c>
    </row>
    <row r="330" spans="23:30" x14ac:dyDescent="0.2">
      <c r="W330" s="144"/>
      <c r="X330" s="113" t="str">
        <f t="shared" si="17"/>
        <v>1D</v>
      </c>
      <c r="Y330" s="106">
        <f>_xll.qlCalendarAdvance(Calendar,Y329,X330,"f",FALSE)</f>
        <v>42605</v>
      </c>
      <c r="Z330" s="108">
        <f>_xll.qlCalendarAdvance(Calendar,Y330,0&amp;"D")</f>
        <v>42605</v>
      </c>
      <c r="AA330" s="109">
        <v>-1.1701122532903341E-3</v>
      </c>
      <c r="AB330" s="143">
        <f t="shared" si="18"/>
        <v>3.9968028886505635E-14</v>
      </c>
      <c r="AC330" s="236" t="e">
        <v>#N/A</v>
      </c>
      <c r="AD330" s="236">
        <v>-1.1701122533303021E-3</v>
      </c>
    </row>
    <row r="331" spans="23:30" x14ac:dyDescent="0.2">
      <c r="W331" s="144"/>
      <c r="X331" s="113" t="str">
        <f t="shared" si="17"/>
        <v>1D</v>
      </c>
      <c r="Y331" s="106">
        <f>_xll.qlCalendarAdvance(Calendar,Y330,X331,"f",FALSE)</f>
        <v>42606</v>
      </c>
      <c r="Z331" s="108">
        <f>_xll.qlCalendarAdvance(Calendar,Y331,0&amp;"D")</f>
        <v>42606</v>
      </c>
      <c r="AA331" s="109">
        <v>-1.1695177212667218E-3</v>
      </c>
      <c r="AB331" s="143">
        <f t="shared" si="18"/>
        <v>7.9936057773011271E-14</v>
      </c>
      <c r="AC331" s="236" t="e">
        <v>#N/A</v>
      </c>
      <c r="AD331" s="236">
        <v>-1.1695177213466579E-3</v>
      </c>
    </row>
    <row r="332" spans="23:30" x14ac:dyDescent="0.2">
      <c r="W332" s="144"/>
      <c r="X332" s="113" t="str">
        <f t="shared" si="17"/>
        <v>1D</v>
      </c>
      <c r="Y332" s="106">
        <f>_xll.qlCalendarAdvance(Calendar,Y331,X332,"f",FALSE)</f>
        <v>42607</v>
      </c>
      <c r="Z332" s="108">
        <f>_xll.qlCalendarAdvance(Calendar,Y332,0&amp;"D")</f>
        <v>42607</v>
      </c>
      <c r="AA332" s="109">
        <v>-1.1689655580715552E-3</v>
      </c>
      <c r="AB332" s="143">
        <f t="shared" si="18"/>
        <v>-3.9968028886505635E-14</v>
      </c>
      <c r="AC332" s="236" t="e">
        <v>#N/A</v>
      </c>
      <c r="AD332" s="236">
        <v>-1.1689655580315872E-3</v>
      </c>
    </row>
    <row r="333" spans="23:30" x14ac:dyDescent="0.2">
      <c r="W333" s="144"/>
      <c r="X333" s="113" t="str">
        <f t="shared" ref="X333:X396" si="19">X332</f>
        <v>1D</v>
      </c>
      <c r="Y333" s="106">
        <f>_xll.qlCalendarAdvance(Calendar,Y332,X333,"f",FALSE)</f>
        <v>42608</v>
      </c>
      <c r="Z333" s="108">
        <f>_xll.qlCalendarAdvance(Calendar,Y333,0&amp;"D")</f>
        <v>42608</v>
      </c>
      <c r="AA333" s="109">
        <v>-1.1679986714874246E-3</v>
      </c>
      <c r="AB333" s="143">
        <f t="shared" si="18"/>
        <v>0</v>
      </c>
      <c r="AC333" s="236" t="e">
        <v>#N/A</v>
      </c>
      <c r="AD333" s="236">
        <v>-1.1679986714874246E-3</v>
      </c>
    </row>
    <row r="334" spans="23:30" x14ac:dyDescent="0.2">
      <c r="W334" s="144"/>
      <c r="X334" s="113" t="str">
        <f t="shared" si="19"/>
        <v>1D</v>
      </c>
      <c r="Y334" s="106">
        <f>_xll.qlCalendarAdvance(Calendar,Y333,X334,"f",FALSE)</f>
        <v>42611</v>
      </c>
      <c r="Z334" s="108">
        <f>_xll.qlCalendarAdvance(Calendar,Y334,0&amp;"D")</f>
        <v>42611</v>
      </c>
      <c r="AA334" s="109">
        <v>-1.1671805932955692E-3</v>
      </c>
      <c r="AB334" s="143">
        <f t="shared" si="18"/>
        <v>0</v>
      </c>
      <c r="AC334" s="236" t="e">
        <v>#N/A</v>
      </c>
      <c r="AD334" s="236">
        <v>-1.1671805932955692E-3</v>
      </c>
    </row>
    <row r="335" spans="23:30" x14ac:dyDescent="0.2">
      <c r="W335" s="144"/>
      <c r="X335" s="113" t="str">
        <f t="shared" si="19"/>
        <v>1D</v>
      </c>
      <c r="Y335" s="106">
        <f>_xll.qlCalendarAdvance(Calendar,Y334,X335,"f",FALSE)</f>
        <v>42612</v>
      </c>
      <c r="Z335" s="108">
        <f>_xll.qlCalendarAdvance(Calendar,Y335,0&amp;"D")</f>
        <v>42612</v>
      </c>
      <c r="AA335" s="109">
        <v>-1.166840274362535E-3</v>
      </c>
      <c r="AB335" s="143">
        <f t="shared" si="18"/>
        <v>-3.9968028886505635E-14</v>
      </c>
      <c r="AC335" s="236" t="e">
        <v>#N/A</v>
      </c>
      <c r="AD335" s="236">
        <v>-1.166840274322567E-3</v>
      </c>
    </row>
    <row r="336" spans="23:30" x14ac:dyDescent="0.2">
      <c r="W336" s="144"/>
      <c r="X336" s="113" t="str">
        <f t="shared" si="19"/>
        <v>1D</v>
      </c>
      <c r="Y336" s="106">
        <f>_xll.qlCalendarAdvance(Calendar,Y335,X336,"f",FALSE)</f>
        <v>42613</v>
      </c>
      <c r="Z336" s="108">
        <f>_xll.qlCalendarAdvance(Calendar,Y336,0&amp;"D")</f>
        <v>42613</v>
      </c>
      <c r="AA336" s="109">
        <v>-1.1665423239781703E-3</v>
      </c>
      <c r="AB336" s="143">
        <f t="shared" si="18"/>
        <v>7.9936057773011271E-14</v>
      </c>
      <c r="AC336" s="236" t="e">
        <v>#N/A</v>
      </c>
      <c r="AD336" s="236">
        <v>-1.1665423240581063E-3</v>
      </c>
    </row>
    <row r="337" spans="23:30" x14ac:dyDescent="0.2">
      <c r="W337" s="144"/>
      <c r="X337" s="113" t="str">
        <f t="shared" si="19"/>
        <v>1D</v>
      </c>
      <c r="Y337" s="106">
        <f>_xll.qlCalendarAdvance(Calendar,Y336,X337,"f",FALSE)</f>
        <v>42614</v>
      </c>
      <c r="Z337" s="108">
        <f>_xll.qlCalendarAdvance(Calendar,Y337,0&amp;"D")</f>
        <v>42614</v>
      </c>
      <c r="AA337" s="109">
        <v>-1.1662815049717778E-3</v>
      </c>
      <c r="AB337" s="143">
        <f t="shared" si="18"/>
        <v>0</v>
      </c>
      <c r="AC337" s="236" t="e">
        <v>#N/A</v>
      </c>
      <c r="AD337" s="236">
        <v>-1.1662815049717778E-3</v>
      </c>
    </row>
    <row r="338" spans="23:30" x14ac:dyDescent="0.2">
      <c r="W338" s="144"/>
      <c r="X338" s="113" t="str">
        <f t="shared" si="19"/>
        <v>1D</v>
      </c>
      <c r="Y338" s="106">
        <f>_xll.qlCalendarAdvance(Calendar,Y337,X338,"f",FALSE)</f>
        <v>42615</v>
      </c>
      <c r="Z338" s="108">
        <f>_xll.qlCalendarAdvance(Calendar,Y338,0&amp;"D")</f>
        <v>42615</v>
      </c>
      <c r="AA338" s="109">
        <v>-1.1658030428352006E-3</v>
      </c>
      <c r="AB338" s="143">
        <f t="shared" si="18"/>
        <v>-2.6645352591003757E-14</v>
      </c>
      <c r="AC338" s="236" t="e">
        <v>#N/A</v>
      </c>
      <c r="AD338" s="236">
        <v>-1.1658030428085553E-3</v>
      </c>
    </row>
    <row r="339" spans="23:30" x14ac:dyDescent="0.2">
      <c r="W339" s="144"/>
      <c r="X339" s="113" t="str">
        <f t="shared" si="19"/>
        <v>1D</v>
      </c>
      <c r="Y339" s="106">
        <f>_xll.qlCalendarAdvance(Calendar,Y338,X339,"f",FALSE)</f>
        <v>42618</v>
      </c>
      <c r="Z339" s="108">
        <f>_xll.qlCalendarAdvance(Calendar,Y339,0&amp;"D")</f>
        <v>42618</v>
      </c>
      <c r="AA339" s="109">
        <v>-1.1653686072143898E-3</v>
      </c>
      <c r="AB339" s="143">
        <f t="shared" si="18"/>
        <v>0</v>
      </c>
      <c r="AC339" s="236" t="e">
        <v>#N/A</v>
      </c>
      <c r="AD339" s="236">
        <v>-1.1653686072143898E-3</v>
      </c>
    </row>
    <row r="340" spans="23:30" x14ac:dyDescent="0.2">
      <c r="W340" s="144"/>
      <c r="X340" s="113" t="str">
        <f t="shared" si="19"/>
        <v>1D</v>
      </c>
      <c r="Y340" s="106">
        <f>_xll.qlCalendarAdvance(Calendar,Y339,X340,"f",FALSE)</f>
        <v>42619</v>
      </c>
      <c r="Z340" s="108">
        <f>_xll.qlCalendarAdvance(Calendar,Y340,0&amp;"D")</f>
        <v>42619</v>
      </c>
      <c r="AA340" s="109">
        <v>-1.1651677397317428E-3</v>
      </c>
      <c r="AB340" s="143">
        <f t="shared" si="18"/>
        <v>-3.9968028886505635E-14</v>
      </c>
      <c r="AC340" s="236" t="e">
        <v>#N/A</v>
      </c>
      <c r="AD340" s="236">
        <v>-1.1651677396917748E-3</v>
      </c>
    </row>
    <row r="341" spans="23:30" x14ac:dyDescent="0.2">
      <c r="W341" s="144"/>
      <c r="X341" s="113" t="str">
        <f t="shared" si="19"/>
        <v>1D</v>
      </c>
      <c r="Y341" s="106">
        <f>_xll.qlCalendarAdvance(Calendar,Y340,X341,"f",FALSE)</f>
        <v>42620</v>
      </c>
      <c r="Z341" s="108">
        <f>_xll.qlCalendarAdvance(Calendar,Y341,0&amp;"D")</f>
        <v>42620</v>
      </c>
      <c r="AA341" s="109">
        <v>-1.1649778148958845E-3</v>
      </c>
      <c r="AB341" s="143">
        <f t="shared" ref="AB341:AB404" si="20">AA341-AD341</f>
        <v>3.9968028886505635E-14</v>
      </c>
      <c r="AC341" s="236" t="e">
        <v>#N/A</v>
      </c>
      <c r="AD341" s="236">
        <v>-1.1649778149358525E-3</v>
      </c>
    </row>
    <row r="342" spans="23:30" x14ac:dyDescent="0.2">
      <c r="W342" s="144"/>
      <c r="X342" s="113" t="str">
        <f t="shared" si="19"/>
        <v>1D</v>
      </c>
      <c r="Y342" s="106">
        <f>_xll.qlCalendarAdvance(Calendar,Y341,X342,"f",FALSE)</f>
        <v>42621</v>
      </c>
      <c r="Z342" s="108">
        <f>_xll.qlCalendarAdvance(Calendar,Y342,0&amp;"D")</f>
        <v>42621</v>
      </c>
      <c r="AA342" s="109">
        <v>-1.1647988331464632E-3</v>
      </c>
      <c r="AB342" s="143">
        <f t="shared" si="20"/>
        <v>-3.9968028886505635E-14</v>
      </c>
      <c r="AC342" s="236" t="e">
        <v>#N/A</v>
      </c>
      <c r="AD342" s="236">
        <v>-1.1647988331064951E-3</v>
      </c>
    </row>
    <row r="343" spans="23:30" x14ac:dyDescent="0.2">
      <c r="W343" s="144"/>
      <c r="X343" s="113" t="str">
        <f t="shared" si="19"/>
        <v>1D</v>
      </c>
      <c r="Y343" s="106">
        <f>_xll.qlCalendarAdvance(Calendar,Y342,X343,"f",FALSE)</f>
        <v>42622</v>
      </c>
      <c r="Z343" s="108">
        <f>_xll.qlCalendarAdvance(Calendar,Y343,0&amp;"D")</f>
        <v>42622</v>
      </c>
      <c r="AA343" s="109">
        <v>-1.1644735783900018E-3</v>
      </c>
      <c r="AB343" s="143">
        <f t="shared" si="20"/>
        <v>0</v>
      </c>
      <c r="AC343" s="236" t="e">
        <v>#N/A</v>
      </c>
      <c r="AD343" s="236">
        <v>-1.1644735783900018E-3</v>
      </c>
    </row>
    <row r="344" spans="23:30" x14ac:dyDescent="0.2">
      <c r="W344" s="144"/>
      <c r="X344" s="113" t="str">
        <f t="shared" si="19"/>
        <v>1D</v>
      </c>
      <c r="Y344" s="106">
        <f>_xll.qlCalendarAdvance(Calendar,Y343,X344,"f",FALSE)</f>
        <v>42625</v>
      </c>
      <c r="Z344" s="108">
        <f>_xll.qlCalendarAdvance(Calendar,Y344,0&amp;"D")</f>
        <v>42625</v>
      </c>
      <c r="AA344" s="109">
        <v>-1.1641923331762172E-3</v>
      </c>
      <c r="AB344" s="143">
        <f t="shared" si="20"/>
        <v>7.9936057773011271E-14</v>
      </c>
      <c r="AC344" s="236" t="e">
        <v>#N/A</v>
      </c>
      <c r="AD344" s="236">
        <v>-1.1641923332561532E-3</v>
      </c>
    </row>
    <row r="345" spans="23:30" x14ac:dyDescent="0.2">
      <c r="W345" s="144"/>
      <c r="X345" s="113" t="str">
        <f t="shared" si="19"/>
        <v>1D</v>
      </c>
      <c r="Y345" s="106">
        <f>_xll.qlCalendarAdvance(Calendar,Y344,X345,"f",FALSE)</f>
        <v>42626</v>
      </c>
      <c r="Z345" s="108">
        <f>_xll.qlCalendarAdvance(Calendar,Y345,0&amp;"D")</f>
        <v>42626</v>
      </c>
      <c r="AA345" s="109">
        <v>-1.1640680651403557E-3</v>
      </c>
      <c r="AB345" s="143">
        <f t="shared" si="20"/>
        <v>-3.9968028886505635E-14</v>
      </c>
      <c r="AC345" s="236" t="e">
        <v>#N/A</v>
      </c>
      <c r="AD345" s="236">
        <v>-1.1640680651003876E-3</v>
      </c>
    </row>
    <row r="346" spans="23:30" x14ac:dyDescent="0.2">
      <c r="W346" s="144"/>
      <c r="X346" s="113" t="str">
        <f t="shared" si="19"/>
        <v>1D</v>
      </c>
      <c r="Y346" s="106">
        <f>_xll.qlCalendarAdvance(Calendar,Y345,X346,"f",FALSE)</f>
        <v>42627</v>
      </c>
      <c r="Z346" s="108">
        <f>_xll.qlCalendarAdvance(Calendar,Y346,0&amp;"D")</f>
        <v>42627</v>
      </c>
      <c r="AA346" s="109">
        <v>-1.1639547398312189E-3</v>
      </c>
      <c r="AB346" s="143">
        <f t="shared" si="20"/>
        <v>0</v>
      </c>
      <c r="AC346" s="236" t="e">
        <v>#N/A</v>
      </c>
      <c r="AD346" s="236">
        <v>-1.1639547398312189E-3</v>
      </c>
    </row>
    <row r="347" spans="23:30" x14ac:dyDescent="0.2">
      <c r="W347" s="144"/>
      <c r="X347" s="113" t="str">
        <f t="shared" si="19"/>
        <v>1D</v>
      </c>
      <c r="Y347" s="106">
        <f>_xll.qlCalendarAdvance(Calendar,Y346,X347,"f",FALSE)</f>
        <v>42628</v>
      </c>
      <c r="Z347" s="108">
        <f>_xll.qlCalendarAdvance(Calendar,Y347,0&amp;"D")</f>
        <v>42628</v>
      </c>
      <c r="AA347" s="109">
        <v>-1.163852357368711E-3</v>
      </c>
      <c r="AB347" s="143">
        <f t="shared" si="20"/>
        <v>0</v>
      </c>
      <c r="AC347" s="236" t="e">
        <v>#N/A</v>
      </c>
      <c r="AD347" s="236">
        <v>-1.163852357368711E-3</v>
      </c>
    </row>
    <row r="348" spans="23:30" x14ac:dyDescent="0.2">
      <c r="W348" s="144"/>
      <c r="X348" s="113" t="str">
        <f t="shared" si="19"/>
        <v>1D</v>
      </c>
      <c r="Y348" s="106">
        <f>_xll.qlCalendarAdvance(Calendar,Y347,X348,"f",FALSE)</f>
        <v>42629</v>
      </c>
      <c r="Z348" s="108">
        <f>_xll.qlCalendarAdvance(Calendar,Y348,0&amp;"D")</f>
        <v>42629</v>
      </c>
      <c r="AA348" s="109">
        <v>-1.1636803068881818E-3</v>
      </c>
      <c r="AB348" s="143">
        <f t="shared" si="20"/>
        <v>0</v>
      </c>
      <c r="AC348" s="236" t="e">
        <v>#N/A</v>
      </c>
      <c r="AD348" s="236">
        <v>-1.1636803068881818E-3</v>
      </c>
    </row>
    <row r="349" spans="23:30" x14ac:dyDescent="0.2">
      <c r="W349" s="144"/>
      <c r="X349" s="113" t="str">
        <f t="shared" si="19"/>
        <v>1D</v>
      </c>
      <c r="Y349" s="106">
        <f>_xll.qlCalendarAdvance(Calendar,Y348,X349,"f",FALSE)</f>
        <v>42632</v>
      </c>
      <c r="Z349" s="108">
        <f>_xll.qlCalendarAdvance(Calendar,Y349,0&amp;"D")</f>
        <v>42632</v>
      </c>
      <c r="AA349" s="109">
        <v>-1.1635522553454791E-3</v>
      </c>
      <c r="AB349" s="143">
        <f t="shared" si="20"/>
        <v>3.9968028886505635E-14</v>
      </c>
      <c r="AC349" s="236" t="e">
        <v>#N/A</v>
      </c>
      <c r="AD349" s="236">
        <v>-1.1635522553854472E-3</v>
      </c>
    </row>
    <row r="350" spans="23:30" x14ac:dyDescent="0.2">
      <c r="W350" s="144"/>
      <c r="X350" s="113" t="str">
        <f t="shared" si="19"/>
        <v>1D</v>
      </c>
      <c r="Y350" s="106">
        <f>_xll.qlCalendarAdvance(Calendar,Y349,X350,"f",FALSE)</f>
        <v>42633</v>
      </c>
      <c r="Z350" s="108">
        <f>_xll.qlCalendarAdvance(Calendar,Y350,0&amp;"D")</f>
        <v>42633</v>
      </c>
      <c r="AA350" s="109">
        <v>-1.1635045868763072E-3</v>
      </c>
      <c r="AB350" s="143">
        <f t="shared" si="20"/>
        <v>-3.9968028886505635E-14</v>
      </c>
      <c r="AC350" s="236" t="e">
        <v>#N/A</v>
      </c>
      <c r="AD350" s="236">
        <v>-1.1635045868363392E-3</v>
      </c>
    </row>
    <row r="351" spans="23:30" x14ac:dyDescent="0.2">
      <c r="W351" s="144"/>
      <c r="X351" s="113" t="str">
        <f t="shared" si="19"/>
        <v>1D</v>
      </c>
      <c r="Y351" s="106">
        <f>_xll.qlCalendarAdvance(Calendar,Y350,X351,"f",FALSE)</f>
        <v>42634</v>
      </c>
      <c r="Z351" s="108">
        <f>_xll.qlCalendarAdvance(Calendar,Y351,0&amp;"D")</f>
        <v>42634</v>
      </c>
      <c r="AA351" s="109">
        <v>-1.16346786113386E-3</v>
      </c>
      <c r="AB351" s="143">
        <f t="shared" si="20"/>
        <v>0</v>
      </c>
      <c r="AC351" s="236" t="e">
        <v>#N/A</v>
      </c>
      <c r="AD351" s="236">
        <v>-1.16346786113386E-3</v>
      </c>
    </row>
    <row r="352" spans="23:30" x14ac:dyDescent="0.2">
      <c r="W352" s="144"/>
      <c r="X352" s="113" t="str">
        <f t="shared" si="19"/>
        <v>1D</v>
      </c>
      <c r="Y352" s="106">
        <f>_xll.qlCalendarAdvance(Calendar,Y351,X352,"f",FALSE)</f>
        <v>42635</v>
      </c>
      <c r="Z352" s="108">
        <f>_xll.qlCalendarAdvance(Calendar,Y352,0&amp;"D")</f>
        <v>42635</v>
      </c>
      <c r="AA352" s="109">
        <v>-1.1634420780781696E-3</v>
      </c>
      <c r="AB352" s="143">
        <f t="shared" si="20"/>
        <v>0</v>
      </c>
      <c r="AC352" s="236" t="e">
        <v>#N/A</v>
      </c>
      <c r="AD352" s="236">
        <v>-1.1634420780781696E-3</v>
      </c>
    </row>
    <row r="353" spans="23:30" x14ac:dyDescent="0.2">
      <c r="W353" s="144"/>
      <c r="X353" s="113" t="str">
        <f t="shared" si="19"/>
        <v>1D</v>
      </c>
      <c r="Y353" s="106">
        <f>_xll.qlCalendarAdvance(Calendar,Y352,X353,"f",FALSE)</f>
        <v>42636</v>
      </c>
      <c r="Z353" s="108">
        <f>_xll.qlCalendarAdvance(Calendar,Y353,0&amp;"D")</f>
        <v>42636</v>
      </c>
      <c r="AA353" s="109">
        <v>-1.1634232282764501E-3</v>
      </c>
      <c r="AB353" s="143">
        <f t="shared" si="20"/>
        <v>-2.6645352591003757E-14</v>
      </c>
      <c r="AC353" s="236" t="e">
        <v>#N/A</v>
      </c>
      <c r="AD353" s="236">
        <v>-1.1634232282498047E-3</v>
      </c>
    </row>
    <row r="354" spans="23:30" x14ac:dyDescent="0.2">
      <c r="W354" s="144"/>
      <c r="X354" s="113" t="str">
        <f t="shared" si="19"/>
        <v>1D</v>
      </c>
      <c r="Y354" s="106">
        <f>_xll.qlCalendarAdvance(Calendar,Y353,X354,"f",FALSE)</f>
        <v>42639</v>
      </c>
      <c r="Z354" s="108">
        <f>_xll.qlCalendarAdvance(Calendar,Y354,0&amp;"D")</f>
        <v>42639</v>
      </c>
      <c r="AA354" s="109">
        <v>-1.1634483739619839E-3</v>
      </c>
      <c r="AB354" s="143">
        <f t="shared" si="20"/>
        <v>3.9968028886505635E-14</v>
      </c>
      <c r="AC354" s="236" t="e">
        <v>#N/A</v>
      </c>
      <c r="AD354" s="236">
        <v>-1.1634483740019519E-3</v>
      </c>
    </row>
    <row r="355" spans="23:30" x14ac:dyDescent="0.2">
      <c r="W355" s="144"/>
      <c r="X355" s="113" t="str">
        <f t="shared" si="19"/>
        <v>1D</v>
      </c>
      <c r="Y355" s="106">
        <f>_xll.qlCalendarAdvance(Calendar,Y354,X355,"f",FALSE)</f>
        <v>42640</v>
      </c>
      <c r="Z355" s="108">
        <f>_xll.qlCalendarAdvance(Calendar,Y355,0&amp;"D")</f>
        <v>42640</v>
      </c>
      <c r="AA355" s="109">
        <v>-1.1634773050195335E-3</v>
      </c>
      <c r="AB355" s="143">
        <f t="shared" si="20"/>
        <v>-3.9968028886505635E-14</v>
      </c>
      <c r="AC355" s="236" t="e">
        <v>#N/A</v>
      </c>
      <c r="AD355" s="236">
        <v>-1.1634773049795655E-3</v>
      </c>
    </row>
    <row r="356" spans="23:30" x14ac:dyDescent="0.2">
      <c r="W356" s="144"/>
      <c r="X356" s="113" t="str">
        <f t="shared" si="19"/>
        <v>1D</v>
      </c>
      <c r="Y356" s="106">
        <f>_xll.qlCalendarAdvance(Calendar,Y355,X356,"f",FALSE)</f>
        <v>42641</v>
      </c>
      <c r="Z356" s="108">
        <f>_xll.qlCalendarAdvance(Calendar,Y356,0&amp;"D")</f>
        <v>42641</v>
      </c>
      <c r="AA356" s="109">
        <v>-1.1635171785639997E-3</v>
      </c>
      <c r="AB356" s="143">
        <f t="shared" si="20"/>
        <v>3.9968028886505635E-14</v>
      </c>
      <c r="AC356" s="236" t="e">
        <v>#N/A</v>
      </c>
      <c r="AD356" s="236">
        <v>-1.1635171786039677E-3</v>
      </c>
    </row>
    <row r="357" spans="23:30" x14ac:dyDescent="0.2">
      <c r="W357" s="144"/>
      <c r="X357" s="113" t="str">
        <f t="shared" si="19"/>
        <v>1D</v>
      </c>
      <c r="Y357" s="106">
        <f>_xll.qlCalendarAdvance(Calendar,Y356,X357,"f",FALSE)</f>
        <v>42642</v>
      </c>
      <c r="Z357" s="108">
        <f>_xll.qlCalendarAdvance(Calendar,Y357,0&amp;"D")</f>
        <v>42642</v>
      </c>
      <c r="AA357" s="109">
        <v>-1.1635679951549349E-3</v>
      </c>
      <c r="AB357" s="143">
        <f t="shared" si="20"/>
        <v>0</v>
      </c>
      <c r="AC357" s="236" t="e">
        <v>#N/A</v>
      </c>
      <c r="AD357" s="236">
        <v>-1.1635679951549349E-3</v>
      </c>
    </row>
    <row r="358" spans="23:30" x14ac:dyDescent="0.2">
      <c r="W358" s="144"/>
      <c r="X358" s="113" t="str">
        <f t="shared" si="19"/>
        <v>1D</v>
      </c>
      <c r="Y358" s="106">
        <f>_xll.qlCalendarAdvance(Calendar,Y357,X358,"f",FALSE)</f>
        <v>42643</v>
      </c>
      <c r="Z358" s="108">
        <f>_xll.qlCalendarAdvance(Calendar,Y358,0&amp;"D")</f>
        <v>42643</v>
      </c>
      <c r="AA358" s="109">
        <v>-1.1637023424482251E-3</v>
      </c>
      <c r="AB358" s="143">
        <f t="shared" si="20"/>
        <v>-1.3322676295501878E-14</v>
      </c>
      <c r="AC358" s="236" t="e">
        <v>#N/A</v>
      </c>
      <c r="AD358" s="236">
        <v>-1.1637023424349024E-3</v>
      </c>
    </row>
    <row r="359" spans="23:30" x14ac:dyDescent="0.2">
      <c r="W359" s="144"/>
      <c r="X359" s="113" t="str">
        <f t="shared" si="19"/>
        <v>1D</v>
      </c>
      <c r="Y359" s="106">
        <f>_xll.qlCalendarAdvance(Calendar,Y358,X359,"f",FALSE)</f>
        <v>42646</v>
      </c>
      <c r="Z359" s="108">
        <f>_xll.qlCalendarAdvance(Calendar,Y359,0&amp;"D")</f>
        <v>42646</v>
      </c>
      <c r="AA359" s="109">
        <v>-1.1638806890257314E-3</v>
      </c>
      <c r="AB359" s="143">
        <f t="shared" si="20"/>
        <v>0</v>
      </c>
      <c r="AC359" s="236" t="e">
        <v>#N/A</v>
      </c>
      <c r="AD359" s="236">
        <v>-1.1638806890257314E-3</v>
      </c>
    </row>
    <row r="360" spans="23:30" x14ac:dyDescent="0.2">
      <c r="W360" s="144"/>
      <c r="X360" s="113" t="str">
        <f t="shared" si="19"/>
        <v>1D</v>
      </c>
      <c r="Y360" s="106">
        <f>_xll.qlCalendarAdvance(Calendar,Y359,X360,"f",FALSE)</f>
        <v>42647</v>
      </c>
      <c r="Z360" s="108">
        <f>_xll.qlCalendarAdvance(Calendar,Y360,0&amp;"D")</f>
        <v>42647</v>
      </c>
      <c r="AA360" s="109">
        <v>-1.1639862194101624E-3</v>
      </c>
      <c r="AB360" s="143">
        <f t="shared" si="20"/>
        <v>-3.9968028886505635E-14</v>
      </c>
      <c r="AC360" s="236" t="e">
        <v>#N/A</v>
      </c>
      <c r="AD360" s="236">
        <v>-1.1639862193701944E-3</v>
      </c>
    </row>
    <row r="361" spans="23:30" x14ac:dyDescent="0.2">
      <c r="W361" s="144"/>
      <c r="X361" s="113" t="str">
        <f t="shared" si="19"/>
        <v>1D</v>
      </c>
      <c r="Y361" s="106">
        <f>_xll.qlCalendarAdvance(Calendar,Y360,X361,"f",FALSE)</f>
        <v>42648</v>
      </c>
      <c r="Z361" s="108">
        <f>_xll.qlCalendarAdvance(Calendar,Y361,0&amp;"D")</f>
        <v>42648</v>
      </c>
      <c r="AA361" s="109">
        <v>-1.1641026926412223E-3</v>
      </c>
      <c r="AB361" s="143">
        <f t="shared" si="20"/>
        <v>-3.9968028886505635E-14</v>
      </c>
      <c r="AC361" s="236" t="e">
        <v>#N/A</v>
      </c>
      <c r="AD361" s="236">
        <v>-1.1641026926012543E-3</v>
      </c>
    </row>
    <row r="362" spans="23:30" x14ac:dyDescent="0.2">
      <c r="W362" s="144"/>
      <c r="X362" s="113" t="str">
        <f t="shared" si="19"/>
        <v>1D</v>
      </c>
      <c r="Y362" s="106">
        <f>_xll.qlCalendarAdvance(Calendar,Y361,X362,"f",FALSE)</f>
        <v>42649</v>
      </c>
      <c r="Z362" s="108">
        <f>_xll.qlCalendarAdvance(Calendar,Y362,0&amp;"D")</f>
        <v>42649</v>
      </c>
      <c r="AA362" s="109">
        <v>-1.164230108559039E-3</v>
      </c>
      <c r="AB362" s="143">
        <f t="shared" si="20"/>
        <v>0</v>
      </c>
      <c r="AC362" s="236" t="e">
        <v>#N/A</v>
      </c>
      <c r="AD362" s="236">
        <v>-1.164230108559039E-3</v>
      </c>
    </row>
    <row r="363" spans="23:30" x14ac:dyDescent="0.2">
      <c r="W363" s="144"/>
      <c r="X363" s="113" t="str">
        <f t="shared" si="19"/>
        <v>1D</v>
      </c>
      <c r="Y363" s="106">
        <f>_xll.qlCalendarAdvance(Calendar,Y362,X363,"f",FALSE)</f>
        <v>42650</v>
      </c>
      <c r="Z363" s="108">
        <f>_xll.qlCalendarAdvance(Calendar,Y363,0&amp;"D")</f>
        <v>42650</v>
      </c>
      <c r="AA363" s="109">
        <v>-1.1645176494701204E-3</v>
      </c>
      <c r="AB363" s="143">
        <f t="shared" si="20"/>
        <v>-1.3322676295501878E-14</v>
      </c>
      <c r="AC363" s="236" t="e">
        <v>#N/A</v>
      </c>
      <c r="AD363" s="236">
        <v>-1.1645176494567977E-3</v>
      </c>
    </row>
    <row r="364" spans="23:30" x14ac:dyDescent="0.2">
      <c r="W364" s="144"/>
      <c r="X364" s="113" t="str">
        <f t="shared" si="19"/>
        <v>1D</v>
      </c>
      <c r="Y364" s="106">
        <f>_xll.qlCalendarAdvance(Calendar,Y363,X364,"f",FALSE)</f>
        <v>42653</v>
      </c>
      <c r="Z364" s="108">
        <f>_xll.qlCalendarAdvance(Calendar,Y364,0&amp;"D")</f>
        <v>42653</v>
      </c>
      <c r="AA364" s="109">
        <v>-1.1648492002169775E-3</v>
      </c>
      <c r="AB364" s="143">
        <f t="shared" si="20"/>
        <v>3.9968028886505635E-14</v>
      </c>
      <c r="AC364" s="236" t="e">
        <v>#N/A</v>
      </c>
      <c r="AD364" s="236">
        <v>-1.1648492002569455E-3</v>
      </c>
    </row>
    <row r="365" spans="23:30" x14ac:dyDescent="0.2">
      <c r="W365" s="144"/>
      <c r="X365" s="113" t="str">
        <f t="shared" si="19"/>
        <v>1D</v>
      </c>
      <c r="Y365" s="106">
        <f>_xll.qlCalendarAdvance(Calendar,Y364,X365,"f",FALSE)</f>
        <v>42654</v>
      </c>
      <c r="Z365" s="108">
        <f>_xll.qlCalendarAdvance(Calendar,Y365,0&amp;"D")</f>
        <v>42654</v>
      </c>
      <c r="AA365" s="109">
        <v>-1.1650313301680981E-3</v>
      </c>
      <c r="AB365" s="143">
        <f t="shared" si="20"/>
        <v>3.9968028886505635E-14</v>
      </c>
      <c r="AC365" s="236" t="e">
        <v>#N/A</v>
      </c>
      <c r="AD365" s="236">
        <v>-1.1650313302080662E-3</v>
      </c>
    </row>
    <row r="366" spans="23:30" x14ac:dyDescent="0.2">
      <c r="W366" s="144"/>
      <c r="X366" s="113" t="str">
        <f t="shared" si="19"/>
        <v>1D</v>
      </c>
      <c r="Y366" s="106">
        <f>_xll.qlCalendarAdvance(Calendar,Y365,X366,"f",FALSE)</f>
        <v>42655</v>
      </c>
      <c r="Z366" s="108">
        <f>_xll.qlCalendarAdvance(Calendar,Y366,0&amp;"D")</f>
        <v>42655</v>
      </c>
      <c r="AA366" s="109">
        <v>-1.1652244029258796E-3</v>
      </c>
      <c r="AB366" s="143">
        <f t="shared" si="20"/>
        <v>-7.9936057773011271E-14</v>
      </c>
      <c r="AC366" s="236" t="e">
        <v>#N/A</v>
      </c>
      <c r="AD366" s="236">
        <v>-1.1652244028459435E-3</v>
      </c>
    </row>
    <row r="367" spans="23:30" x14ac:dyDescent="0.2">
      <c r="W367" s="144"/>
      <c r="X367" s="113" t="str">
        <f t="shared" si="19"/>
        <v>1D</v>
      </c>
      <c r="Y367" s="106">
        <f>_xll.qlCalendarAdvance(Calendar,Y366,X367,"f",FALSE)</f>
        <v>42656</v>
      </c>
      <c r="Z367" s="108">
        <f>_xll.qlCalendarAdvance(Calendar,Y367,0&amp;"D")</f>
        <v>42656</v>
      </c>
      <c r="AA367" s="109">
        <v>-1.1654284182505137E-3</v>
      </c>
      <c r="AB367" s="143">
        <f t="shared" si="20"/>
        <v>0</v>
      </c>
      <c r="AC367" s="236" t="e">
        <v>#N/A</v>
      </c>
      <c r="AD367" s="236">
        <v>-1.1654284182505137E-3</v>
      </c>
    </row>
    <row r="368" spans="23:30" x14ac:dyDescent="0.2">
      <c r="W368" s="144"/>
      <c r="X368" s="113" t="str">
        <f t="shared" si="19"/>
        <v>1D</v>
      </c>
      <c r="Y368" s="106">
        <f>_xll.qlCalendarAdvance(Calendar,Y367,X368,"f",FALSE)</f>
        <v>42657</v>
      </c>
      <c r="Z368" s="108">
        <f>_xll.qlCalendarAdvance(Calendar,Y368,0&amp;"D")</f>
        <v>42657</v>
      </c>
      <c r="AA368" s="109">
        <v>-1.1658691493821038E-3</v>
      </c>
      <c r="AB368" s="143">
        <f t="shared" si="20"/>
        <v>1.3322676295501878E-14</v>
      </c>
      <c r="AC368" s="236" t="e">
        <v>#N/A</v>
      </c>
      <c r="AD368" s="236">
        <v>-1.1658691493954265E-3</v>
      </c>
    </row>
    <row r="369" spans="23:30" x14ac:dyDescent="0.2">
      <c r="W369" s="144"/>
      <c r="X369" s="113" t="str">
        <f t="shared" si="19"/>
        <v>1D</v>
      </c>
      <c r="Y369" s="106">
        <f>_xll.qlCalendarAdvance(Calendar,Y368,X369,"f",FALSE)</f>
        <v>42660</v>
      </c>
      <c r="Z369" s="108">
        <f>_xll.qlCalendarAdvance(Calendar,Y369,0&amp;"D")</f>
        <v>42660</v>
      </c>
      <c r="AA369" s="109">
        <v>-1.1663539078954344E-3</v>
      </c>
      <c r="AB369" s="143">
        <f t="shared" si="20"/>
        <v>0</v>
      </c>
      <c r="AC369" s="236" t="e">
        <v>#N/A</v>
      </c>
      <c r="AD369" s="236">
        <v>-1.1663539078954344E-3</v>
      </c>
    </row>
    <row r="370" spans="23:30" x14ac:dyDescent="0.2">
      <c r="W370" s="144"/>
      <c r="X370" s="113" t="str">
        <f t="shared" si="19"/>
        <v>1D</v>
      </c>
      <c r="Y370" s="106">
        <f>_xll.qlCalendarAdvance(Calendar,Y369,X370,"f",FALSE)</f>
        <v>42661</v>
      </c>
      <c r="Z370" s="108">
        <f>_xll.qlCalendarAdvance(Calendar,Y370,0&amp;"D")</f>
        <v>42661</v>
      </c>
      <c r="AA370" s="109">
        <v>-1.1666126372533725E-3</v>
      </c>
      <c r="AB370" s="143">
        <f t="shared" si="20"/>
        <v>0</v>
      </c>
      <c r="AC370" s="236" t="e">
        <v>#N/A</v>
      </c>
      <c r="AD370" s="236">
        <v>-1.1666126372533725E-3</v>
      </c>
    </row>
    <row r="371" spans="23:30" x14ac:dyDescent="0.2">
      <c r="W371" s="144"/>
      <c r="X371" s="113" t="str">
        <f t="shared" si="19"/>
        <v>1D</v>
      </c>
      <c r="Y371" s="106">
        <f>_xll.qlCalendarAdvance(Calendar,Y370,X371,"f",FALSE)</f>
        <v>42662</v>
      </c>
      <c r="Z371" s="108">
        <f>_xll.qlCalendarAdvance(Calendar,Y371,0&amp;"D")</f>
        <v>42662</v>
      </c>
      <c r="AA371" s="109">
        <v>-1.1668823094179714E-3</v>
      </c>
      <c r="AB371" s="143">
        <f t="shared" si="20"/>
        <v>-3.9968028886505635E-14</v>
      </c>
      <c r="AC371" s="236" t="e">
        <v>#N/A</v>
      </c>
      <c r="AD371" s="236">
        <v>-1.1668823093780034E-3</v>
      </c>
    </row>
    <row r="372" spans="23:30" x14ac:dyDescent="0.2">
      <c r="W372" s="144"/>
      <c r="X372" s="113" t="str">
        <f t="shared" si="19"/>
        <v>1D</v>
      </c>
      <c r="Y372" s="106">
        <f>_xll.qlCalendarAdvance(Calendar,Y371,X372,"f",FALSE)</f>
        <v>42663</v>
      </c>
      <c r="Z372" s="108">
        <f>_xll.qlCalendarAdvance(Calendar,Y372,0&amp;"D")</f>
        <v>42663</v>
      </c>
      <c r="AA372" s="109">
        <v>-1.1671629243092951E-3</v>
      </c>
      <c r="AB372" s="143">
        <f t="shared" si="20"/>
        <v>0</v>
      </c>
      <c r="AC372" s="236" t="e">
        <v>#N/A</v>
      </c>
      <c r="AD372" s="236">
        <v>-1.1671629243092951E-3</v>
      </c>
    </row>
    <row r="373" spans="23:30" x14ac:dyDescent="0.2">
      <c r="W373" s="144"/>
      <c r="X373" s="113" t="str">
        <f t="shared" si="19"/>
        <v>1D</v>
      </c>
      <c r="Y373" s="106">
        <f>_xll.qlCalendarAdvance(Calendar,Y372,X373,"f",FALSE)</f>
        <v>42664</v>
      </c>
      <c r="Z373" s="108">
        <f>_xll.qlCalendarAdvance(Calendar,Y373,0&amp;"D")</f>
        <v>42664</v>
      </c>
      <c r="AA373" s="109">
        <v>-1.1677568421575302E-3</v>
      </c>
      <c r="AB373" s="143">
        <f t="shared" si="20"/>
        <v>1.3322676295501878E-14</v>
      </c>
      <c r="AC373" s="236" t="e">
        <v>#N/A</v>
      </c>
      <c r="AD373" s="236">
        <v>-1.1677568421708528E-3</v>
      </c>
    </row>
    <row r="374" spans="23:30" x14ac:dyDescent="0.2">
      <c r="W374" s="144"/>
      <c r="X374" s="113" t="str">
        <f t="shared" si="19"/>
        <v>1D</v>
      </c>
      <c r="Y374" s="106">
        <f>_xll.qlCalendarAdvance(Calendar,Y373,X374,"f",FALSE)</f>
        <v>42667</v>
      </c>
      <c r="Z374" s="108">
        <f>_xll.qlCalendarAdvance(Calendar,Y374,0&amp;"D")</f>
        <v>42667</v>
      </c>
      <c r="AA374" s="109">
        <v>-1.1683948118612619E-3</v>
      </c>
      <c r="AB374" s="143">
        <f t="shared" si="20"/>
        <v>-3.9968028886505635E-14</v>
      </c>
      <c r="AC374" s="236" t="e">
        <v>#N/A</v>
      </c>
      <c r="AD374" s="236">
        <v>-1.1683948118212939E-3</v>
      </c>
    </row>
    <row r="375" spans="23:30" x14ac:dyDescent="0.2">
      <c r="W375" s="144"/>
      <c r="X375" s="113" t="str">
        <f t="shared" si="19"/>
        <v>1D</v>
      </c>
      <c r="Y375" s="106">
        <f>_xll.qlCalendarAdvance(Calendar,Y374,X375,"f",FALSE)</f>
        <v>42668</v>
      </c>
      <c r="Z375" s="108">
        <f>_xll.qlCalendarAdvance(Calendar,Y375,0&amp;"D")</f>
        <v>42668</v>
      </c>
      <c r="AA375" s="109">
        <v>-1.1687301406260175E-3</v>
      </c>
      <c r="AB375" s="143">
        <f t="shared" si="20"/>
        <v>3.9968028886505635E-14</v>
      </c>
      <c r="AC375" s="236" t="e">
        <v>#N/A</v>
      </c>
      <c r="AD375" s="236">
        <v>-1.1687301406659856E-3</v>
      </c>
    </row>
    <row r="376" spans="23:30" x14ac:dyDescent="0.2">
      <c r="W376" s="144"/>
      <c r="X376" s="113" t="str">
        <f t="shared" si="19"/>
        <v>1D</v>
      </c>
      <c r="Y376" s="106">
        <f>_xll.qlCalendarAdvance(Calendar,Y375,X376,"f",FALSE)</f>
        <v>42669</v>
      </c>
      <c r="Z376" s="108">
        <f>_xll.qlCalendarAdvance(Calendar,Y376,0&amp;"D")</f>
        <v>42669</v>
      </c>
      <c r="AA376" s="109">
        <v>-1.16907641227737E-3</v>
      </c>
      <c r="AB376" s="143">
        <f t="shared" si="20"/>
        <v>-3.9968028886505635E-14</v>
      </c>
      <c r="AC376" s="236" t="e">
        <v>#N/A</v>
      </c>
      <c r="AD376" s="236">
        <v>-1.169076412237402E-3</v>
      </c>
    </row>
    <row r="377" spans="23:30" x14ac:dyDescent="0.2">
      <c r="W377" s="144"/>
      <c r="X377" s="113" t="str">
        <f t="shared" si="19"/>
        <v>1D</v>
      </c>
      <c r="Y377" s="106">
        <f>_xll.qlCalendarAdvance(Calendar,Y376,X377,"f",FALSE)</f>
        <v>42670</v>
      </c>
      <c r="Z377" s="108">
        <f>_xll.qlCalendarAdvance(Calendar,Y377,0&amp;"D")</f>
        <v>42670</v>
      </c>
      <c r="AA377" s="109">
        <v>-1.1694336267353833E-3</v>
      </c>
      <c r="AB377" s="143">
        <f t="shared" si="20"/>
        <v>0</v>
      </c>
      <c r="AC377" s="236" t="e">
        <v>#N/A</v>
      </c>
      <c r="AD377" s="236">
        <v>-1.1694336267353833E-3</v>
      </c>
    </row>
    <row r="378" spans="23:30" x14ac:dyDescent="0.2">
      <c r="W378" s="144"/>
      <c r="X378" s="113" t="str">
        <f t="shared" si="19"/>
        <v>1D</v>
      </c>
      <c r="Y378" s="106">
        <f>_xll.qlCalendarAdvance(Calendar,Y377,X378,"f",FALSE)</f>
        <v>42671</v>
      </c>
      <c r="Z378" s="108">
        <f>_xll.qlCalendarAdvance(Calendar,Y378,0&amp;"D")</f>
        <v>42671</v>
      </c>
      <c r="AA378" s="109">
        <v>-1.170180727729786E-3</v>
      </c>
      <c r="AB378" s="143">
        <f t="shared" si="20"/>
        <v>0</v>
      </c>
      <c r="AC378" s="236" t="e">
        <v>#N/A</v>
      </c>
      <c r="AD378" s="236">
        <v>-1.170180727729786E-3</v>
      </c>
    </row>
    <row r="379" spans="23:30" x14ac:dyDescent="0.2">
      <c r="W379" s="144"/>
      <c r="X379" s="113" t="str">
        <f t="shared" si="19"/>
        <v>1D</v>
      </c>
      <c r="Y379" s="106">
        <f>_xll.qlCalendarAdvance(Calendar,Y378,X379,"f",FALSE)</f>
        <v>42674</v>
      </c>
      <c r="Z379" s="108">
        <f>_xll.qlCalendarAdvance(Calendar,Y379,0&amp;"D")</f>
        <v>42674</v>
      </c>
      <c r="AA379" s="109">
        <v>-1.1709719119945561E-3</v>
      </c>
      <c r="AB379" s="143">
        <f t="shared" si="20"/>
        <v>0</v>
      </c>
      <c r="AC379" s="236" t="e">
        <v>#N/A</v>
      </c>
      <c r="AD379" s="236">
        <v>-1.1709719119945561E-3</v>
      </c>
    </row>
    <row r="380" spans="23:30" x14ac:dyDescent="0.2">
      <c r="W380" s="144"/>
      <c r="X380" s="113" t="str">
        <f t="shared" si="19"/>
        <v>1D</v>
      </c>
      <c r="Y380" s="106">
        <f>_xll.qlCalendarAdvance(Calendar,Y379,X380,"f",FALSE)</f>
        <v>42675</v>
      </c>
      <c r="Z380" s="108">
        <f>_xll.qlCalendarAdvance(Calendar,Y380,0&amp;"D")</f>
        <v>42675</v>
      </c>
      <c r="AA380" s="109">
        <v>-1.1713838404459054E-3</v>
      </c>
      <c r="AB380" s="143">
        <f t="shared" si="20"/>
        <v>3.9968028886505635E-14</v>
      </c>
      <c r="AC380" s="236" t="e">
        <v>#N/A</v>
      </c>
      <c r="AD380" s="236">
        <v>-1.1713838404858734E-3</v>
      </c>
    </row>
    <row r="381" spans="23:30" x14ac:dyDescent="0.2">
      <c r="W381" s="144"/>
      <c r="X381" s="113" t="str">
        <f t="shared" si="19"/>
        <v>1D</v>
      </c>
      <c r="Y381" s="106">
        <f>_xll.qlCalendarAdvance(Calendar,Y380,X381,"f",FALSE)</f>
        <v>42676</v>
      </c>
      <c r="Z381" s="108">
        <f>_xll.qlCalendarAdvance(Calendar,Y381,0&amp;"D")</f>
        <v>42676</v>
      </c>
      <c r="AA381" s="109">
        <v>-1.1718067114241393E-3</v>
      </c>
      <c r="AB381" s="143">
        <f t="shared" si="20"/>
        <v>0</v>
      </c>
      <c r="AC381" s="236" t="e">
        <v>#N/A</v>
      </c>
      <c r="AD381" s="236">
        <v>-1.1718067114241393E-3</v>
      </c>
    </row>
    <row r="382" spans="23:30" x14ac:dyDescent="0.2">
      <c r="W382" s="144"/>
      <c r="X382" s="113" t="str">
        <f t="shared" si="19"/>
        <v>1D</v>
      </c>
      <c r="Y382" s="106">
        <f>_xll.qlCalendarAdvance(Calendar,Y381,X382,"f",FALSE)</f>
        <v>42677</v>
      </c>
      <c r="Z382" s="108">
        <f>_xll.qlCalendarAdvance(Calendar,Y382,0&amp;"D")</f>
        <v>42677</v>
      </c>
      <c r="AA382" s="109">
        <v>-1.1722405254088741E-3</v>
      </c>
      <c r="AB382" s="143">
        <f t="shared" si="20"/>
        <v>-3.9968028886505635E-14</v>
      </c>
      <c r="AC382" s="236" t="e">
        <v>#N/A</v>
      </c>
      <c r="AD382" s="236">
        <v>-1.1722405253689061E-3</v>
      </c>
    </row>
    <row r="383" spans="23:30" x14ac:dyDescent="0.2">
      <c r="W383" s="144"/>
      <c r="X383" s="113" t="str">
        <f t="shared" si="19"/>
        <v>1D</v>
      </c>
      <c r="Y383" s="106">
        <f>_xll.qlCalendarAdvance(Calendar,Y382,X383,"f",FALSE)</f>
        <v>42678</v>
      </c>
      <c r="Z383" s="108">
        <f>_xll.qlCalendarAdvance(Calendar,Y383,0&amp;"D")</f>
        <v>42678</v>
      </c>
      <c r="AA383" s="109">
        <v>-1.1731408060722259E-3</v>
      </c>
      <c r="AB383" s="143">
        <f t="shared" si="20"/>
        <v>1.3322676295501878E-14</v>
      </c>
      <c r="AC383" s="236" t="e">
        <v>#N/A</v>
      </c>
      <c r="AD383" s="236">
        <v>-1.1731408060855486E-3</v>
      </c>
    </row>
    <row r="384" spans="23:30" x14ac:dyDescent="0.2">
      <c r="W384" s="144"/>
      <c r="X384" s="113" t="str">
        <f t="shared" si="19"/>
        <v>1D</v>
      </c>
      <c r="Y384" s="106">
        <f>_xll.qlCalendarAdvance(Calendar,Y383,X384,"f",FALSE)</f>
        <v>42681</v>
      </c>
      <c r="Z384" s="108">
        <f>_xll.qlCalendarAdvance(Calendar,Y384,0&amp;"D")</f>
        <v>42681</v>
      </c>
      <c r="AA384" s="109">
        <v>-1.1740852086550291E-3</v>
      </c>
      <c r="AB384" s="143">
        <f t="shared" si="20"/>
        <v>0</v>
      </c>
      <c r="AC384" s="236" t="e">
        <v>#N/A</v>
      </c>
      <c r="AD384" s="236">
        <v>-1.1740852086550291E-3</v>
      </c>
    </row>
    <row r="385" spans="23:30" x14ac:dyDescent="0.2">
      <c r="W385" s="144"/>
      <c r="X385" s="113" t="str">
        <f t="shared" si="19"/>
        <v>1D</v>
      </c>
      <c r="Y385" s="106">
        <f>_xll.qlCalendarAdvance(Calendar,Y384,X385,"f",FALSE)</f>
        <v>42682</v>
      </c>
      <c r="Z385" s="108">
        <f>_xll.qlCalendarAdvance(Calendar,Y385,0&amp;"D")</f>
        <v>42682</v>
      </c>
      <c r="AA385" s="109">
        <v>-1.1745737364332598E-3</v>
      </c>
      <c r="AB385" s="143">
        <f t="shared" si="20"/>
        <v>0</v>
      </c>
      <c r="AC385" s="236" t="e">
        <v>#N/A</v>
      </c>
      <c r="AD385" s="236">
        <v>-1.1745737364332598E-3</v>
      </c>
    </row>
    <row r="386" spans="23:30" x14ac:dyDescent="0.2">
      <c r="W386" s="144"/>
      <c r="X386" s="113" t="str">
        <f t="shared" si="19"/>
        <v>1D</v>
      </c>
      <c r="Y386" s="106">
        <f>_xll.qlCalendarAdvance(Calendar,Y385,X386,"f",FALSE)</f>
        <v>42683</v>
      </c>
      <c r="Z386" s="108">
        <f>_xll.qlCalendarAdvance(Calendar,Y386,0&amp;"D")</f>
        <v>42683</v>
      </c>
      <c r="AA386" s="109">
        <v>-1.1750732068582792E-3</v>
      </c>
      <c r="AB386" s="143">
        <f t="shared" si="20"/>
        <v>7.9936057773011271E-14</v>
      </c>
      <c r="AC386" s="236" t="e">
        <v>#N/A</v>
      </c>
      <c r="AD386" s="236">
        <v>-1.1750732069382153E-3</v>
      </c>
    </row>
    <row r="387" spans="23:30" x14ac:dyDescent="0.2">
      <c r="W387" s="144"/>
      <c r="X387" s="113" t="str">
        <f t="shared" si="19"/>
        <v>1D</v>
      </c>
      <c r="Y387" s="106">
        <f>_xll.qlCalendarAdvance(Calendar,Y386,X387,"f",FALSE)</f>
        <v>42684</v>
      </c>
      <c r="Z387" s="108">
        <f>_xll.qlCalendarAdvance(Calendar,Y387,0&amp;"D")</f>
        <v>42684</v>
      </c>
      <c r="AA387" s="109">
        <v>-1.1755836204496717E-3</v>
      </c>
      <c r="AB387" s="143">
        <f t="shared" si="20"/>
        <v>-7.9936057773011271E-14</v>
      </c>
      <c r="AC387" s="236" t="e">
        <v>#N/A</v>
      </c>
      <c r="AD387" s="236">
        <v>-1.1755836203697356E-3</v>
      </c>
    </row>
    <row r="388" spans="23:30" x14ac:dyDescent="0.2">
      <c r="W388" s="144"/>
      <c r="X388" s="113" t="str">
        <f t="shared" si="19"/>
        <v>1D</v>
      </c>
      <c r="Y388" s="106">
        <f>_xll.qlCalendarAdvance(Calendar,Y387,X388,"f",FALSE)</f>
        <v>42685</v>
      </c>
      <c r="Z388" s="108">
        <f>_xll.qlCalendarAdvance(Calendar,Y388,0&amp;"D")</f>
        <v>42685</v>
      </c>
      <c r="AA388" s="109">
        <v>-1.176637077144882E-3</v>
      </c>
      <c r="AB388" s="143">
        <f t="shared" si="20"/>
        <v>1.3322676295501878E-14</v>
      </c>
      <c r="AC388" s="236" t="e">
        <v>#N/A</v>
      </c>
      <c r="AD388" s="236">
        <v>-1.1766370771582046E-3</v>
      </c>
    </row>
    <row r="389" spans="23:30" x14ac:dyDescent="0.2">
      <c r="W389" s="144"/>
      <c r="X389" s="113" t="str">
        <f t="shared" si="19"/>
        <v>1D</v>
      </c>
      <c r="Y389" s="106">
        <f>_xll.qlCalendarAdvance(Calendar,Y388,X389,"f",FALSE)</f>
        <v>42688</v>
      </c>
      <c r="Z389" s="108">
        <f>_xll.qlCalendarAdvance(Calendar,Y389,0&amp;"D")</f>
        <v>42688</v>
      </c>
      <c r="AA389" s="109">
        <v>-1.1777347014829687E-3</v>
      </c>
      <c r="AB389" s="143">
        <f t="shared" si="20"/>
        <v>3.9968028886505635E-14</v>
      </c>
      <c r="AC389" s="236" t="e">
        <v>#N/A</v>
      </c>
      <c r="AD389" s="236">
        <v>-1.1777347015229367E-3</v>
      </c>
    </row>
    <row r="390" spans="23:30" x14ac:dyDescent="0.2">
      <c r="W390" s="144"/>
      <c r="X390" s="113" t="str">
        <f t="shared" si="19"/>
        <v>1D</v>
      </c>
      <c r="Y390" s="106">
        <f>_xll.qlCalendarAdvance(Calendar,Y389,X390,"f",FALSE)</f>
        <v>42689</v>
      </c>
      <c r="Z390" s="108">
        <f>_xll.qlCalendarAdvance(Calendar,Y390,0&amp;"D")</f>
        <v>42689</v>
      </c>
      <c r="AA390" s="109">
        <v>-1.1782998287479529E-3</v>
      </c>
      <c r="AB390" s="143">
        <f t="shared" si="20"/>
        <v>-7.9936057773011271E-14</v>
      </c>
      <c r="AC390" s="236" t="e">
        <v>#N/A</v>
      </c>
      <c r="AD390" s="236">
        <v>-1.1782998286680169E-3</v>
      </c>
    </row>
    <row r="391" spans="23:30" x14ac:dyDescent="0.2">
      <c r="W391" s="144"/>
      <c r="X391" s="113" t="str">
        <f t="shared" si="19"/>
        <v>1D</v>
      </c>
      <c r="Y391" s="106">
        <f>_xll.qlCalendarAdvance(Calendar,Y390,X391,"f",FALSE)</f>
        <v>42690</v>
      </c>
      <c r="Z391" s="108">
        <f>_xll.qlCalendarAdvance(Calendar,Y391,0&amp;"D")</f>
        <v>42690</v>
      </c>
      <c r="AA391" s="109">
        <v>-1.1788758987396619E-3</v>
      </c>
      <c r="AB391" s="143">
        <f t="shared" si="20"/>
        <v>7.9936057773011271E-14</v>
      </c>
      <c r="AC391" s="236" t="e">
        <v>#N/A</v>
      </c>
      <c r="AD391" s="236">
        <v>-1.178875898819598E-3</v>
      </c>
    </row>
    <row r="392" spans="23:30" x14ac:dyDescent="0.2">
      <c r="W392" s="144"/>
      <c r="X392" s="113" t="str">
        <f t="shared" si="19"/>
        <v>1D</v>
      </c>
      <c r="Y392" s="106">
        <f>_xll.qlCalendarAdvance(Calendar,Y391,X392,"f",FALSE)</f>
        <v>42691</v>
      </c>
      <c r="Z392" s="108">
        <f>_xll.qlCalendarAdvance(Calendar,Y392,0&amp;"D")</f>
        <v>42691</v>
      </c>
      <c r="AA392" s="109">
        <v>-1.1794629116179678E-3</v>
      </c>
      <c r="AB392" s="143">
        <f t="shared" si="20"/>
        <v>-1.1990408665951691E-13</v>
      </c>
      <c r="AC392" s="236" t="e">
        <v>#N/A</v>
      </c>
      <c r="AD392" s="236">
        <v>-1.1794629114980637E-3</v>
      </c>
    </row>
    <row r="393" spans="23:30" x14ac:dyDescent="0.2">
      <c r="W393" s="144"/>
      <c r="X393" s="113" t="str">
        <f t="shared" si="19"/>
        <v>1D</v>
      </c>
      <c r="Y393" s="106">
        <f>_xll.qlCalendarAdvance(Calendar,Y392,X393,"f",FALSE)</f>
        <v>42692</v>
      </c>
      <c r="Z393" s="108">
        <f>_xll.qlCalendarAdvance(Calendar,Y393,0&amp;"D")</f>
        <v>42692</v>
      </c>
      <c r="AA393" s="109">
        <v>-1.1806695409344314E-3</v>
      </c>
      <c r="AB393" s="143">
        <f t="shared" si="20"/>
        <v>1.3322676295501878E-14</v>
      </c>
      <c r="AC393" s="236" t="e">
        <v>#N/A</v>
      </c>
      <c r="AD393" s="236">
        <v>-1.1806695409477541E-3</v>
      </c>
    </row>
    <row r="394" spans="23:30" x14ac:dyDescent="0.2">
      <c r="W394" s="144"/>
      <c r="X394" s="113" t="str">
        <f t="shared" si="19"/>
        <v>1D</v>
      </c>
      <c r="Y394" s="106">
        <f>_xll.qlCalendarAdvance(Calendar,Y393,X394,"f",FALSE)</f>
        <v>42695</v>
      </c>
      <c r="Z394" s="108">
        <f>_xll.qlCalendarAdvance(Calendar,Y394,0&amp;"D")</f>
        <v>42695</v>
      </c>
      <c r="AA394" s="109">
        <v>-1.1819203905583109E-3</v>
      </c>
      <c r="AB394" s="143">
        <f t="shared" si="20"/>
        <v>0</v>
      </c>
      <c r="AC394" s="236" t="e">
        <v>#N/A</v>
      </c>
      <c r="AD394" s="236">
        <v>-1.1819203905583109E-3</v>
      </c>
    </row>
    <row r="395" spans="23:30" x14ac:dyDescent="0.2">
      <c r="W395" s="144"/>
      <c r="X395" s="113" t="str">
        <f t="shared" si="19"/>
        <v>1D</v>
      </c>
      <c r="Y395" s="106">
        <f>_xll.qlCalendarAdvance(Calendar,Y394,X395,"f",FALSE)</f>
        <v>42696</v>
      </c>
      <c r="Z395" s="108">
        <f>_xll.qlCalendarAdvance(Calendar,Y395,0&amp;"D")</f>
        <v>42696</v>
      </c>
      <c r="AA395" s="109">
        <v>-1.1825621173100487E-3</v>
      </c>
      <c r="AB395" s="143">
        <f t="shared" si="20"/>
        <v>3.9968028886505635E-14</v>
      </c>
      <c r="AC395" s="236" t="e">
        <v>#N/A</v>
      </c>
      <c r="AD395" s="236">
        <v>-1.1825621173500167E-3</v>
      </c>
    </row>
    <row r="396" spans="23:30" x14ac:dyDescent="0.2">
      <c r="W396" s="144"/>
      <c r="X396" s="113" t="str">
        <f t="shared" si="19"/>
        <v>1D</v>
      </c>
      <c r="Y396" s="106">
        <f>_xll.qlCalendarAdvance(Calendar,Y395,X396,"f",FALSE)</f>
        <v>42697</v>
      </c>
      <c r="Z396" s="108">
        <f>_xll.qlCalendarAdvance(Calendar,Y396,0&amp;"D")</f>
        <v>42697</v>
      </c>
      <c r="AA396" s="109">
        <v>-1.1832147868684473E-3</v>
      </c>
      <c r="AB396" s="143">
        <f t="shared" si="20"/>
        <v>-3.9968028886505635E-14</v>
      </c>
      <c r="AC396" s="236" t="e">
        <v>#N/A</v>
      </c>
      <c r="AD396" s="236">
        <v>-1.1832147868284792E-3</v>
      </c>
    </row>
    <row r="397" spans="23:30" x14ac:dyDescent="0.2">
      <c r="W397" s="144"/>
      <c r="X397" s="113" t="str">
        <f t="shared" ref="X397:X460" si="21">X396</f>
        <v>1D</v>
      </c>
      <c r="Y397" s="106">
        <f>_xll.qlCalendarAdvance(Calendar,Y396,X397,"f",FALSE)</f>
        <v>42698</v>
      </c>
      <c r="Z397" s="108">
        <f>_xll.qlCalendarAdvance(Calendar,Y397,0&amp;"D")</f>
        <v>42698</v>
      </c>
      <c r="AA397" s="109">
        <v>-1.1838783991136026E-3</v>
      </c>
      <c r="AB397" s="143">
        <f t="shared" si="20"/>
        <v>0</v>
      </c>
      <c r="AC397" s="236" t="e">
        <v>#N/A</v>
      </c>
      <c r="AD397" s="236">
        <v>-1.1838783991136026E-3</v>
      </c>
    </row>
    <row r="398" spans="23:30" x14ac:dyDescent="0.2">
      <c r="W398" s="144"/>
      <c r="X398" s="113" t="str">
        <f t="shared" si="21"/>
        <v>1D</v>
      </c>
      <c r="Y398" s="106">
        <f>_xll.qlCalendarAdvance(Calendar,Y397,X398,"f",FALSE)</f>
        <v>42699</v>
      </c>
      <c r="Z398" s="108">
        <f>_xll.qlCalendarAdvance(Calendar,Y398,0&amp;"D")</f>
        <v>42699</v>
      </c>
      <c r="AA398" s="109">
        <v>-1.1852381973342929E-3</v>
      </c>
      <c r="AB398" s="143">
        <f t="shared" si="20"/>
        <v>0</v>
      </c>
      <c r="AC398" s="236" t="e">
        <v>#N/A</v>
      </c>
      <c r="AD398" s="236">
        <v>-1.1852381973342929E-3</v>
      </c>
    </row>
    <row r="399" spans="23:30" x14ac:dyDescent="0.2">
      <c r="W399" s="144"/>
      <c r="X399" s="113" t="str">
        <f t="shared" si="21"/>
        <v>1D</v>
      </c>
      <c r="Y399" s="106">
        <f>_xll.qlCalendarAdvance(Calendar,Y398,X399,"f",FALSE)</f>
        <v>42702</v>
      </c>
      <c r="Z399" s="108">
        <f>_xll.qlCalendarAdvance(Calendar,Y399,0&amp;"D")</f>
        <v>42702</v>
      </c>
      <c r="AA399" s="109">
        <v>-1.1866422760009598E-3</v>
      </c>
      <c r="AB399" s="143">
        <f t="shared" si="20"/>
        <v>0</v>
      </c>
      <c r="AC399" s="236" t="e">
        <v>#N/A</v>
      </c>
      <c r="AD399" s="236">
        <v>-1.1866422760009598E-3</v>
      </c>
    </row>
    <row r="400" spans="23:30" x14ac:dyDescent="0.2">
      <c r="W400" s="144"/>
      <c r="X400" s="113" t="str">
        <f t="shared" si="21"/>
        <v>1D</v>
      </c>
      <c r="Y400" s="106">
        <f>_xll.qlCalendarAdvance(Calendar,Y399,X400,"f",FALSE)</f>
        <v>42703</v>
      </c>
      <c r="Z400" s="108">
        <f>_xll.qlCalendarAdvance(Calendar,Y400,0&amp;"D")</f>
        <v>42703</v>
      </c>
      <c r="AA400" s="109">
        <v>-1.1873606021994831E-3</v>
      </c>
      <c r="AB400" s="143">
        <f t="shared" si="20"/>
        <v>-3.9968028886505635E-14</v>
      </c>
      <c r="AC400" s="236" t="e">
        <v>#N/A</v>
      </c>
      <c r="AD400" s="236">
        <v>-1.1873606021595151E-3</v>
      </c>
    </row>
    <row r="401" spans="23:30" x14ac:dyDescent="0.2">
      <c r="W401" s="144"/>
      <c r="X401" s="113" t="str">
        <f t="shared" si="21"/>
        <v>1D</v>
      </c>
      <c r="Y401" s="106">
        <f>_xll.qlCalendarAdvance(Calendar,Y400,X401,"f",FALSE)</f>
        <v>42704</v>
      </c>
      <c r="Z401" s="108">
        <f>_xll.qlCalendarAdvance(Calendar,Y401,0&amp;"D")</f>
        <v>42704</v>
      </c>
      <c r="AA401" s="109">
        <v>-1.1880898710447951E-3</v>
      </c>
      <c r="AB401" s="143">
        <f t="shared" si="20"/>
        <v>3.9968028886505635E-14</v>
      </c>
      <c r="AC401" s="236" t="e">
        <v>#N/A</v>
      </c>
      <c r="AD401" s="236">
        <v>-1.1880898710847632E-3</v>
      </c>
    </row>
    <row r="402" spans="23:30" x14ac:dyDescent="0.2">
      <c r="W402" s="144"/>
      <c r="X402" s="113" t="str">
        <f t="shared" si="21"/>
        <v>1D</v>
      </c>
      <c r="Y402" s="106">
        <f>_xll.qlCalendarAdvance(Calendar,Y401,X402,"f",FALSE)</f>
        <v>42705</v>
      </c>
      <c r="Z402" s="108">
        <f>_xll.qlCalendarAdvance(Calendar,Y402,0&amp;"D")</f>
        <v>42705</v>
      </c>
      <c r="AA402" s="109">
        <v>-1.1888143734628542E-3</v>
      </c>
      <c r="AB402" s="143">
        <f t="shared" si="20"/>
        <v>0</v>
      </c>
      <c r="AC402" s="236" t="e">
        <v>#N/A</v>
      </c>
      <c r="AD402" s="236">
        <v>-1.1888143734628542E-3</v>
      </c>
    </row>
    <row r="403" spans="23:30" x14ac:dyDescent="0.2">
      <c r="W403" s="144"/>
      <c r="X403" s="113" t="str">
        <f t="shared" si="21"/>
        <v>1D</v>
      </c>
      <c r="Y403" s="106">
        <f>_xll.qlCalendarAdvance(Calendar,Y402,X403,"f",FALSE)</f>
        <v>42706</v>
      </c>
      <c r="Z403" s="108">
        <f>_xll.qlCalendarAdvance(Calendar,Y403,0&amp;"D")</f>
        <v>42706</v>
      </c>
      <c r="AA403" s="109">
        <v>-1.1900131517794676E-3</v>
      </c>
      <c r="AB403" s="143">
        <f t="shared" si="20"/>
        <v>-2.6645352591003757E-14</v>
      </c>
      <c r="AC403" s="236" t="e">
        <v>#N/A</v>
      </c>
      <c r="AD403" s="236">
        <v>-1.1900131517528223E-3</v>
      </c>
    </row>
    <row r="404" spans="23:30" x14ac:dyDescent="0.2">
      <c r="W404" s="144"/>
      <c r="X404" s="113" t="str">
        <f t="shared" si="21"/>
        <v>1D</v>
      </c>
      <c r="Y404" s="106">
        <f>_xll.qlCalendarAdvance(Calendar,Y403,X404,"f",FALSE)</f>
        <v>42709</v>
      </c>
      <c r="Z404" s="108">
        <f>_xll.qlCalendarAdvance(Calendar,Y404,0&amp;"D")</f>
        <v>42709</v>
      </c>
      <c r="AA404" s="109">
        <v>-1.1909420860289899E-3</v>
      </c>
      <c r="AB404" s="143">
        <f t="shared" si="20"/>
        <v>-3.9968028886505635E-14</v>
      </c>
      <c r="AC404" s="236" t="e">
        <v>#N/A</v>
      </c>
      <c r="AD404" s="236">
        <v>-1.1909420859890218E-3</v>
      </c>
    </row>
    <row r="405" spans="23:30" x14ac:dyDescent="0.2">
      <c r="W405" s="144"/>
      <c r="X405" s="113" t="str">
        <f t="shared" si="21"/>
        <v>1D</v>
      </c>
      <c r="Y405" s="106">
        <f>_xll.qlCalendarAdvance(Calendar,Y404,X405,"f",FALSE)</f>
        <v>42710</v>
      </c>
      <c r="Z405" s="108">
        <f>_xll.qlCalendarAdvance(Calendar,Y405,0&amp;"D")</f>
        <v>42710</v>
      </c>
      <c r="AA405" s="109">
        <v>-1.1912657304202767E-3</v>
      </c>
      <c r="AB405" s="143">
        <f t="shared" ref="AB405:AB468" si="22">AA405-AD405</f>
        <v>7.9936057773011271E-14</v>
      </c>
      <c r="AC405" s="236" t="e">
        <v>#N/A</v>
      </c>
      <c r="AD405" s="236">
        <v>-1.1912657305002128E-3</v>
      </c>
    </row>
    <row r="406" spans="23:30" x14ac:dyDescent="0.2">
      <c r="W406" s="144"/>
      <c r="X406" s="113" t="str">
        <f t="shared" si="21"/>
        <v>1D</v>
      </c>
      <c r="Y406" s="106">
        <f>_xll.qlCalendarAdvance(Calendar,Y405,X406,"f",FALSE)</f>
        <v>42711</v>
      </c>
      <c r="Z406" s="108">
        <f>_xll.qlCalendarAdvance(Calendar,Y406,0&amp;"D")</f>
        <v>42711</v>
      </c>
      <c r="AA406" s="109">
        <v>-1.1915060616551898E-3</v>
      </c>
      <c r="AB406" s="143">
        <f t="shared" si="22"/>
        <v>0</v>
      </c>
      <c r="AC406" s="236" t="e">
        <v>#N/A</v>
      </c>
      <c r="AD406" s="236">
        <v>-1.1915060616551898E-3</v>
      </c>
    </row>
    <row r="407" spans="23:30" x14ac:dyDescent="0.2">
      <c r="W407" s="144"/>
      <c r="X407" s="113" t="str">
        <f t="shared" si="21"/>
        <v>1D</v>
      </c>
      <c r="Y407" s="106">
        <f>_xll.qlCalendarAdvance(Calendar,Y406,X407,"f",FALSE)</f>
        <v>42712</v>
      </c>
      <c r="Z407" s="108">
        <f>_xll.qlCalendarAdvance(Calendar,Y407,0&amp;"D")</f>
        <v>42712</v>
      </c>
      <c r="AA407" s="109">
        <v>-1.1916630792541127E-3</v>
      </c>
      <c r="AB407" s="143">
        <f t="shared" si="22"/>
        <v>-3.9968028886505635E-14</v>
      </c>
      <c r="AC407" s="236" t="e">
        <v>#N/A</v>
      </c>
      <c r="AD407" s="236">
        <v>-1.1916630792141447E-3</v>
      </c>
    </row>
    <row r="408" spans="23:30" x14ac:dyDescent="0.2">
      <c r="W408" s="144"/>
      <c r="X408" s="113" t="str">
        <f t="shared" si="21"/>
        <v>1D</v>
      </c>
      <c r="Y408" s="106">
        <f>_xll.qlCalendarAdvance(Calendar,Y407,X408,"f",FALSE)</f>
        <v>42713</v>
      </c>
      <c r="Z408" s="108">
        <f>_xll.qlCalendarAdvance(Calendar,Y408,0&amp;"D")</f>
        <v>42713</v>
      </c>
      <c r="AA408" s="109">
        <v>-1.1916954582336103E-3</v>
      </c>
      <c r="AB408" s="143">
        <f t="shared" si="22"/>
        <v>1.3322676295501878E-14</v>
      </c>
      <c r="AC408" s="236" t="e">
        <v>#N/A</v>
      </c>
      <c r="AD408" s="236">
        <v>-1.191695458246933E-3</v>
      </c>
    </row>
    <row r="409" spans="23:30" x14ac:dyDescent="0.2">
      <c r="W409" s="144"/>
      <c r="X409" s="113" t="str">
        <f t="shared" si="21"/>
        <v>1D</v>
      </c>
      <c r="Y409" s="106">
        <f>_xll.qlCalendarAdvance(Calendar,Y408,X409,"f",FALSE)</f>
        <v>42716</v>
      </c>
      <c r="Z409" s="108">
        <f>_xll.qlCalendarAdvance(Calendar,Y409,0&amp;"D")</f>
        <v>42716</v>
      </c>
      <c r="AA409" s="109">
        <v>-1.1914580155281129E-3</v>
      </c>
      <c r="AB409" s="143">
        <f t="shared" si="22"/>
        <v>0</v>
      </c>
      <c r="AC409" s="236" t="e">
        <v>#N/A</v>
      </c>
      <c r="AD409" s="236">
        <v>-1.1914580155281129E-3</v>
      </c>
    </row>
    <row r="410" spans="23:30" x14ac:dyDescent="0.2">
      <c r="W410" s="144"/>
      <c r="X410" s="113" t="str">
        <f t="shared" si="21"/>
        <v>1D</v>
      </c>
      <c r="Y410" s="106">
        <f>_xll.qlCalendarAdvance(Calendar,Y409,X410,"f",FALSE)</f>
        <v>42717</v>
      </c>
      <c r="Z410" s="108">
        <f>_xll.qlCalendarAdvance(Calendar,Y410,0&amp;"D")</f>
        <v>42717</v>
      </c>
      <c r="AA410" s="109">
        <v>-1.191198465946286E-3</v>
      </c>
      <c r="AB410" s="143">
        <f t="shared" si="22"/>
        <v>-3.9968028886505635E-14</v>
      </c>
      <c r="AC410" s="236" t="e">
        <v>#N/A</v>
      </c>
      <c r="AD410" s="236">
        <v>-1.1911984659063179E-3</v>
      </c>
    </row>
    <row r="411" spans="23:30" x14ac:dyDescent="0.2">
      <c r="W411" s="144"/>
      <c r="X411" s="113" t="str">
        <f t="shared" si="21"/>
        <v>1D</v>
      </c>
      <c r="Y411" s="106">
        <f>_xll.qlCalendarAdvance(Calendar,Y410,X411,"f",FALSE)</f>
        <v>42718</v>
      </c>
      <c r="Z411" s="108">
        <f>_xll.qlCalendarAdvance(Calendar,Y411,0&amp;"D")</f>
        <v>42718</v>
      </c>
      <c r="AA411" s="109">
        <v>-1.190855602848373E-3</v>
      </c>
      <c r="AB411" s="143">
        <f t="shared" si="22"/>
        <v>3.9968028886505635E-14</v>
      </c>
      <c r="AC411" s="236" t="e">
        <v>#N/A</v>
      </c>
      <c r="AD411" s="236">
        <v>-1.190855602888341E-3</v>
      </c>
    </row>
    <row r="412" spans="23:30" x14ac:dyDescent="0.2">
      <c r="W412" s="144"/>
      <c r="X412" s="113" t="str">
        <f t="shared" si="21"/>
        <v>1D</v>
      </c>
      <c r="Y412" s="106">
        <f>_xll.qlCalendarAdvance(Calendar,Y411,X412,"f",FALSE)</f>
        <v>42719</v>
      </c>
      <c r="Z412" s="108">
        <f>_xll.qlCalendarAdvance(Calendar,Y412,0&amp;"D")</f>
        <v>42719</v>
      </c>
      <c r="AA412" s="109">
        <v>-1.1904294264741822E-3</v>
      </c>
      <c r="AB412" s="143">
        <f t="shared" si="22"/>
        <v>3.9968028886505635E-14</v>
      </c>
      <c r="AC412" s="236" t="e">
        <v>#N/A</v>
      </c>
      <c r="AD412" s="236">
        <v>-1.1904294265141502E-3</v>
      </c>
    </row>
    <row r="413" spans="23:30" x14ac:dyDescent="0.2">
      <c r="W413" s="144"/>
      <c r="X413" s="113" t="str">
        <f t="shared" si="21"/>
        <v>1D</v>
      </c>
      <c r="Y413" s="106">
        <f>_xll.qlCalendarAdvance(Calendar,Y412,X413,"f",FALSE)</f>
        <v>42720</v>
      </c>
      <c r="Z413" s="108">
        <f>_xll.qlCalendarAdvance(Calendar,Y413,0&amp;"D")</f>
        <v>42720</v>
      </c>
      <c r="AA413" s="109">
        <v>-1.1892954332148875E-3</v>
      </c>
      <c r="AB413" s="143">
        <f t="shared" si="22"/>
        <v>1.3322676295501878E-14</v>
      </c>
      <c r="AC413" s="236" t="e">
        <v>#N/A</v>
      </c>
      <c r="AD413" s="236">
        <v>-1.1892954332282102E-3</v>
      </c>
    </row>
    <row r="414" spans="23:30" x14ac:dyDescent="0.2">
      <c r="W414" s="144"/>
      <c r="X414" s="113" t="str">
        <f t="shared" si="21"/>
        <v>1D</v>
      </c>
      <c r="Y414" s="106">
        <f>_xll.qlCalendarAdvance(Calendar,Y413,X414,"f",FALSE)</f>
        <v>42723</v>
      </c>
      <c r="Z414" s="108">
        <f>_xll.qlCalendarAdvance(Calendar,Y414,0&amp;"D")</f>
        <v>42723</v>
      </c>
      <c r="AA414" s="109">
        <v>-1.1878915863761108E-3</v>
      </c>
      <c r="AB414" s="143">
        <f t="shared" si="22"/>
        <v>-3.9968028886505635E-14</v>
      </c>
      <c r="AC414" s="236" t="e">
        <v>#N/A</v>
      </c>
      <c r="AD414" s="236">
        <v>-1.1878915863361428E-3</v>
      </c>
    </row>
    <row r="415" spans="23:30" x14ac:dyDescent="0.2">
      <c r="W415" s="144"/>
      <c r="X415" s="113" t="str">
        <f t="shared" si="21"/>
        <v>1D</v>
      </c>
      <c r="Y415" s="106">
        <f>_xll.qlCalendarAdvance(Calendar,Y414,X415,"f",FALSE)</f>
        <v>42724</v>
      </c>
      <c r="Z415" s="108">
        <f>_xll.qlCalendarAdvance(Calendar,Y415,0&amp;"D")</f>
        <v>42724</v>
      </c>
      <c r="AA415" s="109">
        <v>-1.187048842741234E-3</v>
      </c>
      <c r="AB415" s="143">
        <f t="shared" si="22"/>
        <v>0</v>
      </c>
      <c r="AC415" s="236" t="e">
        <v>#N/A</v>
      </c>
      <c r="AD415" s="236">
        <v>-1.187048842741234E-3</v>
      </c>
    </row>
    <row r="416" spans="23:30" x14ac:dyDescent="0.2">
      <c r="W416" s="144"/>
      <c r="X416" s="113" t="str">
        <f t="shared" si="21"/>
        <v>1D</v>
      </c>
      <c r="Y416" s="106">
        <f>_xll.qlCalendarAdvance(Calendar,Y415,X416,"f",FALSE)</f>
        <v>42725</v>
      </c>
      <c r="Z416" s="108">
        <f>_xll.qlCalendarAdvance(Calendar,Y416,0&amp;"D")</f>
        <v>42725</v>
      </c>
      <c r="AA416" s="109">
        <v>-1.1861227855503031E-3</v>
      </c>
      <c r="AB416" s="143">
        <f t="shared" si="22"/>
        <v>3.9968028886505635E-14</v>
      </c>
      <c r="AC416" s="236" t="e">
        <v>#N/A</v>
      </c>
      <c r="AD416" s="236">
        <v>-1.1861227855902712E-3</v>
      </c>
    </row>
    <row r="417" spans="23:30" x14ac:dyDescent="0.2">
      <c r="W417" s="144"/>
      <c r="X417" s="113" t="str">
        <f t="shared" si="21"/>
        <v>1D</v>
      </c>
      <c r="Y417" s="106">
        <f>_xll.qlCalendarAdvance(Calendar,Y416,X417,"f",FALSE)</f>
        <v>42726</v>
      </c>
      <c r="Z417" s="108">
        <f>_xll.qlCalendarAdvance(Calendar,Y417,0&amp;"D")</f>
        <v>42726</v>
      </c>
      <c r="AA417" s="109">
        <v>-1.1851134152429665E-3</v>
      </c>
      <c r="AB417" s="143">
        <f t="shared" si="22"/>
        <v>-7.9936057773011271E-14</v>
      </c>
      <c r="AC417" s="236" t="e">
        <v>#N/A</v>
      </c>
      <c r="AD417" s="236">
        <v>-1.1851134151630305E-3</v>
      </c>
    </row>
    <row r="418" spans="23:30" x14ac:dyDescent="0.2">
      <c r="W418" s="144"/>
      <c r="X418" s="113" t="str">
        <f t="shared" si="21"/>
        <v>1D</v>
      </c>
      <c r="Y418" s="106">
        <f>_xll.qlCalendarAdvance(Calendar,Y417,X418,"f",FALSE)</f>
        <v>42727</v>
      </c>
      <c r="Z418" s="108">
        <f>_xll.qlCalendarAdvance(Calendar,Y418,0&amp;"D")</f>
        <v>42727</v>
      </c>
      <c r="AA418" s="109">
        <v>-1.1821675985523861E-3</v>
      </c>
      <c r="AB418" s="143">
        <f t="shared" si="22"/>
        <v>1.9984014443252818E-14</v>
      </c>
      <c r="AC418" s="236" t="e">
        <v>#N/A</v>
      </c>
      <c r="AD418" s="236">
        <v>-1.1821675985723701E-3</v>
      </c>
    </row>
    <row r="419" spans="23:30" x14ac:dyDescent="0.2">
      <c r="W419" s="144"/>
      <c r="X419" s="113" t="str">
        <f t="shared" si="21"/>
        <v>1D</v>
      </c>
      <c r="Y419" s="106">
        <f>_xll.qlCalendarAdvance(Calendar,Y418,X419,"f",FALSE)</f>
        <v>42731</v>
      </c>
      <c r="Z419" s="108">
        <f>_xll.qlCalendarAdvance(Calendar,Y419,0&amp;"D")</f>
        <v>42731</v>
      </c>
      <c r="AA419" s="109">
        <v>-1.1788168608051208E-3</v>
      </c>
      <c r="AB419" s="143">
        <f t="shared" si="22"/>
        <v>-3.9968028886505635E-14</v>
      </c>
      <c r="AC419" s="236" t="e">
        <v>#N/A</v>
      </c>
      <c r="AD419" s="236">
        <v>-1.1788168607651528E-3</v>
      </c>
    </row>
    <row r="420" spans="23:30" x14ac:dyDescent="0.2">
      <c r="W420" s="144"/>
      <c r="X420" s="113" t="str">
        <f t="shared" si="21"/>
        <v>1D</v>
      </c>
      <c r="Y420" s="106">
        <f>_xll.qlCalendarAdvance(Calendar,Y419,X420,"f",FALSE)</f>
        <v>42732</v>
      </c>
      <c r="Z420" s="108">
        <f>_xll.qlCalendarAdvance(Calendar,Y420,0&amp;"D")</f>
        <v>42732</v>
      </c>
      <c r="AA420" s="109">
        <v>-1.1773076096410762E-3</v>
      </c>
      <c r="AB420" s="143">
        <f t="shared" si="22"/>
        <v>0</v>
      </c>
      <c r="AC420" s="236" t="e">
        <v>#N/A</v>
      </c>
      <c r="AD420" s="236">
        <v>-1.1773076096410762E-3</v>
      </c>
    </row>
    <row r="421" spans="23:30" x14ac:dyDescent="0.2">
      <c r="W421" s="144"/>
      <c r="X421" s="113" t="str">
        <f t="shared" si="21"/>
        <v>1D</v>
      </c>
      <c r="Y421" s="106">
        <f>_xll.qlCalendarAdvance(Calendar,Y420,X421,"f",FALSE)</f>
        <v>42733</v>
      </c>
      <c r="Z421" s="108">
        <f>_xll.qlCalendarAdvance(Calendar,Y421,0&amp;"D")</f>
        <v>42733</v>
      </c>
      <c r="AA421" s="109">
        <v>-1.1757150450009135E-3</v>
      </c>
      <c r="AB421" s="143">
        <f t="shared" si="22"/>
        <v>0</v>
      </c>
      <c r="AC421" s="236" t="e">
        <v>#N/A</v>
      </c>
      <c r="AD421" s="236">
        <v>-1.1757150450009135E-3</v>
      </c>
    </row>
    <row r="422" spans="23:30" x14ac:dyDescent="0.2">
      <c r="W422" s="144"/>
      <c r="X422" s="113" t="str">
        <f t="shared" si="21"/>
        <v>1D</v>
      </c>
      <c r="Y422" s="106">
        <f>_xll.qlCalendarAdvance(Calendar,Y421,X422,"f",FALSE)</f>
        <v>42734</v>
      </c>
      <c r="Z422" s="108">
        <f>_xll.qlCalendarAdvance(Calendar,Y422,0&amp;"D")</f>
        <v>42734</v>
      </c>
      <c r="AA422" s="109">
        <v>2.4998281077159845E-3</v>
      </c>
      <c r="AB422" s="143">
        <f t="shared" si="22"/>
        <v>0</v>
      </c>
      <c r="AC422" s="236" t="e">
        <v>#N/A</v>
      </c>
      <c r="AD422" s="236">
        <v>2.4998281077159845E-3</v>
      </c>
    </row>
    <row r="423" spans="23:30" x14ac:dyDescent="0.2">
      <c r="W423" s="144"/>
      <c r="X423" s="113" t="str">
        <f t="shared" si="21"/>
        <v>1D</v>
      </c>
      <c r="Y423" s="106">
        <f>_xll.qlCalendarAdvance(Calendar,Y422,X423,"f",FALSE)</f>
        <v>42737</v>
      </c>
      <c r="Z423" s="108">
        <f>_xll.qlCalendarAdvance(Calendar,Y423,0&amp;"D")</f>
        <v>42737</v>
      </c>
      <c r="AA423" s="109">
        <v>-1.1685116518789229E-3</v>
      </c>
      <c r="AB423" s="143">
        <f t="shared" si="22"/>
        <v>-3.9968028886505635E-14</v>
      </c>
      <c r="AC423" s="236" t="e">
        <v>#N/A</v>
      </c>
      <c r="AD423" s="236">
        <v>-1.1685116518389549E-3</v>
      </c>
    </row>
    <row r="424" spans="23:30" x14ac:dyDescent="0.2">
      <c r="W424" s="144"/>
      <c r="X424" s="113" t="str">
        <f t="shared" si="21"/>
        <v>1D</v>
      </c>
      <c r="Y424" s="106">
        <f>_xll.qlCalendarAdvance(Calendar,Y423,X424,"f",FALSE)</f>
        <v>42738</v>
      </c>
      <c r="Z424" s="108">
        <f>_xll.qlCalendarAdvance(Calendar,Y424,0&amp;"D")</f>
        <v>42738</v>
      </c>
      <c r="AA424" s="109">
        <v>-1.1665025199381063E-3</v>
      </c>
      <c r="AB424" s="143">
        <f t="shared" si="22"/>
        <v>3.9968028886505635E-14</v>
      </c>
      <c r="AC424" s="236" t="e">
        <v>#N/A</v>
      </c>
      <c r="AD424" s="236">
        <v>-1.1665025199780743E-3</v>
      </c>
    </row>
    <row r="425" spans="23:30" x14ac:dyDescent="0.2">
      <c r="W425" s="144"/>
      <c r="X425" s="113" t="str">
        <f t="shared" si="21"/>
        <v>1D</v>
      </c>
      <c r="Y425" s="106">
        <f>_xll.qlCalendarAdvance(Calendar,Y424,X425,"f",FALSE)</f>
        <v>42739</v>
      </c>
      <c r="Z425" s="108">
        <f>_xll.qlCalendarAdvance(Calendar,Y425,0&amp;"D")</f>
        <v>42739</v>
      </c>
      <c r="AA425" s="109">
        <v>-1.1644100746011077E-3</v>
      </c>
      <c r="AB425" s="143">
        <f t="shared" si="22"/>
        <v>-3.9968028886505635E-14</v>
      </c>
      <c r="AC425" s="236" t="e">
        <v>#N/A</v>
      </c>
      <c r="AD425" s="236">
        <v>-1.1644100745611397E-3</v>
      </c>
    </row>
    <row r="426" spans="23:30" x14ac:dyDescent="0.2">
      <c r="W426" s="144"/>
      <c r="X426" s="113" t="str">
        <f t="shared" si="21"/>
        <v>1D</v>
      </c>
      <c r="Y426" s="106">
        <f>_xll.qlCalendarAdvance(Calendar,Y425,X426,"f",FALSE)</f>
        <v>42740</v>
      </c>
      <c r="Z426" s="108">
        <f>_xll.qlCalendarAdvance(Calendar,Y426,0&amp;"D")</f>
        <v>42740</v>
      </c>
      <c r="AA426" s="109">
        <v>-1.162234315708055E-3</v>
      </c>
      <c r="AB426" s="143">
        <f t="shared" si="22"/>
        <v>-3.9968028886505635E-14</v>
      </c>
      <c r="AC426" s="236" t="e">
        <v>#N/A</v>
      </c>
      <c r="AD426" s="236">
        <v>-1.162234315668087E-3</v>
      </c>
    </row>
    <row r="427" spans="23:30" x14ac:dyDescent="0.2">
      <c r="W427" s="144"/>
      <c r="X427" s="113" t="str">
        <f t="shared" si="21"/>
        <v>1D</v>
      </c>
      <c r="Y427" s="106">
        <f>_xll.qlCalendarAdvance(Calendar,Y426,X427,"f",FALSE)</f>
        <v>42741</v>
      </c>
      <c r="Z427" s="108">
        <f>_xll.qlCalendarAdvance(Calendar,Y427,0&amp;"D")</f>
        <v>42741</v>
      </c>
      <c r="AA427" s="109">
        <v>-1.1576013641656502E-3</v>
      </c>
      <c r="AB427" s="143">
        <f t="shared" si="22"/>
        <v>1.3322676295501878E-14</v>
      </c>
      <c r="AC427" s="236" t="e">
        <v>#N/A</v>
      </c>
      <c r="AD427" s="236">
        <v>-1.1576013641789729E-3</v>
      </c>
    </row>
    <row r="428" spans="23:30" x14ac:dyDescent="0.2">
      <c r="W428" s="144"/>
      <c r="X428" s="113" t="str">
        <f t="shared" si="21"/>
        <v>1D</v>
      </c>
      <c r="Y428" s="106">
        <f>_xll.qlCalendarAdvance(Calendar,Y427,X428,"f",FALSE)</f>
        <v>42744</v>
      </c>
      <c r="Z428" s="108">
        <f>_xll.qlCalendarAdvance(Calendar,Y428,0&amp;"D")</f>
        <v>42744</v>
      </c>
      <c r="AA428" s="109">
        <v>-1.1526981457743446E-3</v>
      </c>
      <c r="AB428" s="143">
        <f t="shared" si="22"/>
        <v>3.9968028886505635E-14</v>
      </c>
      <c r="AC428" s="236" t="e">
        <v>#N/A</v>
      </c>
      <c r="AD428" s="236">
        <v>-1.1526981458143126E-3</v>
      </c>
    </row>
    <row r="429" spans="23:30" x14ac:dyDescent="0.2">
      <c r="W429" s="144"/>
      <c r="X429" s="113" t="str">
        <f t="shared" si="21"/>
        <v>1D</v>
      </c>
      <c r="Y429" s="106">
        <f>_xll.qlCalendarAdvance(Calendar,Y428,X429,"f",FALSE)</f>
        <v>42745</v>
      </c>
      <c r="Z429" s="108">
        <f>_xll.qlCalendarAdvance(Calendar,Y429,0&amp;"D")</f>
        <v>42745</v>
      </c>
      <c r="AA429" s="109">
        <v>-1.150105819620606E-3</v>
      </c>
      <c r="AB429" s="143">
        <f t="shared" si="22"/>
        <v>0</v>
      </c>
      <c r="AC429" s="236" t="e">
        <v>#N/A</v>
      </c>
      <c r="AD429" s="236">
        <v>-1.150105819620606E-3</v>
      </c>
    </row>
    <row r="430" spans="23:30" x14ac:dyDescent="0.2">
      <c r="W430" s="144"/>
      <c r="X430" s="113" t="str">
        <f t="shared" si="21"/>
        <v>1D</v>
      </c>
      <c r="Y430" s="106">
        <f>_xll.qlCalendarAdvance(Calendar,Y429,X430,"f",FALSE)</f>
        <v>42746</v>
      </c>
      <c r="Z430" s="108">
        <f>_xll.qlCalendarAdvance(Calendar,Y430,0&amp;"D")</f>
        <v>42746</v>
      </c>
      <c r="AA430" s="109">
        <v>-1.1474301799507813E-3</v>
      </c>
      <c r="AB430" s="143">
        <f t="shared" si="22"/>
        <v>0</v>
      </c>
      <c r="AC430" s="236" t="e">
        <v>#N/A</v>
      </c>
      <c r="AD430" s="236">
        <v>-1.1474301799507813E-3</v>
      </c>
    </row>
    <row r="431" spans="23:30" x14ac:dyDescent="0.2">
      <c r="W431" s="144"/>
      <c r="X431" s="113" t="str">
        <f t="shared" si="21"/>
        <v>1D</v>
      </c>
      <c r="Y431" s="106">
        <f>_xll.qlCalendarAdvance(Calendar,Y430,X431,"f",FALSE)</f>
        <v>42747</v>
      </c>
      <c r="Z431" s="108">
        <f>_xll.qlCalendarAdvance(Calendar,Y431,0&amp;"D")</f>
        <v>42747</v>
      </c>
      <c r="AA431" s="109">
        <v>-1.1446712270446469E-3</v>
      </c>
      <c r="AB431" s="143">
        <f t="shared" si="22"/>
        <v>-1.1990408665951691E-13</v>
      </c>
      <c r="AC431" s="236" t="e">
        <v>#N/A</v>
      </c>
      <c r="AD431" s="236">
        <v>-1.1446712269247428E-3</v>
      </c>
    </row>
    <row r="432" spans="23:30" x14ac:dyDescent="0.2">
      <c r="W432" s="144"/>
      <c r="X432" s="113" t="str">
        <f t="shared" si="21"/>
        <v>1D</v>
      </c>
      <c r="Y432" s="106">
        <f>_xll.qlCalendarAdvance(Calendar,Y431,X432,"f",FALSE)</f>
        <v>42748</v>
      </c>
      <c r="Z432" s="108">
        <f>_xll.qlCalendarAdvance(Calendar,Y432,0&amp;"D")</f>
        <v>42748</v>
      </c>
      <c r="AA432" s="109">
        <v>-1.1388720062610602E-3</v>
      </c>
      <c r="AB432" s="143">
        <f t="shared" si="22"/>
        <v>1.3322676295501878E-14</v>
      </c>
      <c r="AC432" s="236" t="e">
        <v>#N/A</v>
      </c>
      <c r="AD432" s="236">
        <v>-1.1388720062743829E-3</v>
      </c>
    </row>
    <row r="433" spans="23:30" x14ac:dyDescent="0.2">
      <c r="W433" s="144"/>
      <c r="X433" s="113" t="str">
        <f t="shared" si="21"/>
        <v>1D</v>
      </c>
      <c r="Y433" s="106">
        <f>_xll.qlCalendarAdvance(Calendar,Y432,X433,"f",FALSE)</f>
        <v>42751</v>
      </c>
      <c r="Z433" s="108">
        <f>_xll.qlCalendarAdvance(Calendar,Y433,0&amp;"D")</f>
        <v>42751</v>
      </c>
      <c r="AA433" s="109">
        <v>-1.1328022798995363E-3</v>
      </c>
      <c r="AB433" s="143">
        <f t="shared" si="22"/>
        <v>-3.9968028886505635E-14</v>
      </c>
      <c r="AC433" s="236" t="e">
        <v>#N/A</v>
      </c>
      <c r="AD433" s="236">
        <v>-1.1328022798595683E-3</v>
      </c>
    </row>
    <row r="434" spans="23:30" x14ac:dyDescent="0.2">
      <c r="W434" s="144"/>
      <c r="X434" s="113" t="str">
        <f t="shared" si="21"/>
        <v>1D</v>
      </c>
      <c r="Y434" s="106">
        <f>_xll.qlCalendarAdvance(Calendar,Y433,X434,"f",FALSE)</f>
        <v>42752</v>
      </c>
      <c r="Z434" s="108">
        <f>_xll.qlCalendarAdvance(Calendar,Y434,0&amp;"D")</f>
        <v>42752</v>
      </c>
      <c r="AA434" s="109">
        <v>-1.1296267593330356E-3</v>
      </c>
      <c r="AB434" s="143">
        <f t="shared" si="22"/>
        <v>3.9968028886505635E-14</v>
      </c>
      <c r="AC434" s="236" t="e">
        <v>#N/A</v>
      </c>
      <c r="AD434" s="236">
        <v>-1.1296267593730036E-3</v>
      </c>
    </row>
    <row r="435" spans="23:30" x14ac:dyDescent="0.2">
      <c r="W435" s="144"/>
      <c r="X435" s="113" t="str">
        <f t="shared" si="21"/>
        <v>1D</v>
      </c>
      <c r="Y435" s="106">
        <f>_xll.qlCalendarAdvance(Calendar,Y434,X435,"f",FALSE)</f>
        <v>42753</v>
      </c>
      <c r="Z435" s="108">
        <f>_xll.qlCalendarAdvance(Calendar,Y435,0&amp;"D")</f>
        <v>42753</v>
      </c>
      <c r="AA435" s="109">
        <v>-1.1263679252904168E-3</v>
      </c>
      <c r="AB435" s="143">
        <f t="shared" si="22"/>
        <v>0</v>
      </c>
      <c r="AC435" s="236" t="e">
        <v>#N/A</v>
      </c>
      <c r="AD435" s="236">
        <v>-1.1263679252904168E-3</v>
      </c>
    </row>
    <row r="436" spans="23:30" x14ac:dyDescent="0.2">
      <c r="W436" s="144"/>
      <c r="X436" s="113" t="str">
        <f t="shared" si="21"/>
        <v>1D</v>
      </c>
      <c r="Y436" s="106">
        <f>_xll.qlCalendarAdvance(Calendar,Y435,X436,"f",FALSE)</f>
        <v>42754</v>
      </c>
      <c r="Z436" s="108">
        <f>_xll.qlCalendarAdvance(Calendar,Y436,0&amp;"D")</f>
        <v>42754</v>
      </c>
      <c r="AA436" s="109">
        <v>-1.1230257780514563E-3</v>
      </c>
      <c r="AB436" s="143">
        <f t="shared" si="22"/>
        <v>-3.9968028886505635E-14</v>
      </c>
      <c r="AC436" s="236" t="e">
        <v>#N/A</v>
      </c>
      <c r="AD436" s="236">
        <v>-1.1230257780114883E-3</v>
      </c>
    </row>
    <row r="437" spans="23:30" x14ac:dyDescent="0.2">
      <c r="W437" s="144"/>
      <c r="X437" s="113" t="str">
        <f t="shared" si="21"/>
        <v>1D</v>
      </c>
      <c r="Y437" s="106">
        <f>_xll.qlCalendarAdvance(Calendar,Y436,X437,"f",FALSE)</f>
        <v>42755</v>
      </c>
      <c r="Z437" s="108">
        <f>_xll.qlCalendarAdvance(Calendar,Y437,0&amp;"D")</f>
        <v>42755</v>
      </c>
      <c r="AA437" s="109">
        <v>-1.1160603114213075E-3</v>
      </c>
      <c r="AB437" s="143">
        <f t="shared" si="22"/>
        <v>2.6645352591003757E-14</v>
      </c>
      <c r="AC437" s="236" t="e">
        <v>#N/A</v>
      </c>
      <c r="AD437" s="236">
        <v>-1.1160603114479528E-3</v>
      </c>
    </row>
    <row r="438" spans="23:30" x14ac:dyDescent="0.2">
      <c r="W438" s="144"/>
      <c r="X438" s="113" t="str">
        <f t="shared" si="21"/>
        <v>1D</v>
      </c>
      <c r="Y438" s="106">
        <f>_xll.qlCalendarAdvance(Calendar,Y437,X438,"f",FALSE)</f>
        <v>42758</v>
      </c>
      <c r="Z438" s="108">
        <f>_xll.qlCalendarAdvance(Calendar,Y438,0&amp;"D")</f>
        <v>42758</v>
      </c>
      <c r="AA438" s="109">
        <v>-1.1088240532952653E-3</v>
      </c>
      <c r="AB438" s="143">
        <f t="shared" si="22"/>
        <v>-7.9936057773011271E-14</v>
      </c>
      <c r="AC438" s="236" t="e">
        <v>#N/A</v>
      </c>
      <c r="AD438" s="236">
        <v>-1.1088240532153293E-3</v>
      </c>
    </row>
    <row r="439" spans="23:30" x14ac:dyDescent="0.2">
      <c r="W439" s="144"/>
      <c r="X439" s="113" t="str">
        <f t="shared" si="21"/>
        <v>1D</v>
      </c>
      <c r="Y439" s="106">
        <f>_xll.qlCalendarAdvance(Calendar,Y438,X439,"f",FALSE)</f>
        <v>42759</v>
      </c>
      <c r="Z439" s="108">
        <f>_xll.qlCalendarAdvance(Calendar,Y439,0&amp;"D")</f>
        <v>42759</v>
      </c>
      <c r="AA439" s="109">
        <v>-1.1050653383559705E-3</v>
      </c>
      <c r="AB439" s="143">
        <f t="shared" si="22"/>
        <v>3.9968028886505635E-14</v>
      </c>
      <c r="AC439" s="236" t="e">
        <v>#N/A</v>
      </c>
      <c r="AD439" s="236">
        <v>-1.1050653383959386E-3</v>
      </c>
    </row>
    <row r="440" spans="23:30" x14ac:dyDescent="0.2">
      <c r="W440" s="144"/>
      <c r="X440" s="113" t="str">
        <f t="shared" si="21"/>
        <v>1D</v>
      </c>
      <c r="Y440" s="106">
        <f>_xll.qlCalendarAdvance(Calendar,Y439,X440,"f",FALSE)</f>
        <v>42760</v>
      </c>
      <c r="Z440" s="108">
        <f>_xll.qlCalendarAdvance(Calendar,Y440,0&amp;"D")</f>
        <v>42760</v>
      </c>
      <c r="AA440" s="109">
        <v>-1.1012233099405577E-3</v>
      </c>
      <c r="AB440" s="143">
        <f t="shared" si="22"/>
        <v>0</v>
      </c>
      <c r="AC440" s="236" t="e">
        <v>#N/A</v>
      </c>
      <c r="AD440" s="236">
        <v>-1.1012233099405577E-3</v>
      </c>
    </row>
    <row r="441" spans="23:30" x14ac:dyDescent="0.2">
      <c r="W441" s="144"/>
      <c r="X441" s="113" t="str">
        <f t="shared" si="21"/>
        <v>1D</v>
      </c>
      <c r="Y441" s="106">
        <f>_xll.qlCalendarAdvance(Calendar,Y440,X441,"f",FALSE)</f>
        <v>42761</v>
      </c>
      <c r="Z441" s="108">
        <f>_xll.qlCalendarAdvance(Calendar,Y441,0&amp;"D")</f>
        <v>42761</v>
      </c>
      <c r="AA441" s="109">
        <v>-1.0972979680490269E-3</v>
      </c>
      <c r="AB441" s="143">
        <f t="shared" si="22"/>
        <v>-3.9968028886505635E-14</v>
      </c>
      <c r="AC441" s="236" t="e">
        <v>#N/A</v>
      </c>
      <c r="AD441" s="236">
        <v>-1.0972979680090589E-3</v>
      </c>
    </row>
    <row r="442" spans="23:30" x14ac:dyDescent="0.2">
      <c r="W442" s="144"/>
      <c r="X442" s="113" t="str">
        <f t="shared" si="21"/>
        <v>1D</v>
      </c>
      <c r="Y442" s="106">
        <f>_xll.qlCalendarAdvance(Calendar,Y441,X442,"f",FALSE)</f>
        <v>42762</v>
      </c>
      <c r="Z442" s="108">
        <f>_xll.qlCalendarAdvance(Calendar,Y442,0&amp;"D")</f>
        <v>42762</v>
      </c>
      <c r="AA442" s="109">
        <v>-1.0891662773282462E-3</v>
      </c>
      <c r="AB442" s="143">
        <f t="shared" si="22"/>
        <v>1.3322676295501878E-14</v>
      </c>
      <c r="AC442" s="236" t="e">
        <v>#N/A</v>
      </c>
      <c r="AD442" s="236">
        <v>-1.0891662773415689E-3</v>
      </c>
    </row>
    <row r="443" spans="23:30" x14ac:dyDescent="0.2">
      <c r="W443" s="144"/>
      <c r="X443" s="113" t="str">
        <f t="shared" si="21"/>
        <v>1D</v>
      </c>
      <c r="Y443" s="106">
        <f>_xll.qlCalendarAdvance(Calendar,Y442,X443,"f",FALSE)</f>
        <v>42765</v>
      </c>
      <c r="Z443" s="108">
        <f>_xll.qlCalendarAdvance(Calendar,Y443,0&amp;"D")</f>
        <v>42765</v>
      </c>
      <c r="AA443" s="109">
        <v>-1.0807634654019793E-3</v>
      </c>
      <c r="AB443" s="143">
        <f t="shared" si="22"/>
        <v>-3.9968028886505635E-14</v>
      </c>
      <c r="AC443" s="236" t="e">
        <v>#N/A</v>
      </c>
      <c r="AD443" s="236">
        <v>-1.0807634653620113E-3</v>
      </c>
    </row>
    <row r="444" spans="23:30" x14ac:dyDescent="0.2">
      <c r="W444" s="144"/>
      <c r="X444" s="113" t="str">
        <f t="shared" si="21"/>
        <v>1D</v>
      </c>
      <c r="Y444" s="106">
        <f>_xll.qlCalendarAdvance(Calendar,Y443,X444,"f",FALSE)</f>
        <v>42766</v>
      </c>
      <c r="Z444" s="108">
        <f>_xll.qlCalendarAdvance(Calendar,Y444,0&amp;"D")</f>
        <v>42766</v>
      </c>
      <c r="AA444" s="109">
        <v>-1.0764215558101142E-3</v>
      </c>
      <c r="AB444" s="143">
        <f t="shared" si="22"/>
        <v>7.9936057773011271E-14</v>
      </c>
      <c r="AC444" s="236" t="e">
        <v>#N/A</v>
      </c>
      <c r="AD444" s="236">
        <v>-1.0764215558900503E-3</v>
      </c>
    </row>
    <row r="445" spans="23:30" x14ac:dyDescent="0.2">
      <c r="W445" s="144"/>
      <c r="X445" s="113" t="str">
        <f t="shared" si="21"/>
        <v>1D</v>
      </c>
      <c r="Y445" s="106">
        <f>_xll.qlCalendarAdvance(Calendar,Y444,X445,"f",FALSE)</f>
        <v>42767</v>
      </c>
      <c r="Z445" s="108">
        <f>_xll.qlCalendarAdvance(Calendar,Y445,0&amp;"D")</f>
        <v>42767</v>
      </c>
      <c r="AA445" s="109">
        <v>-1.0719963329020032E-3</v>
      </c>
      <c r="AB445" s="143">
        <f t="shared" si="22"/>
        <v>3.9968028886505635E-14</v>
      </c>
      <c r="AC445" s="236" t="e">
        <v>#N/A</v>
      </c>
      <c r="AD445" s="236">
        <v>-1.0719963329419713E-3</v>
      </c>
    </row>
    <row r="446" spans="23:30" x14ac:dyDescent="0.2">
      <c r="W446" s="144"/>
      <c r="X446" s="113" t="str">
        <f t="shared" si="21"/>
        <v>1D</v>
      </c>
      <c r="Y446" s="106">
        <f>_xll.qlCalendarAdvance(Calendar,Y445,X446,"f",FALSE)</f>
        <v>42768</v>
      </c>
      <c r="Z446" s="108">
        <f>_xll.qlCalendarAdvance(Calendar,Y446,0&amp;"D")</f>
        <v>42768</v>
      </c>
      <c r="AA446" s="109">
        <v>-1.0674877963978702E-3</v>
      </c>
      <c r="AB446" s="143">
        <f t="shared" si="22"/>
        <v>0</v>
      </c>
      <c r="AC446" s="236" t="e">
        <v>#N/A</v>
      </c>
      <c r="AD446" s="236">
        <v>-1.0674877963978702E-3</v>
      </c>
    </row>
    <row r="447" spans="23:30" x14ac:dyDescent="0.2">
      <c r="W447" s="144"/>
      <c r="X447" s="113" t="str">
        <f t="shared" si="21"/>
        <v>1D</v>
      </c>
      <c r="Y447" s="106">
        <f>_xll.qlCalendarAdvance(Calendar,Y446,X447,"f",FALSE)</f>
        <v>42769</v>
      </c>
      <c r="Z447" s="108">
        <f>_xll.qlCalendarAdvance(Calendar,Y447,0&amp;"D")</f>
        <v>42769</v>
      </c>
      <c r="AA447" s="109">
        <v>-1.0581899012107598E-3</v>
      </c>
      <c r="AB447" s="143">
        <f t="shared" si="22"/>
        <v>0</v>
      </c>
      <c r="AC447" s="236" t="e">
        <v>#N/A</v>
      </c>
      <c r="AD447" s="236">
        <v>-1.0581899012107598E-3</v>
      </c>
    </row>
    <row r="448" spans="23:30" x14ac:dyDescent="0.2">
      <c r="W448" s="144"/>
      <c r="X448" s="113" t="str">
        <f t="shared" si="21"/>
        <v>1D</v>
      </c>
      <c r="Y448" s="106">
        <f>_xll.qlCalendarAdvance(Calendar,Y447,X448,"f",FALSE)</f>
        <v>42772</v>
      </c>
      <c r="Z448" s="108">
        <f>_xll.qlCalendarAdvance(Calendar,Y448,0&amp;"D")</f>
        <v>42772</v>
      </c>
      <c r="AA448" s="109">
        <v>-1.0486205151405414E-3</v>
      </c>
      <c r="AB448" s="143">
        <f t="shared" si="22"/>
        <v>-7.9936057773011271E-14</v>
      </c>
      <c r="AC448" s="236" t="e">
        <v>#N/A</v>
      </c>
      <c r="AD448" s="236">
        <v>-1.0486205150606054E-3</v>
      </c>
    </row>
    <row r="449" spans="23:30" x14ac:dyDescent="0.2">
      <c r="W449" s="144"/>
      <c r="X449" s="113" t="str">
        <f t="shared" si="21"/>
        <v>1D</v>
      </c>
      <c r="Y449" s="106">
        <f>_xll.qlCalendarAdvance(Calendar,Y448,X449,"f",FALSE)</f>
        <v>42773</v>
      </c>
      <c r="Z449" s="108">
        <f>_xll.qlCalendarAdvance(Calendar,Y449,0&amp;"D")</f>
        <v>42773</v>
      </c>
      <c r="AA449" s="109">
        <v>-1.0436954110160102E-3</v>
      </c>
      <c r="AB449" s="143">
        <f t="shared" si="22"/>
        <v>3.9968028886505635E-14</v>
      </c>
      <c r="AC449" s="236" t="e">
        <v>#N/A</v>
      </c>
      <c r="AD449" s="236">
        <v>-1.0436954110559782E-3</v>
      </c>
    </row>
    <row r="450" spans="23:30" x14ac:dyDescent="0.2">
      <c r="W450" s="144"/>
      <c r="X450" s="113" t="str">
        <f t="shared" si="21"/>
        <v>1D</v>
      </c>
      <c r="Y450" s="106">
        <f>_xll.qlCalendarAdvance(Calendar,Y449,X450,"f",FALSE)</f>
        <v>42774</v>
      </c>
      <c r="Z450" s="108">
        <f>_xll.qlCalendarAdvance(Calendar,Y450,0&amp;"D")</f>
        <v>42774</v>
      </c>
      <c r="AA450" s="109">
        <v>-1.0386869932554887E-3</v>
      </c>
      <c r="AB450" s="143">
        <f t="shared" si="22"/>
        <v>0</v>
      </c>
      <c r="AC450" s="236" t="e">
        <v>#N/A</v>
      </c>
      <c r="AD450" s="236">
        <v>-1.0386869932554887E-3</v>
      </c>
    </row>
    <row r="451" spans="23:30" x14ac:dyDescent="0.2">
      <c r="W451" s="144"/>
      <c r="X451" s="113" t="str">
        <f t="shared" si="21"/>
        <v>1D</v>
      </c>
      <c r="Y451" s="106">
        <f>_xll.qlCalendarAdvance(Calendar,Y450,X451,"f",FALSE)</f>
        <v>42775</v>
      </c>
      <c r="Z451" s="108">
        <f>_xll.qlCalendarAdvance(Calendar,Y451,0&amp;"D")</f>
        <v>42775</v>
      </c>
      <c r="AA451" s="109">
        <v>-1.0335952618989452E-3</v>
      </c>
      <c r="AB451" s="143">
        <f t="shared" si="22"/>
        <v>3.9968028886505635E-14</v>
      </c>
      <c r="AC451" s="236" t="e">
        <v>#N/A</v>
      </c>
      <c r="AD451" s="236">
        <v>-1.0335952619389133E-3</v>
      </c>
    </row>
    <row r="452" spans="23:30" x14ac:dyDescent="0.2">
      <c r="W452" s="144"/>
      <c r="X452" s="113" t="str">
        <f t="shared" si="21"/>
        <v>1D</v>
      </c>
      <c r="Y452" s="106">
        <f>_xll.qlCalendarAdvance(Calendar,Y451,X452,"f",FALSE)</f>
        <v>42776</v>
      </c>
      <c r="Z452" s="108">
        <f>_xll.qlCalendarAdvance(Calendar,Y452,0&amp;"D")</f>
        <v>42776</v>
      </c>
      <c r="AA452" s="109">
        <v>-1.0231311799380194E-3</v>
      </c>
      <c r="AB452" s="143">
        <f t="shared" si="22"/>
        <v>-2.6645352591003757E-14</v>
      </c>
      <c r="AC452" s="236" t="e">
        <v>#N/A</v>
      </c>
      <c r="AD452" s="236">
        <v>-1.023131179911374E-3</v>
      </c>
    </row>
    <row r="453" spans="23:30" x14ac:dyDescent="0.2">
      <c r="W453" s="144"/>
      <c r="X453" s="113" t="str">
        <f t="shared" si="21"/>
        <v>1D</v>
      </c>
      <c r="Y453" s="106">
        <f>_xll.qlCalendarAdvance(Calendar,Y452,X453,"f",FALSE)</f>
        <v>42779</v>
      </c>
      <c r="Z453" s="108">
        <f>_xll.qlCalendarAdvance(Calendar,Y453,0&amp;"D")</f>
        <v>42779</v>
      </c>
      <c r="AA453" s="109">
        <v>-1.0123952013518789E-3</v>
      </c>
      <c r="AB453" s="143">
        <f t="shared" si="22"/>
        <v>3.9968028886505635E-14</v>
      </c>
      <c r="AC453" s="236" t="e">
        <v>#N/A</v>
      </c>
      <c r="AD453" s="236">
        <v>-1.0123952013918469E-3</v>
      </c>
    </row>
    <row r="454" spans="23:30" x14ac:dyDescent="0.2">
      <c r="W454" s="144"/>
      <c r="X454" s="113" t="str">
        <f t="shared" si="21"/>
        <v>1D</v>
      </c>
      <c r="Y454" s="106">
        <f>_xll.qlCalendarAdvance(Calendar,Y453,X454,"f",FALSE)</f>
        <v>42780</v>
      </c>
      <c r="Z454" s="108">
        <f>_xll.qlCalendarAdvance(Calendar,Y454,0&amp;"D")</f>
        <v>42780</v>
      </c>
      <c r="AA454" s="109">
        <v>-1.0068869024149052E-3</v>
      </c>
      <c r="AB454" s="143">
        <f t="shared" si="22"/>
        <v>0</v>
      </c>
      <c r="AC454" s="236" t="e">
        <v>#N/A</v>
      </c>
      <c r="AD454" s="236">
        <v>-1.0068869024149052E-3</v>
      </c>
    </row>
    <row r="455" spans="23:30" x14ac:dyDescent="0.2">
      <c r="W455" s="144"/>
      <c r="X455" s="113" t="str">
        <f t="shared" si="21"/>
        <v>1D</v>
      </c>
      <c r="Y455" s="106">
        <f>_xll.qlCalendarAdvance(Calendar,Y454,X455,"f",FALSE)</f>
        <v>42781</v>
      </c>
      <c r="Z455" s="108">
        <f>_xll.qlCalendarAdvance(Calendar,Y455,0&amp;"D")</f>
        <v>42781</v>
      </c>
      <c r="AA455" s="109">
        <v>-1.0012952899218774E-3</v>
      </c>
      <c r="AB455" s="143">
        <f t="shared" si="22"/>
        <v>-7.9936057773011271E-14</v>
      </c>
      <c r="AC455" s="236" t="e">
        <v>#N/A</v>
      </c>
      <c r="AD455" s="236">
        <v>-1.0012952898419414E-3</v>
      </c>
    </row>
    <row r="456" spans="23:30" x14ac:dyDescent="0.2">
      <c r="W456" s="144"/>
      <c r="X456" s="113" t="str">
        <f t="shared" si="21"/>
        <v>1D</v>
      </c>
      <c r="Y456" s="106">
        <f>_xll.qlCalendarAdvance(Calendar,Y455,X456,"f",FALSE)</f>
        <v>42782</v>
      </c>
      <c r="Z456" s="108">
        <f>_xll.qlCalendarAdvance(Calendar,Y456,0&amp;"D")</f>
        <v>42782</v>
      </c>
      <c r="AA456" s="109">
        <v>-9.9562036359301942E-4</v>
      </c>
      <c r="AB456" s="143">
        <f t="shared" si="22"/>
        <v>7.9936057773011271E-14</v>
      </c>
      <c r="AC456" s="236" t="e">
        <v>#N/A</v>
      </c>
      <c r="AD456" s="236">
        <v>-9.9562036367295548E-4</v>
      </c>
    </row>
    <row r="457" spans="23:30" x14ac:dyDescent="0.2">
      <c r="W457" s="144"/>
      <c r="X457" s="113" t="str">
        <f t="shared" si="21"/>
        <v>1D</v>
      </c>
      <c r="Y457" s="106">
        <f>_xll.qlCalendarAdvance(Calendar,Y456,X457,"f",FALSE)</f>
        <v>42783</v>
      </c>
      <c r="Z457" s="108">
        <f>_xll.qlCalendarAdvance(Calendar,Y457,0&amp;"D")</f>
        <v>42783</v>
      </c>
      <c r="AA457" s="109">
        <v>-9.8399010980632085E-4</v>
      </c>
      <c r="AB457" s="143">
        <f t="shared" si="22"/>
        <v>0</v>
      </c>
      <c r="AC457" s="236" t="e">
        <v>#N/A</v>
      </c>
      <c r="AD457" s="236">
        <v>-9.8399010980632085E-4</v>
      </c>
    </row>
    <row r="458" spans="23:30" x14ac:dyDescent="0.2">
      <c r="W458" s="144"/>
      <c r="X458" s="113" t="str">
        <f t="shared" si="21"/>
        <v>1D</v>
      </c>
      <c r="Y458" s="106">
        <f>_xll.qlCalendarAdvance(Calendar,Y457,X458,"f",FALSE)</f>
        <v>42786</v>
      </c>
      <c r="Z458" s="108">
        <f>_xll.qlCalendarAdvance(Calendar,Y458,0&amp;"D")</f>
        <v>42786</v>
      </c>
      <c r="AA458" s="109">
        <v>-9.7208752307675894E-4</v>
      </c>
      <c r="AB458" s="143">
        <f t="shared" si="22"/>
        <v>3.9968028886505635E-14</v>
      </c>
      <c r="AC458" s="236" t="e">
        <v>#N/A</v>
      </c>
      <c r="AD458" s="236">
        <v>-9.7208752311672697E-4</v>
      </c>
    </row>
    <row r="459" spans="23:30" x14ac:dyDescent="0.2">
      <c r="W459" s="144"/>
      <c r="X459" s="113" t="str">
        <f t="shared" si="21"/>
        <v>1D</v>
      </c>
      <c r="Y459" s="106">
        <f>_xll.qlCalendarAdvance(Calendar,Y458,X459,"f",FALSE)</f>
        <v>42787</v>
      </c>
      <c r="Z459" s="108">
        <f>_xll.qlCalendarAdvance(Calendar,Y459,0&amp;"D")</f>
        <v>42787</v>
      </c>
      <c r="AA459" s="109">
        <v>-9.6599602912750271E-4</v>
      </c>
      <c r="AB459" s="143">
        <f t="shared" si="22"/>
        <v>-1.1990408665951691E-13</v>
      </c>
      <c r="AC459" s="236" t="e">
        <v>#N/A</v>
      </c>
      <c r="AD459" s="236">
        <v>-9.6599602900759862E-4</v>
      </c>
    </row>
    <row r="460" spans="23:30" x14ac:dyDescent="0.2">
      <c r="W460" s="144"/>
      <c r="X460" s="113" t="str">
        <f t="shared" si="21"/>
        <v>1D</v>
      </c>
      <c r="Y460" s="106">
        <f>_xll.qlCalendarAdvance(Calendar,Y459,X460,"f",FALSE)</f>
        <v>42788</v>
      </c>
      <c r="Z460" s="108">
        <f>_xll.qlCalendarAdvance(Calendar,Y460,0&amp;"D")</f>
        <v>42788</v>
      </c>
      <c r="AA460" s="109">
        <v>-9.5982122130244818E-4</v>
      </c>
      <c r="AB460" s="143">
        <f t="shared" si="22"/>
        <v>0</v>
      </c>
      <c r="AC460" s="236" t="e">
        <v>#N/A</v>
      </c>
      <c r="AD460" s="236">
        <v>-9.5982122130244818E-4</v>
      </c>
    </row>
    <row r="461" spans="23:30" x14ac:dyDescent="0.2">
      <c r="W461" s="144"/>
      <c r="X461" s="113" t="str">
        <f t="shared" ref="X461:X524" si="23">X460</f>
        <v>1D</v>
      </c>
      <c r="Y461" s="106">
        <f>_xll.qlCalendarAdvance(Calendar,Y460,X461,"f",FALSE)</f>
        <v>42789</v>
      </c>
      <c r="Z461" s="108">
        <f>_xll.qlCalendarAdvance(Calendar,Y461,0&amp;"D")</f>
        <v>42789</v>
      </c>
      <c r="AA461" s="109">
        <v>-9.5356310004124367E-4</v>
      </c>
      <c r="AB461" s="143">
        <f t="shared" si="22"/>
        <v>0</v>
      </c>
      <c r="AC461" s="236" t="e">
        <v>#N/A</v>
      </c>
      <c r="AD461" s="236">
        <v>-9.5356310004124367E-4</v>
      </c>
    </row>
    <row r="462" spans="23:30" x14ac:dyDescent="0.2">
      <c r="W462" s="144"/>
      <c r="X462" s="113" t="str">
        <f t="shared" si="23"/>
        <v>1D</v>
      </c>
      <c r="Y462" s="106">
        <f>_xll.qlCalendarAdvance(Calendar,Y461,X462,"f",FALSE)</f>
        <v>42790</v>
      </c>
      <c r="Z462" s="108">
        <f>_xll.qlCalendarAdvance(Calendar,Y462,0&amp;"D")</f>
        <v>42790</v>
      </c>
      <c r="AA462" s="109">
        <v>-9.4076668704534683E-4</v>
      </c>
      <c r="AB462" s="143">
        <f t="shared" si="22"/>
        <v>-2.6645352591003757E-14</v>
      </c>
      <c r="AC462" s="236" t="e">
        <v>#N/A</v>
      </c>
      <c r="AD462" s="236">
        <v>-9.4076668701870148E-4</v>
      </c>
    </row>
    <row r="463" spans="23:30" x14ac:dyDescent="0.2">
      <c r="W463" s="144"/>
      <c r="X463" s="113" t="str">
        <f t="shared" si="23"/>
        <v>1D</v>
      </c>
      <c r="Y463" s="106">
        <f>_xll.qlCalendarAdvance(Calendar,Y462,X463,"f",FALSE)</f>
        <v>42793</v>
      </c>
      <c r="Z463" s="108">
        <f>_xll.qlCalendarAdvance(Calendar,Y463,0&amp;"D")</f>
        <v>42793</v>
      </c>
      <c r="AA463" s="109">
        <v>-9.2769747863652441E-4</v>
      </c>
      <c r="AB463" s="143">
        <f t="shared" si="22"/>
        <v>1.1990408665951691E-13</v>
      </c>
      <c r="AC463" s="236" t="e">
        <v>#N/A</v>
      </c>
      <c r="AD463" s="236">
        <v>-9.276974787564285E-4</v>
      </c>
    </row>
    <row r="464" spans="23:30" x14ac:dyDescent="0.2">
      <c r="W464" s="144"/>
      <c r="X464" s="113" t="str">
        <f t="shared" si="23"/>
        <v>1D</v>
      </c>
      <c r="Y464" s="106">
        <f>_xll.qlCalendarAdvance(Calendar,Y463,X464,"f",FALSE)</f>
        <v>42794</v>
      </c>
      <c r="Z464" s="108">
        <f>_xll.qlCalendarAdvance(Calendar,Y464,0&amp;"D")</f>
        <v>42794</v>
      </c>
      <c r="AA464" s="109">
        <v>-9.2102278947514549E-4</v>
      </c>
      <c r="AB464" s="143">
        <f t="shared" si="22"/>
        <v>-1.1990408665951691E-13</v>
      </c>
      <c r="AC464" s="236" t="e">
        <v>#N/A</v>
      </c>
      <c r="AD464" s="236">
        <v>-9.210227893552414E-4</v>
      </c>
    </row>
    <row r="465" spans="23:30" x14ac:dyDescent="0.2">
      <c r="W465" s="144"/>
      <c r="X465" s="113" t="str">
        <f t="shared" si="23"/>
        <v>1D</v>
      </c>
      <c r="Y465" s="106">
        <f>_xll.qlCalendarAdvance(Calendar,Y464,X465,"f",FALSE)</f>
        <v>42795</v>
      </c>
      <c r="Z465" s="108">
        <f>_xll.qlCalendarAdvance(Calendar,Y465,0&amp;"D")</f>
        <v>42795</v>
      </c>
      <c r="AA465" s="109">
        <v>-9.142867225708784E-4</v>
      </c>
      <c r="AB465" s="143">
        <f t="shared" si="22"/>
        <v>7.9936057773011271E-14</v>
      </c>
      <c r="AC465" s="236" t="e">
        <v>#N/A</v>
      </c>
      <c r="AD465" s="236">
        <v>-9.1428672265081445E-4</v>
      </c>
    </row>
    <row r="466" spans="23:30" x14ac:dyDescent="0.2">
      <c r="W466" s="144"/>
      <c r="X466" s="113" t="str">
        <f t="shared" si="23"/>
        <v>1D</v>
      </c>
      <c r="Y466" s="106">
        <f>_xll.qlCalendarAdvance(Calendar,Y465,X466,"f",FALSE)</f>
        <v>42796</v>
      </c>
      <c r="Z466" s="108">
        <f>_xll.qlCalendarAdvance(Calendar,Y466,0&amp;"D")</f>
        <v>42796</v>
      </c>
      <c r="AA466" s="109">
        <v>-9.0757702337462831E-4</v>
      </c>
      <c r="AB466" s="143">
        <f t="shared" si="22"/>
        <v>0</v>
      </c>
      <c r="AC466" s="236" t="e">
        <v>#N/A</v>
      </c>
      <c r="AD466" s="236">
        <v>-9.0757702337462831E-4</v>
      </c>
    </row>
    <row r="467" spans="23:30" x14ac:dyDescent="0.2">
      <c r="W467" s="144"/>
      <c r="X467" s="113" t="str">
        <f t="shared" si="23"/>
        <v>1D</v>
      </c>
      <c r="Y467" s="106">
        <f>_xll.qlCalendarAdvance(Calendar,Y466,X467,"f",FALSE)</f>
        <v>42797</v>
      </c>
      <c r="Z467" s="108">
        <f>_xll.qlCalendarAdvance(Calendar,Y467,0&amp;"D")</f>
        <v>42797</v>
      </c>
      <c r="AA467" s="109">
        <v>-8.9431641576265264E-4</v>
      </c>
      <c r="AB467" s="143">
        <f t="shared" si="22"/>
        <v>1.3322676295501878E-14</v>
      </c>
      <c r="AC467" s="236" t="e">
        <v>#N/A</v>
      </c>
      <c r="AD467" s="236">
        <v>-8.9431641577597532E-4</v>
      </c>
    </row>
    <row r="468" spans="23:30" x14ac:dyDescent="0.2">
      <c r="W468" s="144"/>
      <c r="X468" s="113" t="str">
        <f t="shared" si="23"/>
        <v>1D</v>
      </c>
      <c r="Y468" s="106">
        <f>_xll.qlCalendarAdvance(Calendar,Y467,X468,"f",FALSE)</f>
        <v>42800</v>
      </c>
      <c r="Z468" s="108">
        <f>_xll.qlCalendarAdvance(Calendar,Y468,0&amp;"D")</f>
        <v>42800</v>
      </c>
      <c r="AA468" s="109">
        <v>-8.8122126387979449E-4</v>
      </c>
      <c r="AB468" s="143">
        <f t="shared" si="22"/>
        <v>0</v>
      </c>
      <c r="AC468" s="236" t="e">
        <v>#N/A</v>
      </c>
      <c r="AD468" s="236">
        <v>-8.8122126387979449E-4</v>
      </c>
    </row>
    <row r="469" spans="23:30" x14ac:dyDescent="0.2">
      <c r="W469" s="144"/>
      <c r="X469" s="113" t="str">
        <f t="shared" si="23"/>
        <v>1D</v>
      </c>
      <c r="Y469" s="106">
        <f>_xll.qlCalendarAdvance(Calendar,Y468,X469,"f",FALSE)</f>
        <v>42801</v>
      </c>
      <c r="Z469" s="108">
        <f>_xll.qlCalendarAdvance(Calendar,Y469,0&amp;"D")</f>
        <v>42801</v>
      </c>
      <c r="AA469" s="109">
        <v>-8.7475308356843584E-4</v>
      </c>
      <c r="AB469" s="143">
        <f t="shared" ref="AB469:AB532" si="24">AA469-AD469</f>
        <v>-3.9968028886505635E-14</v>
      </c>
      <c r="AC469" s="236" t="e">
        <v>#N/A</v>
      </c>
      <c r="AD469" s="236">
        <v>-8.7475308352846781E-4</v>
      </c>
    </row>
    <row r="470" spans="23:30" x14ac:dyDescent="0.2">
      <c r="W470" s="144"/>
      <c r="X470" s="113" t="str">
        <f t="shared" si="23"/>
        <v>1D</v>
      </c>
      <c r="Y470" s="106">
        <f>_xll.qlCalendarAdvance(Calendar,Y469,X470,"f",FALSE)</f>
        <v>42802</v>
      </c>
      <c r="Z470" s="108">
        <f>_xll.qlCalendarAdvance(Calendar,Y470,0&amp;"D")</f>
        <v>42802</v>
      </c>
      <c r="AA470" s="109">
        <v>-8.6833320669832403E-4</v>
      </c>
      <c r="AB470" s="143">
        <f t="shared" si="24"/>
        <v>3.9968028886505635E-14</v>
      </c>
      <c r="AC470" s="236" t="e">
        <v>#N/A</v>
      </c>
      <c r="AD470" s="236">
        <v>-8.6833320673829206E-4</v>
      </c>
    </row>
    <row r="471" spans="23:30" x14ac:dyDescent="0.2">
      <c r="W471" s="144"/>
      <c r="X471" s="113" t="str">
        <f t="shared" si="23"/>
        <v>1D</v>
      </c>
      <c r="Y471" s="106">
        <f>_xll.qlCalendarAdvance(Calendar,Y470,X471,"f",FALSE)</f>
        <v>42803</v>
      </c>
      <c r="Z471" s="108">
        <f>_xll.qlCalendarAdvance(Calendar,Y471,0&amp;"D")</f>
        <v>42803</v>
      </c>
      <c r="AA471" s="109">
        <v>-8.619616338689795E-4</v>
      </c>
      <c r="AB471" s="143">
        <f t="shared" si="24"/>
        <v>0</v>
      </c>
      <c r="AC471" s="236" t="e">
        <v>#N/A</v>
      </c>
      <c r="AD471" s="236">
        <v>-8.619616338689795E-4</v>
      </c>
    </row>
    <row r="472" spans="23:30" x14ac:dyDescent="0.2">
      <c r="W472" s="144"/>
      <c r="X472" s="113" t="str">
        <f t="shared" si="23"/>
        <v>1D</v>
      </c>
      <c r="Y472" s="106">
        <f>_xll.qlCalendarAdvance(Calendar,Y471,X472,"f",FALSE)</f>
        <v>42804</v>
      </c>
      <c r="Z472" s="108">
        <f>_xll.qlCalendarAdvance(Calendar,Y472,0&amp;"D")</f>
        <v>42804</v>
      </c>
      <c r="AA472" s="109">
        <v>-8.4937749655011885E-4</v>
      </c>
      <c r="AB472" s="143">
        <f t="shared" si="24"/>
        <v>-1.3322676295501878E-14</v>
      </c>
      <c r="AC472" s="236" t="e">
        <v>#N/A</v>
      </c>
      <c r="AD472" s="236">
        <v>-8.4937749653679617E-4</v>
      </c>
    </row>
    <row r="473" spans="23:30" x14ac:dyDescent="0.2">
      <c r="W473" s="144"/>
      <c r="X473" s="113" t="str">
        <f t="shared" si="23"/>
        <v>1D</v>
      </c>
      <c r="Y473" s="106">
        <f>_xll.qlCalendarAdvance(Calendar,Y472,X473,"f",FALSE)</f>
        <v>42807</v>
      </c>
      <c r="Z473" s="108">
        <f>_xll.qlCalendarAdvance(Calendar,Y473,0&amp;"D")</f>
        <v>42807</v>
      </c>
      <c r="AA473" s="109">
        <v>-8.3695837984176791E-4</v>
      </c>
      <c r="AB473" s="143">
        <f t="shared" si="24"/>
        <v>0</v>
      </c>
      <c r="AC473" s="236" t="e">
        <v>#N/A</v>
      </c>
      <c r="AD473" s="236">
        <v>-8.3695837984176791E-4</v>
      </c>
    </row>
    <row r="474" spans="23:30" x14ac:dyDescent="0.2">
      <c r="W474" s="144"/>
      <c r="X474" s="113" t="str">
        <f t="shared" si="23"/>
        <v>1D</v>
      </c>
      <c r="Y474" s="106">
        <f>_xll.qlCalendarAdvance(Calendar,Y473,X474,"f",FALSE)</f>
        <v>42808</v>
      </c>
      <c r="Z474" s="108">
        <f>_xll.qlCalendarAdvance(Calendar,Y474,0&amp;"D")</f>
        <v>42808</v>
      </c>
      <c r="AA474" s="109">
        <v>-8.3082832577741073E-4</v>
      </c>
      <c r="AB474" s="143">
        <f t="shared" si="24"/>
        <v>0</v>
      </c>
      <c r="AC474" s="236" t="e">
        <v>#N/A</v>
      </c>
      <c r="AD474" s="236">
        <v>-8.3082832577741073E-4</v>
      </c>
    </row>
    <row r="475" spans="23:30" x14ac:dyDescent="0.2">
      <c r="W475" s="144"/>
      <c r="X475" s="113" t="str">
        <f t="shared" si="23"/>
        <v>1D</v>
      </c>
      <c r="Y475" s="106">
        <f>_xll.qlCalendarAdvance(Calendar,Y474,X475,"f",FALSE)</f>
        <v>42809</v>
      </c>
      <c r="Z475" s="108">
        <f>_xll.qlCalendarAdvance(Calendar,Y475,0&amp;"D")</f>
        <v>42809</v>
      </c>
      <c r="AA475" s="109">
        <v>-8.247465753141725E-4</v>
      </c>
      <c r="AB475" s="143">
        <f t="shared" si="24"/>
        <v>3.9968028886505635E-14</v>
      </c>
      <c r="AC475" s="236" t="e">
        <v>#N/A</v>
      </c>
      <c r="AD475" s="236">
        <v>-8.2474657535414053E-4</v>
      </c>
    </row>
    <row r="476" spans="23:30" x14ac:dyDescent="0.2">
      <c r="W476" s="144"/>
      <c r="X476" s="113" t="str">
        <f t="shared" si="23"/>
        <v>1D</v>
      </c>
      <c r="Y476" s="106">
        <f>_xll.qlCalendarAdvance(Calendar,Y475,X476,"f",FALSE)</f>
        <v>42810</v>
      </c>
      <c r="Z476" s="108">
        <f>_xll.qlCalendarAdvance(Calendar,Y476,0&amp;"D")</f>
        <v>42810</v>
      </c>
      <c r="AA476" s="109">
        <v>-8.187131290915417E-4</v>
      </c>
      <c r="AB476" s="143">
        <f t="shared" si="24"/>
        <v>-7.9936057773011271E-14</v>
      </c>
      <c r="AC476" s="236" t="e">
        <v>#N/A</v>
      </c>
      <c r="AD476" s="236">
        <v>-8.1871312901160564E-4</v>
      </c>
    </row>
    <row r="477" spans="23:30" x14ac:dyDescent="0.2">
      <c r="W477" s="144"/>
      <c r="X477" s="113" t="str">
        <f t="shared" si="23"/>
        <v>1D</v>
      </c>
      <c r="Y477" s="106">
        <f>_xll.qlCalendarAdvance(Calendar,Y476,X477,"f",FALSE)</f>
        <v>42811</v>
      </c>
      <c r="Z477" s="108">
        <f>_xll.qlCalendarAdvance(Calendar,Y477,0&amp;"D")</f>
        <v>42811</v>
      </c>
      <c r="AA477" s="109">
        <v>-8.0680544040312441E-4</v>
      </c>
      <c r="AB477" s="143">
        <f t="shared" si="24"/>
        <v>2.6645352591003757E-14</v>
      </c>
      <c r="AC477" s="236" t="e">
        <v>#N/A</v>
      </c>
      <c r="AD477" s="236">
        <v>-8.0680544042976976E-4</v>
      </c>
    </row>
    <row r="478" spans="23:30" x14ac:dyDescent="0.2">
      <c r="W478" s="144"/>
      <c r="X478" s="113" t="str">
        <f t="shared" si="23"/>
        <v>1D</v>
      </c>
      <c r="Y478" s="106">
        <f>_xll.qlCalendarAdvance(Calendar,Y477,X478,"f",FALSE)</f>
        <v>42814</v>
      </c>
      <c r="Z478" s="108">
        <f>_xll.qlCalendarAdvance(Calendar,Y478,0&amp;"D")</f>
        <v>42814</v>
      </c>
      <c r="AA478" s="109">
        <v>-7.9506238073179247E-4</v>
      </c>
      <c r="AB478" s="143">
        <f t="shared" si="24"/>
        <v>3.9968028886505635E-14</v>
      </c>
      <c r="AC478" s="236" t="e">
        <v>#N/A</v>
      </c>
      <c r="AD478" s="236">
        <v>-7.950623807717605E-4</v>
      </c>
    </row>
    <row r="479" spans="23:30" x14ac:dyDescent="0.2">
      <c r="W479" s="144"/>
      <c r="X479" s="113" t="str">
        <f t="shared" si="23"/>
        <v>1D</v>
      </c>
      <c r="Y479" s="106">
        <f>_xll.qlCalendarAdvance(Calendar,Y478,X479,"f",FALSE)</f>
        <v>42815</v>
      </c>
      <c r="Z479" s="108">
        <f>_xll.qlCalendarAdvance(Calendar,Y479,0&amp;"D")</f>
        <v>42815</v>
      </c>
      <c r="AA479" s="109">
        <v>-7.8927045335408508E-4</v>
      </c>
      <c r="AB479" s="143">
        <f t="shared" si="24"/>
        <v>-3.9968028886505635E-14</v>
      </c>
      <c r="AC479" s="236" t="e">
        <v>#N/A</v>
      </c>
      <c r="AD479" s="236">
        <v>-7.8927045331411705E-4</v>
      </c>
    </row>
    <row r="480" spans="23:30" x14ac:dyDescent="0.2">
      <c r="W480" s="144"/>
      <c r="X480" s="113" t="str">
        <f t="shared" si="23"/>
        <v>1D</v>
      </c>
      <c r="Y480" s="106">
        <f>_xll.qlCalendarAdvance(Calendar,Y479,X480,"f",FALSE)</f>
        <v>42816</v>
      </c>
      <c r="Z480" s="108">
        <f>_xll.qlCalendarAdvance(Calendar,Y480,0&amp;"D")</f>
        <v>42816</v>
      </c>
      <c r="AA480" s="109">
        <v>-7.8352682957749664E-4</v>
      </c>
      <c r="AB480" s="143">
        <f t="shared" si="24"/>
        <v>-7.9936057773011271E-14</v>
      </c>
      <c r="AC480" s="236" t="e">
        <v>#N/A</v>
      </c>
      <c r="AD480" s="236">
        <v>-7.8352682949756058E-4</v>
      </c>
    </row>
    <row r="481" spans="23:30" x14ac:dyDescent="0.2">
      <c r="W481" s="144"/>
      <c r="X481" s="113" t="str">
        <f t="shared" si="23"/>
        <v>1D</v>
      </c>
      <c r="Y481" s="106">
        <f>_xll.qlCalendarAdvance(Calendar,Y480,X481,"f",FALSE)</f>
        <v>42817</v>
      </c>
      <c r="Z481" s="108">
        <f>_xll.qlCalendarAdvance(Calendar,Y481,0&amp;"D")</f>
        <v>42817</v>
      </c>
      <c r="AA481" s="109">
        <v>-7.7783150956189928E-4</v>
      </c>
      <c r="AB481" s="143">
        <f t="shared" si="24"/>
        <v>3.9968028886505635E-14</v>
      </c>
      <c r="AC481" s="236" t="e">
        <v>#N/A</v>
      </c>
      <c r="AD481" s="236">
        <v>-7.7783150960186731E-4</v>
      </c>
    </row>
    <row r="482" spans="23:30" x14ac:dyDescent="0.2">
      <c r="W482" s="144"/>
      <c r="X482" s="113" t="str">
        <f t="shared" si="23"/>
        <v>1D</v>
      </c>
      <c r="Y482" s="106">
        <f>_xll.qlCalendarAdvance(Calendar,Y481,X482,"f",FALSE)</f>
        <v>42818</v>
      </c>
      <c r="Z482" s="108">
        <f>_xll.qlCalendarAdvance(Calendar,Y482,0&amp;"D")</f>
        <v>42818</v>
      </c>
      <c r="AA482" s="109">
        <v>-7.6660024991959119E-4</v>
      </c>
      <c r="AB482" s="143">
        <f t="shared" si="24"/>
        <v>0</v>
      </c>
      <c r="AC482" s="236" t="e">
        <v>#N/A</v>
      </c>
      <c r="AD482" s="236">
        <v>-7.6660024991959119E-4</v>
      </c>
    </row>
    <row r="483" spans="23:30" x14ac:dyDescent="0.2">
      <c r="W483" s="144"/>
      <c r="X483" s="113" t="str">
        <f t="shared" si="23"/>
        <v>1D</v>
      </c>
      <c r="Y483" s="106">
        <f>_xll.qlCalendarAdvance(Calendar,Y482,X483,"f",FALSE)</f>
        <v>42821</v>
      </c>
      <c r="Z483" s="108">
        <f>_xll.qlCalendarAdvance(Calendar,Y483,0&amp;"D")</f>
        <v>42821</v>
      </c>
      <c r="AA483" s="109">
        <v>-7.5553326782884511E-4</v>
      </c>
      <c r="AB483" s="143">
        <f t="shared" si="24"/>
        <v>0</v>
      </c>
      <c r="AC483" s="236" t="e">
        <v>#N/A</v>
      </c>
      <c r="AD483" s="236">
        <v>-7.5553326782884511E-4</v>
      </c>
    </row>
    <row r="484" spans="23:30" x14ac:dyDescent="0.2">
      <c r="W484" s="144"/>
      <c r="X484" s="113" t="str">
        <f t="shared" si="23"/>
        <v>1D</v>
      </c>
      <c r="Y484" s="106">
        <f>_xll.qlCalendarAdvance(Calendar,Y483,X484,"f",FALSE)</f>
        <v>42822</v>
      </c>
      <c r="Z484" s="108">
        <f>_xll.qlCalendarAdvance(Calendar,Y484,0&amp;"D")</f>
        <v>42822</v>
      </c>
      <c r="AA484" s="109">
        <v>-7.5007946689797933E-4</v>
      </c>
      <c r="AB484" s="143">
        <f t="shared" si="24"/>
        <v>-3.9968028886505635E-14</v>
      </c>
      <c r="AC484" s="236" t="e">
        <v>#N/A</v>
      </c>
      <c r="AD484" s="236">
        <v>-7.500794668580113E-4</v>
      </c>
    </row>
    <row r="485" spans="23:30" x14ac:dyDescent="0.2">
      <c r="W485" s="144"/>
      <c r="X485" s="113" t="str">
        <f t="shared" si="23"/>
        <v>1D</v>
      </c>
      <c r="Y485" s="106">
        <f>_xll.qlCalendarAdvance(Calendar,Y484,X485,"f",FALSE)</f>
        <v>42823</v>
      </c>
      <c r="Z485" s="108">
        <f>_xll.qlCalendarAdvance(Calendar,Y485,0&amp;"D")</f>
        <v>42823</v>
      </c>
      <c r="AA485" s="109">
        <v>-7.4467396972810462E-4</v>
      </c>
      <c r="AB485" s="143">
        <f t="shared" si="24"/>
        <v>3.9968028886505635E-14</v>
      </c>
      <c r="AC485" s="236" t="e">
        <v>#N/A</v>
      </c>
      <c r="AD485" s="236">
        <v>-7.4467396976807265E-4</v>
      </c>
    </row>
    <row r="486" spans="23:30" x14ac:dyDescent="0.2">
      <c r="W486" s="144"/>
      <c r="X486" s="113" t="str">
        <f t="shared" si="23"/>
        <v>1D</v>
      </c>
      <c r="Y486" s="106">
        <f>_xll.qlCalendarAdvance(Calendar,Y485,X486,"f",FALSE)</f>
        <v>42824</v>
      </c>
      <c r="Z486" s="108">
        <f>_xll.qlCalendarAdvance(Calendar,Y486,0&amp;"D")</f>
        <v>42824</v>
      </c>
      <c r="AA486" s="109">
        <v>-7.3931677643912508E-4</v>
      </c>
      <c r="AB486" s="143">
        <f t="shared" si="24"/>
        <v>3.9968028886505635E-14</v>
      </c>
      <c r="AC486" s="236" t="e">
        <v>#N/A</v>
      </c>
      <c r="AD486" s="236">
        <v>-7.3931677647909311E-4</v>
      </c>
    </row>
    <row r="487" spans="23:30" x14ac:dyDescent="0.2">
      <c r="W487" s="144"/>
      <c r="X487" s="113" t="str">
        <f t="shared" si="23"/>
        <v>1D</v>
      </c>
      <c r="Y487" s="106">
        <f>_xll.qlCalendarAdvance(Calendar,Y486,X487,"f",FALSE)</f>
        <v>42825</v>
      </c>
      <c r="Z487" s="108">
        <f>_xll.qlCalendarAdvance(Calendar,Y487,0&amp;"D")</f>
        <v>42825</v>
      </c>
      <c r="AA487" s="109">
        <v>-7.2876192747095558E-4</v>
      </c>
      <c r="AB487" s="143">
        <f t="shared" si="24"/>
        <v>-3.9968028886505635E-14</v>
      </c>
      <c r="AC487" s="236" t="e">
        <v>#N/A</v>
      </c>
      <c r="AD487" s="236">
        <v>-7.2876192743098755E-4</v>
      </c>
    </row>
    <row r="488" spans="23:30" x14ac:dyDescent="0.2">
      <c r="W488" s="144"/>
      <c r="X488" s="113" t="str">
        <f t="shared" si="23"/>
        <v>1D</v>
      </c>
      <c r="Y488" s="106">
        <f>_xll.qlCalendarAdvance(Calendar,Y487,X488,"f",FALSE)</f>
        <v>42828</v>
      </c>
      <c r="Z488" s="108">
        <f>_xll.qlCalendarAdvance(Calendar,Y488,0&amp;"D")</f>
        <v>42828</v>
      </c>
      <c r="AA488" s="109">
        <v>-7.1837104145267006E-4</v>
      </c>
      <c r="AB488" s="143">
        <f t="shared" si="24"/>
        <v>3.9968028886505635E-14</v>
      </c>
      <c r="AC488" s="236" t="e">
        <v>#N/A</v>
      </c>
      <c r="AD488" s="236">
        <v>-7.1837104149263808E-4</v>
      </c>
    </row>
    <row r="489" spans="23:30" x14ac:dyDescent="0.2">
      <c r="W489" s="144"/>
      <c r="X489" s="113" t="str">
        <f t="shared" si="23"/>
        <v>1D</v>
      </c>
      <c r="Y489" s="106">
        <f>_xll.qlCalendarAdvance(Calendar,Y488,X489,"f",FALSE)</f>
        <v>42829</v>
      </c>
      <c r="Z489" s="108">
        <f>_xll.qlCalendarAdvance(Calendar,Y489,0&amp;"D")</f>
        <v>42829</v>
      </c>
      <c r="AA489" s="109">
        <v>-7.1325536736832618E-4</v>
      </c>
      <c r="AB489" s="143">
        <f t="shared" si="24"/>
        <v>-3.9968028886505635E-14</v>
      </c>
      <c r="AC489" s="236" t="e">
        <v>#N/A</v>
      </c>
      <c r="AD489" s="236">
        <v>-7.1325536732835815E-4</v>
      </c>
    </row>
    <row r="490" spans="23:30" x14ac:dyDescent="0.2">
      <c r="W490" s="144"/>
      <c r="X490" s="113" t="str">
        <f t="shared" si="23"/>
        <v>1D</v>
      </c>
      <c r="Y490" s="106">
        <f>_xll.qlCalendarAdvance(Calendar,Y489,X490,"f",FALSE)</f>
        <v>42830</v>
      </c>
      <c r="Z490" s="108">
        <f>_xll.qlCalendarAdvance(Calendar,Y490,0&amp;"D")</f>
        <v>42830</v>
      </c>
      <c r="AA490" s="109">
        <v>-7.0818799700500534E-4</v>
      </c>
      <c r="AB490" s="143">
        <f t="shared" si="24"/>
        <v>7.9936057773011271E-14</v>
      </c>
      <c r="AC490" s="236" t="e">
        <v>#N/A</v>
      </c>
      <c r="AD490" s="236">
        <v>-7.081879970849414E-4</v>
      </c>
    </row>
    <row r="491" spans="23:30" x14ac:dyDescent="0.2">
      <c r="W491" s="144"/>
      <c r="X491" s="113" t="str">
        <f t="shared" si="23"/>
        <v>1D</v>
      </c>
      <c r="Y491" s="106">
        <f>_xll.qlCalendarAdvance(Calendar,Y490,X491,"f",FALSE)</f>
        <v>42831</v>
      </c>
      <c r="Z491" s="108">
        <f>_xll.qlCalendarAdvance(Calendar,Y491,0&amp;"D")</f>
        <v>42831</v>
      </c>
      <c r="AA491" s="109">
        <v>-7.0316893052257967E-4</v>
      </c>
      <c r="AB491" s="143">
        <f t="shared" si="24"/>
        <v>0</v>
      </c>
      <c r="AC491" s="236" t="e">
        <v>#N/A</v>
      </c>
      <c r="AD491" s="236">
        <v>-7.0316893052257967E-4</v>
      </c>
    </row>
    <row r="492" spans="23:30" x14ac:dyDescent="0.2">
      <c r="W492" s="144"/>
      <c r="X492" s="113" t="str">
        <f t="shared" si="23"/>
        <v>1D</v>
      </c>
      <c r="Y492" s="106">
        <f>_xll.qlCalendarAdvance(Calendar,Y491,X492,"f",FALSE)</f>
        <v>42832</v>
      </c>
      <c r="Z492" s="108">
        <f>_xll.qlCalendarAdvance(Calendar,Y492,0&amp;"D")</f>
        <v>42832</v>
      </c>
      <c r="AA492" s="109">
        <v>-6.9329047512223241E-4</v>
      </c>
      <c r="AB492" s="143">
        <f t="shared" si="24"/>
        <v>0</v>
      </c>
      <c r="AC492" s="236" t="e">
        <v>#N/A</v>
      </c>
      <c r="AD492" s="236">
        <v>-6.9329047512223241E-4</v>
      </c>
    </row>
    <row r="493" spans="23:30" x14ac:dyDescent="0.2">
      <c r="W493" s="144"/>
      <c r="X493" s="113" t="str">
        <f t="shared" si="23"/>
        <v>1D</v>
      </c>
      <c r="Y493" s="106">
        <f>_xll.qlCalendarAdvance(Calendar,Y492,X493,"f",FALSE)</f>
        <v>42835</v>
      </c>
      <c r="Z493" s="108">
        <f>_xll.qlCalendarAdvance(Calendar,Y493,0&amp;"D")</f>
        <v>42835</v>
      </c>
      <c r="AA493" s="109">
        <v>-6.8357570276234014E-4</v>
      </c>
      <c r="AB493" s="143">
        <f t="shared" si="24"/>
        <v>7.9936057773011271E-14</v>
      </c>
      <c r="AC493" s="236" t="e">
        <v>#N/A</v>
      </c>
      <c r="AD493" s="236">
        <v>-6.835757028422762E-4</v>
      </c>
    </row>
    <row r="494" spans="23:30" x14ac:dyDescent="0.2">
      <c r="W494" s="144"/>
      <c r="X494" s="113" t="str">
        <f t="shared" si="23"/>
        <v>1D</v>
      </c>
      <c r="Y494" s="106">
        <f>_xll.qlCalendarAdvance(Calendar,Y493,X494,"f",FALSE)</f>
        <v>42836</v>
      </c>
      <c r="Z494" s="108">
        <f>_xll.qlCalendarAdvance(Calendar,Y494,0&amp;"D")</f>
        <v>42836</v>
      </c>
      <c r="AA494" s="109">
        <v>-6.7879815552451817E-4</v>
      </c>
      <c r="AB494" s="143">
        <f t="shared" si="24"/>
        <v>-7.9936057773011271E-14</v>
      </c>
      <c r="AC494" s="236" t="e">
        <v>#N/A</v>
      </c>
      <c r="AD494" s="236">
        <v>-6.7879815544458211E-4</v>
      </c>
    </row>
    <row r="495" spans="23:30" x14ac:dyDescent="0.2">
      <c r="W495" s="144"/>
      <c r="X495" s="113" t="str">
        <f t="shared" si="23"/>
        <v>1D</v>
      </c>
      <c r="Y495" s="106">
        <f>_xll.qlCalendarAdvance(Calendar,Y494,X495,"f",FALSE)</f>
        <v>42837</v>
      </c>
      <c r="Z495" s="108">
        <f>_xll.qlCalendarAdvance(Calendar,Y495,0&amp;"D")</f>
        <v>42837</v>
      </c>
      <c r="AA495" s="109">
        <v>-6.7406891200771923E-4</v>
      </c>
      <c r="AB495" s="143">
        <f t="shared" si="24"/>
        <v>-7.9936057773011271E-14</v>
      </c>
      <c r="AC495" s="236" t="e">
        <v>#N/A</v>
      </c>
      <c r="AD495" s="236">
        <v>-6.7406891192778318E-4</v>
      </c>
    </row>
    <row r="496" spans="23:30" x14ac:dyDescent="0.2">
      <c r="W496" s="144"/>
      <c r="X496" s="113" t="str">
        <f t="shared" si="23"/>
        <v>1D</v>
      </c>
      <c r="Y496" s="106">
        <f>_xll.qlCalendarAdvance(Calendar,Y495,X496,"f",FALSE)</f>
        <v>42838</v>
      </c>
      <c r="Z496" s="108">
        <f>_xll.qlCalendarAdvance(Calendar,Y496,0&amp;"D")</f>
        <v>42838</v>
      </c>
      <c r="AA496" s="109">
        <v>-6.6021688684081425E-4</v>
      </c>
      <c r="AB496" s="143">
        <f t="shared" si="24"/>
        <v>1.5987211554602254E-14</v>
      </c>
      <c r="AC496" s="236" t="e">
        <v>#N/A</v>
      </c>
      <c r="AD496" s="236">
        <v>-6.6021688685680147E-4</v>
      </c>
    </row>
    <row r="497" spans="23:30" x14ac:dyDescent="0.2">
      <c r="W497" s="144"/>
      <c r="X497" s="113" t="str">
        <f t="shared" si="23"/>
        <v>1D</v>
      </c>
      <c r="Y497" s="106">
        <f>_xll.qlCalendarAdvance(Calendar,Y496,X497,"f",FALSE)</f>
        <v>42843</v>
      </c>
      <c r="Z497" s="108">
        <f>_xll.qlCalendarAdvance(Calendar,Y497,0&amp;"D")</f>
        <v>42843</v>
      </c>
      <c r="AA497" s="109">
        <v>-6.467078319261077E-4</v>
      </c>
      <c r="AB497" s="143">
        <f t="shared" si="24"/>
        <v>0</v>
      </c>
      <c r="AC497" s="236" t="e">
        <v>#N/A</v>
      </c>
      <c r="AD497" s="236">
        <v>-6.467078319261077E-4</v>
      </c>
    </row>
    <row r="498" spans="23:30" x14ac:dyDescent="0.2">
      <c r="W498" s="144"/>
      <c r="X498" s="113" t="str">
        <f t="shared" si="23"/>
        <v>1D</v>
      </c>
      <c r="Y498" s="106">
        <f>_xll.qlCalendarAdvance(Calendar,Y497,X498,"f",FALSE)</f>
        <v>42844</v>
      </c>
      <c r="Z498" s="108">
        <f>_xll.qlCalendarAdvance(Calendar,Y498,0&amp;"D")</f>
        <v>42844</v>
      </c>
      <c r="AA498" s="109">
        <v>-6.4231671533576673E-4</v>
      </c>
      <c r="AB498" s="143">
        <f t="shared" si="24"/>
        <v>-7.9936057773011271E-14</v>
      </c>
      <c r="AC498" s="236" t="e">
        <v>#N/A</v>
      </c>
      <c r="AD498" s="236">
        <v>-6.4231671525583067E-4</v>
      </c>
    </row>
    <row r="499" spans="23:30" x14ac:dyDescent="0.2">
      <c r="W499" s="144"/>
      <c r="X499" s="113" t="str">
        <f t="shared" si="23"/>
        <v>1D</v>
      </c>
      <c r="Y499" s="106">
        <f>_xll.qlCalendarAdvance(Calendar,Y498,X499,"f",FALSE)</f>
        <v>42845</v>
      </c>
      <c r="Z499" s="108">
        <f>_xll.qlCalendarAdvance(Calendar,Y499,0&amp;"D")</f>
        <v>42845</v>
      </c>
      <c r="AA499" s="109">
        <v>-6.3797390254638486E-4</v>
      </c>
      <c r="AB499" s="143">
        <f t="shared" si="24"/>
        <v>3.9968028886505635E-14</v>
      </c>
      <c r="AC499" s="236" t="e">
        <v>#N/A</v>
      </c>
      <c r="AD499" s="236">
        <v>-6.3797390258635289E-4</v>
      </c>
    </row>
    <row r="500" spans="23:30" x14ac:dyDescent="0.2">
      <c r="W500" s="144"/>
      <c r="X500" s="113" t="str">
        <f t="shared" si="23"/>
        <v>1D</v>
      </c>
      <c r="Y500" s="106">
        <f>_xll.qlCalendarAdvance(Calendar,Y499,X500,"f",FALSE)</f>
        <v>42846</v>
      </c>
      <c r="Z500" s="108">
        <f>_xll.qlCalendarAdvance(Calendar,Y500,0&amp;"D")</f>
        <v>42846</v>
      </c>
      <c r="AA500" s="109">
        <v>-6.2944818951748971E-4</v>
      </c>
      <c r="AB500" s="143">
        <f t="shared" si="24"/>
        <v>-1.3322676295501878E-14</v>
      </c>
      <c r="AC500" s="236" t="e">
        <v>#N/A</v>
      </c>
      <c r="AD500" s="236">
        <v>-6.2944818950416703E-4</v>
      </c>
    </row>
    <row r="501" spans="23:30" x14ac:dyDescent="0.2">
      <c r="W501" s="144"/>
      <c r="X501" s="113" t="str">
        <f t="shared" si="23"/>
        <v>1D</v>
      </c>
      <c r="Y501" s="106">
        <f>_xll.qlCalendarAdvance(Calendar,Y500,X501,"f",FALSE)</f>
        <v>42849</v>
      </c>
      <c r="Z501" s="108">
        <f>_xll.qlCalendarAdvance(Calendar,Y501,0&amp;"D")</f>
        <v>42849</v>
      </c>
      <c r="AA501" s="109">
        <v>-6.2108569047758522E-4</v>
      </c>
      <c r="AB501" s="143">
        <f t="shared" si="24"/>
        <v>3.9968028886505635E-14</v>
      </c>
      <c r="AC501" s="236" t="e">
        <v>#N/A</v>
      </c>
      <c r="AD501" s="236">
        <v>-6.2108569051755325E-4</v>
      </c>
    </row>
    <row r="502" spans="23:30" x14ac:dyDescent="0.2">
      <c r="W502" s="144"/>
      <c r="X502" s="113" t="str">
        <f t="shared" si="23"/>
        <v>1D</v>
      </c>
      <c r="Y502" s="106">
        <f>_xll.qlCalendarAdvance(Calendar,Y501,X502,"f",FALSE)</f>
        <v>42850</v>
      </c>
      <c r="Z502" s="108">
        <f>_xll.qlCalendarAdvance(Calendar,Y502,0&amp;"D")</f>
        <v>42850</v>
      </c>
      <c r="AA502" s="109">
        <v>-6.1698439709267916E-4</v>
      </c>
      <c r="AB502" s="143">
        <f t="shared" si="24"/>
        <v>-3.9968028886505635E-14</v>
      </c>
      <c r="AC502" s="236" t="e">
        <v>#N/A</v>
      </c>
      <c r="AD502" s="236">
        <v>-6.1698439705271113E-4</v>
      </c>
    </row>
    <row r="503" spans="23:30" x14ac:dyDescent="0.2">
      <c r="W503" s="144"/>
      <c r="X503" s="113" t="str">
        <f t="shared" si="23"/>
        <v>1D</v>
      </c>
      <c r="Y503" s="106">
        <f>_xll.qlCalendarAdvance(Calendar,Y502,X503,"f",FALSE)</f>
        <v>42851</v>
      </c>
      <c r="Z503" s="108">
        <f>_xll.qlCalendarAdvance(Calendar,Y503,0&amp;"D")</f>
        <v>42851</v>
      </c>
      <c r="AA503" s="109">
        <v>-6.1293140750873221E-4</v>
      </c>
      <c r="AB503" s="143">
        <f t="shared" si="24"/>
        <v>3.9968028886505635E-14</v>
      </c>
      <c r="AC503" s="236" t="e">
        <v>#N/A</v>
      </c>
      <c r="AD503" s="236">
        <v>-6.1293140754870024E-4</v>
      </c>
    </row>
    <row r="504" spans="23:30" x14ac:dyDescent="0.2">
      <c r="W504" s="144"/>
      <c r="X504" s="113" t="str">
        <f t="shared" si="23"/>
        <v>1D</v>
      </c>
      <c r="Y504" s="106">
        <f>_xll.qlCalendarAdvance(Calendar,Y503,X504,"f",FALSE)</f>
        <v>42852</v>
      </c>
      <c r="Z504" s="108">
        <f>_xll.qlCalendarAdvance(Calendar,Y504,0&amp;"D")</f>
        <v>42852</v>
      </c>
      <c r="AA504" s="109">
        <v>-6.089267219255845E-4</v>
      </c>
      <c r="AB504" s="143">
        <f t="shared" si="24"/>
        <v>0</v>
      </c>
      <c r="AC504" s="236" t="e">
        <v>#N/A</v>
      </c>
      <c r="AD504" s="236">
        <v>-6.089267219255845E-4</v>
      </c>
    </row>
    <row r="505" spans="23:30" x14ac:dyDescent="0.2">
      <c r="W505" s="144"/>
      <c r="X505" s="113" t="str">
        <f t="shared" si="23"/>
        <v>1D</v>
      </c>
      <c r="Y505" s="106">
        <f>_xll.qlCalendarAdvance(Calendar,Y504,X505,"f",FALSE)</f>
        <v>42853</v>
      </c>
      <c r="Z505" s="108">
        <f>_xll.qlCalendarAdvance(Calendar,Y505,0&amp;"D")</f>
        <v>42853</v>
      </c>
      <c r="AA505" s="109">
        <v>-5.9915503140883786E-4</v>
      </c>
      <c r="AB505" s="143">
        <f t="shared" si="24"/>
        <v>0</v>
      </c>
      <c r="AC505" s="236" t="e">
        <v>#N/A</v>
      </c>
      <c r="AD505" s="236">
        <v>-5.9915503140883786E-4</v>
      </c>
    </row>
    <row r="506" spans="23:30" x14ac:dyDescent="0.2">
      <c r="W506" s="144"/>
      <c r="X506" s="113" t="str">
        <f t="shared" si="23"/>
        <v>1D</v>
      </c>
      <c r="Y506" s="106">
        <f>_xll.qlCalendarAdvance(Calendar,Y505,X506,"f",FALSE)</f>
        <v>42857</v>
      </c>
      <c r="Z506" s="108">
        <f>_xll.qlCalendarAdvance(Calendar,Y506,0&amp;"D")</f>
        <v>42857</v>
      </c>
      <c r="AA506" s="109">
        <v>-5.8962785186356115E-4</v>
      </c>
      <c r="AB506" s="143">
        <f t="shared" si="24"/>
        <v>0</v>
      </c>
      <c r="AC506" s="236" t="e">
        <v>#N/A</v>
      </c>
      <c r="AD506" s="236">
        <v>-5.8962785186356115E-4</v>
      </c>
    </row>
    <row r="507" spans="23:30" x14ac:dyDescent="0.2">
      <c r="W507" s="144"/>
      <c r="X507" s="113" t="str">
        <f t="shared" si="23"/>
        <v>1D</v>
      </c>
      <c r="Y507" s="106">
        <f>_xll.qlCalendarAdvance(Calendar,Y506,X507,"f",FALSE)</f>
        <v>42858</v>
      </c>
      <c r="Z507" s="108">
        <f>_xll.qlCalendarAdvance(Calendar,Y507,0&amp;"D")</f>
        <v>42858</v>
      </c>
      <c r="AA507" s="109">
        <v>-5.8591298944588033E-4</v>
      </c>
      <c r="AB507" s="143">
        <f t="shared" si="24"/>
        <v>3.9968028886505635E-14</v>
      </c>
      <c r="AC507" s="236" t="e">
        <v>#N/A</v>
      </c>
      <c r="AD507" s="236">
        <v>-5.8591298948584836E-4</v>
      </c>
    </row>
    <row r="508" spans="23:30" x14ac:dyDescent="0.2">
      <c r="W508" s="144"/>
      <c r="X508" s="113" t="str">
        <f t="shared" si="23"/>
        <v>1D</v>
      </c>
      <c r="Y508" s="106">
        <f>_xll.qlCalendarAdvance(Calendar,Y507,X508,"f",FALSE)</f>
        <v>42859</v>
      </c>
      <c r="Z508" s="108">
        <f>_xll.qlCalendarAdvance(Calendar,Y508,0&amp;"D")</f>
        <v>42859</v>
      </c>
      <c r="AA508" s="109">
        <v>-5.8224643086912664E-4</v>
      </c>
      <c r="AB508" s="143">
        <f t="shared" si="24"/>
        <v>3.9968028886505635E-14</v>
      </c>
      <c r="AC508" s="236" t="e">
        <v>#N/A</v>
      </c>
      <c r="AD508" s="236">
        <v>-5.8224643090909467E-4</v>
      </c>
    </row>
    <row r="509" spans="23:30" x14ac:dyDescent="0.2">
      <c r="W509" s="144"/>
      <c r="X509" s="113" t="str">
        <f t="shared" si="23"/>
        <v>1D</v>
      </c>
      <c r="Y509" s="106">
        <f>_xll.qlCalendarAdvance(Calendar,Y508,X509,"f",FALSE)</f>
        <v>42860</v>
      </c>
      <c r="Z509" s="108">
        <f>_xll.qlCalendarAdvance(Calendar,Y509,0&amp;"D")</f>
        <v>42860</v>
      </c>
      <c r="AA509" s="109">
        <v>-5.7507340818663266E-4</v>
      </c>
      <c r="AB509" s="143">
        <f t="shared" si="24"/>
        <v>-1.3322676295501878E-14</v>
      </c>
      <c r="AC509" s="236" t="e">
        <v>#N/A</v>
      </c>
      <c r="AD509" s="236">
        <v>-5.7507340817330999E-4</v>
      </c>
    </row>
    <row r="510" spans="23:30" x14ac:dyDescent="0.2">
      <c r="W510" s="144"/>
      <c r="X510" s="113" t="str">
        <f t="shared" si="23"/>
        <v>1D</v>
      </c>
      <c r="Y510" s="106">
        <f>_xll.qlCalendarAdvance(Calendar,Y509,X510,"f",FALSE)</f>
        <v>42863</v>
      </c>
      <c r="Z510" s="108">
        <f>_xll.qlCalendarAdvance(Calendar,Y510,0&amp;"D")</f>
        <v>42863</v>
      </c>
      <c r="AA510" s="109">
        <v>-5.6806323573077577E-4</v>
      </c>
      <c r="AB510" s="143">
        <f t="shared" si="24"/>
        <v>0</v>
      </c>
      <c r="AC510" s="236" t="e">
        <v>#N/A</v>
      </c>
      <c r="AD510" s="236">
        <v>-5.6806323573077577E-4</v>
      </c>
    </row>
    <row r="511" spans="23:30" x14ac:dyDescent="0.2">
      <c r="W511" s="144"/>
      <c r="X511" s="113" t="str">
        <f t="shared" si="23"/>
        <v>1D</v>
      </c>
      <c r="Y511" s="106">
        <f>_xll.qlCalendarAdvance(Calendar,Y510,X511,"f",FALSE)</f>
        <v>42864</v>
      </c>
      <c r="Z511" s="108">
        <f>_xll.qlCalendarAdvance(Calendar,Y511,0&amp;"D")</f>
        <v>42864</v>
      </c>
      <c r="AA511" s="109">
        <v>-5.6463819659846592E-4</v>
      </c>
      <c r="AB511" s="143">
        <f t="shared" si="24"/>
        <v>-3.9968028886505635E-14</v>
      </c>
      <c r="AC511" s="236" t="e">
        <v>#N/A</v>
      </c>
      <c r="AD511" s="236">
        <v>-5.646381965584979E-4</v>
      </c>
    </row>
    <row r="512" spans="23:30" x14ac:dyDescent="0.2">
      <c r="W512" s="144"/>
      <c r="X512" s="113" t="str">
        <f t="shared" si="23"/>
        <v>1D</v>
      </c>
      <c r="Y512" s="106">
        <f>_xll.qlCalendarAdvance(Calendar,Y511,X512,"f",FALSE)</f>
        <v>42865</v>
      </c>
      <c r="Z512" s="108">
        <f>_xll.qlCalendarAdvance(Calendar,Y512,0&amp;"D")</f>
        <v>42865</v>
      </c>
      <c r="AA512" s="109">
        <v>-5.6126146138701927E-4</v>
      </c>
      <c r="AB512" s="143">
        <f t="shared" si="24"/>
        <v>3.9968028886505635E-14</v>
      </c>
      <c r="AC512" s="236" t="e">
        <v>#N/A</v>
      </c>
      <c r="AD512" s="236">
        <v>-5.612614614269873E-4</v>
      </c>
    </row>
    <row r="513" spans="23:30" x14ac:dyDescent="0.2">
      <c r="W513" s="144"/>
      <c r="X513" s="113" t="str">
        <f t="shared" si="23"/>
        <v>1D</v>
      </c>
      <c r="Y513" s="106">
        <f>_xll.qlCalendarAdvance(Calendar,Y512,X513,"f",FALSE)</f>
        <v>42866</v>
      </c>
      <c r="Z513" s="108">
        <f>_xll.qlCalendarAdvance(Calendar,Y513,0&amp;"D")</f>
        <v>42866</v>
      </c>
      <c r="AA513" s="109">
        <v>-5.579330300964358E-4</v>
      </c>
      <c r="AB513" s="143">
        <f t="shared" si="24"/>
        <v>-3.9968028886505635E-14</v>
      </c>
      <c r="AC513" s="236" t="e">
        <v>#N/A</v>
      </c>
      <c r="AD513" s="236">
        <v>-5.5793303005646777E-4</v>
      </c>
    </row>
    <row r="514" spans="23:30" x14ac:dyDescent="0.2">
      <c r="W514" s="144"/>
      <c r="X514" s="113" t="str">
        <f t="shared" si="23"/>
        <v>1D</v>
      </c>
      <c r="Y514" s="106">
        <f>_xll.qlCalendarAdvance(Calendar,Y513,X514,"f",FALSE)</f>
        <v>42867</v>
      </c>
      <c r="Z514" s="108">
        <f>_xll.qlCalendarAdvance(Calendar,Y514,0&amp;"D")</f>
        <v>42867</v>
      </c>
      <c r="AA514" s="109">
        <v>-5.5143633576726359E-4</v>
      </c>
      <c r="AB514" s="143">
        <f t="shared" si="24"/>
        <v>-1.3322676295501878E-14</v>
      </c>
      <c r="AC514" s="236" t="e">
        <v>#N/A</v>
      </c>
      <c r="AD514" s="236">
        <v>-5.5143633575394091E-4</v>
      </c>
    </row>
    <row r="515" spans="23:30" x14ac:dyDescent="0.2">
      <c r="W515" s="144"/>
      <c r="X515" s="113" t="str">
        <f t="shared" si="23"/>
        <v>1D</v>
      </c>
      <c r="Y515" s="106">
        <f>_xll.qlCalendarAdvance(Calendar,Y514,X515,"f",FALSE)</f>
        <v>42870</v>
      </c>
      <c r="Z515" s="108">
        <f>_xll.qlCalendarAdvance(Calendar,Y515,0&amp;"D")</f>
        <v>42870</v>
      </c>
      <c r="AA515" s="109">
        <v>-5.4510234370308552E-4</v>
      </c>
      <c r="AB515" s="143">
        <f t="shared" si="24"/>
        <v>3.9968028886505635E-14</v>
      </c>
      <c r="AC515" s="236" t="e">
        <v>#N/A</v>
      </c>
      <c r="AD515" s="236">
        <v>-5.4510234374305355E-4</v>
      </c>
    </row>
    <row r="516" spans="23:30" x14ac:dyDescent="0.2">
      <c r="W516" s="144"/>
      <c r="X516" s="113" t="str">
        <f t="shared" si="23"/>
        <v>1D</v>
      </c>
      <c r="Y516" s="106">
        <f>_xll.qlCalendarAdvance(Calendar,Y515,X516,"f",FALSE)</f>
        <v>42871</v>
      </c>
      <c r="Z516" s="108">
        <f>_xll.qlCalendarAdvance(Calendar,Y516,0&amp;"D")</f>
        <v>42871</v>
      </c>
      <c r="AA516" s="109">
        <v>-5.420154318569459E-4</v>
      </c>
      <c r="AB516" s="143">
        <f t="shared" si="24"/>
        <v>3.9968028886505635E-14</v>
      </c>
      <c r="AC516" s="236" t="e">
        <v>#N/A</v>
      </c>
      <c r="AD516" s="236">
        <v>-5.4201543189691392E-4</v>
      </c>
    </row>
    <row r="517" spans="23:30" x14ac:dyDescent="0.2">
      <c r="W517" s="144"/>
      <c r="X517" s="113" t="str">
        <f t="shared" si="23"/>
        <v>1D</v>
      </c>
      <c r="Y517" s="106">
        <f>_xll.qlCalendarAdvance(Calendar,Y516,X517,"f",FALSE)</f>
        <v>42872</v>
      </c>
      <c r="Z517" s="108">
        <f>_xll.qlCalendarAdvance(Calendar,Y517,0&amp;"D")</f>
        <v>42872</v>
      </c>
      <c r="AA517" s="109">
        <v>-5.3897682401160552E-4</v>
      </c>
      <c r="AB517" s="143">
        <f t="shared" si="24"/>
        <v>-3.9968028886505635E-14</v>
      </c>
      <c r="AC517" s="236" t="e">
        <v>#N/A</v>
      </c>
      <c r="AD517" s="236">
        <v>-5.3897682397163749E-4</v>
      </c>
    </row>
    <row r="518" spans="23:30" x14ac:dyDescent="0.2">
      <c r="W518" s="144"/>
      <c r="X518" s="113" t="str">
        <f t="shared" si="23"/>
        <v>1D</v>
      </c>
      <c r="Y518" s="106">
        <f>_xll.qlCalendarAdvance(Calendar,Y517,X518,"f",FALSE)</f>
        <v>42873</v>
      </c>
      <c r="Z518" s="108">
        <f>_xll.qlCalendarAdvance(Calendar,Y518,0&amp;"D")</f>
        <v>42873</v>
      </c>
      <c r="AA518" s="109">
        <v>-5.3598651992725621E-4</v>
      </c>
      <c r="AB518" s="143">
        <f t="shared" si="24"/>
        <v>0</v>
      </c>
      <c r="AC518" s="236" t="e">
        <v>#N/A</v>
      </c>
      <c r="AD518" s="236">
        <v>-5.3598651992725621E-4</v>
      </c>
    </row>
    <row r="519" spans="23:30" x14ac:dyDescent="0.2">
      <c r="W519" s="144"/>
      <c r="X519" s="113" t="str">
        <f t="shared" si="23"/>
        <v>1D</v>
      </c>
      <c r="Y519" s="106">
        <f>_xll.qlCalendarAdvance(Calendar,Y518,X519,"f",FALSE)</f>
        <v>42874</v>
      </c>
      <c r="Z519" s="108">
        <f>_xll.qlCalendarAdvance(Calendar,Y519,0&amp;"D")</f>
        <v>42874</v>
      </c>
      <c r="AA519" s="109">
        <v>-5.301661440393346E-4</v>
      </c>
      <c r="AB519" s="143">
        <f t="shared" si="24"/>
        <v>-1.3322676295501878E-14</v>
      </c>
      <c r="AC519" s="236" t="e">
        <v>#N/A</v>
      </c>
      <c r="AD519" s="236">
        <v>-5.3016614402601192E-4</v>
      </c>
    </row>
    <row r="520" spans="23:30" x14ac:dyDescent="0.2">
      <c r="W520" s="144"/>
      <c r="X520" s="113" t="str">
        <f t="shared" si="23"/>
        <v>1D</v>
      </c>
      <c r="Y520" s="106">
        <f>_xll.qlCalendarAdvance(Calendar,Y519,X520,"f",FALSE)</f>
        <v>42877</v>
      </c>
      <c r="Z520" s="108">
        <f>_xll.qlCalendarAdvance(Calendar,Y520,0&amp;"D")</f>
        <v>42877</v>
      </c>
      <c r="AA520" s="109">
        <v>-5.2450834275852287E-4</v>
      </c>
      <c r="AB520" s="143">
        <f t="shared" si="24"/>
        <v>0</v>
      </c>
      <c r="AC520" s="236" t="e">
        <v>#N/A</v>
      </c>
      <c r="AD520" s="236">
        <v>-5.2450834275852287E-4</v>
      </c>
    </row>
    <row r="521" spans="23:30" x14ac:dyDescent="0.2">
      <c r="W521" s="144"/>
      <c r="X521" s="113" t="str">
        <f t="shared" si="23"/>
        <v>1D</v>
      </c>
      <c r="Y521" s="106">
        <f>_xll.qlCalendarAdvance(Calendar,Y520,X521,"f",FALSE)</f>
        <v>42878</v>
      </c>
      <c r="Z521" s="108">
        <f>_xll.qlCalendarAdvance(Calendar,Y521,0&amp;"D")</f>
        <v>42878</v>
      </c>
      <c r="AA521" s="109">
        <v>-5.2175955807864938E-4</v>
      </c>
      <c r="AB521" s="143">
        <f t="shared" si="24"/>
        <v>7.9936057773011271E-14</v>
      </c>
      <c r="AC521" s="236" t="e">
        <v>#N/A</v>
      </c>
      <c r="AD521" s="236">
        <v>-5.2175955815858543E-4</v>
      </c>
    </row>
    <row r="522" spans="23:30" x14ac:dyDescent="0.2">
      <c r="W522" s="144"/>
      <c r="X522" s="113" t="str">
        <f t="shared" si="23"/>
        <v>1D</v>
      </c>
      <c r="Y522" s="106">
        <f>_xll.qlCalendarAdvance(Calendar,Y521,X522,"f",FALSE)</f>
        <v>42879</v>
      </c>
      <c r="Z522" s="108">
        <f>_xll.qlCalendarAdvance(Calendar,Y522,0&amp;"D")</f>
        <v>42879</v>
      </c>
      <c r="AA522" s="109">
        <v>-5.1905907759941528E-4</v>
      </c>
      <c r="AB522" s="143">
        <f t="shared" si="24"/>
        <v>-3.9968028886505635E-14</v>
      </c>
      <c r="AC522" s="236" t="e">
        <v>#N/A</v>
      </c>
      <c r="AD522" s="236">
        <v>-5.1905907755944725E-4</v>
      </c>
    </row>
    <row r="523" spans="23:30" x14ac:dyDescent="0.2">
      <c r="W523" s="144"/>
      <c r="X523" s="113" t="str">
        <f t="shared" si="23"/>
        <v>1D</v>
      </c>
      <c r="Y523" s="106">
        <f>_xll.qlCalendarAdvance(Calendar,Y522,X523,"f",FALSE)</f>
        <v>42880</v>
      </c>
      <c r="Z523" s="108">
        <f>_xll.qlCalendarAdvance(Calendar,Y523,0&amp;"D")</f>
        <v>42880</v>
      </c>
      <c r="AA523" s="109">
        <v>-5.1640690080123619E-4</v>
      </c>
      <c r="AB523" s="143">
        <f t="shared" si="24"/>
        <v>0</v>
      </c>
      <c r="AC523" s="236" t="e">
        <v>#N/A</v>
      </c>
      <c r="AD523" s="236">
        <v>-5.1640690080123619E-4</v>
      </c>
    </row>
    <row r="524" spans="23:30" x14ac:dyDescent="0.2">
      <c r="W524" s="144"/>
      <c r="X524" s="113" t="str">
        <f t="shared" si="23"/>
        <v>1D</v>
      </c>
      <c r="Y524" s="106">
        <f>_xll.qlCalendarAdvance(Calendar,Y523,X524,"f",FALSE)</f>
        <v>42881</v>
      </c>
      <c r="Z524" s="108">
        <f>_xll.qlCalendarAdvance(Calendar,Y524,0&amp;"D")</f>
        <v>42881</v>
      </c>
      <c r="AA524" s="109">
        <v>-5.1126283432179065E-4</v>
      </c>
      <c r="AB524" s="143">
        <f t="shared" si="24"/>
        <v>1.3322676295501878E-14</v>
      </c>
      <c r="AC524" s="236" t="e">
        <v>#N/A</v>
      </c>
      <c r="AD524" s="236">
        <v>-5.1126283433511333E-4</v>
      </c>
    </row>
    <row r="525" spans="23:30" x14ac:dyDescent="0.2">
      <c r="W525" s="144"/>
      <c r="X525" s="113" t="str">
        <f t="shared" ref="X525:X588" si="25">X524</f>
        <v>1D</v>
      </c>
      <c r="Y525" s="106">
        <f>_xll.qlCalendarAdvance(Calendar,Y524,X525,"f",FALSE)</f>
        <v>42884</v>
      </c>
      <c r="Z525" s="108">
        <f>_xll.qlCalendarAdvance(Calendar,Y525,0&amp;"D")</f>
        <v>42884</v>
      </c>
      <c r="AA525" s="109">
        <v>-5.0628123301699191E-4</v>
      </c>
      <c r="AB525" s="143">
        <f t="shared" si="24"/>
        <v>0</v>
      </c>
      <c r="AC525" s="236" t="e">
        <v>#N/A</v>
      </c>
      <c r="AD525" s="236">
        <v>-5.0628123301699191E-4</v>
      </c>
    </row>
    <row r="526" spans="23:30" x14ac:dyDescent="0.2">
      <c r="W526" s="144"/>
      <c r="X526" s="113" t="str">
        <f t="shared" si="25"/>
        <v>1D</v>
      </c>
      <c r="Y526" s="106">
        <f>_xll.qlCalendarAdvance(Calendar,Y525,X526,"f",FALSE)</f>
        <v>42885</v>
      </c>
      <c r="Z526" s="108">
        <f>_xll.qlCalendarAdvance(Calendar,Y526,0&amp;"D")</f>
        <v>42885</v>
      </c>
      <c r="AA526" s="109">
        <v>-5.0387057574319272E-4</v>
      </c>
      <c r="AB526" s="143">
        <f t="shared" si="24"/>
        <v>3.9968028886505635E-14</v>
      </c>
      <c r="AC526" s="236" t="e">
        <v>#N/A</v>
      </c>
      <c r="AD526" s="236">
        <v>-5.0387057578316075E-4</v>
      </c>
    </row>
    <row r="527" spans="23:30" x14ac:dyDescent="0.2">
      <c r="W527" s="144"/>
      <c r="X527" s="113" t="str">
        <f t="shared" si="25"/>
        <v>1D</v>
      </c>
      <c r="Y527" s="106">
        <f>_xll.qlCalendarAdvance(Calendar,Y526,X527,"f",FALSE)</f>
        <v>42886</v>
      </c>
      <c r="Z527" s="108">
        <f>_xll.qlCalendarAdvance(Calendar,Y527,0&amp;"D")</f>
        <v>42886</v>
      </c>
      <c r="AA527" s="109">
        <v>-5.0150822259009686E-4</v>
      </c>
      <c r="AB527" s="143">
        <f t="shared" si="24"/>
        <v>-3.9968028886505635E-14</v>
      </c>
      <c r="AC527" s="236" t="e">
        <v>#N/A</v>
      </c>
      <c r="AD527" s="236">
        <v>-5.0150822255012883E-4</v>
      </c>
    </row>
    <row r="528" spans="23:30" x14ac:dyDescent="0.2">
      <c r="W528" s="144"/>
      <c r="X528" s="113" t="str">
        <f t="shared" si="25"/>
        <v>1D</v>
      </c>
      <c r="Y528" s="106">
        <f>_xll.qlCalendarAdvance(Calendar,Y527,X528,"f",FALSE)</f>
        <v>42887</v>
      </c>
      <c r="Z528" s="108">
        <f>_xll.qlCalendarAdvance(Calendar,Y528,0&amp;"D")</f>
        <v>42887</v>
      </c>
      <c r="AA528" s="109">
        <v>-4.9918365281342858E-4</v>
      </c>
      <c r="AB528" s="143">
        <f t="shared" si="24"/>
        <v>0</v>
      </c>
      <c r="AC528" s="236" t="e">
        <v>#N/A</v>
      </c>
      <c r="AD528" s="236">
        <v>-4.9918365281342858E-4</v>
      </c>
    </row>
    <row r="529" spans="23:30" x14ac:dyDescent="0.2">
      <c r="W529" s="144"/>
      <c r="X529" s="113" t="s">
        <v>111</v>
      </c>
      <c r="Y529" s="106">
        <f>_xll.qlCalendarAdvance(Calendar,Y528,X529,"f",FALSE)</f>
        <v>42894</v>
      </c>
      <c r="Z529" s="108">
        <f>_xll.qlCalendarAdvance(Calendar,Y529,0&amp;"D")</f>
        <v>42894</v>
      </c>
      <c r="AA529" s="109">
        <v>-4.8257038193444401E-4</v>
      </c>
      <c r="AB529" s="143">
        <f t="shared" si="24"/>
        <v>7.9936057773011271E-14</v>
      </c>
      <c r="AC529" s="236" t="e">
        <v>#N/A</v>
      </c>
      <c r="AD529" s="236">
        <v>-4.8257038201438007E-4</v>
      </c>
    </row>
    <row r="530" spans="23:30" x14ac:dyDescent="0.2">
      <c r="W530" s="144"/>
      <c r="X530" s="113" t="str">
        <f t="shared" si="25"/>
        <v>1w</v>
      </c>
      <c r="Y530" s="106">
        <f>_xll.qlCalendarAdvance(Calendar,Y529,X530,"f",FALSE)</f>
        <v>42901</v>
      </c>
      <c r="Z530" s="108">
        <f>_xll.qlCalendarAdvance(Calendar,Y530,0&amp;"D")</f>
        <v>42901</v>
      </c>
      <c r="AA530" s="109">
        <v>-4.6523099201056795E-4</v>
      </c>
      <c r="AB530" s="143">
        <f t="shared" si="24"/>
        <v>-3.9968028886505635E-14</v>
      </c>
      <c r="AC530" s="236" t="e">
        <v>#N/A</v>
      </c>
      <c r="AD530" s="236">
        <v>-4.6523099197059992E-4</v>
      </c>
    </row>
    <row r="531" spans="23:30" x14ac:dyDescent="0.2">
      <c r="W531" s="144"/>
      <c r="X531" s="113" t="str">
        <f t="shared" si="25"/>
        <v>1w</v>
      </c>
      <c r="Y531" s="106">
        <f>_xll.qlCalendarAdvance(Calendar,Y530,X531,"f",FALSE)</f>
        <v>42908</v>
      </c>
      <c r="Z531" s="108">
        <f>_xll.qlCalendarAdvance(Calendar,Y531,0&amp;"D")</f>
        <v>42908</v>
      </c>
      <c r="AA531" s="109">
        <v>-4.4716548256218402E-4</v>
      </c>
      <c r="AB531" s="143">
        <f t="shared" si="24"/>
        <v>7.9936057773011271E-14</v>
      </c>
      <c r="AC531" s="236" t="e">
        <v>#N/A</v>
      </c>
      <c r="AD531" s="236">
        <v>-4.4716548264212008E-4</v>
      </c>
    </row>
    <row r="532" spans="23:30" x14ac:dyDescent="0.2">
      <c r="W532" s="144"/>
      <c r="X532" s="113" t="str">
        <f t="shared" si="25"/>
        <v>1w</v>
      </c>
      <c r="Y532" s="106">
        <f>_xll.qlCalendarAdvance(Calendar,Y531,X532,"f",FALSE)</f>
        <v>42915</v>
      </c>
      <c r="Z532" s="108">
        <f>_xll.qlCalendarAdvance(Calendar,Y532,0&amp;"D")</f>
        <v>42915</v>
      </c>
      <c r="AA532" s="109">
        <v>-4.2837385350935619E-4</v>
      </c>
      <c r="AB532" s="143">
        <f t="shared" si="24"/>
        <v>7.9936057773011271E-14</v>
      </c>
      <c r="AC532" s="236" t="e">
        <v>#N/A</v>
      </c>
      <c r="AD532" s="236">
        <v>-4.2837385358929225E-4</v>
      </c>
    </row>
    <row r="533" spans="23:30" x14ac:dyDescent="0.2">
      <c r="W533" s="144"/>
      <c r="X533" s="113" t="str">
        <f t="shared" si="25"/>
        <v>1w</v>
      </c>
      <c r="Y533" s="106">
        <f>_xll.qlCalendarAdvance(Calendar,Y532,X533,"f",FALSE)</f>
        <v>42922</v>
      </c>
      <c r="Z533" s="108">
        <f>_xll.qlCalendarAdvance(Calendar,Y533,0&amp;"D")</f>
        <v>42922</v>
      </c>
      <c r="AA533" s="109">
        <v>-4.0885610501195657E-4</v>
      </c>
      <c r="AB533" s="143">
        <f t="shared" ref="AB533:AB596" si="26">AA533-AD533</f>
        <v>3.9968028886505635E-14</v>
      </c>
      <c r="AC533" s="236" t="e">
        <v>#N/A</v>
      </c>
      <c r="AD533" s="236">
        <v>-4.088561050519246E-4</v>
      </c>
    </row>
    <row r="534" spans="23:30" x14ac:dyDescent="0.2">
      <c r="W534" s="144"/>
      <c r="X534" s="113" t="str">
        <f t="shared" si="25"/>
        <v>1w</v>
      </c>
      <c r="Y534" s="106">
        <f>_xll.qlCalendarAdvance(Calendar,Y533,X534,"f",FALSE)</f>
        <v>42929</v>
      </c>
      <c r="Z534" s="108">
        <f>_xll.qlCalendarAdvance(Calendar,Y534,0&amp;"D")</f>
        <v>42929</v>
      </c>
      <c r="AA534" s="109">
        <v>-3.886122367102729E-4</v>
      </c>
      <c r="AB534" s="143">
        <f t="shared" si="26"/>
        <v>0</v>
      </c>
      <c r="AC534" s="236" t="e">
        <v>#N/A</v>
      </c>
      <c r="AD534" s="236">
        <v>-3.886122367102729E-4</v>
      </c>
    </row>
    <row r="535" spans="23:30" x14ac:dyDescent="0.2">
      <c r="W535" s="144"/>
      <c r="X535" s="113" t="str">
        <f t="shared" si="25"/>
        <v>1w</v>
      </c>
      <c r="Y535" s="106">
        <f>_xll.qlCalendarAdvance(Calendar,Y534,X535,"f",FALSE)</f>
        <v>42936</v>
      </c>
      <c r="Z535" s="108">
        <f>_xll.qlCalendarAdvance(Calendar,Y535,0&amp;"D")</f>
        <v>42936</v>
      </c>
      <c r="AA535" s="109">
        <v>-3.6764224840446502E-4</v>
      </c>
      <c r="AB535" s="143">
        <f t="shared" si="26"/>
        <v>0</v>
      </c>
      <c r="AC535" s="236" t="e">
        <v>#N/A</v>
      </c>
      <c r="AD535" s="236">
        <v>-3.6764224840446502E-4</v>
      </c>
    </row>
    <row r="536" spans="23:30" x14ac:dyDescent="0.2">
      <c r="W536" s="144"/>
      <c r="X536" s="113" t="str">
        <f t="shared" si="25"/>
        <v>1w</v>
      </c>
      <c r="Y536" s="106">
        <f>_xll.qlCalendarAdvance(Calendar,Y535,X536,"f",FALSE)</f>
        <v>42943</v>
      </c>
      <c r="Z536" s="108">
        <f>_xll.qlCalendarAdvance(Calendar,Y536,0&amp;"D")</f>
        <v>42943</v>
      </c>
      <c r="AA536" s="109">
        <v>-3.4594614029437309E-4</v>
      </c>
      <c r="AB536" s="143">
        <f t="shared" si="26"/>
        <v>0</v>
      </c>
      <c r="AC536" s="236" t="e">
        <v>#N/A</v>
      </c>
      <c r="AD536" s="236">
        <v>-3.4594614029437309E-4</v>
      </c>
    </row>
    <row r="537" spans="23:30" x14ac:dyDescent="0.2">
      <c r="W537" s="144"/>
      <c r="X537" s="113" t="str">
        <f t="shared" si="25"/>
        <v>1w</v>
      </c>
      <c r="Y537" s="106">
        <f>_xll.qlCalendarAdvance(Calendar,Y536,X537,"f",FALSE)</f>
        <v>42950</v>
      </c>
      <c r="Z537" s="108">
        <f>_xll.qlCalendarAdvance(Calendar,Y537,0&amp;"D")</f>
        <v>42950</v>
      </c>
      <c r="AA537" s="109">
        <v>-3.2352391186041274E-4</v>
      </c>
      <c r="AB537" s="143">
        <f t="shared" si="26"/>
        <v>7.9936057773011271E-14</v>
      </c>
      <c r="AC537" s="236" t="e">
        <v>#N/A</v>
      </c>
      <c r="AD537" s="236">
        <v>-3.235239119403488E-4</v>
      </c>
    </row>
    <row r="538" spans="23:30" x14ac:dyDescent="0.2">
      <c r="W538" s="144"/>
      <c r="X538" s="113" t="str">
        <f t="shared" si="25"/>
        <v>1w</v>
      </c>
      <c r="Y538" s="106">
        <f>_xll.qlCalendarAdvance(Calendar,Y537,X538,"f",FALSE)</f>
        <v>42957</v>
      </c>
      <c r="Z538" s="108">
        <f>_xll.qlCalendarAdvance(Calendar,Y538,0&amp;"D")</f>
        <v>42957</v>
      </c>
      <c r="AA538" s="109">
        <v>-3.0037556338236016E-4</v>
      </c>
      <c r="AB538" s="143">
        <f t="shared" si="26"/>
        <v>3.9968028886505635E-14</v>
      </c>
      <c r="AC538" s="236" t="e">
        <v>#N/A</v>
      </c>
      <c r="AD538" s="236">
        <v>-3.0037556342232818E-4</v>
      </c>
    </row>
    <row r="539" spans="23:30" x14ac:dyDescent="0.2">
      <c r="W539" s="144"/>
      <c r="X539" s="113" t="str">
        <f t="shared" si="25"/>
        <v>1w</v>
      </c>
      <c r="Y539" s="106">
        <f>_xll.qlCalendarAdvance(Calendar,Y538,X539,"f",FALSE)</f>
        <v>42964</v>
      </c>
      <c r="Z539" s="108">
        <f>_xll.qlCalendarAdvance(Calendar,Y539,0&amp;"D")</f>
        <v>42964</v>
      </c>
      <c r="AA539" s="109">
        <v>-2.7650109442056703E-4</v>
      </c>
      <c r="AB539" s="143">
        <f t="shared" si="26"/>
        <v>-3.9968028886505635E-14</v>
      </c>
      <c r="AC539" s="236" t="e">
        <v>#N/A</v>
      </c>
      <c r="AD539" s="236">
        <v>-2.76501094380599E-4</v>
      </c>
    </row>
    <row r="540" spans="23:30" x14ac:dyDescent="0.2">
      <c r="W540" s="144"/>
      <c r="X540" s="113" t="str">
        <f t="shared" si="25"/>
        <v>1w</v>
      </c>
      <c r="Y540" s="106">
        <f>_xll.qlCalendarAdvance(Calendar,Y539,X540,"f",FALSE)</f>
        <v>42971</v>
      </c>
      <c r="Z540" s="108">
        <f>_xll.qlCalendarAdvance(Calendar,Y540,0&amp;"D")</f>
        <v>42971</v>
      </c>
      <c r="AA540" s="109">
        <v>-2.519005048950973E-4</v>
      </c>
      <c r="AB540" s="143">
        <f t="shared" si="26"/>
        <v>0</v>
      </c>
      <c r="AC540" s="236" t="e">
        <v>#N/A</v>
      </c>
      <c r="AD540" s="236">
        <v>-2.519005048950973E-4</v>
      </c>
    </row>
    <row r="541" spans="23:30" x14ac:dyDescent="0.2">
      <c r="W541" s="144"/>
      <c r="X541" s="113" t="str">
        <f t="shared" si="25"/>
        <v>1w</v>
      </c>
      <c r="Y541" s="106">
        <f>_xll.qlCalendarAdvance(Calendar,Y540,X541,"f",FALSE)</f>
        <v>42978</v>
      </c>
      <c r="Z541" s="108">
        <f>_xll.qlCalendarAdvance(Calendar,Y541,0&amp;"D")</f>
        <v>42978</v>
      </c>
      <c r="AA541" s="109">
        <v>-2.2657379460611082E-4</v>
      </c>
      <c r="AB541" s="143">
        <f t="shared" si="26"/>
        <v>7.9936057773011271E-14</v>
      </c>
      <c r="AC541" s="236" t="e">
        <v>#N/A</v>
      </c>
      <c r="AD541" s="236">
        <v>-2.2657379468604688E-4</v>
      </c>
    </row>
    <row r="542" spans="23:30" x14ac:dyDescent="0.2">
      <c r="W542" s="144"/>
      <c r="X542" s="113" t="str">
        <f t="shared" si="25"/>
        <v>1w</v>
      </c>
      <c r="Y542" s="106">
        <f>_xll.qlCalendarAdvance(Calendar,Y541,X542,"f",FALSE)</f>
        <v>42985</v>
      </c>
      <c r="Z542" s="108">
        <f>_xll.qlCalendarAdvance(Calendar,Y542,0&amp;"D")</f>
        <v>42985</v>
      </c>
      <c r="AA542" s="109">
        <v>-2.0052096359357563E-4</v>
      </c>
      <c r="AB542" s="143">
        <f t="shared" si="26"/>
        <v>-7.9936057773011271E-14</v>
      </c>
      <c r="AC542" s="236" t="e">
        <v>#N/A</v>
      </c>
      <c r="AD542" s="236">
        <v>-2.0052096351363957E-4</v>
      </c>
    </row>
    <row r="543" spans="23:30" x14ac:dyDescent="0.2">
      <c r="W543" s="144"/>
      <c r="X543" s="113" t="str">
        <f t="shared" si="25"/>
        <v>1w</v>
      </c>
      <c r="Y543" s="106">
        <f>_xll.qlCalendarAdvance(Calendar,Y542,X543,"f",FALSE)</f>
        <v>42992</v>
      </c>
      <c r="Z543" s="108">
        <f>_xll.qlCalendarAdvance(Calendar,Y543,0&amp;"D")</f>
        <v>42992</v>
      </c>
      <c r="AA543" s="109">
        <v>-1.7374201149777946E-4</v>
      </c>
      <c r="AB543" s="143">
        <f t="shared" si="26"/>
        <v>-3.9968028886505635E-14</v>
      </c>
      <c r="AC543" s="236" t="e">
        <v>#N/A</v>
      </c>
      <c r="AD543" s="236">
        <v>-1.7374201145781143E-4</v>
      </c>
    </row>
    <row r="544" spans="23:30" x14ac:dyDescent="0.2">
      <c r="W544" s="144"/>
      <c r="X544" s="113" t="str">
        <f t="shared" si="25"/>
        <v>1w</v>
      </c>
      <c r="Y544" s="106">
        <f>_xll.qlCalendarAdvance(Calendar,Y543,X544,"f",FALSE)</f>
        <v>42999</v>
      </c>
      <c r="Z544" s="108">
        <f>_xll.qlCalendarAdvance(Calendar,Y544,0&amp;"D")</f>
        <v>42999</v>
      </c>
      <c r="AA544" s="109">
        <v>-1.4623693811888216E-4</v>
      </c>
      <c r="AB544" s="143">
        <f t="shared" si="26"/>
        <v>7.9936057773011271E-14</v>
      </c>
      <c r="AC544" s="236" t="e">
        <v>#N/A</v>
      </c>
      <c r="AD544" s="236">
        <v>-1.4623693819881822E-4</v>
      </c>
    </row>
    <row r="545" spans="23:30" x14ac:dyDescent="0.2">
      <c r="W545" s="144"/>
      <c r="X545" s="113" t="str">
        <f t="shared" si="25"/>
        <v>1w</v>
      </c>
      <c r="Y545" s="106">
        <f>_xll.qlCalendarAdvance(Calendar,Y544,X545,"f",FALSE)</f>
        <v>43006</v>
      </c>
      <c r="Z545" s="108">
        <f>_xll.qlCalendarAdvance(Calendar,Y545,0&amp;"D")</f>
        <v>43006</v>
      </c>
      <c r="AA545" s="109">
        <v>-1.1800574357678784E-4</v>
      </c>
      <c r="AB545" s="143">
        <f t="shared" si="26"/>
        <v>0</v>
      </c>
      <c r="AC545" s="236" t="e">
        <v>#N/A</v>
      </c>
      <c r="AD545" s="236">
        <v>-1.1800574357678784E-4</v>
      </c>
    </row>
    <row r="546" spans="23:30" x14ac:dyDescent="0.2">
      <c r="W546" s="144"/>
      <c r="X546" s="113" t="str">
        <f t="shared" si="25"/>
        <v>1w</v>
      </c>
      <c r="Y546" s="106">
        <f>_xll.qlCalendarAdvance(Calendar,Y545,X546,"f",FALSE)</f>
        <v>43013</v>
      </c>
      <c r="Z546" s="108">
        <f>_xll.qlCalendarAdvance(Calendar,Y546,0&amp;"D")</f>
        <v>43013</v>
      </c>
      <c r="AA546" s="109">
        <v>-8.9048427471816183E-5</v>
      </c>
      <c r="AB546" s="143">
        <f t="shared" si="26"/>
        <v>-3.9968028886505635E-14</v>
      </c>
      <c r="AC546" s="236" t="e">
        <v>#N/A</v>
      </c>
      <c r="AD546" s="236">
        <v>-8.9048427431848154E-5</v>
      </c>
    </row>
    <row r="547" spans="23:30" x14ac:dyDescent="0.2">
      <c r="W547" s="144"/>
      <c r="X547" s="113" t="str">
        <f t="shared" si="25"/>
        <v>1w</v>
      </c>
      <c r="Y547" s="106">
        <f>_xll.qlCalendarAdvance(Calendar,Y546,X547,"f",FALSE)</f>
        <v>43020</v>
      </c>
      <c r="Z547" s="108">
        <f>_xll.qlCalendarAdvance(Calendar,Y547,0&amp;"D")</f>
        <v>43020</v>
      </c>
      <c r="AA547" s="109">
        <v>-5.9364989604127061E-5</v>
      </c>
      <c r="AB547" s="143">
        <f t="shared" si="26"/>
        <v>7.9936057773011271E-14</v>
      </c>
      <c r="AC547" s="236" t="e">
        <v>#N/A</v>
      </c>
      <c r="AD547" s="236">
        <v>-5.9364989684063119E-5</v>
      </c>
    </row>
    <row r="548" spans="23:30" x14ac:dyDescent="0.2">
      <c r="W548" s="144"/>
      <c r="X548" s="113" t="str">
        <f t="shared" si="25"/>
        <v>1w</v>
      </c>
      <c r="Y548" s="106">
        <f>_xll.qlCalendarAdvance(Calendar,Y547,X548,"f",FALSE)</f>
        <v>43027</v>
      </c>
      <c r="Z548" s="108">
        <f>_xll.qlCalendarAdvance(Calendar,Y548,0&amp;"D")</f>
        <v>43027</v>
      </c>
      <c r="AA548" s="109">
        <v>-2.8955429933752441E-5</v>
      </c>
      <c r="AB548" s="143">
        <f t="shared" si="26"/>
        <v>3.9968028886505635E-14</v>
      </c>
      <c r="AC548" s="236" t="e">
        <v>#N/A</v>
      </c>
      <c r="AD548" s="236">
        <v>-2.895542997372047E-5</v>
      </c>
    </row>
    <row r="549" spans="23:30" x14ac:dyDescent="0.2">
      <c r="W549" s="144"/>
      <c r="X549" s="113" t="str">
        <f t="shared" si="25"/>
        <v>1w</v>
      </c>
      <c r="Y549" s="106">
        <f>_xll.qlCalendarAdvance(Calendar,Y548,X549,"f",FALSE)</f>
        <v>43034</v>
      </c>
      <c r="Z549" s="108">
        <f>_xll.qlCalendarAdvance(Calendar,Y549,0&amp;"D")</f>
        <v>43034</v>
      </c>
      <c r="AA549" s="109">
        <v>2.1802516592117627E-6</v>
      </c>
      <c r="AB549" s="143">
        <f t="shared" si="26"/>
        <v>0</v>
      </c>
      <c r="AC549" s="236" t="e">
        <v>#N/A</v>
      </c>
      <c r="AD549" s="236">
        <v>2.1802516592117627E-6</v>
      </c>
    </row>
    <row r="550" spans="23:30" x14ac:dyDescent="0.2">
      <c r="W550" s="144"/>
      <c r="X550" s="113" t="str">
        <f t="shared" si="25"/>
        <v>1w</v>
      </c>
      <c r="Y550" s="106">
        <f>_xll.qlCalendarAdvance(Calendar,Y549,X550,"f",FALSE)</f>
        <v>43041</v>
      </c>
      <c r="Z550" s="108">
        <f>_xll.qlCalendarAdvance(Calendar,Y550,0&amp;"D")</f>
        <v>43041</v>
      </c>
      <c r="AA550" s="109">
        <v>3.404205557444584E-5</v>
      </c>
      <c r="AB550" s="143">
        <f t="shared" si="26"/>
        <v>0</v>
      </c>
      <c r="AC550" s="236" t="e">
        <v>#N/A</v>
      </c>
      <c r="AD550" s="236">
        <v>3.404205557444584E-5</v>
      </c>
    </row>
    <row r="551" spans="23:30" x14ac:dyDescent="0.2">
      <c r="W551" s="144"/>
      <c r="X551" s="113" t="str">
        <f t="shared" si="25"/>
        <v>1w</v>
      </c>
      <c r="Y551" s="106">
        <f>_xll.qlCalendarAdvance(Calendar,Y550,X551,"f",FALSE)</f>
        <v>43048</v>
      </c>
      <c r="Z551" s="108">
        <f>_xll.qlCalendarAdvance(Calendar,Y551,0&amp;"D")</f>
        <v>43048</v>
      </c>
      <c r="AA551" s="109">
        <v>6.662998217166205E-5</v>
      </c>
      <c r="AB551" s="143">
        <f t="shared" si="26"/>
        <v>0</v>
      </c>
      <c r="AC551" s="236" t="e">
        <v>#N/A</v>
      </c>
      <c r="AD551" s="236">
        <v>6.662998217166205E-5</v>
      </c>
    </row>
    <row r="552" spans="23:30" x14ac:dyDescent="0.2">
      <c r="W552" s="144"/>
      <c r="X552" s="113" t="str">
        <f t="shared" si="25"/>
        <v>1w</v>
      </c>
      <c r="Y552" s="106">
        <f>_xll.qlCalendarAdvance(Calendar,Y551,X552,"f",FALSE)</f>
        <v>43055</v>
      </c>
      <c r="Z552" s="108">
        <f>_xll.qlCalendarAdvance(Calendar,Y552,0&amp;"D")</f>
        <v>43055</v>
      </c>
      <c r="AA552" s="109">
        <v>9.9944030971244047E-5</v>
      </c>
      <c r="AB552" s="143">
        <f t="shared" si="26"/>
        <v>0</v>
      </c>
      <c r="AC552" s="236" t="e">
        <v>#N/A</v>
      </c>
      <c r="AD552" s="236">
        <v>9.9944030971244047E-5</v>
      </c>
    </row>
    <row r="553" spans="23:30" x14ac:dyDescent="0.2">
      <c r="W553" s="144"/>
      <c r="X553" s="113" t="str">
        <f t="shared" si="25"/>
        <v>1w</v>
      </c>
      <c r="Y553" s="106">
        <f>_xll.qlCalendarAdvance(Calendar,Y552,X553,"f",FALSE)</f>
        <v>43062</v>
      </c>
      <c r="Z553" s="108">
        <f>_xll.qlCalendarAdvance(Calendar,Y553,0&amp;"D")</f>
        <v>43062</v>
      </c>
      <c r="AA553" s="109">
        <v>1.3398420277255241E-4</v>
      </c>
      <c r="AB553" s="143">
        <f t="shared" si="26"/>
        <v>0</v>
      </c>
      <c r="AC553" s="236" t="e">
        <v>#N/A</v>
      </c>
      <c r="AD553" s="236">
        <v>1.3398420277255241E-4</v>
      </c>
    </row>
    <row r="554" spans="23:30" x14ac:dyDescent="0.2">
      <c r="W554" s="144"/>
      <c r="X554" s="113" t="str">
        <f t="shared" si="25"/>
        <v>1w</v>
      </c>
      <c r="Y554" s="106">
        <f>_xll.qlCalendarAdvance(Calendar,Y553,X554,"f",FALSE)</f>
        <v>43069</v>
      </c>
      <c r="Z554" s="108">
        <f>_xll.qlCalendarAdvance(Calendar,Y554,0&amp;"D")</f>
        <v>43069</v>
      </c>
      <c r="AA554" s="109">
        <v>1.6875049749565108E-4</v>
      </c>
      <c r="AB554" s="143">
        <f t="shared" si="26"/>
        <v>-7.9936057773011271E-14</v>
      </c>
      <c r="AC554" s="236" t="e">
        <v>#N/A</v>
      </c>
      <c r="AD554" s="236">
        <v>1.6875049757558713E-4</v>
      </c>
    </row>
    <row r="555" spans="23:30" x14ac:dyDescent="0.2">
      <c r="W555" s="144"/>
      <c r="X555" s="113" t="str">
        <f t="shared" si="25"/>
        <v>1w</v>
      </c>
      <c r="Y555" s="106">
        <f>_xll.qlCalendarAdvance(Calendar,Y554,X555,"f",FALSE)</f>
        <v>43076</v>
      </c>
      <c r="Z555" s="108">
        <f>_xll.qlCalendarAdvance(Calendar,Y555,0&amp;"D")</f>
        <v>43076</v>
      </c>
      <c r="AA555" s="109">
        <v>2.0424291570009245E-4</v>
      </c>
      <c r="AB555" s="143">
        <f t="shared" si="26"/>
        <v>0</v>
      </c>
      <c r="AC555" s="236" t="e">
        <v>#N/A</v>
      </c>
      <c r="AD555" s="236">
        <v>2.0424291570009245E-4</v>
      </c>
    </row>
    <row r="556" spans="23:30" x14ac:dyDescent="0.2">
      <c r="W556" s="144"/>
      <c r="X556" s="113" t="str">
        <f t="shared" si="25"/>
        <v>1w</v>
      </c>
      <c r="Y556" s="106">
        <f>_xll.qlCalendarAdvance(Calendar,Y555,X556,"f",FALSE)</f>
        <v>43083</v>
      </c>
      <c r="Z556" s="108">
        <f>_xll.qlCalendarAdvance(Calendar,Y556,0&amp;"D")</f>
        <v>43083</v>
      </c>
      <c r="AA556" s="109">
        <v>2.4046145738587654E-4</v>
      </c>
      <c r="AB556" s="143">
        <f t="shared" si="26"/>
        <v>0</v>
      </c>
      <c r="AC556" s="236" t="e">
        <v>#N/A</v>
      </c>
      <c r="AD556" s="236">
        <v>2.4046145738587654E-4</v>
      </c>
    </row>
    <row r="557" spans="23:30" x14ac:dyDescent="0.2">
      <c r="W557" s="144"/>
      <c r="X557" s="113" t="str">
        <f t="shared" si="25"/>
        <v>1w</v>
      </c>
      <c r="Y557" s="106">
        <f>_xll.qlCalendarAdvance(Calendar,Y556,X557,"f",FALSE)</f>
        <v>43090</v>
      </c>
      <c r="Z557" s="108">
        <f>_xll.qlCalendarAdvance(Calendar,Y557,0&amp;"D")</f>
        <v>43090</v>
      </c>
      <c r="AA557" s="109">
        <v>2.7740612247306728E-4</v>
      </c>
      <c r="AB557" s="143">
        <f t="shared" si="26"/>
        <v>0</v>
      </c>
      <c r="AC557" s="236" t="e">
        <v>#N/A</v>
      </c>
      <c r="AD557" s="236">
        <v>2.7740612247306728E-4</v>
      </c>
    </row>
    <row r="558" spans="23:30" x14ac:dyDescent="0.2">
      <c r="W558" s="144"/>
      <c r="X558" s="113" t="str">
        <f t="shared" si="25"/>
        <v>1w</v>
      </c>
      <c r="Y558" s="106">
        <f>_xll.qlCalendarAdvance(Calendar,Y557,X558,"f",FALSE)</f>
        <v>43097</v>
      </c>
      <c r="Z558" s="108">
        <f>_xll.qlCalendarAdvance(Calendar,Y558,0&amp;"D")</f>
        <v>43097</v>
      </c>
      <c r="AA558" s="109">
        <v>3.150769116810892E-4</v>
      </c>
      <c r="AB558" s="143">
        <f t="shared" si="26"/>
        <v>0</v>
      </c>
      <c r="AC558" s="236" t="e">
        <v>#N/A</v>
      </c>
      <c r="AD558" s="236">
        <v>3.150769116810892E-4</v>
      </c>
    </row>
    <row r="559" spans="23:30" x14ac:dyDescent="0.2">
      <c r="W559" s="144"/>
      <c r="X559" s="113" t="str">
        <f t="shared" si="25"/>
        <v>1w</v>
      </c>
      <c r="Y559" s="106">
        <f>_xll.qlCalendarAdvance(Calendar,Y558,X559,"f",FALSE)</f>
        <v>43104</v>
      </c>
      <c r="Z559" s="108">
        <f>_xll.qlCalendarAdvance(Calendar,Y559,0&amp;"D")</f>
        <v>43104</v>
      </c>
      <c r="AA559" s="109">
        <v>3.5347382477013412E-4</v>
      </c>
      <c r="AB559" s="143">
        <f t="shared" si="26"/>
        <v>-7.9936057773011271E-14</v>
      </c>
      <c r="AC559" s="236" t="e">
        <v>#N/A</v>
      </c>
      <c r="AD559" s="236">
        <v>3.5347382485007017E-4</v>
      </c>
    </row>
    <row r="560" spans="23:30" x14ac:dyDescent="0.2">
      <c r="W560" s="144"/>
      <c r="X560" s="113" t="str">
        <f t="shared" si="25"/>
        <v>1w</v>
      </c>
      <c r="Y560" s="106">
        <f>_xll.qlCalendarAdvance(Calendar,Y559,X560,"f",FALSE)</f>
        <v>43111</v>
      </c>
      <c r="Z560" s="108">
        <f>_xll.qlCalendarAdvance(Calendar,Y560,0&amp;"D")</f>
        <v>43111</v>
      </c>
      <c r="AA560" s="109">
        <v>3.9259686253956261E-4</v>
      </c>
      <c r="AB560" s="143">
        <f t="shared" si="26"/>
        <v>7.9936057773011271E-14</v>
      </c>
      <c r="AC560" s="236" t="e">
        <v>#N/A</v>
      </c>
      <c r="AD560" s="236">
        <v>3.9259686245962655E-4</v>
      </c>
    </row>
    <row r="561" spans="23:30" x14ac:dyDescent="0.2">
      <c r="W561" s="144"/>
      <c r="X561" s="113" t="str">
        <f t="shared" si="25"/>
        <v>1w</v>
      </c>
      <c r="Y561" s="106">
        <f>_xll.qlCalendarAdvance(Calendar,Y560,X561,"f",FALSE)</f>
        <v>43118</v>
      </c>
      <c r="Z561" s="108">
        <f>_xll.qlCalendarAdvance(Calendar,Y561,0&amp;"D")</f>
        <v>43118</v>
      </c>
      <c r="AA561" s="109">
        <v>4.3244602466963045E-4</v>
      </c>
      <c r="AB561" s="143">
        <f t="shared" si="26"/>
        <v>0</v>
      </c>
      <c r="AC561" s="236" t="e">
        <v>#N/A</v>
      </c>
      <c r="AD561" s="236">
        <v>4.3244602466963045E-4</v>
      </c>
    </row>
    <row r="562" spans="23:30" x14ac:dyDescent="0.2">
      <c r="W562" s="144"/>
      <c r="X562" s="113" t="str">
        <f t="shared" si="25"/>
        <v>1w</v>
      </c>
      <c r="Y562" s="106">
        <f>_xll.qlCalendarAdvance(Calendar,Y561,X562,"f",FALSE)</f>
        <v>43125</v>
      </c>
      <c r="Z562" s="108">
        <f>_xll.qlCalendarAdvance(Calendar,Y562,0&amp;"D")</f>
        <v>43125</v>
      </c>
      <c r="AA562" s="109">
        <v>4.7302131163995398E-4</v>
      </c>
      <c r="AB562" s="143">
        <f t="shared" si="26"/>
        <v>0</v>
      </c>
      <c r="AC562" s="236" t="e">
        <v>#N/A</v>
      </c>
      <c r="AD562" s="236">
        <v>4.7302131163995398E-4</v>
      </c>
    </row>
    <row r="563" spans="23:30" x14ac:dyDescent="0.2">
      <c r="W563" s="144"/>
      <c r="X563" s="113" t="str">
        <f t="shared" si="25"/>
        <v>1w</v>
      </c>
      <c r="Y563" s="106">
        <f>_xll.qlCalendarAdvance(Calendar,Y562,X563,"f",FALSE)</f>
        <v>43132</v>
      </c>
      <c r="Z563" s="108">
        <f>_xll.qlCalendarAdvance(Calendar,Y563,0&amp;"D")</f>
        <v>43132</v>
      </c>
      <c r="AA563" s="109">
        <v>5.1432272393014955E-4</v>
      </c>
      <c r="AB563" s="143">
        <f t="shared" si="26"/>
        <v>0</v>
      </c>
      <c r="AC563" s="236" t="e">
        <v>#N/A</v>
      </c>
      <c r="AD563" s="236">
        <v>5.1432272393014955E-4</v>
      </c>
    </row>
    <row r="564" spans="23:30" x14ac:dyDescent="0.2">
      <c r="W564" s="144"/>
      <c r="X564" s="113" t="str">
        <f t="shared" si="25"/>
        <v>1w</v>
      </c>
      <c r="Y564" s="106">
        <f>_xll.qlCalendarAdvance(Calendar,Y563,X564,"f",FALSE)</f>
        <v>43139</v>
      </c>
      <c r="Z564" s="108">
        <f>_xll.qlCalendarAdvance(Calendar,Y564,0&amp;"D")</f>
        <v>43139</v>
      </c>
      <c r="AA564" s="109">
        <v>5.5635026138034505E-4</v>
      </c>
      <c r="AB564" s="143">
        <f t="shared" si="26"/>
        <v>7.9936057773011271E-14</v>
      </c>
      <c r="AC564" s="236" t="e">
        <v>#N/A</v>
      </c>
      <c r="AD564" s="236">
        <v>5.5635026130040899E-4</v>
      </c>
    </row>
    <row r="565" spans="23:30" x14ac:dyDescent="0.2">
      <c r="W565" s="144"/>
      <c r="X565" s="113" t="str">
        <f t="shared" si="25"/>
        <v>1w</v>
      </c>
      <c r="Y565" s="106">
        <f>_xll.qlCalendarAdvance(Calendar,Y564,X565,"f",FALSE)</f>
        <v>43146</v>
      </c>
      <c r="Z565" s="108">
        <f>_xll.qlCalendarAdvance(Calendar,Y565,0&amp;"D")</f>
        <v>43146</v>
      </c>
      <c r="AA565" s="109">
        <v>5.991039243102847E-4</v>
      </c>
      <c r="AB565" s="143">
        <f t="shared" si="26"/>
        <v>-7.9936057773011271E-14</v>
      </c>
      <c r="AC565" s="236" t="e">
        <v>#N/A</v>
      </c>
      <c r="AD565" s="236">
        <v>5.9910392439022075E-4</v>
      </c>
    </row>
    <row r="566" spans="23:30" x14ac:dyDescent="0.2">
      <c r="W566" s="144"/>
      <c r="X566" s="113" t="str">
        <f t="shared" si="25"/>
        <v>1w</v>
      </c>
      <c r="Y566" s="106">
        <f>_xll.qlCalendarAdvance(Calendar,Y565,X566,"f",FALSE)</f>
        <v>43153</v>
      </c>
      <c r="Z566" s="108">
        <f>_xll.qlCalendarAdvance(Calendar,Y566,0&amp;"D")</f>
        <v>43153</v>
      </c>
      <c r="AA566" s="109">
        <v>6.4258371343939302E-4</v>
      </c>
      <c r="AB566" s="143">
        <f t="shared" si="26"/>
        <v>7.9936057773011271E-14</v>
      </c>
      <c r="AC566" s="236" t="e">
        <v>#N/A</v>
      </c>
      <c r="AD566" s="236">
        <v>6.4258371335945697E-4</v>
      </c>
    </row>
    <row r="567" spans="23:30" x14ac:dyDescent="0.2">
      <c r="W567" s="144"/>
      <c r="X567" s="113" t="str">
        <f t="shared" si="25"/>
        <v>1w</v>
      </c>
      <c r="Y567" s="106">
        <f>_xll.qlCalendarAdvance(Calendar,Y566,X567,"f",FALSE)</f>
        <v>43160</v>
      </c>
      <c r="Z567" s="108">
        <f>_xll.qlCalendarAdvance(Calendar,Y567,0&amp;"D")</f>
        <v>43160</v>
      </c>
      <c r="AA567" s="109">
        <v>6.8678962828805368E-4</v>
      </c>
      <c r="AB567" s="143">
        <f t="shared" si="26"/>
        <v>0</v>
      </c>
      <c r="AC567" s="236" t="e">
        <v>#N/A</v>
      </c>
      <c r="AD567" s="236">
        <v>6.8678962828805368E-4</v>
      </c>
    </row>
    <row r="568" spans="23:30" x14ac:dyDescent="0.2">
      <c r="W568" s="144"/>
      <c r="X568" s="113" t="str">
        <f t="shared" si="25"/>
        <v>1w</v>
      </c>
      <c r="Y568" s="106">
        <f>_xll.qlCalendarAdvance(Calendar,Y567,X568,"f",FALSE)</f>
        <v>43167</v>
      </c>
      <c r="Z568" s="108">
        <f>_xll.qlCalendarAdvance(Calendar,Y568,0&amp;"D")</f>
        <v>43167</v>
      </c>
      <c r="AA568" s="109">
        <v>7.3172166965562724E-4</v>
      </c>
      <c r="AB568" s="143">
        <f t="shared" si="26"/>
        <v>-7.9936057773011271E-14</v>
      </c>
      <c r="AC568" s="236" t="e">
        <v>#N/A</v>
      </c>
      <c r="AD568" s="236">
        <v>7.317216697355633E-4</v>
      </c>
    </row>
    <row r="569" spans="23:30" x14ac:dyDescent="0.2">
      <c r="W569" s="144"/>
      <c r="X569" s="113" t="str">
        <f t="shared" si="25"/>
        <v>1w</v>
      </c>
      <c r="Y569" s="106">
        <f>_xll.qlCalendarAdvance(Calendar,Y568,X569,"f",FALSE)</f>
        <v>43174</v>
      </c>
      <c r="Z569" s="108">
        <f>_xll.qlCalendarAdvance(Calendar,Y569,0&amp;"D")</f>
        <v>43174</v>
      </c>
      <c r="AA569" s="109">
        <v>7.7737983762204976E-4</v>
      </c>
      <c r="AB569" s="143">
        <f t="shared" si="26"/>
        <v>-7.9936057773011271E-14</v>
      </c>
      <c r="AC569" s="236" t="e">
        <v>#N/A</v>
      </c>
      <c r="AD569" s="236">
        <v>7.7737983770198582E-4</v>
      </c>
    </row>
    <row r="570" spans="23:30" x14ac:dyDescent="0.2">
      <c r="W570" s="144"/>
      <c r="X570" s="113" t="str">
        <f t="shared" si="25"/>
        <v>1w</v>
      </c>
      <c r="Y570" s="106">
        <f>_xll.qlCalendarAdvance(Calendar,Y569,X570,"f",FALSE)</f>
        <v>43181</v>
      </c>
      <c r="Z570" s="108">
        <f>_xll.qlCalendarAdvance(Calendar,Y570,0&amp;"D")</f>
        <v>43181</v>
      </c>
      <c r="AA570" s="109">
        <v>8.2376413274687366E-4</v>
      </c>
      <c r="AB570" s="143">
        <f t="shared" si="26"/>
        <v>7.9936057773011271E-14</v>
      </c>
      <c r="AC570" s="236" t="e">
        <v>#N/A</v>
      </c>
      <c r="AD570" s="236">
        <v>8.237641326669376E-4</v>
      </c>
    </row>
    <row r="571" spans="23:30" x14ac:dyDescent="0.2">
      <c r="W571" s="144"/>
      <c r="X571" s="113" t="str">
        <f t="shared" si="25"/>
        <v>1w</v>
      </c>
      <c r="Y571" s="106">
        <f>_xll.qlCalendarAdvance(Calendar,Y570,X571,"f",FALSE)</f>
        <v>43188</v>
      </c>
      <c r="Z571" s="108">
        <f>_xll.qlCalendarAdvance(Calendar,Y571,0&amp;"D")</f>
        <v>43188</v>
      </c>
      <c r="AA571" s="109">
        <v>8.8448721073675074E-4</v>
      </c>
      <c r="AB571" s="143">
        <f t="shared" si="26"/>
        <v>1.5987211554602254E-14</v>
      </c>
      <c r="AC571" s="236" t="e">
        <v>#N/A</v>
      </c>
      <c r="AD571" s="236">
        <v>8.8448721072076353E-4</v>
      </c>
    </row>
    <row r="572" spans="23:30" x14ac:dyDescent="0.2">
      <c r="W572" s="144"/>
      <c r="X572" s="113" t="str">
        <f t="shared" si="25"/>
        <v>1w</v>
      </c>
      <c r="Y572" s="106">
        <f>_xll.qlCalendarAdvance(Calendar,Y571,X572,"f",FALSE)</f>
        <v>43195</v>
      </c>
      <c r="Z572" s="108">
        <f>_xll.qlCalendarAdvance(Calendar,Y572,0&amp;"D")</f>
        <v>43195</v>
      </c>
      <c r="AA572" s="109">
        <v>9.1871110447172555E-4</v>
      </c>
      <c r="AB572" s="143">
        <f t="shared" si="26"/>
        <v>-7.9936057773011271E-14</v>
      </c>
      <c r="AC572" s="236" t="e">
        <v>#N/A</v>
      </c>
      <c r="AD572" s="236">
        <v>9.1871110455166161E-4</v>
      </c>
    </row>
    <row r="573" spans="23:30" x14ac:dyDescent="0.2">
      <c r="W573" s="144"/>
      <c r="X573" s="113" t="str">
        <f t="shared" si="25"/>
        <v>1w</v>
      </c>
      <c r="Y573" s="106">
        <f>_xll.qlCalendarAdvance(Calendar,Y572,X573,"f",FALSE)</f>
        <v>43202</v>
      </c>
      <c r="Z573" s="108">
        <f>_xll.qlCalendarAdvance(Calendar,Y573,0&amp;"D")</f>
        <v>43202</v>
      </c>
      <c r="AA573" s="109">
        <v>9.6727378187111412E-4</v>
      </c>
      <c r="AB573" s="143">
        <f t="shared" si="26"/>
        <v>0</v>
      </c>
      <c r="AC573" s="236" t="e">
        <v>#N/A</v>
      </c>
      <c r="AD573" s="236">
        <v>9.6727378187111412E-4</v>
      </c>
    </row>
    <row r="574" spans="23:30" x14ac:dyDescent="0.2">
      <c r="W574" s="144"/>
      <c r="X574" s="113" t="str">
        <f t="shared" si="25"/>
        <v>1w</v>
      </c>
      <c r="Y574" s="106">
        <f>_xll.qlCalendarAdvance(Calendar,Y573,X574,"f",FALSE)</f>
        <v>43209</v>
      </c>
      <c r="Z574" s="108">
        <f>_xll.qlCalendarAdvance(Calendar,Y574,0&amp;"D")</f>
        <v>43209</v>
      </c>
      <c r="AA574" s="109">
        <v>1.0165625873881368E-3</v>
      </c>
      <c r="AB574" s="143">
        <f t="shared" si="26"/>
        <v>0</v>
      </c>
      <c r="AC574" s="236" t="e">
        <v>#N/A</v>
      </c>
      <c r="AD574" s="236">
        <v>1.0165625873881368E-3</v>
      </c>
    </row>
    <row r="575" spans="23:30" x14ac:dyDescent="0.2">
      <c r="W575" s="144"/>
      <c r="X575" s="113" t="str">
        <f t="shared" si="25"/>
        <v>1w</v>
      </c>
      <c r="Y575" s="106">
        <f>_xll.qlCalendarAdvance(Calendar,Y574,X575,"f",FALSE)</f>
        <v>43216</v>
      </c>
      <c r="Z575" s="108">
        <f>_xll.qlCalendarAdvance(Calendar,Y575,0&amp;"D")</f>
        <v>43216</v>
      </c>
      <c r="AA575" s="109">
        <v>1.0665775212626016E-3</v>
      </c>
      <c r="AB575" s="143">
        <f t="shared" si="26"/>
        <v>0</v>
      </c>
      <c r="AC575" s="236" t="e">
        <v>#N/A</v>
      </c>
      <c r="AD575" s="236">
        <v>1.0665775212626016E-3</v>
      </c>
    </row>
    <row r="576" spans="23:30" x14ac:dyDescent="0.2">
      <c r="W576" s="144"/>
      <c r="X576" s="113" t="str">
        <f t="shared" si="25"/>
        <v>1w</v>
      </c>
      <c r="Y576" s="106">
        <f>_xll.qlCalendarAdvance(Calendar,Y575,X576,"f",FALSE)</f>
        <v>43223</v>
      </c>
      <c r="Z576" s="108">
        <f>_xll.qlCalendarAdvance(Calendar,Y576,0&amp;"D")</f>
        <v>43223</v>
      </c>
      <c r="AA576" s="109">
        <v>1.1173185837343169E-3</v>
      </c>
      <c r="AB576" s="143">
        <f t="shared" si="26"/>
        <v>0</v>
      </c>
      <c r="AC576" s="236" t="e">
        <v>#N/A</v>
      </c>
      <c r="AD576" s="236">
        <v>1.1173185837343169E-3</v>
      </c>
    </row>
    <row r="577" spans="23:30" x14ac:dyDescent="0.2">
      <c r="W577" s="144"/>
      <c r="X577" s="113" t="str">
        <f t="shared" si="25"/>
        <v>1w</v>
      </c>
      <c r="Y577" s="106">
        <f>_xll.qlCalendarAdvance(Calendar,Y576,X577,"f",FALSE)</f>
        <v>43230</v>
      </c>
      <c r="Z577" s="108">
        <f>_xll.qlCalendarAdvance(Calendar,Y577,0&amp;"D")</f>
        <v>43230</v>
      </c>
      <c r="AA577" s="109">
        <v>1.168785775282899E-3</v>
      </c>
      <c r="AB577" s="143">
        <f t="shared" si="26"/>
        <v>0</v>
      </c>
      <c r="AC577" s="236" t="e">
        <v>#N/A</v>
      </c>
      <c r="AD577" s="236">
        <v>1.168785775282899E-3</v>
      </c>
    </row>
    <row r="578" spans="23:30" x14ac:dyDescent="0.2">
      <c r="W578" s="144"/>
      <c r="X578" s="113" t="str">
        <f t="shared" si="25"/>
        <v>1w</v>
      </c>
      <c r="Y578" s="106">
        <f>_xll.qlCalendarAdvance(Calendar,Y577,X578,"f",FALSE)</f>
        <v>43237</v>
      </c>
      <c r="Z578" s="108">
        <f>_xll.qlCalendarAdvance(Calendar,Y578,0&amp;"D")</f>
        <v>43237</v>
      </c>
      <c r="AA578" s="109">
        <v>1.2209790960682199E-3</v>
      </c>
      <c r="AB578" s="143">
        <f t="shared" si="26"/>
        <v>-7.9936057773011271E-14</v>
      </c>
      <c r="AC578" s="236" t="e">
        <v>#N/A</v>
      </c>
      <c r="AD578" s="236">
        <v>1.2209790961481559E-3</v>
      </c>
    </row>
    <row r="579" spans="23:30" x14ac:dyDescent="0.2">
      <c r="W579" s="144"/>
      <c r="X579" s="113" t="str">
        <f t="shared" si="25"/>
        <v>1w</v>
      </c>
      <c r="Y579" s="106">
        <f>_xll.qlCalendarAdvance(Calendar,Y578,X579,"f",FALSE)</f>
        <v>43244</v>
      </c>
      <c r="Z579" s="108">
        <f>_xll.qlCalendarAdvance(Calendar,Y579,0&amp;"D")</f>
        <v>43244</v>
      </c>
      <c r="AA579" s="109">
        <v>1.273898546569896E-3</v>
      </c>
      <c r="AB579" s="143">
        <f t="shared" si="26"/>
        <v>-7.9936057773011271E-14</v>
      </c>
      <c r="AC579" s="236" t="e">
        <v>#N/A</v>
      </c>
      <c r="AD579" s="236">
        <v>1.273898546649832E-3</v>
      </c>
    </row>
    <row r="580" spans="23:30" x14ac:dyDescent="0.2">
      <c r="W580" s="144"/>
      <c r="X580" s="113" t="str">
        <f t="shared" si="25"/>
        <v>1w</v>
      </c>
      <c r="Y580" s="106">
        <f>_xll.qlCalendarAdvance(Calendar,Y579,X580,"f",FALSE)</f>
        <v>43251</v>
      </c>
      <c r="Z580" s="108">
        <f>_xll.qlCalendarAdvance(Calendar,Y580,0&amp;"D")</f>
        <v>43251</v>
      </c>
      <c r="AA580" s="109">
        <v>1.3275441269477994E-3</v>
      </c>
      <c r="AB580" s="143">
        <f t="shared" si="26"/>
        <v>-7.9936057773011271E-14</v>
      </c>
      <c r="AC580" s="236" t="e">
        <v>#N/A</v>
      </c>
      <c r="AD580" s="236">
        <v>1.3275441270277355E-3</v>
      </c>
    </row>
    <row r="581" spans="23:30" x14ac:dyDescent="0.2">
      <c r="W581" s="144"/>
      <c r="X581" s="113" t="str">
        <f t="shared" si="25"/>
        <v>1w</v>
      </c>
      <c r="Y581" s="106">
        <f>_xll.qlCalendarAdvance(Calendar,Y580,X581,"f",FALSE)</f>
        <v>43258</v>
      </c>
      <c r="Z581" s="108">
        <f>_xll.qlCalendarAdvance(Calendar,Y581,0&amp;"D")</f>
        <v>43258</v>
      </c>
      <c r="AA581" s="109">
        <v>1.3815575720244055E-3</v>
      </c>
      <c r="AB581" s="143">
        <f t="shared" si="26"/>
        <v>0</v>
      </c>
      <c r="AC581" s="236" t="e">
        <v>#N/A</v>
      </c>
      <c r="AD581" s="236">
        <v>1.3815575720244055E-3</v>
      </c>
    </row>
    <row r="582" spans="23:30" x14ac:dyDescent="0.2">
      <c r="W582" s="144"/>
      <c r="X582" s="113" t="str">
        <f t="shared" si="25"/>
        <v>1w</v>
      </c>
      <c r="Y582" s="106">
        <f>_xll.qlCalendarAdvance(Calendar,Y581,X582,"f",FALSE)</f>
        <v>43265</v>
      </c>
      <c r="Z582" s="108">
        <f>_xll.qlCalendarAdvance(Calendar,Y582,0&amp;"D")</f>
        <v>43265</v>
      </c>
      <c r="AA582" s="109">
        <v>1.4354705978281146E-3</v>
      </c>
      <c r="AB582" s="143">
        <f t="shared" si="26"/>
        <v>7.9936057773011271E-14</v>
      </c>
      <c r="AC582" s="236" t="e">
        <v>#N/A</v>
      </c>
      <c r="AD582" s="236">
        <v>1.4354705977481785E-3</v>
      </c>
    </row>
    <row r="583" spans="23:30" x14ac:dyDescent="0.2">
      <c r="W583" s="144"/>
      <c r="X583" s="113" t="str">
        <f t="shared" si="25"/>
        <v>1w</v>
      </c>
      <c r="Y583" s="106">
        <f>_xll.qlCalendarAdvance(Calendar,Y582,X583,"f",FALSE)</f>
        <v>43272</v>
      </c>
      <c r="Z583" s="108">
        <f>_xll.qlCalendarAdvance(Calendar,Y583,0&amp;"D")</f>
        <v>43272</v>
      </c>
      <c r="AA583" s="109">
        <v>1.4892803828558954E-3</v>
      </c>
      <c r="AB583" s="143">
        <f t="shared" si="26"/>
        <v>-7.9936057773011271E-14</v>
      </c>
      <c r="AC583" s="236" t="e">
        <v>#N/A</v>
      </c>
      <c r="AD583" s="236">
        <v>1.4892803829358314E-3</v>
      </c>
    </row>
    <row r="584" spans="23:30" x14ac:dyDescent="0.2">
      <c r="W584" s="144"/>
      <c r="X584" s="113" t="str">
        <f t="shared" si="25"/>
        <v>1w</v>
      </c>
      <c r="Y584" s="106">
        <f>_xll.qlCalendarAdvance(Calendar,Y583,X584,"f",FALSE)</f>
        <v>43279</v>
      </c>
      <c r="Z584" s="108">
        <f>_xll.qlCalendarAdvance(Calendar,Y584,0&amp;"D")</f>
        <v>43279</v>
      </c>
      <c r="AA584" s="109">
        <v>1.5429869276673003E-3</v>
      </c>
      <c r="AB584" s="143">
        <f t="shared" si="26"/>
        <v>0</v>
      </c>
      <c r="AC584" s="236" t="e">
        <v>#N/A</v>
      </c>
      <c r="AD584" s="236">
        <v>1.5429869276673003E-3</v>
      </c>
    </row>
    <row r="585" spans="23:30" x14ac:dyDescent="0.2">
      <c r="W585" s="144"/>
      <c r="X585" s="113" t="str">
        <f t="shared" si="25"/>
        <v>1w</v>
      </c>
      <c r="Y585" s="106">
        <f>_xll.qlCalendarAdvance(Calendar,Y584,X585,"f",FALSE)</f>
        <v>43286</v>
      </c>
      <c r="Z585" s="108">
        <f>_xll.qlCalendarAdvance(Calendar,Y585,0&amp;"D")</f>
        <v>43286</v>
      </c>
      <c r="AA585" s="109">
        <v>1.5965902319425851E-3</v>
      </c>
      <c r="AB585" s="143">
        <f t="shared" si="26"/>
        <v>0</v>
      </c>
      <c r="AC585" s="236" t="e">
        <v>#N/A</v>
      </c>
      <c r="AD585" s="236">
        <v>1.5965902319425851E-3</v>
      </c>
    </row>
    <row r="586" spans="23:30" x14ac:dyDescent="0.2">
      <c r="W586" s="144"/>
      <c r="X586" s="113" t="str">
        <f t="shared" si="25"/>
        <v>1w</v>
      </c>
      <c r="Y586" s="106">
        <f>_xll.qlCalendarAdvance(Calendar,Y585,X586,"f",FALSE)</f>
        <v>43293</v>
      </c>
      <c r="Z586" s="108">
        <f>_xll.qlCalendarAdvance(Calendar,Y586,0&amp;"D")</f>
        <v>43293</v>
      </c>
      <c r="AA586" s="109">
        <v>1.6500902956817498E-3</v>
      </c>
      <c r="AB586" s="143">
        <f t="shared" si="26"/>
        <v>0</v>
      </c>
      <c r="AC586" s="236" t="e">
        <v>#N/A</v>
      </c>
      <c r="AD586" s="236">
        <v>1.6500902956817498E-3</v>
      </c>
    </row>
    <row r="587" spans="23:30" x14ac:dyDescent="0.2">
      <c r="W587" s="144"/>
      <c r="X587" s="113" t="str">
        <f t="shared" si="25"/>
        <v>1w</v>
      </c>
      <c r="Y587" s="106">
        <f>_xll.qlCalendarAdvance(Calendar,Y586,X587,"f",FALSE)</f>
        <v>43300</v>
      </c>
      <c r="Z587" s="108">
        <f>_xll.qlCalendarAdvance(Calendar,Y587,0&amp;"D")</f>
        <v>43300</v>
      </c>
      <c r="AA587" s="109">
        <v>1.7034871186449863E-3</v>
      </c>
      <c r="AB587" s="143">
        <f t="shared" si="26"/>
        <v>0</v>
      </c>
      <c r="AC587" s="236" t="e">
        <v>#N/A</v>
      </c>
      <c r="AD587" s="236">
        <v>1.7034871186449863E-3</v>
      </c>
    </row>
    <row r="588" spans="23:30" x14ac:dyDescent="0.2">
      <c r="W588" s="144"/>
      <c r="X588" s="113" t="str">
        <f t="shared" si="25"/>
        <v>1w</v>
      </c>
      <c r="Y588" s="106">
        <f>_xll.qlCalendarAdvance(Calendar,Y587,X588,"f",FALSE)</f>
        <v>43307</v>
      </c>
      <c r="Z588" s="108">
        <f>_xll.qlCalendarAdvance(Calendar,Y588,0&amp;"D")</f>
        <v>43307</v>
      </c>
      <c r="AA588" s="109">
        <v>1.7567807009921665E-3</v>
      </c>
      <c r="AB588" s="143">
        <f t="shared" si="26"/>
        <v>0</v>
      </c>
      <c r="AC588" s="236" t="e">
        <v>#N/A</v>
      </c>
      <c r="AD588" s="236">
        <v>1.7567807009921665E-3</v>
      </c>
    </row>
    <row r="589" spans="23:30" x14ac:dyDescent="0.2">
      <c r="W589" s="144"/>
      <c r="X589" s="113" t="str">
        <f t="shared" ref="X589:X652" si="27">X588</f>
        <v>1w</v>
      </c>
      <c r="Y589" s="106">
        <f>_xll.qlCalendarAdvance(Calendar,Y588,X589,"f",FALSE)</f>
        <v>43314</v>
      </c>
      <c r="Z589" s="108">
        <f>_xll.qlCalendarAdvance(Calendar,Y589,0&amp;"D")</f>
        <v>43314</v>
      </c>
      <c r="AA589" s="109">
        <v>1.8099710427232907E-3</v>
      </c>
      <c r="AB589" s="143">
        <f t="shared" si="26"/>
        <v>0</v>
      </c>
      <c r="AC589" s="236" t="e">
        <v>#N/A</v>
      </c>
      <c r="AD589" s="236">
        <v>1.8099710427232907E-3</v>
      </c>
    </row>
    <row r="590" spans="23:30" x14ac:dyDescent="0.2">
      <c r="W590" s="144"/>
      <c r="X590" s="113" t="str">
        <f t="shared" si="27"/>
        <v>1w</v>
      </c>
      <c r="Y590" s="106">
        <f>_xll.qlCalendarAdvance(Calendar,Y589,X590,"f",FALSE)</f>
        <v>43321</v>
      </c>
      <c r="Z590" s="108">
        <f>_xll.qlCalendarAdvance(Calendar,Y590,0&amp;"D")</f>
        <v>43321</v>
      </c>
      <c r="AA590" s="109">
        <v>1.8630581438383587E-3</v>
      </c>
      <c r="AB590" s="143">
        <f t="shared" si="26"/>
        <v>0</v>
      </c>
      <c r="AC590" s="236" t="e">
        <v>#N/A</v>
      </c>
      <c r="AD590" s="236">
        <v>1.8630581438383587E-3</v>
      </c>
    </row>
    <row r="591" spans="23:30" x14ac:dyDescent="0.2">
      <c r="W591" s="144"/>
      <c r="X591" s="113" t="str">
        <f t="shared" si="27"/>
        <v>1w</v>
      </c>
      <c r="Y591" s="106">
        <f>_xll.qlCalendarAdvance(Calendar,Y590,X591,"f",FALSE)</f>
        <v>43328</v>
      </c>
      <c r="Z591" s="108">
        <f>_xll.qlCalendarAdvance(Calendar,Y591,0&amp;"D")</f>
        <v>43328</v>
      </c>
      <c r="AA591" s="109">
        <v>1.9160420039376902E-3</v>
      </c>
      <c r="AB591" s="143">
        <f t="shared" si="26"/>
        <v>0</v>
      </c>
      <c r="AC591" s="236" t="e">
        <v>#N/A</v>
      </c>
      <c r="AD591" s="236">
        <v>1.9160420039376902E-3</v>
      </c>
    </row>
    <row r="592" spans="23:30" x14ac:dyDescent="0.2">
      <c r="W592" s="144"/>
      <c r="X592" s="113" t="str">
        <f t="shared" si="27"/>
        <v>1w</v>
      </c>
      <c r="Y592" s="106">
        <f>_xll.qlCalendarAdvance(Calendar,Y591,X592,"f",FALSE)</f>
        <v>43335</v>
      </c>
      <c r="Z592" s="108">
        <f>_xll.qlCalendarAdvance(Calendar,Y592,0&amp;"D")</f>
        <v>43335</v>
      </c>
      <c r="AA592" s="109">
        <v>1.9689226231811574E-3</v>
      </c>
      <c r="AB592" s="143">
        <f t="shared" si="26"/>
        <v>-7.9936057773011271E-14</v>
      </c>
      <c r="AC592" s="236" t="e">
        <v>#N/A</v>
      </c>
      <c r="AD592" s="236">
        <v>1.9689226232610935E-3</v>
      </c>
    </row>
    <row r="593" spans="23:30" x14ac:dyDescent="0.2">
      <c r="W593" s="144"/>
      <c r="X593" s="113" t="str">
        <f t="shared" si="27"/>
        <v>1w</v>
      </c>
      <c r="Y593" s="106">
        <f>_xll.qlCalendarAdvance(Calendar,Y592,X593,"f",FALSE)</f>
        <v>43342</v>
      </c>
      <c r="Z593" s="108">
        <f>_xll.qlCalendarAdvance(Calendar,Y593,0&amp;"D")</f>
        <v>43342</v>
      </c>
      <c r="AA593" s="109">
        <v>2.0217000015687603E-3</v>
      </c>
      <c r="AB593" s="143">
        <f t="shared" si="26"/>
        <v>-7.9936057773011271E-14</v>
      </c>
      <c r="AC593" s="236" t="e">
        <v>#N/A</v>
      </c>
      <c r="AD593" s="236">
        <v>2.0217000016486963E-3</v>
      </c>
    </row>
    <row r="594" spans="23:30" x14ac:dyDescent="0.2">
      <c r="W594" s="144"/>
      <c r="X594" s="113" t="str">
        <f t="shared" si="27"/>
        <v>1w</v>
      </c>
      <c r="Y594" s="106">
        <f>_xll.qlCalendarAdvance(Calendar,Y593,X594,"f",FALSE)</f>
        <v>43349</v>
      </c>
      <c r="Z594" s="108">
        <f>_xll.qlCalendarAdvance(Calendar,Y594,0&amp;"D")</f>
        <v>43349</v>
      </c>
      <c r="AA594" s="109">
        <v>2.074374139260371E-3</v>
      </c>
      <c r="AB594" s="143">
        <f t="shared" si="26"/>
        <v>0</v>
      </c>
      <c r="AC594" s="236" t="e">
        <v>#N/A</v>
      </c>
      <c r="AD594" s="236">
        <v>2.074374139260371E-3</v>
      </c>
    </row>
    <row r="595" spans="23:30" x14ac:dyDescent="0.2">
      <c r="W595" s="144"/>
      <c r="X595" s="113" t="str">
        <f t="shared" si="27"/>
        <v>1w</v>
      </c>
      <c r="Y595" s="106">
        <f>_xll.qlCalendarAdvance(Calendar,Y594,X595,"f",FALSE)</f>
        <v>43356</v>
      </c>
      <c r="Z595" s="108">
        <f>_xll.qlCalendarAdvance(Calendar,Y595,0&amp;"D")</f>
        <v>43356</v>
      </c>
      <c r="AA595" s="109">
        <v>2.1269450357763731E-3</v>
      </c>
      <c r="AB595" s="143">
        <f t="shared" si="26"/>
        <v>0</v>
      </c>
      <c r="AC595" s="236" t="e">
        <v>#N/A</v>
      </c>
      <c r="AD595" s="236">
        <v>2.1269450357763731E-3</v>
      </c>
    </row>
    <row r="596" spans="23:30" x14ac:dyDescent="0.2">
      <c r="W596" s="144"/>
      <c r="X596" s="113" t="str">
        <f t="shared" si="27"/>
        <v>1w</v>
      </c>
      <c r="Y596" s="106">
        <f>_xll.qlCalendarAdvance(Calendar,Y595,X596,"f",FALSE)</f>
        <v>43363</v>
      </c>
      <c r="Z596" s="108">
        <f>_xll.qlCalendarAdvance(Calendar,Y596,0&amp;"D")</f>
        <v>43363</v>
      </c>
      <c r="AA596" s="109">
        <v>2.1794126912766387E-3</v>
      </c>
      <c r="AB596" s="143">
        <f t="shared" si="26"/>
        <v>0</v>
      </c>
      <c r="AC596" s="236" t="e">
        <v>#N/A</v>
      </c>
      <c r="AD596" s="236">
        <v>2.1794126912766387E-3</v>
      </c>
    </row>
    <row r="597" spans="23:30" x14ac:dyDescent="0.2">
      <c r="W597" s="144"/>
      <c r="X597" s="113" t="str">
        <f t="shared" si="27"/>
        <v>1w</v>
      </c>
      <c r="Y597" s="106">
        <f>_xll.qlCalendarAdvance(Calendar,Y596,X597,"f",FALSE)</f>
        <v>43370</v>
      </c>
      <c r="Z597" s="108">
        <f>_xll.qlCalendarAdvance(Calendar,Y597,0&amp;"D")</f>
        <v>43370</v>
      </c>
      <c r="AA597" s="109">
        <v>2.231777105841104E-3</v>
      </c>
      <c r="AB597" s="143">
        <f t="shared" ref="AB597:AB660" si="28">AA597-AD597</f>
        <v>7.9936057773011271E-14</v>
      </c>
      <c r="AC597" s="236" t="e">
        <v>#N/A</v>
      </c>
      <c r="AD597" s="236">
        <v>2.2317771057611679E-3</v>
      </c>
    </row>
    <row r="598" spans="23:30" x14ac:dyDescent="0.2">
      <c r="W598" s="144"/>
      <c r="X598" s="113" t="str">
        <f t="shared" si="27"/>
        <v>1w</v>
      </c>
      <c r="Y598" s="106">
        <f>_xll.qlCalendarAdvance(Calendar,Y597,X598,"f",FALSE)</f>
        <v>43377</v>
      </c>
      <c r="Z598" s="108">
        <f>_xll.qlCalendarAdvance(Calendar,Y598,0&amp;"D")</f>
        <v>43377</v>
      </c>
      <c r="AA598" s="109">
        <v>2.2840382791500247E-3</v>
      </c>
      <c r="AB598" s="143">
        <f t="shared" si="28"/>
        <v>0</v>
      </c>
      <c r="AC598" s="236" t="e">
        <v>#N/A</v>
      </c>
      <c r="AD598" s="236">
        <v>2.2840382791500247E-3</v>
      </c>
    </row>
    <row r="599" spans="23:30" x14ac:dyDescent="0.2">
      <c r="W599" s="144"/>
      <c r="X599" s="113" t="str">
        <f t="shared" si="27"/>
        <v>1w</v>
      </c>
      <c r="Y599" s="106">
        <f>_xll.qlCalendarAdvance(Calendar,Y598,X599,"f",FALSE)</f>
        <v>43384</v>
      </c>
      <c r="Z599" s="108">
        <f>_xll.qlCalendarAdvance(Calendar,Y599,0&amp;"D")</f>
        <v>43384</v>
      </c>
      <c r="AA599" s="109">
        <v>2.3361962113632728E-3</v>
      </c>
      <c r="AB599" s="143">
        <f t="shared" si="28"/>
        <v>0</v>
      </c>
      <c r="AC599" s="236" t="e">
        <v>#N/A</v>
      </c>
      <c r="AD599" s="236">
        <v>2.3361962113632728E-3</v>
      </c>
    </row>
    <row r="600" spans="23:30" x14ac:dyDescent="0.2">
      <c r="W600" s="144"/>
      <c r="X600" s="113" t="str">
        <f t="shared" si="27"/>
        <v>1w</v>
      </c>
      <c r="Y600" s="106">
        <f>_xll.qlCalendarAdvance(Calendar,Y599,X600,"f",FALSE)</f>
        <v>43391</v>
      </c>
      <c r="Z600" s="108">
        <f>_xll.qlCalendarAdvance(Calendar,Y600,0&amp;"D")</f>
        <v>43391</v>
      </c>
      <c r="AA600" s="109">
        <v>2.3882509022410403E-3</v>
      </c>
      <c r="AB600" s="143">
        <f t="shared" si="28"/>
        <v>-1.5987211554602254E-13</v>
      </c>
      <c r="AC600" s="236" t="e">
        <v>#N/A</v>
      </c>
      <c r="AD600" s="236">
        <v>2.3882509024009124E-3</v>
      </c>
    </row>
    <row r="601" spans="23:30" x14ac:dyDescent="0.2">
      <c r="W601" s="144"/>
      <c r="X601" s="113" t="str">
        <f t="shared" si="27"/>
        <v>1w</v>
      </c>
      <c r="Y601" s="106">
        <f>_xll.qlCalendarAdvance(Calendar,Y600,X601,"f",FALSE)</f>
        <v>43398</v>
      </c>
      <c r="Z601" s="108">
        <f>_xll.qlCalendarAdvance(Calendar,Y601,0&amp;"D")</f>
        <v>43398</v>
      </c>
      <c r="AA601" s="109">
        <v>2.4402023521030713E-3</v>
      </c>
      <c r="AB601" s="143">
        <f t="shared" si="28"/>
        <v>7.9936057773011271E-14</v>
      </c>
      <c r="AC601" s="236" t="e">
        <v>#N/A</v>
      </c>
      <c r="AD601" s="236">
        <v>2.4402023520231353E-3</v>
      </c>
    </row>
    <row r="602" spans="23:30" x14ac:dyDescent="0.2">
      <c r="W602" s="144"/>
      <c r="X602" s="113" t="str">
        <f t="shared" si="27"/>
        <v>1w</v>
      </c>
      <c r="Y602" s="106">
        <f>_xll.qlCalendarAdvance(Calendar,Y601,X602,"f",FALSE)</f>
        <v>43405</v>
      </c>
      <c r="Z602" s="108">
        <f>_xll.qlCalendarAdvance(Calendar,Y602,0&amp;"D")</f>
        <v>43405</v>
      </c>
      <c r="AA602" s="109">
        <v>2.4920505605496857E-3</v>
      </c>
      <c r="AB602" s="143">
        <f t="shared" si="28"/>
        <v>0</v>
      </c>
      <c r="AC602" s="236" t="e">
        <v>#N/A</v>
      </c>
      <c r="AD602" s="236">
        <v>2.4920505605496857E-3</v>
      </c>
    </row>
    <row r="603" spans="23:30" x14ac:dyDescent="0.2">
      <c r="W603" s="144"/>
      <c r="X603" s="113" t="str">
        <f t="shared" si="27"/>
        <v>1w</v>
      </c>
      <c r="Y603" s="106">
        <f>_xll.qlCalendarAdvance(Calendar,Y602,X603,"f",FALSE)</f>
        <v>43412</v>
      </c>
      <c r="Z603" s="108">
        <f>_xll.qlCalendarAdvance(Calendar,Y603,0&amp;"D")</f>
        <v>43412</v>
      </c>
      <c r="AA603" s="109">
        <v>2.5437955277407553E-3</v>
      </c>
      <c r="AB603" s="143">
        <f t="shared" si="28"/>
        <v>7.9936057773011271E-14</v>
      </c>
      <c r="AC603" s="236" t="e">
        <v>#N/A</v>
      </c>
      <c r="AD603" s="236">
        <v>2.5437955276608193E-3</v>
      </c>
    </row>
    <row r="604" spans="23:30" x14ac:dyDescent="0.2">
      <c r="W604" s="144"/>
      <c r="X604" s="113" t="str">
        <f t="shared" si="27"/>
        <v>1w</v>
      </c>
      <c r="Y604" s="106">
        <f>_xll.qlCalendarAdvance(Calendar,Y603,X604,"f",FALSE)</f>
        <v>43419</v>
      </c>
      <c r="Z604" s="108">
        <f>_xll.qlCalendarAdvance(Calendar,Y604,0&amp;"D")</f>
        <v>43419</v>
      </c>
      <c r="AA604" s="109">
        <v>2.5954372534364722E-3</v>
      </c>
      <c r="AB604" s="143">
        <f t="shared" si="28"/>
        <v>-7.9936057773011271E-14</v>
      </c>
      <c r="AC604" s="236" t="e">
        <v>#N/A</v>
      </c>
      <c r="AD604" s="236">
        <v>2.5954372535164083E-3</v>
      </c>
    </row>
    <row r="605" spans="23:30" x14ac:dyDescent="0.2">
      <c r="W605" s="144"/>
      <c r="X605" s="113" t="str">
        <f t="shared" si="27"/>
        <v>1w</v>
      </c>
      <c r="Y605" s="106">
        <f>_xll.qlCalendarAdvance(Calendar,Y604,X605,"f",FALSE)</f>
        <v>43426</v>
      </c>
      <c r="Z605" s="108">
        <f>_xll.qlCalendarAdvance(Calendar,Y605,0&amp;"D")</f>
        <v>43426</v>
      </c>
      <c r="AA605" s="109">
        <v>2.6469757377167724E-3</v>
      </c>
      <c r="AB605" s="143">
        <f t="shared" si="28"/>
        <v>0</v>
      </c>
      <c r="AC605" s="236" t="e">
        <v>#N/A</v>
      </c>
      <c r="AD605" s="236">
        <v>2.6469757377167724E-3</v>
      </c>
    </row>
    <row r="606" spans="23:30" x14ac:dyDescent="0.2">
      <c r="W606" s="144"/>
      <c r="X606" s="113" t="str">
        <f t="shared" si="27"/>
        <v>1w</v>
      </c>
      <c r="Y606" s="106">
        <f>_xll.qlCalendarAdvance(Calendar,Y605,X606,"f",FALSE)</f>
        <v>43433</v>
      </c>
      <c r="Z606" s="108">
        <f>_xll.qlCalendarAdvance(Calendar,Y606,0&amp;"D")</f>
        <v>43433</v>
      </c>
      <c r="AA606" s="109">
        <v>2.698410980821464E-3</v>
      </c>
      <c r="AB606" s="143">
        <f t="shared" si="28"/>
        <v>7.9936057773011271E-14</v>
      </c>
      <c r="AC606" s="236" t="e">
        <v>#N/A</v>
      </c>
      <c r="AD606" s="236">
        <v>2.698410980741528E-3</v>
      </c>
    </row>
    <row r="607" spans="23:30" x14ac:dyDescent="0.2">
      <c r="W607" s="144"/>
      <c r="X607" s="113" t="str">
        <f t="shared" si="27"/>
        <v>1w</v>
      </c>
      <c r="Y607" s="106">
        <f>_xll.qlCalendarAdvance(Calendar,Y606,X607,"f",FALSE)</f>
        <v>43440</v>
      </c>
      <c r="Z607" s="108">
        <f>_xll.qlCalendarAdvance(Calendar,Y607,0&amp;"D")</f>
        <v>43440</v>
      </c>
      <c r="AA607" s="109">
        <v>2.7497429820311226E-3</v>
      </c>
      <c r="AB607" s="143">
        <f t="shared" si="28"/>
        <v>0</v>
      </c>
      <c r="AC607" s="236" t="e">
        <v>#N/A</v>
      </c>
      <c r="AD607" s="236">
        <v>2.7497429820311226E-3</v>
      </c>
    </row>
    <row r="608" spans="23:30" x14ac:dyDescent="0.2">
      <c r="W608" s="144"/>
      <c r="X608" s="113" t="str">
        <f t="shared" si="27"/>
        <v>1w</v>
      </c>
      <c r="Y608" s="106">
        <f>_xll.qlCalendarAdvance(Calendar,Y607,X608,"f",FALSE)</f>
        <v>43447</v>
      </c>
      <c r="Z608" s="108">
        <f>_xll.qlCalendarAdvance(Calendar,Y608,0&amp;"D")</f>
        <v>43447</v>
      </c>
      <c r="AA608" s="109">
        <v>2.8009717419053004E-3</v>
      </c>
      <c r="AB608" s="143">
        <f t="shared" si="28"/>
        <v>0</v>
      </c>
      <c r="AC608" s="236" t="e">
        <v>#N/A</v>
      </c>
      <c r="AD608" s="236">
        <v>2.8009717419053004E-3</v>
      </c>
    </row>
    <row r="609" spans="23:30" x14ac:dyDescent="0.2">
      <c r="W609" s="144"/>
      <c r="X609" s="113" t="str">
        <f t="shared" si="27"/>
        <v>1w</v>
      </c>
      <c r="Y609" s="106">
        <f>_xll.qlCalendarAdvance(Calendar,Y608,X609,"f",FALSE)</f>
        <v>43454</v>
      </c>
      <c r="Z609" s="108">
        <f>_xll.qlCalendarAdvance(Calendar,Y609,0&amp;"D")</f>
        <v>43454</v>
      </c>
      <c r="AA609" s="109">
        <v>2.8520972602041894E-3</v>
      </c>
      <c r="AB609" s="143">
        <f t="shared" si="28"/>
        <v>0</v>
      </c>
      <c r="AC609" s="236" t="e">
        <v>#N/A</v>
      </c>
      <c r="AD609" s="236">
        <v>2.8520972602041894E-3</v>
      </c>
    </row>
    <row r="610" spans="23:30" x14ac:dyDescent="0.2">
      <c r="W610" s="144"/>
      <c r="X610" s="113" t="str">
        <f t="shared" si="27"/>
        <v>1w</v>
      </c>
      <c r="Y610" s="106">
        <f>_xll.qlCalendarAdvance(Calendar,Y609,X610,"f",FALSE)</f>
        <v>43461</v>
      </c>
      <c r="Z610" s="108">
        <f>_xll.qlCalendarAdvance(Calendar,Y610,0&amp;"D")</f>
        <v>43461</v>
      </c>
      <c r="AA610" s="109">
        <v>2.9031195365281093E-3</v>
      </c>
      <c r="AB610" s="143">
        <f t="shared" si="28"/>
        <v>-7.9936057773011271E-14</v>
      </c>
      <c r="AC610" s="236" t="e">
        <v>#N/A</v>
      </c>
      <c r="AD610" s="236">
        <v>2.9031195366080453E-3</v>
      </c>
    </row>
    <row r="611" spans="23:30" x14ac:dyDescent="0.2">
      <c r="W611" s="144"/>
      <c r="X611" s="113" t="str">
        <f t="shared" si="27"/>
        <v>1w</v>
      </c>
      <c r="Y611" s="106">
        <f>_xll.qlCalendarAdvance(Calendar,Y610,X611,"f",FALSE)</f>
        <v>43468</v>
      </c>
      <c r="Z611" s="108">
        <f>_xll.qlCalendarAdvance(Calendar,Y611,0&amp;"D")</f>
        <v>43468</v>
      </c>
      <c r="AA611" s="109">
        <v>2.9540385715165485E-3</v>
      </c>
      <c r="AB611" s="143">
        <f t="shared" si="28"/>
        <v>0</v>
      </c>
      <c r="AC611" s="236" t="e">
        <v>#N/A</v>
      </c>
      <c r="AD611" s="236">
        <v>2.9540385715165485E-3</v>
      </c>
    </row>
    <row r="612" spans="23:30" x14ac:dyDescent="0.2">
      <c r="W612" s="144"/>
      <c r="X612" s="113" t="str">
        <f t="shared" si="27"/>
        <v>1w</v>
      </c>
      <c r="Y612" s="106">
        <f>_xll.qlCalendarAdvance(Calendar,Y611,X612,"f",FALSE)</f>
        <v>43475</v>
      </c>
      <c r="Z612" s="108">
        <f>_xll.qlCalendarAdvance(Calendar,Y612,0&amp;"D")</f>
        <v>43475</v>
      </c>
      <c r="AA612" s="109">
        <v>3.0048543646099546E-3</v>
      </c>
      <c r="AB612" s="143">
        <f t="shared" si="28"/>
        <v>0</v>
      </c>
      <c r="AC612" s="236" t="e">
        <v>#N/A</v>
      </c>
      <c r="AD612" s="236">
        <v>3.0048543646099546E-3</v>
      </c>
    </row>
    <row r="613" spans="23:30" x14ac:dyDescent="0.2">
      <c r="W613" s="144"/>
      <c r="X613" s="113" t="str">
        <f t="shared" si="27"/>
        <v>1w</v>
      </c>
      <c r="Y613" s="106">
        <f>_xll.qlCalendarAdvance(Calendar,Y612,X613,"f",FALSE)</f>
        <v>43482</v>
      </c>
      <c r="Z613" s="108">
        <f>_xll.qlCalendarAdvance(Calendar,Y613,0&amp;"D")</f>
        <v>43482</v>
      </c>
      <c r="AA613" s="109">
        <v>3.0555669159681997E-3</v>
      </c>
      <c r="AB613" s="143">
        <f t="shared" si="28"/>
        <v>0</v>
      </c>
      <c r="AC613" s="236" t="e">
        <v>#N/A</v>
      </c>
      <c r="AD613" s="236">
        <v>3.0555669159681997E-3</v>
      </c>
    </row>
    <row r="614" spans="23:30" x14ac:dyDescent="0.2">
      <c r="W614" s="144"/>
      <c r="X614" s="113" t="str">
        <f t="shared" si="27"/>
        <v>1w</v>
      </c>
      <c r="Y614" s="106">
        <f>_xll.qlCalendarAdvance(Calendar,Y613,X614,"f",FALSE)</f>
        <v>43489</v>
      </c>
      <c r="Z614" s="108">
        <f>_xll.qlCalendarAdvance(Calendar,Y614,0&amp;"D")</f>
        <v>43489</v>
      </c>
      <c r="AA614" s="109">
        <v>3.10617622567122E-3</v>
      </c>
      <c r="AB614" s="143">
        <f t="shared" si="28"/>
        <v>0</v>
      </c>
      <c r="AC614" s="236" t="e">
        <v>#N/A</v>
      </c>
      <c r="AD614" s="236">
        <v>3.10617622567122E-3</v>
      </c>
    </row>
    <row r="615" spans="23:30" x14ac:dyDescent="0.2">
      <c r="W615" s="144"/>
      <c r="X615" s="113" t="str">
        <f t="shared" si="27"/>
        <v>1w</v>
      </c>
      <c r="Y615" s="106">
        <f>_xll.qlCalendarAdvance(Calendar,Y614,X615,"f",FALSE)</f>
        <v>43496</v>
      </c>
      <c r="Z615" s="108">
        <f>_xll.qlCalendarAdvance(Calendar,Y615,0&amp;"D")</f>
        <v>43496</v>
      </c>
      <c r="AA615" s="109">
        <v>3.1566822933992711E-3</v>
      </c>
      <c r="AB615" s="143">
        <f t="shared" si="28"/>
        <v>7.9936057773011271E-14</v>
      </c>
      <c r="AC615" s="236" t="e">
        <v>#N/A</v>
      </c>
      <c r="AD615" s="236">
        <v>3.156682293319335E-3</v>
      </c>
    </row>
    <row r="616" spans="23:30" x14ac:dyDescent="0.2">
      <c r="W616" s="144"/>
      <c r="X616" s="113" t="str">
        <f t="shared" si="27"/>
        <v>1w</v>
      </c>
      <c r="Y616" s="106">
        <f>_xll.qlCalendarAdvance(Calendar,Y615,X616,"f",FALSE)</f>
        <v>43503</v>
      </c>
      <c r="Z616" s="108">
        <f>_xll.qlCalendarAdvance(Calendar,Y616,0&amp;"D")</f>
        <v>43503</v>
      </c>
      <c r="AA616" s="109">
        <v>3.2070851191523531E-3</v>
      </c>
      <c r="AB616" s="143">
        <f t="shared" si="28"/>
        <v>0</v>
      </c>
      <c r="AC616" s="236" t="e">
        <v>#N/A</v>
      </c>
      <c r="AD616" s="236">
        <v>3.2070851191523531E-3</v>
      </c>
    </row>
    <row r="617" spans="23:30" x14ac:dyDescent="0.2">
      <c r="W617" s="144"/>
      <c r="X617" s="113" t="str">
        <f t="shared" si="27"/>
        <v>1w</v>
      </c>
      <c r="Y617" s="106">
        <f>_xll.qlCalendarAdvance(Calendar,Y616,X617,"f",FALSE)</f>
        <v>43510</v>
      </c>
      <c r="Z617" s="108">
        <f>_xll.qlCalendarAdvance(Calendar,Y617,0&amp;"D")</f>
        <v>43510</v>
      </c>
      <c r="AA617" s="109">
        <v>3.2573847030104019E-3</v>
      </c>
      <c r="AB617" s="143">
        <f t="shared" si="28"/>
        <v>7.9936057773011271E-14</v>
      </c>
      <c r="AC617" s="236" t="e">
        <v>#N/A</v>
      </c>
      <c r="AD617" s="236">
        <v>3.2573847029304659E-3</v>
      </c>
    </row>
    <row r="618" spans="23:30" x14ac:dyDescent="0.2">
      <c r="W618" s="144"/>
      <c r="X618" s="113" t="str">
        <f t="shared" si="27"/>
        <v>1w</v>
      </c>
      <c r="Y618" s="106">
        <f>_xll.qlCalendarAdvance(Calendar,Y617,X618,"f",FALSE)</f>
        <v>43517</v>
      </c>
      <c r="Z618" s="108">
        <f>_xll.qlCalendarAdvance(Calendar,Y618,0&amp;"D")</f>
        <v>43517</v>
      </c>
      <c r="AA618" s="109">
        <v>3.3075810448135456E-3</v>
      </c>
      <c r="AB618" s="143">
        <f t="shared" si="28"/>
        <v>0</v>
      </c>
      <c r="AC618" s="236" t="e">
        <v>#N/A</v>
      </c>
      <c r="AD618" s="236">
        <v>3.3075810448135456E-3</v>
      </c>
    </row>
    <row r="619" spans="23:30" x14ac:dyDescent="0.2">
      <c r="W619" s="144"/>
      <c r="X619" s="113" t="str">
        <f t="shared" si="27"/>
        <v>1w</v>
      </c>
      <c r="Y619" s="106">
        <f>_xll.qlCalendarAdvance(Calendar,Y618,X619,"f",FALSE)</f>
        <v>43524</v>
      </c>
      <c r="Z619" s="108">
        <f>_xll.qlCalendarAdvance(Calendar,Y619,0&amp;"D")</f>
        <v>43524</v>
      </c>
      <c r="AA619" s="109">
        <v>3.3576741446417202E-3</v>
      </c>
      <c r="AB619" s="143">
        <f t="shared" si="28"/>
        <v>0</v>
      </c>
      <c r="AC619" s="236" t="e">
        <v>#N/A</v>
      </c>
      <c r="AD619" s="236">
        <v>3.3576741446417202E-3</v>
      </c>
    </row>
    <row r="620" spans="23:30" x14ac:dyDescent="0.2">
      <c r="W620" s="144"/>
      <c r="X620" s="113" t="str">
        <f t="shared" si="27"/>
        <v>1w</v>
      </c>
      <c r="Y620" s="106">
        <f>_xll.qlCalendarAdvance(Calendar,Y619,X620,"f",FALSE)</f>
        <v>43531</v>
      </c>
      <c r="Z620" s="108">
        <f>_xll.qlCalendarAdvance(Calendar,Y620,0&amp;"D")</f>
        <v>43531</v>
      </c>
      <c r="AA620" s="109">
        <v>3.4076640024149896E-3</v>
      </c>
      <c r="AB620" s="143">
        <f t="shared" si="28"/>
        <v>0</v>
      </c>
      <c r="AC620" s="236" t="e">
        <v>#N/A</v>
      </c>
      <c r="AD620" s="236">
        <v>3.4076640024149896E-3</v>
      </c>
    </row>
    <row r="621" spans="23:30" x14ac:dyDescent="0.2">
      <c r="W621" s="144"/>
      <c r="X621" s="113" t="str">
        <f t="shared" si="27"/>
        <v>1w</v>
      </c>
      <c r="Y621" s="106">
        <f>_xll.qlCalendarAdvance(Calendar,Y620,X621,"f",FALSE)</f>
        <v>43538</v>
      </c>
      <c r="Z621" s="108">
        <f>_xll.qlCalendarAdvance(Calendar,Y621,0&amp;"D")</f>
        <v>43538</v>
      </c>
      <c r="AA621" s="109">
        <v>3.4575506178935456E-3</v>
      </c>
      <c r="AB621" s="143">
        <f t="shared" si="28"/>
        <v>-7.9936057773011271E-14</v>
      </c>
      <c r="AC621" s="236" t="e">
        <v>#N/A</v>
      </c>
      <c r="AD621" s="236">
        <v>3.4575506179734816E-3</v>
      </c>
    </row>
    <row r="622" spans="23:30" x14ac:dyDescent="0.2">
      <c r="W622" s="144"/>
      <c r="X622" s="113" t="str">
        <f t="shared" si="27"/>
        <v>1w</v>
      </c>
      <c r="Y622" s="106">
        <f>_xll.qlCalendarAdvance(Calendar,Y621,X622,"f",FALSE)</f>
        <v>43545</v>
      </c>
      <c r="Z622" s="108">
        <f>_xll.qlCalendarAdvance(Calendar,Y622,0&amp;"D")</f>
        <v>43545</v>
      </c>
      <c r="AA622" s="109">
        <v>3.5073339914770685E-3</v>
      </c>
      <c r="AB622" s="143">
        <f t="shared" si="28"/>
        <v>0</v>
      </c>
      <c r="AC622" s="236" t="e">
        <v>#N/A</v>
      </c>
      <c r="AD622" s="236">
        <v>3.5073339914770685E-3</v>
      </c>
    </row>
    <row r="623" spans="23:30" x14ac:dyDescent="0.2">
      <c r="W623" s="144"/>
      <c r="X623" s="113" t="str">
        <f t="shared" si="27"/>
        <v>1w</v>
      </c>
      <c r="Y623" s="106">
        <f>_xll.qlCalendarAdvance(Calendar,Y622,X623,"f",FALSE)</f>
        <v>43552</v>
      </c>
      <c r="Z623" s="108">
        <f>_xll.qlCalendarAdvance(Calendar,Y623,0&amp;"D")</f>
        <v>43552</v>
      </c>
      <c r="AA623" s="109">
        <v>3.5570141226060059E-3</v>
      </c>
      <c r="AB623" s="143">
        <f t="shared" si="28"/>
        <v>0</v>
      </c>
      <c r="AC623" s="236" t="e">
        <v>#N/A</v>
      </c>
      <c r="AD623" s="236">
        <v>3.5570141226060059E-3</v>
      </c>
    </row>
    <row r="624" spans="23:30" x14ac:dyDescent="0.2">
      <c r="W624" s="144"/>
      <c r="X624" s="113" t="str">
        <f t="shared" si="27"/>
        <v>1w</v>
      </c>
      <c r="Y624" s="106">
        <f>_xll.qlCalendarAdvance(Calendar,Y623,X624,"f",FALSE)</f>
        <v>43559</v>
      </c>
      <c r="Z624" s="108">
        <f>_xll.qlCalendarAdvance(Calendar,Y624,0&amp;"D")</f>
        <v>43559</v>
      </c>
      <c r="AA624" s="109">
        <v>3.6065910116001021E-3</v>
      </c>
      <c r="AB624" s="143">
        <f t="shared" si="28"/>
        <v>0</v>
      </c>
      <c r="AC624" s="236" t="e">
        <v>#N/A</v>
      </c>
      <c r="AD624" s="236">
        <v>3.6065910116001021E-3</v>
      </c>
    </row>
    <row r="625" spans="23:30" x14ac:dyDescent="0.2">
      <c r="W625" s="144"/>
      <c r="X625" s="113" t="str">
        <f t="shared" si="27"/>
        <v>1w</v>
      </c>
      <c r="Y625" s="106">
        <f>_xll.qlCalendarAdvance(Calendar,Y624,X625,"f",FALSE)</f>
        <v>43566</v>
      </c>
      <c r="Z625" s="108">
        <f>_xll.qlCalendarAdvance(Calendar,Y625,0&amp;"D")</f>
        <v>43566</v>
      </c>
      <c r="AA625" s="109">
        <v>3.656064658379421E-3</v>
      </c>
      <c r="AB625" s="143">
        <f t="shared" si="28"/>
        <v>0</v>
      </c>
      <c r="AC625" s="236" t="e">
        <v>#N/A</v>
      </c>
      <c r="AD625" s="236">
        <v>3.656064658379421E-3</v>
      </c>
    </row>
    <row r="626" spans="23:30" x14ac:dyDescent="0.2">
      <c r="W626" s="144"/>
      <c r="X626" s="113" t="str">
        <f t="shared" si="27"/>
        <v>1w</v>
      </c>
      <c r="Y626" s="106">
        <f>_xll.qlCalendarAdvance(Calendar,Y625,X626,"f",FALSE)</f>
        <v>43573</v>
      </c>
      <c r="Z626" s="108">
        <f>_xll.qlCalendarAdvance(Calendar,Y626,0&amp;"D")</f>
        <v>43573</v>
      </c>
      <c r="AA626" s="109">
        <v>3.7195966834762118E-3</v>
      </c>
      <c r="AB626" s="143">
        <f t="shared" si="28"/>
        <v>0</v>
      </c>
      <c r="AC626" s="236" t="e">
        <v>#N/A</v>
      </c>
      <c r="AD626" s="236">
        <v>3.7195966834762118E-3</v>
      </c>
    </row>
    <row r="627" spans="23:30" x14ac:dyDescent="0.2">
      <c r="W627" s="144"/>
      <c r="X627" s="113" t="str">
        <f t="shared" si="27"/>
        <v>1w</v>
      </c>
      <c r="Y627" s="106">
        <f>_xll.qlCalendarAdvance(Calendar,Y626,X627,"f",FALSE)</f>
        <v>43580</v>
      </c>
      <c r="Z627" s="108">
        <f>_xll.qlCalendarAdvance(Calendar,Y627,0&amp;"D")</f>
        <v>43580</v>
      </c>
      <c r="AA627" s="109">
        <v>3.7547022247341744E-3</v>
      </c>
      <c r="AB627" s="143">
        <f t="shared" si="28"/>
        <v>0</v>
      </c>
      <c r="AC627" s="236" t="e">
        <v>#N/A</v>
      </c>
      <c r="AD627" s="236">
        <v>3.7547022247341744E-3</v>
      </c>
    </row>
    <row r="628" spans="23:30" x14ac:dyDescent="0.2">
      <c r="W628" s="144"/>
      <c r="X628" s="113" t="str">
        <f t="shared" si="27"/>
        <v>1w</v>
      </c>
      <c r="Y628" s="106">
        <f>_xll.qlCalendarAdvance(Calendar,Y627,X628,"f",FALSE)</f>
        <v>43587</v>
      </c>
      <c r="Z628" s="108">
        <f>_xll.qlCalendarAdvance(Calendar,Y628,0&amp;"D")</f>
        <v>43587</v>
      </c>
      <c r="AA628" s="109">
        <v>3.8038661443096089E-3</v>
      </c>
      <c r="AB628" s="143">
        <f t="shared" si="28"/>
        <v>0</v>
      </c>
      <c r="AC628" s="236" t="e">
        <v>#N/A</v>
      </c>
      <c r="AD628" s="236">
        <v>3.8038661443096089E-3</v>
      </c>
    </row>
    <row r="629" spans="23:30" x14ac:dyDescent="0.2">
      <c r="W629" s="144"/>
      <c r="X629" s="113" t="str">
        <f t="shared" si="27"/>
        <v>1w</v>
      </c>
      <c r="Y629" s="106">
        <f>_xll.qlCalendarAdvance(Calendar,Y628,X629,"f",FALSE)</f>
        <v>43594</v>
      </c>
      <c r="Z629" s="108">
        <f>_xll.qlCalendarAdvance(Calendar,Y629,0&amp;"D")</f>
        <v>43594</v>
      </c>
      <c r="AA629" s="109">
        <v>3.8529268214304579E-3</v>
      </c>
      <c r="AB629" s="143">
        <f t="shared" si="28"/>
        <v>0</v>
      </c>
      <c r="AC629" s="236" t="e">
        <v>#N/A</v>
      </c>
      <c r="AD629" s="236">
        <v>3.8529268214304579E-3</v>
      </c>
    </row>
    <row r="630" spans="23:30" x14ac:dyDescent="0.2">
      <c r="W630" s="144"/>
      <c r="X630" s="113" t="str">
        <f t="shared" si="27"/>
        <v>1w</v>
      </c>
      <c r="Y630" s="106">
        <f>_xll.qlCalendarAdvance(Calendar,Y629,X630,"f",FALSE)</f>
        <v>43601</v>
      </c>
      <c r="Z630" s="108">
        <f>_xll.qlCalendarAdvance(Calendar,Y630,0&amp;"D")</f>
        <v>43601</v>
      </c>
      <c r="AA630" s="109">
        <v>3.9018842559368494E-3</v>
      </c>
      <c r="AB630" s="143">
        <f t="shared" si="28"/>
        <v>0</v>
      </c>
      <c r="AC630" s="236" t="e">
        <v>#N/A</v>
      </c>
      <c r="AD630" s="236">
        <v>3.9018842559368494E-3</v>
      </c>
    </row>
    <row r="631" spans="23:30" x14ac:dyDescent="0.2">
      <c r="W631" s="144"/>
      <c r="X631" s="113" t="str">
        <f t="shared" si="27"/>
        <v>1w</v>
      </c>
      <c r="Y631" s="106">
        <f>_xll.qlCalendarAdvance(Calendar,Y630,X631,"f",FALSE)</f>
        <v>43608</v>
      </c>
      <c r="Z631" s="108">
        <f>_xll.qlCalendarAdvance(Calendar,Y631,0&amp;"D")</f>
        <v>43608</v>
      </c>
      <c r="AA631" s="109">
        <v>3.9507384479886554E-3</v>
      </c>
      <c r="AB631" s="143">
        <f t="shared" si="28"/>
        <v>0</v>
      </c>
      <c r="AC631" s="236" t="e">
        <v>#N/A</v>
      </c>
      <c r="AD631" s="236">
        <v>3.9507384479886554E-3</v>
      </c>
    </row>
    <row r="632" spans="23:30" x14ac:dyDescent="0.2">
      <c r="W632" s="144"/>
      <c r="X632" s="113" t="str">
        <f t="shared" si="27"/>
        <v>1w</v>
      </c>
      <c r="Y632" s="106">
        <f>_xll.qlCalendarAdvance(Calendar,Y631,X632,"f",FALSE)</f>
        <v>43615</v>
      </c>
      <c r="Z632" s="108">
        <f>_xll.qlCalendarAdvance(Calendar,Y632,0&amp;"D")</f>
        <v>43615</v>
      </c>
      <c r="AA632" s="109">
        <v>3.9994893975858758E-3</v>
      </c>
      <c r="AB632" s="143">
        <f t="shared" si="28"/>
        <v>0</v>
      </c>
      <c r="AC632" s="236" t="e">
        <v>#N/A</v>
      </c>
      <c r="AD632" s="236">
        <v>3.9994893975858758E-3</v>
      </c>
    </row>
    <row r="633" spans="23:30" x14ac:dyDescent="0.2">
      <c r="W633" s="144"/>
      <c r="X633" s="113" t="str">
        <f t="shared" si="27"/>
        <v>1w</v>
      </c>
      <c r="Y633" s="106">
        <f>_xll.qlCalendarAdvance(Calendar,Y632,X633,"f",FALSE)</f>
        <v>43622</v>
      </c>
      <c r="Z633" s="108">
        <f>_xll.qlCalendarAdvance(Calendar,Y633,0&amp;"D")</f>
        <v>43622</v>
      </c>
      <c r="AA633" s="109">
        <v>4.0481660701185973E-3</v>
      </c>
      <c r="AB633" s="143">
        <f t="shared" si="28"/>
        <v>0</v>
      </c>
      <c r="AC633" s="236" t="e">
        <v>#N/A</v>
      </c>
      <c r="AD633" s="236">
        <v>4.0481660701185973E-3</v>
      </c>
    </row>
    <row r="634" spans="23:30" x14ac:dyDescent="0.2">
      <c r="W634" s="144"/>
      <c r="X634" s="113" t="str">
        <f t="shared" si="27"/>
        <v>1w</v>
      </c>
      <c r="Y634" s="106">
        <f>_xll.qlCalendarAdvance(Calendar,Y633,X634,"f",FALSE)</f>
        <v>43629</v>
      </c>
      <c r="Z634" s="108">
        <f>_xll.qlCalendarAdvance(Calendar,Y634,0&amp;"D")</f>
        <v>43629</v>
      </c>
      <c r="AA634" s="109">
        <v>4.0969406944579845E-3</v>
      </c>
      <c r="AB634" s="143">
        <f t="shared" si="28"/>
        <v>0</v>
      </c>
      <c r="AC634" s="236" t="e">
        <v>#N/A</v>
      </c>
      <c r="AD634" s="236">
        <v>4.0969406944579845E-3</v>
      </c>
    </row>
    <row r="635" spans="23:30" x14ac:dyDescent="0.2">
      <c r="W635" s="144"/>
      <c r="X635" s="113" t="str">
        <f t="shared" si="27"/>
        <v>1w</v>
      </c>
      <c r="Y635" s="106">
        <f>_xll.qlCalendarAdvance(Calendar,Y634,X635,"f",FALSE)</f>
        <v>43636</v>
      </c>
      <c r="Z635" s="108">
        <f>_xll.qlCalendarAdvance(Calendar,Y635,0&amp;"D")</f>
        <v>43636</v>
      </c>
      <c r="AA635" s="109">
        <v>4.1458422363138681E-3</v>
      </c>
      <c r="AB635" s="143">
        <f t="shared" si="28"/>
        <v>0</v>
      </c>
      <c r="AC635" s="236" t="e">
        <v>#N/A</v>
      </c>
      <c r="AD635" s="236">
        <v>4.1458422363138681E-3</v>
      </c>
    </row>
    <row r="636" spans="23:30" x14ac:dyDescent="0.2">
      <c r="W636" s="144"/>
      <c r="X636" s="113" t="str">
        <f t="shared" si="27"/>
        <v>1w</v>
      </c>
      <c r="Y636" s="106">
        <f>_xll.qlCalendarAdvance(Calendar,Y635,X636,"f",FALSE)</f>
        <v>43643</v>
      </c>
      <c r="Z636" s="108">
        <f>_xll.qlCalendarAdvance(Calendar,Y636,0&amp;"D")</f>
        <v>43643</v>
      </c>
      <c r="AA636" s="109">
        <v>4.1948706959260562E-3</v>
      </c>
      <c r="AB636" s="143">
        <f t="shared" si="28"/>
        <v>0</v>
      </c>
      <c r="AC636" s="236" t="e">
        <v>#N/A</v>
      </c>
      <c r="AD636" s="236">
        <v>4.1948706959260562E-3</v>
      </c>
    </row>
    <row r="637" spans="23:30" x14ac:dyDescent="0.2">
      <c r="W637" s="144"/>
      <c r="X637" s="113" t="str">
        <f t="shared" si="27"/>
        <v>1w</v>
      </c>
      <c r="Y637" s="106">
        <f>_xll.qlCalendarAdvance(Calendar,Y636,X637,"f",FALSE)</f>
        <v>43650</v>
      </c>
      <c r="Z637" s="108">
        <f>_xll.qlCalendarAdvance(Calendar,Y637,0&amp;"D")</f>
        <v>43650</v>
      </c>
      <c r="AA637" s="109">
        <v>4.2440260730547408E-3</v>
      </c>
      <c r="AB637" s="143">
        <f t="shared" si="28"/>
        <v>-7.9936057773011271E-14</v>
      </c>
      <c r="AC637" s="236" t="e">
        <v>#N/A</v>
      </c>
      <c r="AD637" s="236">
        <v>4.2440260731346768E-3</v>
      </c>
    </row>
    <row r="638" spans="23:30" x14ac:dyDescent="0.2">
      <c r="W638" s="144"/>
      <c r="X638" s="113" t="str">
        <f t="shared" si="27"/>
        <v>1w</v>
      </c>
      <c r="Y638" s="106">
        <f>_xll.qlCalendarAdvance(Calendar,Y637,X638,"f",FALSE)</f>
        <v>43657</v>
      </c>
      <c r="Z638" s="108">
        <f>_xll.qlCalendarAdvance(Calendar,Y638,0&amp;"D")</f>
        <v>43657</v>
      </c>
      <c r="AA638" s="109">
        <v>4.293308368019666E-3</v>
      </c>
      <c r="AB638" s="143">
        <f t="shared" si="28"/>
        <v>0</v>
      </c>
      <c r="AC638" s="236" t="e">
        <v>#N/A</v>
      </c>
      <c r="AD638" s="236">
        <v>4.293308368019666E-3</v>
      </c>
    </row>
    <row r="639" spans="23:30" x14ac:dyDescent="0.2">
      <c r="W639" s="144"/>
      <c r="X639" s="113" t="str">
        <f t="shared" si="27"/>
        <v>1w</v>
      </c>
      <c r="Y639" s="106">
        <f>_xll.qlCalendarAdvance(Calendar,Y638,X639,"f",FALSE)</f>
        <v>43664</v>
      </c>
      <c r="Z639" s="108">
        <f>_xll.qlCalendarAdvance(Calendar,Y639,0&amp;"D")</f>
        <v>43664</v>
      </c>
      <c r="AA639" s="109">
        <v>4.3427175807408958E-3</v>
      </c>
      <c r="AB639" s="143">
        <f t="shared" si="28"/>
        <v>0</v>
      </c>
      <c r="AC639" s="236" t="e">
        <v>#N/A</v>
      </c>
      <c r="AD639" s="236">
        <v>4.3427175807408958E-3</v>
      </c>
    </row>
    <row r="640" spans="23:30" x14ac:dyDescent="0.2">
      <c r="W640" s="144"/>
      <c r="X640" s="113" t="str">
        <f t="shared" si="27"/>
        <v>1w</v>
      </c>
      <c r="Y640" s="106">
        <f>_xll.qlCalendarAdvance(Calendar,Y639,X640,"f",FALSE)</f>
        <v>43671</v>
      </c>
      <c r="Z640" s="108">
        <f>_xll.qlCalendarAdvance(Calendar,Y640,0&amp;"D")</f>
        <v>43671</v>
      </c>
      <c r="AA640" s="109">
        <v>4.3922537112184301E-3</v>
      </c>
      <c r="AB640" s="143">
        <f t="shared" si="28"/>
        <v>0</v>
      </c>
      <c r="AC640" s="236" t="e">
        <v>#N/A</v>
      </c>
      <c r="AD640" s="236">
        <v>4.3922537112184301E-3</v>
      </c>
    </row>
    <row r="641" spans="23:30" x14ac:dyDescent="0.2">
      <c r="W641" s="144"/>
      <c r="X641" s="113" t="str">
        <f t="shared" si="27"/>
        <v>1w</v>
      </c>
      <c r="Y641" s="106">
        <f>_xll.qlCalendarAdvance(Calendar,Y640,X641,"f",FALSE)</f>
        <v>43678</v>
      </c>
      <c r="Z641" s="108">
        <f>_xll.qlCalendarAdvance(Calendar,Y641,0&amp;"D")</f>
        <v>43678</v>
      </c>
      <c r="AA641" s="109">
        <v>4.4419167595322051E-3</v>
      </c>
      <c r="AB641" s="143">
        <f t="shared" si="28"/>
        <v>0</v>
      </c>
      <c r="AC641" s="236" t="e">
        <v>#N/A</v>
      </c>
      <c r="AD641" s="236">
        <v>4.4419167595322051E-3</v>
      </c>
    </row>
    <row r="642" spans="23:30" x14ac:dyDescent="0.2">
      <c r="W642" s="144"/>
      <c r="X642" s="113" t="str">
        <f t="shared" si="27"/>
        <v>1w</v>
      </c>
      <c r="Y642" s="106">
        <f>_xll.qlCalendarAdvance(Calendar,Y641,X642,"f",FALSE)</f>
        <v>43685</v>
      </c>
      <c r="Z642" s="108">
        <f>_xll.qlCalendarAdvance(Calendar,Y642,0&amp;"D")</f>
        <v>43685</v>
      </c>
      <c r="AA642" s="109">
        <v>4.4917067259220289E-3</v>
      </c>
      <c r="AB642" s="143">
        <f t="shared" si="28"/>
        <v>0</v>
      </c>
      <c r="AC642" s="236" t="e">
        <v>#N/A</v>
      </c>
      <c r="AD642" s="236">
        <v>4.4917067259220289E-3</v>
      </c>
    </row>
    <row r="643" spans="23:30" x14ac:dyDescent="0.2">
      <c r="W643" s="144"/>
      <c r="X643" s="113" t="str">
        <f t="shared" si="27"/>
        <v>1w</v>
      </c>
      <c r="Y643" s="106">
        <f>_xll.qlCalendarAdvance(Calendar,Y642,X643,"f",FALSE)</f>
        <v>43692</v>
      </c>
      <c r="Z643" s="108">
        <f>_xll.qlCalendarAdvance(Calendar,Y643,0&amp;"D")</f>
        <v>43692</v>
      </c>
      <c r="AA643" s="109">
        <v>4.5416236102280294E-3</v>
      </c>
      <c r="AB643" s="143">
        <f t="shared" si="28"/>
        <v>7.9936057773011271E-14</v>
      </c>
      <c r="AC643" s="236" t="e">
        <v>#N/A</v>
      </c>
      <c r="AD643" s="236">
        <v>4.5416236101480933E-3</v>
      </c>
    </row>
    <row r="644" spans="23:30" x14ac:dyDescent="0.2">
      <c r="W644" s="144"/>
      <c r="X644" s="113" t="str">
        <f t="shared" si="27"/>
        <v>1w</v>
      </c>
      <c r="Y644" s="106">
        <f>_xll.qlCalendarAdvance(Calendar,Y643,X644,"f",FALSE)</f>
        <v>43699</v>
      </c>
      <c r="Z644" s="108">
        <f>_xll.qlCalendarAdvance(Calendar,Y644,0&amp;"D")</f>
        <v>43699</v>
      </c>
      <c r="AA644" s="109">
        <v>4.5916674125301427E-3</v>
      </c>
      <c r="AB644" s="143">
        <f t="shared" si="28"/>
        <v>0</v>
      </c>
      <c r="AC644" s="236" t="e">
        <v>#N/A</v>
      </c>
      <c r="AD644" s="236">
        <v>4.5916674125301427E-3</v>
      </c>
    </row>
    <row r="645" spans="23:30" x14ac:dyDescent="0.2">
      <c r="W645" s="144"/>
      <c r="X645" s="113" t="str">
        <f t="shared" si="27"/>
        <v>1w</v>
      </c>
      <c r="Y645" s="106">
        <f>_xll.qlCalendarAdvance(Calendar,Y644,X645,"f",FALSE)</f>
        <v>43706</v>
      </c>
      <c r="Z645" s="108">
        <f>_xll.qlCalendarAdvance(Calendar,Y645,0&amp;"D")</f>
        <v>43706</v>
      </c>
      <c r="AA645" s="109">
        <v>4.6418381329882408E-3</v>
      </c>
      <c r="AB645" s="143">
        <f t="shared" si="28"/>
        <v>0</v>
      </c>
      <c r="AC645" s="236" t="e">
        <v>#N/A</v>
      </c>
      <c r="AD645" s="236">
        <v>4.6418381329882408E-3</v>
      </c>
    </row>
    <row r="646" spans="23:30" x14ac:dyDescent="0.2">
      <c r="W646" s="144"/>
      <c r="X646" s="113" t="str">
        <f t="shared" si="27"/>
        <v>1w</v>
      </c>
      <c r="Y646" s="106">
        <f>_xll.qlCalendarAdvance(Calendar,Y645,X646,"f",FALSE)</f>
        <v>43713</v>
      </c>
      <c r="Z646" s="108">
        <f>_xll.qlCalendarAdvance(Calendar,Y646,0&amp;"D")</f>
        <v>43713</v>
      </c>
      <c r="AA646" s="109">
        <v>4.6921357715223877E-3</v>
      </c>
      <c r="AB646" s="143">
        <f t="shared" si="28"/>
        <v>0</v>
      </c>
      <c r="AC646" s="236" t="e">
        <v>#N/A</v>
      </c>
      <c r="AD646" s="236">
        <v>4.6921357715223877E-3</v>
      </c>
    </row>
    <row r="647" spans="23:30" x14ac:dyDescent="0.2">
      <c r="W647" s="144"/>
      <c r="X647" s="113" t="str">
        <f t="shared" si="27"/>
        <v>1w</v>
      </c>
      <c r="Y647" s="106">
        <f>_xll.qlCalendarAdvance(Calendar,Y646,X647,"f",FALSE)</f>
        <v>43720</v>
      </c>
      <c r="Z647" s="108">
        <f>_xll.qlCalendarAdvance(Calendar,Y647,0&amp;"D")</f>
        <v>43720</v>
      </c>
      <c r="AA647" s="109">
        <v>4.7425603282125195E-3</v>
      </c>
      <c r="AB647" s="143">
        <f t="shared" si="28"/>
        <v>0</v>
      </c>
      <c r="AC647" s="236" t="e">
        <v>#N/A</v>
      </c>
      <c r="AD647" s="236">
        <v>4.7425603282125195E-3</v>
      </c>
    </row>
    <row r="648" spans="23:30" x14ac:dyDescent="0.2">
      <c r="W648" s="144"/>
      <c r="X648" s="113" t="str">
        <f t="shared" si="27"/>
        <v>1w</v>
      </c>
      <c r="Y648" s="106">
        <f>_xll.qlCalendarAdvance(Calendar,Y647,X648,"f",FALSE)</f>
        <v>43727</v>
      </c>
      <c r="Z648" s="108">
        <f>_xll.qlCalendarAdvance(Calendar,Y648,0&amp;"D")</f>
        <v>43727</v>
      </c>
      <c r="AA648" s="109">
        <v>4.7931118031385722E-3</v>
      </c>
      <c r="AB648" s="143">
        <f t="shared" si="28"/>
        <v>0</v>
      </c>
      <c r="AC648" s="236" t="e">
        <v>#N/A</v>
      </c>
      <c r="AD648" s="236">
        <v>4.7931118031385722E-3</v>
      </c>
    </row>
    <row r="649" spans="23:30" x14ac:dyDescent="0.2">
      <c r="W649" s="144"/>
      <c r="X649" s="113" t="str">
        <f t="shared" si="27"/>
        <v>1w</v>
      </c>
      <c r="Y649" s="106">
        <f>_xll.qlCalendarAdvance(Calendar,Y648,X649,"f",FALSE)</f>
        <v>43734</v>
      </c>
      <c r="Z649" s="108">
        <f>_xll.qlCalendarAdvance(Calendar,Y649,0&amp;"D")</f>
        <v>43734</v>
      </c>
      <c r="AA649" s="109">
        <v>4.843790196540354E-3</v>
      </c>
      <c r="AB649" s="143">
        <f t="shared" si="28"/>
        <v>0</v>
      </c>
      <c r="AC649" s="236" t="e">
        <v>#N/A</v>
      </c>
      <c r="AD649" s="236">
        <v>4.843790196540354E-3</v>
      </c>
    </row>
    <row r="650" spans="23:30" x14ac:dyDescent="0.2">
      <c r="W650" s="144"/>
      <c r="X650" s="113" t="str">
        <f t="shared" si="27"/>
        <v>1w</v>
      </c>
      <c r="Y650" s="106">
        <f>_xll.qlCalendarAdvance(Calendar,Y649,X650,"f",FALSE)</f>
        <v>43741</v>
      </c>
      <c r="Z650" s="108">
        <f>_xll.qlCalendarAdvance(Calendar,Y650,0&amp;"D")</f>
        <v>43741</v>
      </c>
      <c r="AA650" s="109">
        <v>4.8945955080981207E-3</v>
      </c>
      <c r="AB650" s="143">
        <f t="shared" si="28"/>
        <v>0</v>
      </c>
      <c r="AC650" s="236" t="e">
        <v>#N/A</v>
      </c>
      <c r="AD650" s="236">
        <v>4.8945955080981207E-3</v>
      </c>
    </row>
    <row r="651" spans="23:30" x14ac:dyDescent="0.2">
      <c r="W651" s="144"/>
      <c r="X651" s="113" t="str">
        <f t="shared" si="27"/>
        <v>1w</v>
      </c>
      <c r="Y651" s="106">
        <f>_xll.qlCalendarAdvance(Calendar,Y650,X651,"f",FALSE)</f>
        <v>43748</v>
      </c>
      <c r="Z651" s="108">
        <f>_xll.qlCalendarAdvance(Calendar,Y651,0&amp;"D")</f>
        <v>43748</v>
      </c>
      <c r="AA651" s="109">
        <v>4.9455277382115526E-3</v>
      </c>
      <c r="AB651" s="143">
        <f t="shared" si="28"/>
        <v>0</v>
      </c>
      <c r="AC651" s="236" t="e">
        <v>#N/A</v>
      </c>
      <c r="AD651" s="236">
        <v>4.9455277382115526E-3</v>
      </c>
    </row>
    <row r="652" spans="23:30" x14ac:dyDescent="0.2">
      <c r="W652" s="144"/>
      <c r="X652" s="113" t="str">
        <f t="shared" si="27"/>
        <v>1w</v>
      </c>
      <c r="Y652" s="106">
        <f>_xll.qlCalendarAdvance(Calendar,Y651,X652,"f",FALSE)</f>
        <v>43755</v>
      </c>
      <c r="Z652" s="108">
        <f>_xll.qlCalendarAdvance(Calendar,Y652,0&amp;"D")</f>
        <v>43755</v>
      </c>
      <c r="AA652" s="109">
        <v>4.9965868866408414E-3</v>
      </c>
      <c r="AB652" s="143">
        <f t="shared" si="28"/>
        <v>0</v>
      </c>
      <c r="AC652" s="236" t="e">
        <v>#N/A</v>
      </c>
      <c r="AD652" s="236">
        <v>4.9965868866408414E-3</v>
      </c>
    </row>
    <row r="653" spans="23:30" x14ac:dyDescent="0.2">
      <c r="W653" s="144"/>
      <c r="X653" s="113" t="str">
        <f t="shared" ref="X653:X716" si="29">X652</f>
        <v>1w</v>
      </c>
      <c r="Y653" s="106">
        <f>_xll.qlCalendarAdvance(Calendar,Y652,X653,"f",FALSE)</f>
        <v>43762</v>
      </c>
      <c r="Z653" s="108">
        <f>_xll.qlCalendarAdvance(Calendar,Y653,0&amp;"D")</f>
        <v>43762</v>
      </c>
      <c r="AA653" s="109">
        <v>5.0477729536257954E-3</v>
      </c>
      <c r="AB653" s="143">
        <f t="shared" si="28"/>
        <v>0</v>
      </c>
      <c r="AC653" s="236" t="e">
        <v>#N/A</v>
      </c>
      <c r="AD653" s="236">
        <v>5.0477729536257954E-3</v>
      </c>
    </row>
    <row r="654" spans="23:30" x14ac:dyDescent="0.2">
      <c r="W654" s="144"/>
      <c r="X654" s="113" t="str">
        <f t="shared" si="29"/>
        <v>1w</v>
      </c>
      <c r="Y654" s="106">
        <f>_xll.qlCalendarAdvance(Calendar,Y653,X654,"f",FALSE)</f>
        <v>43769</v>
      </c>
      <c r="Z654" s="108">
        <f>_xll.qlCalendarAdvance(Calendar,Y654,0&amp;"D")</f>
        <v>43769</v>
      </c>
      <c r="AA654" s="109">
        <v>5.0990859392463506E-3</v>
      </c>
      <c r="AB654" s="143">
        <f t="shared" si="28"/>
        <v>0</v>
      </c>
      <c r="AC654" s="236" t="e">
        <v>#N/A</v>
      </c>
      <c r="AD654" s="236">
        <v>5.0990859392463506E-3</v>
      </c>
    </row>
    <row r="655" spans="23:30" x14ac:dyDescent="0.2">
      <c r="W655" s="144"/>
      <c r="X655" s="113" t="str">
        <f t="shared" si="29"/>
        <v>1w</v>
      </c>
      <c r="Y655" s="106">
        <f>_xll.qlCalendarAdvance(Calendar,Y654,X655,"f",FALSE)</f>
        <v>43776</v>
      </c>
      <c r="Z655" s="108">
        <f>_xll.qlCalendarAdvance(Calendar,Y655,0&amp;"D")</f>
        <v>43776</v>
      </c>
      <c r="AA655" s="109">
        <v>5.150525843502507E-3</v>
      </c>
      <c r="AB655" s="143">
        <f t="shared" si="28"/>
        <v>7.9936057773011271E-14</v>
      </c>
      <c r="AC655" s="236" t="e">
        <v>#N/A</v>
      </c>
      <c r="AD655" s="236">
        <v>5.1505258434225709E-3</v>
      </c>
    </row>
    <row r="656" spans="23:30" x14ac:dyDescent="0.2">
      <c r="W656" s="144"/>
      <c r="X656" s="113" t="str">
        <f t="shared" si="29"/>
        <v>1w</v>
      </c>
      <c r="Y656" s="106">
        <f>_xll.qlCalendarAdvance(Calendar,Y655,X656,"f",FALSE)</f>
        <v>43783</v>
      </c>
      <c r="Z656" s="108">
        <f>_xll.qlCalendarAdvance(Calendar,Y656,0&amp;"D")</f>
        <v>43783</v>
      </c>
      <c r="AA656" s="109">
        <v>5.2020926663143285E-3</v>
      </c>
      <c r="AB656" s="143">
        <f t="shared" si="28"/>
        <v>-7.9936057773011271E-14</v>
      </c>
      <c r="AC656" s="236" t="e">
        <v>#N/A</v>
      </c>
      <c r="AD656" s="236">
        <v>5.2020926663942646E-3</v>
      </c>
    </row>
    <row r="657" spans="23:30" x14ac:dyDescent="0.2">
      <c r="W657" s="144"/>
      <c r="X657" s="113" t="str">
        <f t="shared" si="29"/>
        <v>1w</v>
      </c>
      <c r="Y657" s="106">
        <f>_xll.qlCalendarAdvance(Calendar,Y656,X657,"f",FALSE)</f>
        <v>43790</v>
      </c>
      <c r="Z657" s="108">
        <f>_xll.qlCalendarAdvance(Calendar,Y657,0&amp;"D")</f>
        <v>43790</v>
      </c>
      <c r="AA657" s="109">
        <v>5.2537864079216234E-3</v>
      </c>
      <c r="AB657" s="143">
        <f t="shared" si="28"/>
        <v>0</v>
      </c>
      <c r="AC657" s="236" t="e">
        <v>#N/A</v>
      </c>
      <c r="AD657" s="236">
        <v>5.2537864079216234E-3</v>
      </c>
    </row>
    <row r="658" spans="23:30" x14ac:dyDescent="0.2">
      <c r="W658" s="144"/>
      <c r="X658" s="113" t="str">
        <f t="shared" si="29"/>
        <v>1w</v>
      </c>
      <c r="Y658" s="106">
        <f>_xll.qlCalendarAdvance(Calendar,Y657,X658,"f",FALSE)</f>
        <v>43797</v>
      </c>
      <c r="Z658" s="108">
        <f>_xll.qlCalendarAdvance(Calendar,Y658,0&amp;"D")</f>
        <v>43797</v>
      </c>
      <c r="AA658" s="109">
        <v>5.3056070684043277E-3</v>
      </c>
      <c r="AB658" s="143">
        <f t="shared" si="28"/>
        <v>0</v>
      </c>
      <c r="AC658" s="236" t="e">
        <v>#N/A</v>
      </c>
      <c r="AD658" s="236">
        <v>5.3056070684043277E-3</v>
      </c>
    </row>
    <row r="659" spans="23:30" x14ac:dyDescent="0.2">
      <c r="W659" s="144"/>
      <c r="X659" s="113" t="str">
        <f t="shared" si="29"/>
        <v>1w</v>
      </c>
      <c r="Y659" s="106">
        <f>_xll.qlCalendarAdvance(Calendar,Y658,X659,"f",FALSE)</f>
        <v>43804</v>
      </c>
      <c r="Z659" s="108">
        <f>_xll.qlCalendarAdvance(Calendar,Y659,0&amp;"D")</f>
        <v>43804</v>
      </c>
      <c r="AA659" s="109">
        <v>5.3575546476025693E-3</v>
      </c>
      <c r="AB659" s="143">
        <f t="shared" si="28"/>
        <v>0</v>
      </c>
      <c r="AC659" s="236" t="e">
        <v>#N/A</v>
      </c>
      <c r="AD659" s="236">
        <v>5.3575546476025693E-3</v>
      </c>
    </row>
    <row r="660" spans="23:30" x14ac:dyDescent="0.2">
      <c r="W660" s="144"/>
      <c r="X660" s="113" t="str">
        <f t="shared" si="29"/>
        <v>1w</v>
      </c>
      <c r="Y660" s="106">
        <f>_xll.qlCalendarAdvance(Calendar,Y659,X660,"f",FALSE)</f>
        <v>43811</v>
      </c>
      <c r="Z660" s="108">
        <f>_xll.qlCalendarAdvance(Calendar,Y660,0&amp;"D")</f>
        <v>43811</v>
      </c>
      <c r="AA660" s="109">
        <v>5.4096291457561563E-3</v>
      </c>
      <c r="AB660" s="143">
        <f t="shared" si="28"/>
        <v>0</v>
      </c>
      <c r="AC660" s="236" t="e">
        <v>#N/A</v>
      </c>
      <c r="AD660" s="236">
        <v>5.4096291457561563E-3</v>
      </c>
    </row>
    <row r="661" spans="23:30" x14ac:dyDescent="0.2">
      <c r="W661" s="144"/>
      <c r="X661" s="113" t="str">
        <f t="shared" si="29"/>
        <v>1w</v>
      </c>
      <c r="Y661" s="106">
        <f>_xll.qlCalendarAdvance(Calendar,Y660,X661,"f",FALSE)</f>
        <v>43818</v>
      </c>
      <c r="Z661" s="108">
        <f>_xll.qlCalendarAdvance(Calendar,Y661,0&amp;"D")</f>
        <v>43818</v>
      </c>
      <c r="AA661" s="109">
        <v>5.4618305627851527E-3</v>
      </c>
      <c r="AB661" s="143">
        <f t="shared" ref="AB661:AB724" si="30">AA661-AD661</f>
        <v>0</v>
      </c>
      <c r="AC661" s="236" t="e">
        <v>#N/A</v>
      </c>
      <c r="AD661" s="236">
        <v>5.4618305627851527E-3</v>
      </c>
    </row>
    <row r="662" spans="23:30" x14ac:dyDescent="0.2">
      <c r="W662" s="144"/>
      <c r="X662" s="113" t="str">
        <f t="shared" si="29"/>
        <v>1w</v>
      </c>
      <c r="Y662" s="106">
        <f>_xll.qlCalendarAdvance(Calendar,Y661,X662,"f",FALSE)</f>
        <v>43826</v>
      </c>
      <c r="Z662" s="108">
        <f>_xll.qlCalendarAdvance(Calendar,Y662,0&amp;"D")</f>
        <v>43826</v>
      </c>
      <c r="AA662" s="109">
        <v>5.5292189478706177E-3</v>
      </c>
      <c r="AB662" s="143">
        <f t="shared" si="30"/>
        <v>2.6645352591003757E-14</v>
      </c>
      <c r="AC662" s="236" t="e">
        <v>#N/A</v>
      </c>
      <c r="AD662" s="236">
        <v>5.5292189478439724E-3</v>
      </c>
    </row>
    <row r="663" spans="23:30" x14ac:dyDescent="0.2">
      <c r="W663" s="144"/>
      <c r="X663" s="113" t="str">
        <f t="shared" si="29"/>
        <v>1w</v>
      </c>
      <c r="Y663" s="106">
        <f>_xll.qlCalendarAdvance(Calendar,Y662,X663,"f",FALSE)</f>
        <v>43833</v>
      </c>
      <c r="Z663" s="108">
        <f>_xll.qlCalendarAdvance(Calendar,Y663,0&amp;"D")</f>
        <v>43833</v>
      </c>
      <c r="AA663" s="109">
        <v>5.5817120856538338E-3</v>
      </c>
      <c r="AB663" s="143">
        <f t="shared" si="30"/>
        <v>0</v>
      </c>
      <c r="AC663" s="236" t="e">
        <v>#N/A</v>
      </c>
      <c r="AD663" s="236">
        <v>5.5817120856538338E-3</v>
      </c>
    </row>
    <row r="664" spans="23:30" x14ac:dyDescent="0.2">
      <c r="W664" s="144"/>
      <c r="X664" s="113" t="str">
        <f t="shared" si="29"/>
        <v>1w</v>
      </c>
      <c r="Y664" s="106">
        <f>_xll.qlCalendarAdvance(Calendar,Y663,X664,"f",FALSE)</f>
        <v>43840</v>
      </c>
      <c r="Z664" s="108">
        <f>_xll.qlCalendarAdvance(Calendar,Y664,0&amp;"D")</f>
        <v>43840</v>
      </c>
      <c r="AA664" s="109">
        <v>5.6343321618967934E-3</v>
      </c>
      <c r="AB664" s="143">
        <f t="shared" si="30"/>
        <v>0</v>
      </c>
      <c r="AC664" s="236" t="e">
        <v>#N/A</v>
      </c>
      <c r="AD664" s="236">
        <v>5.6343321618967934E-3</v>
      </c>
    </row>
    <row r="665" spans="23:30" x14ac:dyDescent="0.2">
      <c r="W665" s="144"/>
      <c r="X665" s="113" t="str">
        <f t="shared" si="29"/>
        <v>1w</v>
      </c>
      <c r="Y665" s="106">
        <f>_xll.qlCalendarAdvance(Calendar,Y664,X665,"f",FALSE)</f>
        <v>43847</v>
      </c>
      <c r="Z665" s="108">
        <f>_xll.qlCalendarAdvance(Calendar,Y665,0&amp;"D")</f>
        <v>43847</v>
      </c>
      <c r="AA665" s="109">
        <v>5.687079176706078E-3</v>
      </c>
      <c r="AB665" s="143">
        <f t="shared" si="30"/>
        <v>-2.6645352591003757E-14</v>
      </c>
      <c r="AC665" s="236" t="e">
        <v>#N/A</v>
      </c>
      <c r="AD665" s="236">
        <v>5.6870791767327233E-3</v>
      </c>
    </row>
    <row r="666" spans="23:30" x14ac:dyDescent="0.2">
      <c r="W666" s="144"/>
      <c r="X666" s="113" t="str">
        <f t="shared" si="29"/>
        <v>1w</v>
      </c>
      <c r="Y666" s="106">
        <f>_xll.qlCalendarAdvance(Calendar,Y665,X666,"f",FALSE)</f>
        <v>43854</v>
      </c>
      <c r="Z666" s="108">
        <f>_xll.qlCalendarAdvance(Calendar,Y666,0&amp;"D")</f>
        <v>43854</v>
      </c>
      <c r="AA666" s="109">
        <v>5.739953130268205E-3</v>
      </c>
      <c r="AB666" s="143">
        <f t="shared" si="30"/>
        <v>0</v>
      </c>
      <c r="AC666" s="236" t="e">
        <v>#N/A</v>
      </c>
      <c r="AD666" s="236">
        <v>5.739953130268205E-3</v>
      </c>
    </row>
    <row r="667" spans="23:30" x14ac:dyDescent="0.2">
      <c r="W667" s="144"/>
      <c r="X667" s="113" t="str">
        <f t="shared" si="29"/>
        <v>1w</v>
      </c>
      <c r="Y667" s="106">
        <f>_xll.qlCalendarAdvance(Calendar,Y666,X667,"f",FALSE)</f>
        <v>43861</v>
      </c>
      <c r="Z667" s="108">
        <f>_xll.qlCalendarAdvance(Calendar,Y667,0&amp;"D")</f>
        <v>43861</v>
      </c>
      <c r="AA667" s="109">
        <v>5.7929540227696918E-3</v>
      </c>
      <c r="AB667" s="143">
        <f t="shared" si="30"/>
        <v>0</v>
      </c>
      <c r="AC667" s="236" t="e">
        <v>#N/A</v>
      </c>
      <c r="AD667" s="236">
        <v>5.7929540227696918E-3</v>
      </c>
    </row>
    <row r="668" spans="23:30" x14ac:dyDescent="0.2">
      <c r="W668" s="144"/>
      <c r="X668" s="113" t="str">
        <f t="shared" si="29"/>
        <v>1w</v>
      </c>
      <c r="Y668" s="106">
        <f>_xll.qlCalendarAdvance(Calendar,Y667,X668,"f",FALSE)</f>
        <v>43868</v>
      </c>
      <c r="Z668" s="108">
        <f>_xll.qlCalendarAdvance(Calendar,Y668,0&amp;"D")</f>
        <v>43868</v>
      </c>
      <c r="AA668" s="109">
        <v>5.8460818543437654E-3</v>
      </c>
      <c r="AB668" s="143">
        <f t="shared" si="30"/>
        <v>2.6645352591003757E-14</v>
      </c>
      <c r="AC668" s="236" t="e">
        <v>#N/A</v>
      </c>
      <c r="AD668" s="236">
        <v>5.84608185431712E-3</v>
      </c>
    </row>
    <row r="669" spans="23:30" x14ac:dyDescent="0.2">
      <c r="W669" s="144"/>
      <c r="X669" s="113" t="str">
        <f t="shared" si="29"/>
        <v>1w</v>
      </c>
      <c r="Y669" s="106">
        <f>_xll.qlCalendarAdvance(Calendar,Y668,X669,"f",FALSE)</f>
        <v>43875</v>
      </c>
      <c r="Z669" s="108">
        <f>_xll.qlCalendarAdvance(Calendar,Y669,0&amp;"D")</f>
        <v>43875</v>
      </c>
      <c r="AA669" s="109">
        <v>5.8993366251236523E-3</v>
      </c>
      <c r="AB669" s="143">
        <f t="shared" si="30"/>
        <v>0</v>
      </c>
      <c r="AC669" s="236" t="e">
        <v>#N/A</v>
      </c>
      <c r="AD669" s="236">
        <v>5.8993366251236523E-3</v>
      </c>
    </row>
    <row r="670" spans="23:30" x14ac:dyDescent="0.2">
      <c r="W670" s="144"/>
      <c r="X670" s="113" t="str">
        <f t="shared" si="29"/>
        <v>1w</v>
      </c>
      <c r="Y670" s="106">
        <f>_xll.qlCalendarAdvance(Calendar,Y669,X670,"f",FALSE)</f>
        <v>43882</v>
      </c>
      <c r="Z670" s="108">
        <f>_xll.qlCalendarAdvance(Calendar,Y670,0&amp;"D")</f>
        <v>43882</v>
      </c>
      <c r="AA670" s="109">
        <v>5.9527183353491608E-3</v>
      </c>
      <c r="AB670" s="143">
        <f t="shared" si="30"/>
        <v>-2.6645352591003757E-14</v>
      </c>
      <c r="AC670" s="236" t="e">
        <v>#N/A</v>
      </c>
      <c r="AD670" s="236">
        <v>5.9527183353758062E-3</v>
      </c>
    </row>
    <row r="671" spans="23:30" x14ac:dyDescent="0.2">
      <c r="W671" s="144"/>
      <c r="X671" s="113" t="str">
        <f t="shared" si="29"/>
        <v>1w</v>
      </c>
      <c r="Y671" s="106">
        <f>_xll.qlCalendarAdvance(Calendar,Y670,X671,"f",FALSE)</f>
        <v>43889</v>
      </c>
      <c r="Z671" s="108">
        <f>_xll.qlCalendarAdvance(Calendar,Y671,0&amp;"D")</f>
        <v>43889</v>
      </c>
      <c r="AA671" s="109">
        <v>6.0062269851801631E-3</v>
      </c>
      <c r="AB671" s="143">
        <f t="shared" si="30"/>
        <v>0</v>
      </c>
      <c r="AC671" s="236" t="e">
        <v>#N/A</v>
      </c>
      <c r="AD671" s="236">
        <v>6.0062269851801631E-3</v>
      </c>
    </row>
    <row r="672" spans="23:30" x14ac:dyDescent="0.2">
      <c r="W672" s="144"/>
      <c r="X672" s="113" t="str">
        <f t="shared" si="29"/>
        <v>1w</v>
      </c>
      <c r="Y672" s="106">
        <f>_xll.qlCalendarAdvance(Calendar,Y671,X672,"f",FALSE)</f>
        <v>43896</v>
      </c>
      <c r="Z672" s="108">
        <f>_xll.qlCalendarAdvance(Calendar,Y672,0&amp;"D")</f>
        <v>43896</v>
      </c>
      <c r="AA672" s="109">
        <v>6.0598625747232404E-3</v>
      </c>
      <c r="AB672" s="143">
        <f t="shared" si="30"/>
        <v>-2.6645352591003757E-14</v>
      </c>
      <c r="AC672" s="236" t="e">
        <v>#N/A</v>
      </c>
      <c r="AD672" s="236">
        <v>6.0598625747498858E-3</v>
      </c>
    </row>
    <row r="673" spans="23:30" x14ac:dyDescent="0.2">
      <c r="W673" s="144"/>
      <c r="X673" s="113" t="str">
        <f t="shared" si="29"/>
        <v>1w</v>
      </c>
      <c r="Y673" s="106">
        <f>_xll.qlCalendarAdvance(Calendar,Y672,X673,"f",FALSE)</f>
        <v>43903</v>
      </c>
      <c r="Z673" s="108">
        <f>_xll.qlCalendarAdvance(Calendar,Y673,0&amp;"D")</f>
        <v>43903</v>
      </c>
      <c r="AA673" s="109">
        <v>6.1136251042714918E-3</v>
      </c>
      <c r="AB673" s="143">
        <f t="shared" si="30"/>
        <v>-2.6645352591003757E-14</v>
      </c>
      <c r="AC673" s="236" t="e">
        <v>#N/A</v>
      </c>
      <c r="AD673" s="236">
        <v>6.1136251042981371E-3</v>
      </c>
    </row>
    <row r="674" spans="23:30" x14ac:dyDescent="0.2">
      <c r="W674" s="144"/>
      <c r="X674" s="113" t="str">
        <f t="shared" si="29"/>
        <v>1w</v>
      </c>
      <c r="Y674" s="106">
        <f>_xll.qlCalendarAdvance(Calendar,Y673,X674,"f",FALSE)</f>
        <v>43910</v>
      </c>
      <c r="Z674" s="108">
        <f>_xll.qlCalendarAdvance(Calendar,Y674,0&amp;"D")</f>
        <v>43910</v>
      </c>
      <c r="AA674" s="109">
        <v>6.1675145739048531E-3</v>
      </c>
      <c r="AB674" s="143">
        <f t="shared" si="30"/>
        <v>2.6645352591003757E-14</v>
      </c>
      <c r="AC674" s="236" t="e">
        <v>#N/A</v>
      </c>
      <c r="AD674" s="236">
        <v>6.1675145738782078E-3</v>
      </c>
    </row>
    <row r="675" spans="23:30" x14ac:dyDescent="0.2">
      <c r="W675" s="144"/>
      <c r="X675" s="113" t="str">
        <f t="shared" si="29"/>
        <v>1w</v>
      </c>
      <c r="Y675" s="106">
        <f>_xll.qlCalendarAdvance(Calendar,Y674,X675,"f",FALSE)</f>
        <v>43917</v>
      </c>
      <c r="Z675" s="108">
        <f>_xll.qlCalendarAdvance(Calendar,Y675,0&amp;"D")</f>
        <v>43917</v>
      </c>
      <c r="AA675" s="109">
        <v>6.2215309837831967E-3</v>
      </c>
      <c r="AB675" s="143">
        <f t="shared" si="30"/>
        <v>2.6645352591003757E-14</v>
      </c>
      <c r="AC675" s="236" t="e">
        <v>#N/A</v>
      </c>
      <c r="AD675" s="236">
        <v>6.2215309837565513E-3</v>
      </c>
    </row>
    <row r="676" spans="23:30" x14ac:dyDescent="0.2">
      <c r="W676" s="144"/>
      <c r="X676" s="113" t="str">
        <f t="shared" si="29"/>
        <v>1w</v>
      </c>
      <c r="Y676" s="106">
        <f>_xll.qlCalendarAdvance(Calendar,Y675,X676,"f",FALSE)</f>
        <v>43924</v>
      </c>
      <c r="Z676" s="108">
        <f>_xll.qlCalendarAdvance(Calendar,Y676,0&amp;"D")</f>
        <v>43924</v>
      </c>
      <c r="AA676" s="109">
        <v>6.2756743340930399E-3</v>
      </c>
      <c r="AB676" s="143">
        <f t="shared" si="30"/>
        <v>0</v>
      </c>
      <c r="AC676" s="236" t="e">
        <v>#N/A</v>
      </c>
      <c r="AD676" s="236">
        <v>6.2756743340930399E-3</v>
      </c>
    </row>
    <row r="677" spans="23:30" x14ac:dyDescent="0.2">
      <c r="W677" s="144"/>
      <c r="X677" s="113" t="str">
        <f t="shared" si="29"/>
        <v>1w</v>
      </c>
      <c r="Y677" s="106">
        <f>_xll.qlCalendarAdvance(Calendar,Y676,X677,"f",FALSE)</f>
        <v>43935</v>
      </c>
      <c r="Z677" s="108">
        <f>_xll.qlCalendarAdvance(Calendar,Y677,0&amp;"D")</f>
        <v>43935</v>
      </c>
      <c r="AA677" s="109">
        <v>6.3531291992013905E-3</v>
      </c>
      <c r="AB677" s="143">
        <f t="shared" si="30"/>
        <v>0</v>
      </c>
      <c r="AC677" s="236" t="e">
        <v>#N/A</v>
      </c>
      <c r="AD677" s="236">
        <v>6.3531291992013905E-3</v>
      </c>
    </row>
    <row r="678" spans="23:30" x14ac:dyDescent="0.2">
      <c r="W678" s="144"/>
      <c r="X678" s="113" t="str">
        <f t="shared" si="29"/>
        <v>1w</v>
      </c>
      <c r="Y678" s="106">
        <f>_xll.qlCalendarAdvance(Calendar,Y677,X678,"f",FALSE)</f>
        <v>43942</v>
      </c>
      <c r="Z678" s="108">
        <f>_xll.qlCalendarAdvance(Calendar,Y678,0&amp;"D")</f>
        <v>43942</v>
      </c>
      <c r="AA678" s="109">
        <v>6.4075789041062592E-3</v>
      </c>
      <c r="AB678" s="143">
        <f t="shared" si="30"/>
        <v>0</v>
      </c>
      <c r="AC678" s="236" t="e">
        <v>#N/A</v>
      </c>
      <c r="AD678" s="236">
        <v>6.4075789041062592E-3</v>
      </c>
    </row>
    <row r="679" spans="23:30" x14ac:dyDescent="0.2">
      <c r="W679" s="144"/>
      <c r="X679" s="113" t="str">
        <f t="shared" si="29"/>
        <v>1w</v>
      </c>
      <c r="Y679" s="106">
        <f>_xll.qlCalendarAdvance(Calendar,Y678,X679,"f",FALSE)</f>
        <v>43949</v>
      </c>
      <c r="Z679" s="108">
        <f>_xll.qlCalendarAdvance(Calendar,Y679,0&amp;"D")</f>
        <v>43949</v>
      </c>
      <c r="AA679" s="109">
        <v>6.4621555290056421E-3</v>
      </c>
      <c r="AB679" s="143">
        <f t="shared" si="30"/>
        <v>0</v>
      </c>
      <c r="AC679" s="236" t="e">
        <v>#N/A</v>
      </c>
      <c r="AD679" s="236">
        <v>6.4621555290056421E-3</v>
      </c>
    </row>
    <row r="680" spans="23:30" x14ac:dyDescent="0.2">
      <c r="W680" s="144"/>
      <c r="X680" s="113" t="str">
        <f t="shared" si="29"/>
        <v>1w</v>
      </c>
      <c r="Y680" s="106">
        <f>_xll.qlCalendarAdvance(Calendar,Y679,X680,"f",FALSE)</f>
        <v>43956</v>
      </c>
      <c r="Z680" s="108">
        <f>_xll.qlCalendarAdvance(Calendar,Y680,0&amp;"D")</f>
        <v>43956</v>
      </c>
      <c r="AA680" s="109">
        <v>6.5168590739794752E-3</v>
      </c>
      <c r="AB680" s="143">
        <f t="shared" si="30"/>
        <v>0</v>
      </c>
      <c r="AC680" s="236" t="e">
        <v>#N/A</v>
      </c>
      <c r="AD680" s="236">
        <v>6.5168590739794752E-3</v>
      </c>
    </row>
    <row r="681" spans="23:30" x14ac:dyDescent="0.2">
      <c r="W681" s="144"/>
      <c r="X681" s="113" t="str">
        <f t="shared" si="29"/>
        <v>1w</v>
      </c>
      <c r="Y681" s="106">
        <f>_xll.qlCalendarAdvance(Calendar,Y680,X681,"f",FALSE)</f>
        <v>43963</v>
      </c>
      <c r="Z681" s="108">
        <f>_xll.qlCalendarAdvance(Calendar,Y681,0&amp;"D")</f>
        <v>43963</v>
      </c>
      <c r="AA681" s="109">
        <v>6.5716895391076946E-3</v>
      </c>
      <c r="AB681" s="143">
        <f t="shared" si="30"/>
        <v>0</v>
      </c>
      <c r="AC681" s="236" t="e">
        <v>#N/A</v>
      </c>
      <c r="AD681" s="236">
        <v>6.5716895391076946E-3</v>
      </c>
    </row>
    <row r="682" spans="23:30" x14ac:dyDescent="0.2">
      <c r="W682" s="144"/>
      <c r="X682" s="113" t="str">
        <f t="shared" si="29"/>
        <v>1w</v>
      </c>
      <c r="Y682" s="106">
        <f>_xll.qlCalendarAdvance(Calendar,Y681,X682,"f",FALSE)</f>
        <v>43970</v>
      </c>
      <c r="Z682" s="108">
        <f>_xll.qlCalendarAdvance(Calendar,Y682,0&amp;"D")</f>
        <v>43970</v>
      </c>
      <c r="AA682" s="109">
        <v>6.6266469243903003E-3</v>
      </c>
      <c r="AB682" s="143">
        <f t="shared" si="30"/>
        <v>0</v>
      </c>
      <c r="AC682" s="236" t="e">
        <v>#N/A</v>
      </c>
      <c r="AD682" s="236">
        <v>6.6266469243903003E-3</v>
      </c>
    </row>
    <row r="683" spans="23:30" x14ac:dyDescent="0.2">
      <c r="W683" s="144"/>
      <c r="X683" s="113" t="str">
        <f t="shared" si="29"/>
        <v>1w</v>
      </c>
      <c r="Y683" s="106">
        <f>_xll.qlCalendarAdvance(Calendar,Y682,X683,"f",FALSE)</f>
        <v>43977</v>
      </c>
      <c r="Z683" s="108">
        <f>_xll.qlCalendarAdvance(Calendar,Y683,0&amp;"D")</f>
        <v>43977</v>
      </c>
      <c r="AA683" s="109">
        <v>6.6817312299072285E-3</v>
      </c>
      <c r="AB683" s="143">
        <f t="shared" si="30"/>
        <v>0</v>
      </c>
      <c r="AC683" s="236" t="e">
        <v>#N/A</v>
      </c>
      <c r="AD683" s="236">
        <v>6.6817312299072285E-3</v>
      </c>
    </row>
    <row r="684" spans="23:30" x14ac:dyDescent="0.2">
      <c r="W684" s="144"/>
      <c r="X684" s="113" t="str">
        <f t="shared" si="29"/>
        <v>1w</v>
      </c>
      <c r="Y684" s="106">
        <f>_xll.qlCalendarAdvance(Calendar,Y683,X684,"f",FALSE)</f>
        <v>43984</v>
      </c>
      <c r="Z684" s="108">
        <f>_xll.qlCalendarAdvance(Calendar,Y684,0&amp;"D")</f>
        <v>43984</v>
      </c>
      <c r="AA684" s="109">
        <v>6.7369351531798571E-3</v>
      </c>
      <c r="AB684" s="143">
        <f t="shared" si="30"/>
        <v>0</v>
      </c>
      <c r="AC684" s="236" t="e">
        <v>#N/A</v>
      </c>
      <c r="AD684" s="236">
        <v>6.7369351531798571E-3</v>
      </c>
    </row>
    <row r="685" spans="23:30" x14ac:dyDescent="0.2">
      <c r="W685" s="144"/>
      <c r="X685" s="113" t="str">
        <f t="shared" si="29"/>
        <v>1w</v>
      </c>
      <c r="Y685" s="106">
        <f>_xll.qlCalendarAdvance(Calendar,Y684,X685,"f",FALSE)</f>
        <v>43991</v>
      </c>
      <c r="Z685" s="108">
        <f>_xll.qlCalendarAdvance(Calendar,Y685,0&amp;"D")</f>
        <v>43991</v>
      </c>
      <c r="AA685" s="109">
        <v>6.7920542221688862E-3</v>
      </c>
      <c r="AB685" s="143">
        <f t="shared" si="30"/>
        <v>0</v>
      </c>
      <c r="AC685" s="236" t="e">
        <v>#N/A</v>
      </c>
      <c r="AD685" s="236">
        <v>6.7920542221688862E-3</v>
      </c>
    </row>
    <row r="686" spans="23:30" x14ac:dyDescent="0.2">
      <c r="W686" s="144"/>
      <c r="X686" s="113" t="str">
        <f t="shared" si="29"/>
        <v>1w</v>
      </c>
      <c r="Y686" s="106">
        <f>_xll.qlCalendarAdvance(Calendar,Y685,X686,"f",FALSE)</f>
        <v>43998</v>
      </c>
      <c r="Z686" s="108">
        <f>_xll.qlCalendarAdvance(Calendar,Y686,0&amp;"D")</f>
        <v>43998</v>
      </c>
      <c r="AA686" s="109">
        <v>6.8469935036130636E-3</v>
      </c>
      <c r="AB686" s="143">
        <f t="shared" si="30"/>
        <v>7.9936057773011271E-14</v>
      </c>
      <c r="AC686" s="236" t="e">
        <v>#N/A</v>
      </c>
      <c r="AD686" s="236">
        <v>6.8469935035331275E-3</v>
      </c>
    </row>
    <row r="687" spans="23:30" x14ac:dyDescent="0.2">
      <c r="W687" s="144"/>
      <c r="X687" s="113" t="str">
        <f t="shared" si="29"/>
        <v>1w</v>
      </c>
      <c r="Y687" s="106">
        <f>_xll.qlCalendarAdvance(Calendar,Y686,X687,"f",FALSE)</f>
        <v>44005</v>
      </c>
      <c r="Z687" s="108">
        <f>_xll.qlCalendarAdvance(Calendar,Y687,0&amp;"D")</f>
        <v>44005</v>
      </c>
      <c r="AA687" s="109">
        <v>6.901752997192645E-3</v>
      </c>
      <c r="AB687" s="143">
        <f t="shared" si="30"/>
        <v>0</v>
      </c>
      <c r="AC687" s="236" t="e">
        <v>#N/A</v>
      </c>
      <c r="AD687" s="236">
        <v>6.901752997192645E-3</v>
      </c>
    </row>
    <row r="688" spans="23:30" x14ac:dyDescent="0.2">
      <c r="W688" s="144"/>
      <c r="X688" s="113" t="str">
        <f t="shared" si="29"/>
        <v>1w</v>
      </c>
      <c r="Y688" s="106">
        <f>_xll.qlCalendarAdvance(Calendar,Y687,X688,"f",FALSE)</f>
        <v>44012</v>
      </c>
      <c r="Z688" s="108">
        <f>_xll.qlCalendarAdvance(Calendar,Y688,0&amp;"D")</f>
        <v>44012</v>
      </c>
      <c r="AA688" s="109">
        <v>6.9563327030675026E-3</v>
      </c>
      <c r="AB688" s="143">
        <f t="shared" si="30"/>
        <v>0</v>
      </c>
      <c r="AC688" s="236" t="e">
        <v>#N/A</v>
      </c>
      <c r="AD688" s="236">
        <v>6.9563327030675026E-3</v>
      </c>
    </row>
    <row r="689" spans="23:30" x14ac:dyDescent="0.2">
      <c r="W689" s="144"/>
      <c r="X689" s="113" t="str">
        <f t="shared" si="29"/>
        <v>1w</v>
      </c>
      <c r="Y689" s="106">
        <f>_xll.qlCalendarAdvance(Calendar,Y688,X689,"f",FALSE)</f>
        <v>44019</v>
      </c>
      <c r="Z689" s="108">
        <f>_xll.qlCalendarAdvance(Calendar,Y689,0&amp;"D")</f>
        <v>44019</v>
      </c>
      <c r="AA689" s="109">
        <v>7.0107326209178922E-3</v>
      </c>
      <c r="AB689" s="143">
        <f t="shared" si="30"/>
        <v>0</v>
      </c>
      <c r="AC689" s="236" t="e">
        <v>#N/A</v>
      </c>
      <c r="AD689" s="236">
        <v>7.0107326209178922E-3</v>
      </c>
    </row>
    <row r="690" spans="23:30" x14ac:dyDescent="0.2">
      <c r="W690" s="144"/>
      <c r="X690" s="113" t="str">
        <f t="shared" si="29"/>
        <v>1w</v>
      </c>
      <c r="Y690" s="106">
        <f>_xll.qlCalendarAdvance(Calendar,Y689,X690,"f",FALSE)</f>
        <v>44026</v>
      </c>
      <c r="Z690" s="108">
        <f>_xll.qlCalendarAdvance(Calendar,Y690,0&amp;"D")</f>
        <v>44026</v>
      </c>
      <c r="AA690" s="109">
        <v>7.0649527509036858E-3</v>
      </c>
      <c r="AB690" s="143">
        <f t="shared" si="30"/>
        <v>7.9936057773011271E-14</v>
      </c>
      <c r="AC690" s="236" t="e">
        <v>#N/A</v>
      </c>
      <c r="AD690" s="236">
        <v>7.0649527508237497E-3</v>
      </c>
    </row>
    <row r="691" spans="23:30" x14ac:dyDescent="0.2">
      <c r="W691" s="144"/>
      <c r="X691" s="113" t="str">
        <f t="shared" si="29"/>
        <v>1w</v>
      </c>
      <c r="Y691" s="106">
        <f>_xll.qlCalendarAdvance(Calendar,Y690,X691,"f",FALSE)</f>
        <v>44033</v>
      </c>
      <c r="Z691" s="108">
        <f>_xll.qlCalendarAdvance(Calendar,Y691,0&amp;"D")</f>
        <v>44033</v>
      </c>
      <c r="AA691" s="109">
        <v>7.1189930926252032E-3</v>
      </c>
      <c r="AB691" s="143">
        <f t="shared" si="30"/>
        <v>-7.9936057773011271E-14</v>
      </c>
      <c r="AC691" s="236" t="e">
        <v>#N/A</v>
      </c>
      <c r="AD691" s="236">
        <v>7.1189930927051392E-3</v>
      </c>
    </row>
    <row r="692" spans="23:30" x14ac:dyDescent="0.2">
      <c r="W692" s="144"/>
      <c r="X692" s="113" t="str">
        <f t="shared" si="29"/>
        <v>1w</v>
      </c>
      <c r="Y692" s="106">
        <f>_xll.qlCalendarAdvance(Calendar,Y691,X692,"f",FALSE)</f>
        <v>44040</v>
      </c>
      <c r="Z692" s="108">
        <f>_xll.qlCalendarAdvance(Calendar,Y692,0&amp;"D")</f>
        <v>44040</v>
      </c>
      <c r="AA692" s="109">
        <v>7.1728536463222525E-3</v>
      </c>
      <c r="AB692" s="143">
        <f t="shared" si="30"/>
        <v>0</v>
      </c>
      <c r="AC692" s="236" t="e">
        <v>#N/A</v>
      </c>
      <c r="AD692" s="236">
        <v>7.1728536463222525E-3</v>
      </c>
    </row>
    <row r="693" spans="23:30" x14ac:dyDescent="0.2">
      <c r="W693" s="144"/>
      <c r="X693" s="113" t="str">
        <f t="shared" si="29"/>
        <v>1w</v>
      </c>
      <c r="Y693" s="106">
        <f>_xll.qlCalendarAdvance(Calendar,Y692,X693,"f",FALSE)</f>
        <v>44047</v>
      </c>
      <c r="Z693" s="108">
        <f>_xll.qlCalendarAdvance(Calendar,Y693,0&amp;"D")</f>
        <v>44047</v>
      </c>
      <c r="AA693" s="109">
        <v>7.2265344116750896E-3</v>
      </c>
      <c r="AB693" s="143">
        <f t="shared" si="30"/>
        <v>0</v>
      </c>
      <c r="AC693" s="236" t="e">
        <v>#N/A</v>
      </c>
      <c r="AD693" s="236">
        <v>7.2265344116750896E-3</v>
      </c>
    </row>
    <row r="694" spans="23:30" x14ac:dyDescent="0.2">
      <c r="W694" s="144"/>
      <c r="X694" s="113" t="str">
        <f t="shared" si="29"/>
        <v>1w</v>
      </c>
      <c r="Y694" s="106">
        <f>_xll.qlCalendarAdvance(Calendar,Y693,X694,"f",FALSE)</f>
        <v>44054</v>
      </c>
      <c r="Z694" s="108">
        <f>_xll.qlCalendarAdvance(Calendar,Y694,0&amp;"D")</f>
        <v>44054</v>
      </c>
      <c r="AA694" s="109">
        <v>7.2800353888435865E-3</v>
      </c>
      <c r="AB694" s="143">
        <f t="shared" si="30"/>
        <v>0</v>
      </c>
      <c r="AC694" s="236" t="e">
        <v>#N/A</v>
      </c>
      <c r="AD694" s="236">
        <v>7.2800353888435865E-3</v>
      </c>
    </row>
    <row r="695" spans="23:30" x14ac:dyDescent="0.2">
      <c r="W695" s="144"/>
      <c r="X695" s="113" t="str">
        <f t="shared" si="29"/>
        <v>1w</v>
      </c>
      <c r="Y695" s="106">
        <f>_xll.qlCalendarAdvance(Calendar,Y694,X695,"f",FALSE)</f>
        <v>44061</v>
      </c>
      <c r="Z695" s="108">
        <f>_xll.qlCalendarAdvance(Calendar,Y695,0&amp;"D")</f>
        <v>44061</v>
      </c>
      <c r="AA695" s="109">
        <v>7.333356577587935E-3</v>
      </c>
      <c r="AB695" s="143">
        <f t="shared" si="30"/>
        <v>0</v>
      </c>
      <c r="AC695" s="236" t="e">
        <v>#N/A</v>
      </c>
      <c r="AD695" s="236">
        <v>7.333356577587935E-3</v>
      </c>
    </row>
    <row r="696" spans="23:30" x14ac:dyDescent="0.2">
      <c r="W696" s="144"/>
      <c r="X696" s="113" t="str">
        <f t="shared" si="29"/>
        <v>1w</v>
      </c>
      <c r="Y696" s="106">
        <f>_xll.qlCalendarAdvance(Calendar,Y695,X696,"f",FALSE)</f>
        <v>44068</v>
      </c>
      <c r="Z696" s="108">
        <f>_xll.qlCalendarAdvance(Calendar,Y696,0&amp;"D")</f>
        <v>44068</v>
      </c>
      <c r="AA696" s="109">
        <v>7.3864979778281992E-3</v>
      </c>
      <c r="AB696" s="143">
        <f t="shared" si="30"/>
        <v>0</v>
      </c>
      <c r="AC696" s="236" t="e">
        <v>#N/A</v>
      </c>
      <c r="AD696" s="236">
        <v>7.3864979778281992E-3</v>
      </c>
    </row>
    <row r="697" spans="23:30" x14ac:dyDescent="0.2">
      <c r="W697" s="144"/>
      <c r="X697" s="113" t="str">
        <f t="shared" si="29"/>
        <v>1w</v>
      </c>
      <c r="Y697" s="106">
        <f>_xll.qlCalendarAdvance(Calendar,Y696,X697,"f",FALSE)</f>
        <v>44075</v>
      </c>
      <c r="Z697" s="108">
        <f>_xll.qlCalendarAdvance(Calendar,Y697,0&amp;"D")</f>
        <v>44075</v>
      </c>
      <c r="AA697" s="109">
        <v>7.4394595895643789E-3</v>
      </c>
      <c r="AB697" s="143">
        <f t="shared" si="30"/>
        <v>0</v>
      </c>
      <c r="AC697" s="236" t="e">
        <v>#N/A</v>
      </c>
      <c r="AD697" s="236">
        <v>7.4394595895643789E-3</v>
      </c>
    </row>
    <row r="698" spans="23:30" x14ac:dyDescent="0.2">
      <c r="W698" s="144"/>
      <c r="X698" s="113" t="str">
        <f t="shared" si="29"/>
        <v>1w</v>
      </c>
      <c r="Y698" s="106">
        <f>_xll.qlCalendarAdvance(Calendar,Y697,X698,"f",FALSE)</f>
        <v>44082</v>
      </c>
      <c r="Z698" s="108">
        <f>_xll.qlCalendarAdvance(Calendar,Y698,0&amp;"D")</f>
        <v>44082</v>
      </c>
      <c r="AA698" s="109">
        <v>7.4922414125566661E-3</v>
      </c>
      <c r="AB698" s="143">
        <f t="shared" si="30"/>
        <v>0</v>
      </c>
      <c r="AC698" s="236" t="e">
        <v>#N/A</v>
      </c>
      <c r="AD698" s="236">
        <v>7.4922414125566661E-3</v>
      </c>
    </row>
    <row r="699" spans="23:30" x14ac:dyDescent="0.2">
      <c r="W699" s="144"/>
      <c r="X699" s="113" t="str">
        <f t="shared" si="29"/>
        <v>1w</v>
      </c>
      <c r="Y699" s="106">
        <f>_xll.qlCalendarAdvance(Calendar,Y698,X699,"f",FALSE)</f>
        <v>44089</v>
      </c>
      <c r="Z699" s="108">
        <f>_xll.qlCalendarAdvance(Calendar,Y699,0&amp;"D")</f>
        <v>44089</v>
      </c>
      <c r="AA699" s="109">
        <v>7.5448434469649328E-3</v>
      </c>
      <c r="AB699" s="143">
        <f t="shared" si="30"/>
        <v>7.9936057773011271E-14</v>
      </c>
      <c r="AC699" s="236" t="e">
        <v>#N/A</v>
      </c>
      <c r="AD699" s="236">
        <v>7.5448434468849968E-3</v>
      </c>
    </row>
    <row r="700" spans="23:30" x14ac:dyDescent="0.2">
      <c r="W700" s="144"/>
      <c r="X700" s="113" t="str">
        <f t="shared" si="29"/>
        <v>1w</v>
      </c>
      <c r="Y700" s="106">
        <f>_xll.qlCalendarAdvance(Calendar,Y699,X700,"f",FALSE)</f>
        <v>44096</v>
      </c>
      <c r="Z700" s="108">
        <f>_xll.qlCalendarAdvance(Calendar,Y700,0&amp;"D")</f>
        <v>44096</v>
      </c>
      <c r="AA700" s="109">
        <v>7.5972656924694348E-3</v>
      </c>
      <c r="AB700" s="143">
        <f t="shared" si="30"/>
        <v>0</v>
      </c>
      <c r="AC700" s="236" t="e">
        <v>#N/A</v>
      </c>
      <c r="AD700" s="236">
        <v>7.5972656924694348E-3</v>
      </c>
    </row>
    <row r="701" spans="23:30" x14ac:dyDescent="0.2">
      <c r="W701" s="144"/>
      <c r="X701" s="113" t="str">
        <f t="shared" si="29"/>
        <v>1w</v>
      </c>
      <c r="Y701" s="106">
        <f>_xll.qlCalendarAdvance(Calendar,Y700,X701,"f",FALSE)</f>
        <v>44103</v>
      </c>
      <c r="Z701" s="108">
        <f>_xll.qlCalendarAdvance(Calendar,Y701,0&amp;"D")</f>
        <v>44103</v>
      </c>
      <c r="AA701" s="109">
        <v>7.6495081491501082E-3</v>
      </c>
      <c r="AB701" s="143">
        <f t="shared" si="30"/>
        <v>0</v>
      </c>
      <c r="AC701" s="236" t="e">
        <v>#N/A</v>
      </c>
      <c r="AD701" s="236">
        <v>7.6495081491501082E-3</v>
      </c>
    </row>
    <row r="702" spans="23:30" x14ac:dyDescent="0.2">
      <c r="W702" s="144"/>
      <c r="X702" s="113" t="str">
        <f t="shared" si="29"/>
        <v>1w</v>
      </c>
      <c r="Y702" s="106">
        <f>_xll.qlCalendarAdvance(Calendar,Y701,X702,"f",FALSE)</f>
        <v>44110</v>
      </c>
      <c r="Z702" s="108">
        <f>_xll.qlCalendarAdvance(Calendar,Y702,0&amp;"D")</f>
        <v>44110</v>
      </c>
      <c r="AA702" s="109">
        <v>7.7015708168470809E-3</v>
      </c>
      <c r="AB702" s="143">
        <f t="shared" si="30"/>
        <v>0</v>
      </c>
      <c r="AC702" s="236" t="e">
        <v>#N/A</v>
      </c>
      <c r="AD702" s="236">
        <v>7.7015708168470809E-3</v>
      </c>
    </row>
    <row r="703" spans="23:30" x14ac:dyDescent="0.2">
      <c r="W703" s="144"/>
      <c r="X703" s="113" t="str">
        <f t="shared" si="29"/>
        <v>1w</v>
      </c>
      <c r="Y703" s="106">
        <f>_xll.qlCalendarAdvance(Calendar,Y702,X703,"f",FALSE)</f>
        <v>44117</v>
      </c>
      <c r="Z703" s="108">
        <f>_xll.qlCalendarAdvance(Calendar,Y703,0&amp;"D")</f>
        <v>44117</v>
      </c>
      <c r="AA703" s="109">
        <v>7.7534536955603528E-3</v>
      </c>
      <c r="AB703" s="143">
        <f t="shared" si="30"/>
        <v>0</v>
      </c>
      <c r="AC703" s="236" t="e">
        <v>#N/A</v>
      </c>
      <c r="AD703" s="236">
        <v>7.7534536955603528E-3</v>
      </c>
    </row>
    <row r="704" spans="23:30" x14ac:dyDescent="0.2">
      <c r="W704" s="144"/>
      <c r="X704" s="113" t="str">
        <f t="shared" si="29"/>
        <v>1w</v>
      </c>
      <c r="Y704" s="106">
        <f>_xll.qlCalendarAdvance(Calendar,Y703,X704,"f",FALSE)</f>
        <v>44124</v>
      </c>
      <c r="Z704" s="108">
        <f>_xll.qlCalendarAdvance(Calendar,Y704,0&amp;"D")</f>
        <v>44124</v>
      </c>
      <c r="AA704" s="109">
        <v>7.8051567851300518E-3</v>
      </c>
      <c r="AB704" s="143">
        <f t="shared" si="30"/>
        <v>0</v>
      </c>
      <c r="AC704" s="236" t="e">
        <v>#N/A</v>
      </c>
      <c r="AD704" s="236">
        <v>7.8051567851300518E-3</v>
      </c>
    </row>
    <row r="705" spans="23:30" x14ac:dyDescent="0.2">
      <c r="W705" s="144"/>
      <c r="X705" s="113" t="str">
        <f t="shared" si="29"/>
        <v>1w</v>
      </c>
      <c r="Y705" s="106">
        <f>_xll.qlCalendarAdvance(Calendar,Y704,X705,"f",FALSE)</f>
        <v>44131</v>
      </c>
      <c r="Z705" s="108">
        <f>_xll.qlCalendarAdvance(Calendar,Y705,0&amp;"D")</f>
        <v>44131</v>
      </c>
      <c r="AA705" s="109">
        <v>7.856680085476242E-3</v>
      </c>
      <c r="AB705" s="143">
        <f t="shared" si="30"/>
        <v>0</v>
      </c>
      <c r="AC705" s="236" t="e">
        <v>#N/A</v>
      </c>
      <c r="AD705" s="236">
        <v>7.856680085476242E-3</v>
      </c>
    </row>
    <row r="706" spans="23:30" x14ac:dyDescent="0.2">
      <c r="W706" s="144"/>
      <c r="X706" s="113" t="str">
        <f t="shared" si="29"/>
        <v>1w</v>
      </c>
      <c r="Y706" s="106">
        <f>_xll.qlCalendarAdvance(Calendar,Y705,X706,"f",FALSE)</f>
        <v>44138</v>
      </c>
      <c r="Z706" s="108">
        <f>_xll.qlCalendarAdvance(Calendar,Y706,0&amp;"D")</f>
        <v>44138</v>
      </c>
      <c r="AA706" s="109">
        <v>7.9080235966788592E-3</v>
      </c>
      <c r="AB706" s="143">
        <f t="shared" si="30"/>
        <v>0</v>
      </c>
      <c r="AC706" s="236" t="e">
        <v>#N/A</v>
      </c>
      <c r="AD706" s="236">
        <v>7.9080235966788592E-3</v>
      </c>
    </row>
    <row r="707" spans="23:30" x14ac:dyDescent="0.2">
      <c r="W707" s="144"/>
      <c r="X707" s="113" t="str">
        <f t="shared" si="29"/>
        <v>1w</v>
      </c>
      <c r="Y707" s="106">
        <f>_xll.qlCalendarAdvance(Calendar,Y706,X707,"f",FALSE)</f>
        <v>44145</v>
      </c>
      <c r="Z707" s="108">
        <f>_xll.qlCalendarAdvance(Calendar,Y707,0&amp;"D")</f>
        <v>44145</v>
      </c>
      <c r="AA707" s="109">
        <v>7.9591873184181594E-3</v>
      </c>
      <c r="AB707" s="143">
        <f t="shared" si="30"/>
        <v>0</v>
      </c>
      <c r="AC707" s="236" t="e">
        <v>#N/A</v>
      </c>
      <c r="AD707" s="236">
        <v>7.9591873184181594E-3</v>
      </c>
    </row>
    <row r="708" spans="23:30" x14ac:dyDescent="0.2">
      <c r="W708" s="144"/>
      <c r="X708" s="113" t="str">
        <f t="shared" si="29"/>
        <v>1w</v>
      </c>
      <c r="Y708" s="106">
        <f>_xll.qlCalendarAdvance(Calendar,Y707,X708,"f",FALSE)</f>
        <v>44152</v>
      </c>
      <c r="Z708" s="108">
        <f>_xll.qlCalendarAdvance(Calendar,Y708,0&amp;"D")</f>
        <v>44152</v>
      </c>
      <c r="AA708" s="109">
        <v>8.0101712509339507E-3</v>
      </c>
      <c r="AB708" s="143">
        <f t="shared" si="30"/>
        <v>7.9936057773011271E-14</v>
      </c>
      <c r="AC708" s="236" t="e">
        <v>#N/A</v>
      </c>
      <c r="AD708" s="236">
        <v>8.0101712508540146E-3</v>
      </c>
    </row>
    <row r="709" spans="23:30" x14ac:dyDescent="0.2">
      <c r="W709" s="144"/>
      <c r="X709" s="113" t="str">
        <f t="shared" si="29"/>
        <v>1w</v>
      </c>
      <c r="Y709" s="106">
        <f>_xll.qlCalendarAdvance(Calendar,Y708,X709,"f",FALSE)</f>
        <v>44159</v>
      </c>
      <c r="Z709" s="108">
        <f>_xll.qlCalendarAdvance(Calendar,Y709,0&amp;"D")</f>
        <v>44159</v>
      </c>
      <c r="AA709" s="109">
        <v>8.0609753937466166E-3</v>
      </c>
      <c r="AB709" s="143">
        <f t="shared" si="30"/>
        <v>0</v>
      </c>
      <c r="AC709" s="236" t="e">
        <v>#N/A</v>
      </c>
      <c r="AD709" s="236">
        <v>8.0609753937466166E-3</v>
      </c>
    </row>
    <row r="710" spans="23:30" x14ac:dyDescent="0.2">
      <c r="W710" s="144"/>
      <c r="X710" s="113" t="str">
        <f t="shared" si="29"/>
        <v>1w</v>
      </c>
      <c r="Y710" s="106">
        <f>_xll.qlCalendarAdvance(Calendar,Y709,X710,"f",FALSE)</f>
        <v>44166</v>
      </c>
      <c r="Z710" s="108">
        <f>_xll.qlCalendarAdvance(Calendar,Y710,0&amp;"D")</f>
        <v>44166</v>
      </c>
      <c r="AA710" s="109">
        <v>8.1115997470959655E-3</v>
      </c>
      <c r="AB710" s="143">
        <f t="shared" si="30"/>
        <v>7.9936057773011271E-14</v>
      </c>
      <c r="AC710" s="236" t="e">
        <v>#N/A</v>
      </c>
      <c r="AD710" s="236">
        <v>8.1115997470160295E-3</v>
      </c>
    </row>
    <row r="711" spans="23:30" x14ac:dyDescent="0.2">
      <c r="W711" s="144"/>
      <c r="X711" s="113" t="str">
        <f t="shared" si="29"/>
        <v>1w</v>
      </c>
      <c r="Y711" s="106">
        <f>_xll.qlCalendarAdvance(Calendar,Y710,X711,"f",FALSE)</f>
        <v>44173</v>
      </c>
      <c r="Z711" s="108">
        <f>_xll.qlCalendarAdvance(Calendar,Y711,0&amp;"D")</f>
        <v>44173</v>
      </c>
      <c r="AA711" s="109">
        <v>8.1620443108221252E-3</v>
      </c>
      <c r="AB711" s="143">
        <f t="shared" si="30"/>
        <v>0</v>
      </c>
      <c r="AC711" s="236" t="e">
        <v>#N/A</v>
      </c>
      <c r="AD711" s="236">
        <v>8.1620443108221252E-3</v>
      </c>
    </row>
    <row r="712" spans="23:30" x14ac:dyDescent="0.2">
      <c r="W712" s="144"/>
      <c r="X712" s="113" t="str">
        <f t="shared" si="29"/>
        <v>1w</v>
      </c>
      <c r="Y712" s="106">
        <f>_xll.qlCalendarAdvance(Calendar,Y711,X712,"f",FALSE)</f>
        <v>44180</v>
      </c>
      <c r="Z712" s="108">
        <f>_xll.qlCalendarAdvance(Calendar,Y712,0&amp;"D")</f>
        <v>44180</v>
      </c>
      <c r="AA712" s="109">
        <v>8.2123090848451596E-3</v>
      </c>
      <c r="AB712" s="143">
        <f t="shared" si="30"/>
        <v>7.9936057773011271E-14</v>
      </c>
      <c r="AC712" s="236" t="e">
        <v>#N/A</v>
      </c>
      <c r="AD712" s="236">
        <v>8.2123090847652236E-3</v>
      </c>
    </row>
    <row r="713" spans="23:30" x14ac:dyDescent="0.2">
      <c r="W713" s="144"/>
      <c r="X713" s="113" t="str">
        <f t="shared" si="29"/>
        <v>1w</v>
      </c>
      <c r="Y713" s="106">
        <f>_xll.qlCalendarAdvance(Calendar,Y712,X713,"f",FALSE)</f>
        <v>44187</v>
      </c>
      <c r="Z713" s="108">
        <f>_xll.qlCalendarAdvance(Calendar,Y713,0&amp;"D")</f>
        <v>44187</v>
      </c>
      <c r="AA713" s="109">
        <v>8.2623940690051967E-3</v>
      </c>
      <c r="AB713" s="143">
        <f t="shared" si="30"/>
        <v>0</v>
      </c>
      <c r="AC713" s="236" t="e">
        <v>#N/A</v>
      </c>
      <c r="AD713" s="236">
        <v>8.2623940690051967E-3</v>
      </c>
    </row>
    <row r="714" spans="23:30" x14ac:dyDescent="0.2">
      <c r="W714" s="144"/>
      <c r="X714" s="113" t="str">
        <f t="shared" si="29"/>
        <v>1w</v>
      </c>
      <c r="Y714" s="106">
        <f>_xll.qlCalendarAdvance(Calendar,Y713,X714,"f",FALSE)</f>
        <v>44194</v>
      </c>
      <c r="Z714" s="108">
        <f>_xll.qlCalendarAdvance(Calendar,Y714,0&amp;"D")</f>
        <v>44194</v>
      </c>
      <c r="AA714" s="109">
        <v>8.3122992632223003E-3</v>
      </c>
      <c r="AB714" s="143">
        <f t="shared" si="30"/>
        <v>0</v>
      </c>
      <c r="AC714" s="236" t="e">
        <v>#N/A</v>
      </c>
      <c r="AD714" s="236">
        <v>8.3122992632223003E-3</v>
      </c>
    </row>
    <row r="715" spans="23:30" x14ac:dyDescent="0.2">
      <c r="W715" s="144"/>
      <c r="X715" s="113" t="str">
        <f t="shared" si="29"/>
        <v>1w</v>
      </c>
      <c r="Y715" s="106">
        <f>_xll.qlCalendarAdvance(Calendar,Y714,X715,"f",FALSE)</f>
        <v>44201</v>
      </c>
      <c r="Z715" s="108">
        <f>_xll.qlCalendarAdvance(Calendar,Y715,0&amp;"D")</f>
        <v>44201</v>
      </c>
      <c r="AA715" s="109">
        <v>8.3620246676563426E-3</v>
      </c>
      <c r="AB715" s="143">
        <f t="shared" si="30"/>
        <v>0</v>
      </c>
      <c r="AC715" s="236" t="e">
        <v>#N/A</v>
      </c>
      <c r="AD715" s="236">
        <v>8.3620246676563426E-3</v>
      </c>
    </row>
    <row r="716" spans="23:30" x14ac:dyDescent="0.2">
      <c r="W716" s="144"/>
      <c r="X716" s="113" t="str">
        <f t="shared" si="29"/>
        <v>1w</v>
      </c>
      <c r="Y716" s="106">
        <f>_xll.qlCalendarAdvance(Calendar,Y715,X716,"f",FALSE)</f>
        <v>44208</v>
      </c>
      <c r="Z716" s="108">
        <f>_xll.qlCalendarAdvance(Calendar,Y716,0&amp;"D")</f>
        <v>44208</v>
      </c>
      <c r="AA716" s="109">
        <v>8.4115702819875793E-3</v>
      </c>
      <c r="AB716" s="143">
        <f t="shared" si="30"/>
        <v>0</v>
      </c>
      <c r="AC716" s="236" t="e">
        <v>#N/A</v>
      </c>
      <c r="AD716" s="236">
        <v>8.4115702819875793E-3</v>
      </c>
    </row>
    <row r="717" spans="23:30" x14ac:dyDescent="0.2">
      <c r="W717" s="144"/>
      <c r="X717" s="113" t="str">
        <f t="shared" ref="X717:X780" si="31">X716</f>
        <v>1w</v>
      </c>
      <c r="Y717" s="106">
        <f>_xll.qlCalendarAdvance(Calendar,Y716,X717,"f",FALSE)</f>
        <v>44215</v>
      </c>
      <c r="Z717" s="108">
        <f>_xll.qlCalendarAdvance(Calendar,Y717,0&amp;"D")</f>
        <v>44215</v>
      </c>
      <c r="AA717" s="109">
        <v>8.4609361062160104E-3</v>
      </c>
      <c r="AB717" s="143">
        <f t="shared" si="30"/>
        <v>0</v>
      </c>
      <c r="AC717" s="236" t="e">
        <v>#N/A</v>
      </c>
      <c r="AD717" s="236">
        <v>8.4609361062160104E-3</v>
      </c>
    </row>
    <row r="718" spans="23:30" x14ac:dyDescent="0.2">
      <c r="W718" s="144"/>
      <c r="X718" s="113" t="str">
        <f t="shared" si="31"/>
        <v>1w</v>
      </c>
      <c r="Y718" s="106">
        <f>_xll.qlCalendarAdvance(Calendar,Y717,X718,"f",FALSE)</f>
        <v>44222</v>
      </c>
      <c r="Z718" s="108">
        <f>_xll.qlCalendarAdvance(Calendar,Y718,0&amp;"D")</f>
        <v>44222</v>
      </c>
      <c r="AA718" s="109">
        <v>8.5101221403416361E-3</v>
      </c>
      <c r="AB718" s="143">
        <f t="shared" si="30"/>
        <v>0</v>
      </c>
      <c r="AC718" s="236" t="e">
        <v>#N/A</v>
      </c>
      <c r="AD718" s="236">
        <v>8.5101221403416361E-3</v>
      </c>
    </row>
    <row r="719" spans="23:30" x14ac:dyDescent="0.2">
      <c r="W719" s="144"/>
      <c r="X719" s="113" t="str">
        <f t="shared" si="31"/>
        <v>1w</v>
      </c>
      <c r="Y719" s="106">
        <f>_xll.qlCalendarAdvance(Calendar,Y718,X719,"f",FALSE)</f>
        <v>44229</v>
      </c>
      <c r="Z719" s="108">
        <f>_xll.qlCalendarAdvance(Calendar,Y719,0&amp;"D")</f>
        <v>44229</v>
      </c>
      <c r="AA719" s="109">
        <v>8.5591283841246479E-3</v>
      </c>
      <c r="AB719" s="143">
        <f t="shared" si="30"/>
        <v>0</v>
      </c>
      <c r="AC719" s="236" t="e">
        <v>#N/A</v>
      </c>
      <c r="AD719" s="236">
        <v>8.5591283841246479E-3</v>
      </c>
    </row>
    <row r="720" spans="23:30" x14ac:dyDescent="0.2">
      <c r="W720" s="144"/>
      <c r="X720" s="113" t="str">
        <f t="shared" si="31"/>
        <v>1w</v>
      </c>
      <c r="Y720" s="106">
        <f>_xll.qlCalendarAdvance(Calendar,Y719,X720,"f",FALSE)</f>
        <v>44236</v>
      </c>
      <c r="Z720" s="108">
        <f>_xll.qlCalendarAdvance(Calendar,Y720,0&amp;"D")</f>
        <v>44236</v>
      </c>
      <c r="AA720" s="109">
        <v>8.6079548376449821E-3</v>
      </c>
      <c r="AB720" s="143">
        <f t="shared" si="30"/>
        <v>0</v>
      </c>
      <c r="AC720" s="236" t="e">
        <v>#N/A</v>
      </c>
      <c r="AD720" s="236">
        <v>8.6079548376449821E-3</v>
      </c>
    </row>
    <row r="721" spans="23:30" x14ac:dyDescent="0.2">
      <c r="W721" s="144"/>
      <c r="X721" s="113" t="str">
        <f t="shared" si="31"/>
        <v>1w</v>
      </c>
      <c r="Y721" s="106">
        <f>_xll.qlCalendarAdvance(Calendar,Y720,X721,"f",FALSE)</f>
        <v>44243</v>
      </c>
      <c r="Z721" s="108">
        <f>_xll.qlCalendarAdvance(Calendar,Y721,0&amp;"D")</f>
        <v>44243</v>
      </c>
      <c r="AA721" s="109">
        <v>8.6566015008227026E-3</v>
      </c>
      <c r="AB721" s="143">
        <f t="shared" si="30"/>
        <v>0</v>
      </c>
      <c r="AC721" s="236" t="e">
        <v>#N/A</v>
      </c>
      <c r="AD721" s="236">
        <v>8.6566015008227026E-3</v>
      </c>
    </row>
    <row r="722" spans="23:30" x14ac:dyDescent="0.2">
      <c r="W722" s="144"/>
      <c r="X722" s="113" t="str">
        <f t="shared" si="31"/>
        <v>1w</v>
      </c>
      <c r="Y722" s="106">
        <f>_xll.qlCalendarAdvance(Calendar,Y721,X722,"f",FALSE)</f>
        <v>44250</v>
      </c>
      <c r="Z722" s="108">
        <f>_xll.qlCalendarAdvance(Calendar,Y722,0&amp;"D")</f>
        <v>44250</v>
      </c>
      <c r="AA722" s="109">
        <v>8.7050683734979373E-3</v>
      </c>
      <c r="AB722" s="143">
        <f t="shared" si="30"/>
        <v>0</v>
      </c>
      <c r="AC722" s="236" t="e">
        <v>#N/A</v>
      </c>
      <c r="AD722" s="236">
        <v>8.7050683734979373E-3</v>
      </c>
    </row>
    <row r="723" spans="23:30" x14ac:dyDescent="0.2">
      <c r="W723" s="144"/>
      <c r="X723" s="113" t="str">
        <f t="shared" si="31"/>
        <v>1w</v>
      </c>
      <c r="Y723" s="106">
        <f>_xll.qlCalendarAdvance(Calendar,Y722,X723,"f",FALSE)</f>
        <v>44257</v>
      </c>
      <c r="Z723" s="108">
        <f>_xll.qlCalendarAdvance(Calendar,Y723,0&amp;"D")</f>
        <v>44257</v>
      </c>
      <c r="AA723" s="109">
        <v>8.75335545559075E-3</v>
      </c>
      <c r="AB723" s="143">
        <f t="shared" si="30"/>
        <v>-7.9936057773011271E-14</v>
      </c>
      <c r="AC723" s="236" t="e">
        <v>#N/A</v>
      </c>
      <c r="AD723" s="236">
        <v>8.7533554556706861E-3</v>
      </c>
    </row>
    <row r="724" spans="23:30" x14ac:dyDescent="0.2">
      <c r="W724" s="144"/>
      <c r="X724" s="113" t="str">
        <f t="shared" si="31"/>
        <v>1w</v>
      </c>
      <c r="Y724" s="106">
        <f>_xll.qlCalendarAdvance(Calendar,Y723,X724,"f",FALSE)</f>
        <v>44264</v>
      </c>
      <c r="Z724" s="108">
        <f>_xll.qlCalendarAdvance(Calendar,Y724,0&amp;"D")</f>
        <v>44264</v>
      </c>
      <c r="AA724" s="109">
        <v>8.8014627471810769E-3</v>
      </c>
      <c r="AB724" s="143">
        <f t="shared" si="30"/>
        <v>0</v>
      </c>
      <c r="AC724" s="236" t="e">
        <v>#N/A</v>
      </c>
      <c r="AD724" s="236">
        <v>8.8014627471810769E-3</v>
      </c>
    </row>
    <row r="725" spans="23:30" x14ac:dyDescent="0.2">
      <c r="W725" s="144"/>
      <c r="X725" s="113" t="str">
        <f t="shared" si="31"/>
        <v>1w</v>
      </c>
      <c r="Y725" s="106">
        <f>_xll.qlCalendarAdvance(Calendar,Y724,X725,"f",FALSE)</f>
        <v>44271</v>
      </c>
      <c r="Z725" s="108">
        <f>_xll.qlCalendarAdvance(Calendar,Y725,0&amp;"D")</f>
        <v>44271</v>
      </c>
      <c r="AA725" s="109">
        <v>8.8493902480291098E-3</v>
      </c>
      <c r="AB725" s="143">
        <f t="shared" ref="AB725:AB788" si="32">AA725-AD725</f>
        <v>0</v>
      </c>
      <c r="AC725" s="236" t="e">
        <v>#N/A</v>
      </c>
      <c r="AD725" s="236">
        <v>8.8493902480291098E-3</v>
      </c>
    </row>
    <row r="726" spans="23:30" x14ac:dyDescent="0.2">
      <c r="W726" s="144"/>
      <c r="X726" s="113" t="str">
        <f t="shared" si="31"/>
        <v>1w</v>
      </c>
      <c r="Y726" s="106">
        <f>_xll.qlCalendarAdvance(Calendar,Y725,X726,"f",FALSE)</f>
        <v>44278</v>
      </c>
      <c r="Z726" s="108">
        <f>_xll.qlCalendarAdvance(Calendar,Y726,0&amp;"D")</f>
        <v>44278</v>
      </c>
      <c r="AA726" s="109">
        <v>8.8971379581348486E-3</v>
      </c>
      <c r="AB726" s="143">
        <f t="shared" si="32"/>
        <v>0</v>
      </c>
      <c r="AC726" s="236" t="e">
        <v>#N/A</v>
      </c>
      <c r="AD726" s="236">
        <v>8.8971379581348486E-3</v>
      </c>
    </row>
    <row r="727" spans="23:30" x14ac:dyDescent="0.2">
      <c r="W727" s="144"/>
      <c r="X727" s="113" t="str">
        <f t="shared" si="31"/>
        <v>1w</v>
      </c>
      <c r="Y727" s="106">
        <f>_xll.qlCalendarAdvance(Calendar,Y726,X727,"f",FALSE)</f>
        <v>44285</v>
      </c>
      <c r="Z727" s="108">
        <f>_xll.qlCalendarAdvance(Calendar,Y727,0&amp;"D")</f>
        <v>44285</v>
      </c>
      <c r="AA727" s="109">
        <v>8.9447058774183574E-3</v>
      </c>
      <c r="AB727" s="143">
        <f t="shared" si="32"/>
        <v>0</v>
      </c>
      <c r="AC727" s="236" t="e">
        <v>#N/A</v>
      </c>
      <c r="AD727" s="236">
        <v>8.9447058774183574E-3</v>
      </c>
    </row>
    <row r="728" spans="23:30" x14ac:dyDescent="0.2">
      <c r="W728" s="144"/>
      <c r="X728" s="113" t="str">
        <f t="shared" si="31"/>
        <v>1w</v>
      </c>
      <c r="Y728" s="106">
        <f>_xll.qlCalendarAdvance(Calendar,Y727,X728,"f",FALSE)</f>
        <v>44292</v>
      </c>
      <c r="Z728" s="108">
        <f>_xll.qlCalendarAdvance(Calendar,Y728,0&amp;"D")</f>
        <v>44292</v>
      </c>
      <c r="AA728" s="109">
        <v>8.9920940058796361E-3</v>
      </c>
      <c r="AB728" s="143">
        <f t="shared" si="32"/>
        <v>0</v>
      </c>
      <c r="AC728" s="236" t="e">
        <v>#N/A</v>
      </c>
      <c r="AD728" s="236">
        <v>8.9920940058796361E-3</v>
      </c>
    </row>
    <row r="729" spans="23:30" x14ac:dyDescent="0.2">
      <c r="W729" s="144"/>
      <c r="X729" s="113" t="str">
        <f t="shared" si="31"/>
        <v>1w</v>
      </c>
      <c r="Y729" s="106">
        <f>_xll.qlCalendarAdvance(Calendar,Y728,X729,"f",FALSE)</f>
        <v>44299</v>
      </c>
      <c r="Z729" s="108">
        <f>_xll.qlCalendarAdvance(Calendar,Y729,0&amp;"D")</f>
        <v>44299</v>
      </c>
      <c r="AA729" s="109">
        <v>9.0393023432788766E-3</v>
      </c>
      <c r="AB729" s="143">
        <f t="shared" si="32"/>
        <v>-7.9936057773011271E-14</v>
      </c>
      <c r="AC729" s="236" t="e">
        <v>#N/A</v>
      </c>
      <c r="AD729" s="236">
        <v>9.0393023433588127E-3</v>
      </c>
    </row>
    <row r="730" spans="23:30" x14ac:dyDescent="0.2">
      <c r="W730" s="144"/>
      <c r="X730" s="113" t="str">
        <f t="shared" si="31"/>
        <v>1w</v>
      </c>
      <c r="Y730" s="106">
        <f>_xll.qlCalendarAdvance(Calendar,Y729,X730,"f",FALSE)</f>
        <v>44306</v>
      </c>
      <c r="Z730" s="108">
        <f>_xll.qlCalendarAdvance(Calendar,Y730,0&amp;"D")</f>
        <v>44306</v>
      </c>
      <c r="AA730" s="109">
        <v>9.0863308897759509E-3</v>
      </c>
      <c r="AB730" s="143">
        <f t="shared" si="32"/>
        <v>0</v>
      </c>
      <c r="AC730" s="236" t="e">
        <v>#N/A</v>
      </c>
      <c r="AD730" s="236">
        <v>9.0863308897759509E-3</v>
      </c>
    </row>
    <row r="731" spans="23:30" x14ac:dyDescent="0.2">
      <c r="W731" s="144"/>
      <c r="X731" s="113" t="str">
        <f t="shared" si="31"/>
        <v>1w</v>
      </c>
      <c r="Y731" s="106">
        <f>_xll.qlCalendarAdvance(Calendar,Y730,X731,"f",FALSE)</f>
        <v>44313</v>
      </c>
      <c r="Z731" s="108">
        <f>_xll.qlCalendarAdvance(Calendar,Y731,0&amp;"D")</f>
        <v>44313</v>
      </c>
      <c r="AA731" s="109">
        <v>9.1331796450511149E-3</v>
      </c>
      <c r="AB731" s="143">
        <f t="shared" si="32"/>
        <v>0</v>
      </c>
      <c r="AC731" s="236" t="e">
        <v>#N/A</v>
      </c>
      <c r="AD731" s="236">
        <v>9.1331796450511149E-3</v>
      </c>
    </row>
    <row r="732" spans="23:30" x14ac:dyDescent="0.2">
      <c r="W732" s="144"/>
      <c r="X732" s="113" t="str">
        <f t="shared" si="31"/>
        <v>1w</v>
      </c>
      <c r="Y732" s="106">
        <f>_xll.qlCalendarAdvance(Calendar,Y731,X732,"f",FALSE)</f>
        <v>44320</v>
      </c>
      <c r="Z732" s="108">
        <f>_xll.qlCalendarAdvance(Calendar,Y732,0&amp;"D")</f>
        <v>44320</v>
      </c>
      <c r="AA732" s="109">
        <v>9.1798486092642406E-3</v>
      </c>
      <c r="AB732" s="143">
        <f t="shared" si="32"/>
        <v>7.9936057773011271E-14</v>
      </c>
      <c r="AC732" s="236" t="e">
        <v>#N/A</v>
      </c>
      <c r="AD732" s="236">
        <v>9.1798486091843046E-3</v>
      </c>
    </row>
    <row r="733" spans="23:30" x14ac:dyDescent="0.2">
      <c r="W733" s="144"/>
      <c r="X733" s="113" t="str">
        <f t="shared" si="31"/>
        <v>1w</v>
      </c>
      <c r="Y733" s="106">
        <f>_xll.qlCalendarAdvance(Calendar,Y732,X733,"f",FALSE)</f>
        <v>44327</v>
      </c>
      <c r="Z733" s="108">
        <f>_xll.qlCalendarAdvance(Calendar,Y733,0&amp;"D")</f>
        <v>44327</v>
      </c>
      <c r="AA733" s="109">
        <v>9.2263377821755199E-3</v>
      </c>
      <c r="AB733" s="143">
        <f t="shared" si="32"/>
        <v>0</v>
      </c>
      <c r="AC733" s="236" t="e">
        <v>#N/A</v>
      </c>
      <c r="AD733" s="236">
        <v>9.2263377821755199E-3</v>
      </c>
    </row>
    <row r="734" spans="23:30" x14ac:dyDescent="0.2">
      <c r="W734" s="144"/>
      <c r="X734" s="113" t="str">
        <f t="shared" si="31"/>
        <v>1w</v>
      </c>
      <c r="Y734" s="106">
        <f>_xll.qlCalendarAdvance(Calendar,Y733,X734,"f",FALSE)</f>
        <v>44334</v>
      </c>
      <c r="Z734" s="108">
        <f>_xll.qlCalendarAdvance(Calendar,Y734,0&amp;"D")</f>
        <v>44334</v>
      </c>
      <c r="AA734" s="109">
        <v>9.2726471637050167E-3</v>
      </c>
      <c r="AB734" s="143">
        <f t="shared" si="32"/>
        <v>0</v>
      </c>
      <c r="AC734" s="236" t="e">
        <v>#N/A</v>
      </c>
      <c r="AD734" s="236">
        <v>9.2726471637050167E-3</v>
      </c>
    </row>
    <row r="735" spans="23:30" x14ac:dyDescent="0.2">
      <c r="W735" s="144"/>
      <c r="X735" s="113" t="str">
        <f t="shared" si="31"/>
        <v>1w</v>
      </c>
      <c r="Y735" s="106">
        <f>_xll.qlCalendarAdvance(Calendar,Y734,X735,"f",FALSE)</f>
        <v>44341</v>
      </c>
      <c r="Z735" s="108">
        <f>_xll.qlCalendarAdvance(Calendar,Y735,0&amp;"D")</f>
        <v>44341</v>
      </c>
      <c r="AA735" s="109">
        <v>9.3187767538527311E-3</v>
      </c>
      <c r="AB735" s="143">
        <f t="shared" si="32"/>
        <v>-7.9936057773011271E-14</v>
      </c>
      <c r="AC735" s="236" t="e">
        <v>#N/A</v>
      </c>
      <c r="AD735" s="236">
        <v>9.3187767539326671E-3</v>
      </c>
    </row>
    <row r="736" spans="23:30" x14ac:dyDescent="0.2">
      <c r="W736" s="144"/>
      <c r="X736" s="113" t="str">
        <f t="shared" si="31"/>
        <v>1w</v>
      </c>
      <c r="Y736" s="106">
        <f>_xll.qlCalendarAdvance(Calendar,Y735,X736,"f",FALSE)</f>
        <v>44348</v>
      </c>
      <c r="Z736" s="108">
        <f>_xll.qlCalendarAdvance(Calendar,Y736,0&amp;"D")</f>
        <v>44348</v>
      </c>
      <c r="AA736" s="109">
        <v>9.3647266340735058E-3</v>
      </c>
      <c r="AB736" s="143">
        <f t="shared" si="32"/>
        <v>-7.9936057773011271E-14</v>
      </c>
      <c r="AC736" s="236" t="e">
        <v>#N/A</v>
      </c>
      <c r="AD736" s="236">
        <v>9.3647266341534419E-3</v>
      </c>
    </row>
    <row r="737" spans="23:30" x14ac:dyDescent="0.2">
      <c r="W737" s="144"/>
      <c r="X737" s="113" t="str">
        <f t="shared" si="31"/>
        <v>1w</v>
      </c>
      <c r="Y737" s="106">
        <f>_xll.qlCalendarAdvance(Calendar,Y736,X737,"f",FALSE)</f>
        <v>44355</v>
      </c>
      <c r="Z737" s="108">
        <f>_xll.qlCalendarAdvance(Calendar,Y737,0&amp;"D")</f>
        <v>44355</v>
      </c>
      <c r="AA737" s="109">
        <v>9.4105103327457584E-3</v>
      </c>
      <c r="AB737" s="143">
        <f t="shared" si="32"/>
        <v>-7.9936057773011271E-14</v>
      </c>
      <c r="AC737" s="236" t="e">
        <v>#N/A</v>
      </c>
      <c r="AD737" s="236">
        <v>9.4105103328256945E-3</v>
      </c>
    </row>
    <row r="738" spans="23:30" x14ac:dyDescent="0.2">
      <c r="W738" s="144"/>
      <c r="X738" s="113" t="str">
        <f t="shared" si="31"/>
        <v>1w</v>
      </c>
      <c r="Y738" s="106">
        <f>_xll.qlCalendarAdvance(Calendar,Y737,X738,"f",FALSE)</f>
        <v>44362</v>
      </c>
      <c r="Z738" s="108">
        <f>_xll.qlCalendarAdvance(Calendar,Y738,0&amp;"D")</f>
        <v>44362</v>
      </c>
      <c r="AA738" s="109">
        <v>9.4561381999103133E-3</v>
      </c>
      <c r="AB738" s="143">
        <f t="shared" si="32"/>
        <v>0</v>
      </c>
      <c r="AC738" s="236" t="e">
        <v>#N/A</v>
      </c>
      <c r="AD738" s="236">
        <v>9.4561381999103133E-3</v>
      </c>
    </row>
    <row r="739" spans="23:30" x14ac:dyDescent="0.2">
      <c r="W739" s="144"/>
      <c r="X739" s="113" t="str">
        <f t="shared" si="31"/>
        <v>1w</v>
      </c>
      <c r="Y739" s="106">
        <f>_xll.qlCalendarAdvance(Calendar,Y738,X739,"f",FALSE)</f>
        <v>44369</v>
      </c>
      <c r="Z739" s="108">
        <f>_xll.qlCalendarAdvance(Calendar,Y739,0&amp;"D")</f>
        <v>44369</v>
      </c>
      <c r="AA739" s="109">
        <v>9.5016102354872345E-3</v>
      </c>
      <c r="AB739" s="143">
        <f t="shared" si="32"/>
        <v>7.9936057773011271E-14</v>
      </c>
      <c r="AC739" s="236" t="e">
        <v>#N/A</v>
      </c>
      <c r="AD739" s="236">
        <v>9.5016102354072984E-3</v>
      </c>
    </row>
    <row r="740" spans="23:30" x14ac:dyDescent="0.2">
      <c r="W740" s="144"/>
      <c r="X740" s="113" t="str">
        <f t="shared" si="31"/>
        <v>1w</v>
      </c>
      <c r="Y740" s="106">
        <f>_xll.qlCalendarAdvance(Calendar,Y739,X740,"f",FALSE)</f>
        <v>44376</v>
      </c>
      <c r="Z740" s="108">
        <f>_xll.qlCalendarAdvance(Calendar,Y740,0&amp;"D")</f>
        <v>44376</v>
      </c>
      <c r="AA740" s="109">
        <v>9.5469264393166497E-3</v>
      </c>
      <c r="AB740" s="143">
        <f t="shared" si="32"/>
        <v>0</v>
      </c>
      <c r="AC740" s="236" t="e">
        <v>#N/A</v>
      </c>
      <c r="AD740" s="236">
        <v>9.5469264393166497E-3</v>
      </c>
    </row>
    <row r="741" spans="23:30" x14ac:dyDescent="0.2">
      <c r="W741" s="144"/>
      <c r="X741" s="113" t="str">
        <f t="shared" si="31"/>
        <v>1w</v>
      </c>
      <c r="Y741" s="106">
        <f>_xll.qlCalendarAdvance(Calendar,Y740,X741,"f",FALSE)</f>
        <v>44383</v>
      </c>
      <c r="Z741" s="108">
        <f>_xll.qlCalendarAdvance(Calendar,Y741,0&amp;"D")</f>
        <v>44383</v>
      </c>
      <c r="AA741" s="109">
        <v>9.5920868113186231E-3</v>
      </c>
      <c r="AB741" s="143">
        <f t="shared" si="32"/>
        <v>-7.9936057773011271E-14</v>
      </c>
      <c r="AC741" s="236" t="e">
        <v>#N/A</v>
      </c>
      <c r="AD741" s="236">
        <v>9.5920868113985591E-3</v>
      </c>
    </row>
    <row r="742" spans="23:30" x14ac:dyDescent="0.2">
      <c r="W742" s="144"/>
      <c r="X742" s="113" t="str">
        <f t="shared" si="31"/>
        <v>1w</v>
      </c>
      <c r="Y742" s="106">
        <f>_xll.qlCalendarAdvance(Calendar,Y741,X742,"f",FALSE)</f>
        <v>44390</v>
      </c>
      <c r="Z742" s="108">
        <f>_xll.qlCalendarAdvance(Calendar,Y742,0&amp;"D")</f>
        <v>44390</v>
      </c>
      <c r="AA742" s="109">
        <v>9.6370913517329626E-3</v>
      </c>
      <c r="AB742" s="143">
        <f t="shared" si="32"/>
        <v>7.9936057773011271E-14</v>
      </c>
      <c r="AC742" s="236" t="e">
        <v>#N/A</v>
      </c>
      <c r="AD742" s="236">
        <v>9.6370913516530265E-3</v>
      </c>
    </row>
    <row r="743" spans="23:30" x14ac:dyDescent="0.2">
      <c r="W743" s="144"/>
      <c r="X743" s="113" t="str">
        <f t="shared" si="31"/>
        <v>1w</v>
      </c>
      <c r="Y743" s="106">
        <f>_xll.qlCalendarAdvance(Calendar,Y742,X743,"f",FALSE)</f>
        <v>44397</v>
      </c>
      <c r="Z743" s="108">
        <f>_xll.qlCalendarAdvance(Calendar,Y743,0&amp;"D")</f>
        <v>44397</v>
      </c>
      <c r="AA743" s="109">
        <v>9.681940060080052E-3</v>
      </c>
      <c r="AB743" s="143">
        <f t="shared" si="32"/>
        <v>0</v>
      </c>
      <c r="AC743" s="236" t="e">
        <v>#N/A</v>
      </c>
      <c r="AD743" s="236">
        <v>9.681940060080052E-3</v>
      </c>
    </row>
    <row r="744" spans="23:30" x14ac:dyDescent="0.2">
      <c r="W744" s="144"/>
      <c r="X744" s="113" t="str">
        <f t="shared" si="31"/>
        <v>1w</v>
      </c>
      <c r="Y744" s="106">
        <f>_xll.qlCalendarAdvance(Calendar,Y743,X744,"f",FALSE)</f>
        <v>44404</v>
      </c>
      <c r="Z744" s="108">
        <f>_xll.qlCalendarAdvance(Calendar,Y744,0&amp;"D")</f>
        <v>44404</v>
      </c>
      <c r="AA744" s="109">
        <v>9.7266329367595716E-3</v>
      </c>
      <c r="AB744" s="143">
        <f t="shared" si="32"/>
        <v>0</v>
      </c>
      <c r="AC744" s="236" t="e">
        <v>#N/A</v>
      </c>
      <c r="AD744" s="236">
        <v>9.7266329367595716E-3</v>
      </c>
    </row>
    <row r="745" spans="23:30" x14ac:dyDescent="0.2">
      <c r="W745" s="144"/>
      <c r="X745" s="113" t="str">
        <f t="shared" si="31"/>
        <v>1w</v>
      </c>
      <c r="Y745" s="106">
        <f>_xll.qlCalendarAdvance(Calendar,Y744,X745,"f",FALSE)</f>
        <v>44411</v>
      </c>
      <c r="Z745" s="108">
        <f>_xll.qlCalendarAdvance(Calendar,Y745,0&amp;"D")</f>
        <v>44411</v>
      </c>
      <c r="AA745" s="109">
        <v>9.771169981211969E-3</v>
      </c>
      <c r="AB745" s="143">
        <f t="shared" si="32"/>
        <v>0</v>
      </c>
      <c r="AC745" s="236" t="e">
        <v>#N/A</v>
      </c>
      <c r="AD745" s="236">
        <v>9.771169981211969E-3</v>
      </c>
    </row>
    <row r="746" spans="23:30" x14ac:dyDescent="0.2">
      <c r="W746" s="144"/>
      <c r="X746" s="113" t="str">
        <f t="shared" si="31"/>
        <v>1w</v>
      </c>
      <c r="Y746" s="106">
        <f>_xll.qlCalendarAdvance(Calendar,Y745,X746,"f",FALSE)</f>
        <v>44418</v>
      </c>
      <c r="Z746" s="108">
        <f>_xll.qlCalendarAdvance(Calendar,Y746,0&amp;"D")</f>
        <v>44418</v>
      </c>
      <c r="AA746" s="109">
        <v>9.8155511938369244E-3</v>
      </c>
      <c r="AB746" s="143">
        <f t="shared" si="32"/>
        <v>0</v>
      </c>
      <c r="AC746" s="236" t="e">
        <v>#N/A</v>
      </c>
      <c r="AD746" s="236">
        <v>9.8155511938369244E-3</v>
      </c>
    </row>
    <row r="747" spans="23:30" x14ac:dyDescent="0.2">
      <c r="W747" s="144"/>
      <c r="X747" s="113" t="str">
        <f t="shared" si="31"/>
        <v>1w</v>
      </c>
      <c r="Y747" s="106">
        <f>_xll.qlCalendarAdvance(Calendar,Y746,X747,"f",FALSE)</f>
        <v>44425</v>
      </c>
      <c r="Z747" s="108">
        <f>_xll.qlCalendarAdvance(Calendar,Y747,0&amp;"D")</f>
        <v>44425</v>
      </c>
      <c r="AA747" s="109">
        <v>9.8597765743946297E-3</v>
      </c>
      <c r="AB747" s="143">
        <f t="shared" si="32"/>
        <v>7.9936057773011271E-14</v>
      </c>
      <c r="AC747" s="236" t="e">
        <v>#N/A</v>
      </c>
      <c r="AD747" s="236">
        <v>9.8597765743146937E-3</v>
      </c>
    </row>
    <row r="748" spans="23:30" x14ac:dyDescent="0.2">
      <c r="W748" s="144"/>
      <c r="X748" s="113" t="str">
        <f t="shared" si="31"/>
        <v>1w</v>
      </c>
      <c r="Y748" s="106">
        <f>_xll.qlCalendarAdvance(Calendar,Y747,X748,"f",FALSE)</f>
        <v>44432</v>
      </c>
      <c r="Z748" s="108">
        <f>_xll.qlCalendarAdvance(Calendar,Y748,0&amp;"D")</f>
        <v>44432</v>
      </c>
      <c r="AA748" s="109">
        <v>9.9038461226452768E-3</v>
      </c>
      <c r="AB748" s="143">
        <f t="shared" si="32"/>
        <v>0</v>
      </c>
      <c r="AC748" s="236" t="e">
        <v>#N/A</v>
      </c>
      <c r="AD748" s="236">
        <v>9.9038461226452768E-3</v>
      </c>
    </row>
    <row r="749" spans="23:30" x14ac:dyDescent="0.2">
      <c r="W749" s="144"/>
      <c r="X749" s="113" t="str">
        <f t="shared" si="31"/>
        <v>1w</v>
      </c>
      <c r="Y749" s="106">
        <f>_xll.qlCalendarAdvance(Calendar,Y748,X749,"f",FALSE)</f>
        <v>44439</v>
      </c>
      <c r="Z749" s="108">
        <f>_xll.qlCalendarAdvance(Calendar,Y749,0&amp;"D")</f>
        <v>44439</v>
      </c>
      <c r="AA749" s="109">
        <v>9.9477598388286737E-3</v>
      </c>
      <c r="AB749" s="143">
        <f t="shared" si="32"/>
        <v>-7.9936057773011271E-14</v>
      </c>
      <c r="AC749" s="236" t="e">
        <v>#N/A</v>
      </c>
      <c r="AD749" s="236">
        <v>9.9477598389086097E-3</v>
      </c>
    </row>
    <row r="750" spans="23:30" x14ac:dyDescent="0.2">
      <c r="W750" s="144"/>
      <c r="X750" s="113" t="str">
        <f t="shared" si="31"/>
        <v>1w</v>
      </c>
      <c r="Y750" s="106">
        <f>_xll.qlCalendarAdvance(Calendar,Y749,X750,"f",FALSE)</f>
        <v>44446</v>
      </c>
      <c r="Z750" s="108">
        <f>_xll.qlCalendarAdvance(Calendar,Y750,0&amp;"D")</f>
        <v>44446</v>
      </c>
      <c r="AA750" s="109">
        <v>9.9915177227849483E-3</v>
      </c>
      <c r="AB750" s="143">
        <f t="shared" si="32"/>
        <v>0</v>
      </c>
      <c r="AC750" s="236" t="e">
        <v>#N/A</v>
      </c>
      <c r="AD750" s="236">
        <v>9.9915177227849483E-3</v>
      </c>
    </row>
    <row r="751" spans="23:30" x14ac:dyDescent="0.2">
      <c r="W751" s="144"/>
      <c r="X751" s="113" t="str">
        <f t="shared" si="31"/>
        <v>1w</v>
      </c>
      <c r="Y751" s="106">
        <f>_xll.qlCalendarAdvance(Calendar,Y750,X751,"f",FALSE)</f>
        <v>44453</v>
      </c>
      <c r="Z751" s="108">
        <f>_xll.qlCalendarAdvance(Calendar,Y751,0&amp;"D")</f>
        <v>44453</v>
      </c>
      <c r="AA751" s="109">
        <v>1.0035119774354229E-2</v>
      </c>
      <c r="AB751" s="143">
        <f t="shared" si="32"/>
        <v>0</v>
      </c>
      <c r="AC751" s="236" t="e">
        <v>#N/A</v>
      </c>
      <c r="AD751" s="236">
        <v>1.0035119774354229E-2</v>
      </c>
    </row>
    <row r="752" spans="23:30" x14ac:dyDescent="0.2">
      <c r="W752" s="144"/>
      <c r="X752" s="113" t="str">
        <f t="shared" si="31"/>
        <v>1w</v>
      </c>
      <c r="Y752" s="106">
        <f>_xll.qlCalendarAdvance(Calendar,Y751,X752,"f",FALSE)</f>
        <v>44460</v>
      </c>
      <c r="Z752" s="108">
        <f>_xll.qlCalendarAdvance(Calendar,Y752,0&amp;"D")</f>
        <v>44460</v>
      </c>
      <c r="AA752" s="109">
        <v>1.0078565993616451E-2</v>
      </c>
      <c r="AB752" s="143">
        <f t="shared" si="32"/>
        <v>0</v>
      </c>
      <c r="AC752" s="236" t="e">
        <v>#N/A</v>
      </c>
      <c r="AD752" s="236">
        <v>1.0078565993616451E-2</v>
      </c>
    </row>
    <row r="753" spans="23:30" x14ac:dyDescent="0.2">
      <c r="W753" s="144"/>
      <c r="X753" s="113" t="str">
        <f t="shared" si="31"/>
        <v>1w</v>
      </c>
      <c r="Y753" s="106">
        <f>_xll.qlCalendarAdvance(Calendar,Y752,X753,"f",FALSE)</f>
        <v>44467</v>
      </c>
      <c r="Z753" s="108">
        <f>_xll.qlCalendarAdvance(Calendar,Y753,0&amp;"D")</f>
        <v>44467</v>
      </c>
      <c r="AA753" s="109">
        <v>1.0121856380491678E-2</v>
      </c>
      <c r="AB753" s="143">
        <f t="shared" si="32"/>
        <v>7.9936057773011271E-14</v>
      </c>
      <c r="AC753" s="236" t="e">
        <v>#N/A</v>
      </c>
      <c r="AD753" s="236">
        <v>1.0121856380411742E-2</v>
      </c>
    </row>
    <row r="754" spans="23:30" x14ac:dyDescent="0.2">
      <c r="W754" s="144"/>
      <c r="X754" s="113" t="str">
        <f t="shared" si="31"/>
        <v>1w</v>
      </c>
      <c r="Y754" s="106">
        <f>_xll.qlCalendarAdvance(Calendar,Y753,X754,"f",FALSE)</f>
        <v>44474</v>
      </c>
      <c r="Z754" s="108">
        <f>_xll.qlCalendarAdvance(Calendar,Y754,0&amp;"D")</f>
        <v>44474</v>
      </c>
      <c r="AA754" s="109">
        <v>1.0164990934740104E-2</v>
      </c>
      <c r="AB754" s="143">
        <f t="shared" si="32"/>
        <v>0</v>
      </c>
      <c r="AC754" s="236" t="e">
        <v>#N/A</v>
      </c>
      <c r="AD754" s="236">
        <v>1.0164990934740104E-2</v>
      </c>
    </row>
    <row r="755" spans="23:30" x14ac:dyDescent="0.2">
      <c r="W755" s="144"/>
      <c r="X755" s="113" t="str">
        <f t="shared" si="31"/>
        <v>1w</v>
      </c>
      <c r="Y755" s="106">
        <f>_xll.qlCalendarAdvance(Calendar,Y754,X755,"f",FALSE)</f>
        <v>44481</v>
      </c>
      <c r="Z755" s="108">
        <f>_xll.qlCalendarAdvance(Calendar,Y755,0&amp;"D")</f>
        <v>44481</v>
      </c>
      <c r="AA755" s="109">
        <v>1.0207969656521598E-2</v>
      </c>
      <c r="AB755" s="143">
        <f t="shared" si="32"/>
        <v>0</v>
      </c>
      <c r="AC755" s="236" t="e">
        <v>#N/A</v>
      </c>
      <c r="AD755" s="236">
        <v>1.0207969656521598E-2</v>
      </c>
    </row>
    <row r="756" spans="23:30" x14ac:dyDescent="0.2">
      <c r="W756" s="144"/>
      <c r="X756" s="113" t="str">
        <f t="shared" si="31"/>
        <v>1w</v>
      </c>
      <c r="Y756" s="106">
        <f>_xll.qlCalendarAdvance(Calendar,Y755,X756,"f",FALSE)</f>
        <v>44488</v>
      </c>
      <c r="Z756" s="108">
        <f>_xll.qlCalendarAdvance(Calendar,Y756,0&amp;"D")</f>
        <v>44488</v>
      </c>
      <c r="AA756" s="109">
        <v>1.0250792545676291E-2</v>
      </c>
      <c r="AB756" s="143">
        <f t="shared" si="32"/>
        <v>0</v>
      </c>
      <c r="AC756" s="236" t="e">
        <v>#N/A</v>
      </c>
      <c r="AD756" s="236">
        <v>1.0250792545676291E-2</v>
      </c>
    </row>
    <row r="757" spans="23:30" x14ac:dyDescent="0.2">
      <c r="W757" s="144"/>
      <c r="X757" s="113" t="str">
        <f t="shared" si="31"/>
        <v>1w</v>
      </c>
      <c r="Y757" s="106">
        <f>_xll.qlCalendarAdvance(Calendar,Y756,X757,"f",FALSE)</f>
        <v>44495</v>
      </c>
      <c r="Z757" s="108">
        <f>_xll.qlCalendarAdvance(Calendar,Y757,0&amp;"D")</f>
        <v>44495</v>
      </c>
      <c r="AA757" s="109">
        <v>1.0293459602284116E-2</v>
      </c>
      <c r="AB757" s="143">
        <f t="shared" si="32"/>
        <v>0</v>
      </c>
      <c r="AC757" s="236" t="e">
        <v>#N/A</v>
      </c>
      <c r="AD757" s="236">
        <v>1.0293459602284116E-2</v>
      </c>
    </row>
    <row r="758" spans="23:30" x14ac:dyDescent="0.2">
      <c r="W758" s="144"/>
      <c r="X758" s="113" t="str">
        <f t="shared" si="31"/>
        <v>1w</v>
      </c>
      <c r="Y758" s="106">
        <f>_xll.qlCalendarAdvance(Calendar,Y757,X758,"f",FALSE)</f>
        <v>44502</v>
      </c>
      <c r="Z758" s="108">
        <f>_xll.qlCalendarAdvance(Calendar,Y758,0&amp;"D")</f>
        <v>44502</v>
      </c>
      <c r="AA758" s="109">
        <v>1.0335970826105267E-2</v>
      </c>
      <c r="AB758" s="143">
        <f t="shared" si="32"/>
        <v>0</v>
      </c>
      <c r="AC758" s="236" t="e">
        <v>#N/A</v>
      </c>
      <c r="AD758" s="236">
        <v>1.0335970826105267E-2</v>
      </c>
    </row>
    <row r="759" spans="23:30" x14ac:dyDescent="0.2">
      <c r="W759" s="144"/>
      <c r="X759" s="113" t="str">
        <f t="shared" si="31"/>
        <v>1w</v>
      </c>
      <c r="Y759" s="106">
        <f>_xll.qlCalendarAdvance(Calendar,Y758,X759,"f",FALSE)</f>
        <v>44509</v>
      </c>
      <c r="Z759" s="108">
        <f>_xll.qlCalendarAdvance(Calendar,Y759,0&amp;"D")</f>
        <v>44509</v>
      </c>
      <c r="AA759" s="109">
        <v>1.037832621721968E-2</v>
      </c>
      <c r="AB759" s="143">
        <f t="shared" si="32"/>
        <v>0</v>
      </c>
      <c r="AC759" s="236" t="e">
        <v>#N/A</v>
      </c>
      <c r="AD759" s="236">
        <v>1.037832621721968E-2</v>
      </c>
    </row>
    <row r="760" spans="23:30" x14ac:dyDescent="0.2">
      <c r="W760" s="144"/>
      <c r="X760" s="113" t="str">
        <f t="shared" si="31"/>
        <v>1w</v>
      </c>
      <c r="Y760" s="106">
        <f>_xll.qlCalendarAdvance(Calendar,Y759,X760,"f",FALSE)</f>
        <v>44516</v>
      </c>
      <c r="Z760" s="108">
        <f>_xll.qlCalendarAdvance(Calendar,Y760,0&amp;"D")</f>
        <v>44516</v>
      </c>
      <c r="AA760" s="109">
        <v>1.0420525775547418E-2</v>
      </c>
      <c r="AB760" s="143">
        <f t="shared" si="32"/>
        <v>0</v>
      </c>
      <c r="AC760" s="236" t="e">
        <v>#N/A</v>
      </c>
      <c r="AD760" s="236">
        <v>1.0420525775547418E-2</v>
      </c>
    </row>
    <row r="761" spans="23:30" x14ac:dyDescent="0.2">
      <c r="W761" s="144"/>
      <c r="X761" s="113" t="str">
        <f t="shared" si="31"/>
        <v>1w</v>
      </c>
      <c r="Y761" s="106">
        <f>_xll.qlCalendarAdvance(Calendar,Y760,X761,"f",FALSE)</f>
        <v>44523</v>
      </c>
      <c r="Z761" s="108">
        <f>_xll.qlCalendarAdvance(Calendar,Y761,0&amp;"D")</f>
        <v>44523</v>
      </c>
      <c r="AA761" s="109">
        <v>1.0462569500928609E-2</v>
      </c>
      <c r="AB761" s="143">
        <f t="shared" si="32"/>
        <v>0</v>
      </c>
      <c r="AC761" s="236" t="e">
        <v>#N/A</v>
      </c>
      <c r="AD761" s="236">
        <v>1.0462569500928609E-2</v>
      </c>
    </row>
    <row r="762" spans="23:30" x14ac:dyDescent="0.2">
      <c r="W762" s="144"/>
      <c r="X762" s="113" t="str">
        <f t="shared" si="31"/>
        <v>1w</v>
      </c>
      <c r="Y762" s="106">
        <f>_xll.qlCalendarAdvance(Calendar,Y761,X762,"f",FALSE)</f>
        <v>44530</v>
      </c>
      <c r="Z762" s="108">
        <f>_xll.qlCalendarAdvance(Calendar,Y762,0&amp;"D")</f>
        <v>44530</v>
      </c>
      <c r="AA762" s="109">
        <v>1.050445739344319E-2</v>
      </c>
      <c r="AB762" s="143">
        <f t="shared" si="32"/>
        <v>0</v>
      </c>
      <c r="AC762" s="236" t="e">
        <v>#N/A</v>
      </c>
      <c r="AD762" s="236">
        <v>1.050445739344319E-2</v>
      </c>
    </row>
    <row r="763" spans="23:30" x14ac:dyDescent="0.2">
      <c r="W763" s="144"/>
      <c r="X763" s="113" t="str">
        <f t="shared" si="31"/>
        <v>1w</v>
      </c>
      <c r="Y763" s="106">
        <f>_xll.qlCalendarAdvance(Calendar,Y762,X763,"f",FALSE)</f>
        <v>44537</v>
      </c>
      <c r="Z763" s="108">
        <f>_xll.qlCalendarAdvance(Calendar,Y763,0&amp;"D")</f>
        <v>44537</v>
      </c>
      <c r="AA763" s="109">
        <v>1.0546189453011223E-2</v>
      </c>
      <c r="AB763" s="143">
        <f t="shared" si="32"/>
        <v>0</v>
      </c>
      <c r="AC763" s="236" t="e">
        <v>#N/A</v>
      </c>
      <c r="AD763" s="236">
        <v>1.0546189453011223E-2</v>
      </c>
    </row>
    <row r="764" spans="23:30" x14ac:dyDescent="0.2">
      <c r="W764" s="144"/>
      <c r="X764" s="113" t="str">
        <f t="shared" si="31"/>
        <v>1w</v>
      </c>
      <c r="Y764" s="106">
        <f>_xll.qlCalendarAdvance(Calendar,Y763,X764,"f",FALSE)</f>
        <v>44544</v>
      </c>
      <c r="Z764" s="108">
        <f>_xll.qlCalendarAdvance(Calendar,Y764,0&amp;"D")</f>
        <v>44544</v>
      </c>
      <c r="AA764" s="109">
        <v>1.0587765679552774E-2</v>
      </c>
      <c r="AB764" s="143">
        <f t="shared" si="32"/>
        <v>0</v>
      </c>
      <c r="AC764" s="236" t="e">
        <v>#N/A</v>
      </c>
      <c r="AD764" s="236">
        <v>1.0587765679552774E-2</v>
      </c>
    </row>
    <row r="765" spans="23:30" x14ac:dyDescent="0.2">
      <c r="W765" s="144"/>
      <c r="X765" s="113" t="str">
        <f t="shared" si="31"/>
        <v>1w</v>
      </c>
      <c r="Y765" s="106">
        <f>_xll.qlCalendarAdvance(Calendar,Y764,X765,"f",FALSE)</f>
        <v>44551</v>
      </c>
      <c r="Z765" s="108">
        <f>_xll.qlCalendarAdvance(Calendar,Y765,0&amp;"D")</f>
        <v>44551</v>
      </c>
      <c r="AA765" s="109">
        <v>1.0629186072987906E-2</v>
      </c>
      <c r="AB765" s="143">
        <f t="shared" si="32"/>
        <v>7.9936057773011271E-14</v>
      </c>
      <c r="AC765" s="236" t="e">
        <v>#N/A</v>
      </c>
      <c r="AD765" s="236">
        <v>1.062918607290797E-2</v>
      </c>
    </row>
    <row r="766" spans="23:30" x14ac:dyDescent="0.2">
      <c r="W766" s="144"/>
      <c r="X766" s="113" t="str">
        <f t="shared" si="31"/>
        <v>1w</v>
      </c>
      <c r="Y766" s="106">
        <f>_xll.qlCalendarAdvance(Calendar,Y765,X766,"f",FALSE)</f>
        <v>44558</v>
      </c>
      <c r="Z766" s="108">
        <f>_xll.qlCalendarAdvance(Calendar,Y766,0&amp;"D")</f>
        <v>44558</v>
      </c>
      <c r="AA766" s="109">
        <v>1.0670450633156747E-2</v>
      </c>
      <c r="AB766" s="143">
        <f t="shared" si="32"/>
        <v>0</v>
      </c>
      <c r="AC766" s="236" t="e">
        <v>#N/A</v>
      </c>
      <c r="AD766" s="236">
        <v>1.0670450633156747E-2</v>
      </c>
    </row>
    <row r="767" spans="23:30" x14ac:dyDescent="0.2">
      <c r="W767" s="144"/>
      <c r="X767" s="113" t="str">
        <f t="shared" si="31"/>
        <v>1w</v>
      </c>
      <c r="Y767" s="106">
        <f>_xll.qlCalendarAdvance(Calendar,Y766,X767,"f",FALSE)</f>
        <v>44565</v>
      </c>
      <c r="Z767" s="108">
        <f>_xll.qlCalendarAdvance(Calendar,Y767,0&amp;"D")</f>
        <v>44565</v>
      </c>
      <c r="AA767" s="109">
        <v>1.0711559360219169E-2</v>
      </c>
      <c r="AB767" s="143">
        <f t="shared" si="32"/>
        <v>-7.9936057773011271E-14</v>
      </c>
      <c r="AC767" s="236" t="e">
        <v>#N/A</v>
      </c>
      <c r="AD767" s="236">
        <v>1.0711559360299105E-2</v>
      </c>
    </row>
    <row r="768" spans="23:30" x14ac:dyDescent="0.2">
      <c r="W768" s="144"/>
      <c r="X768" s="113" t="str">
        <f t="shared" si="31"/>
        <v>1w</v>
      </c>
      <c r="Y768" s="106">
        <f>_xll.qlCalendarAdvance(Calendar,Y767,X768,"f",FALSE)</f>
        <v>44572</v>
      </c>
      <c r="Z768" s="108">
        <f>_xll.qlCalendarAdvance(Calendar,Y768,0&amp;"D")</f>
        <v>44572</v>
      </c>
      <c r="AA768" s="109">
        <v>1.0752512254095237E-2</v>
      </c>
      <c r="AB768" s="143">
        <f t="shared" si="32"/>
        <v>0</v>
      </c>
      <c r="AC768" s="236" t="e">
        <v>#N/A</v>
      </c>
      <c r="AD768" s="236">
        <v>1.0752512254095237E-2</v>
      </c>
    </row>
    <row r="769" spans="23:30" x14ac:dyDescent="0.2">
      <c r="W769" s="144"/>
      <c r="X769" s="113" t="str">
        <f t="shared" si="31"/>
        <v>1w</v>
      </c>
      <c r="Y769" s="106">
        <f>_xll.qlCalendarAdvance(Calendar,Y768,X769,"f",FALSE)</f>
        <v>44579</v>
      </c>
      <c r="Z769" s="108">
        <f>_xll.qlCalendarAdvance(Calendar,Y769,0&amp;"D")</f>
        <v>44579</v>
      </c>
      <c r="AA769" s="109">
        <v>1.0793309314705013E-2</v>
      </c>
      <c r="AB769" s="143">
        <f t="shared" si="32"/>
        <v>0</v>
      </c>
      <c r="AC769" s="236" t="e">
        <v>#N/A</v>
      </c>
      <c r="AD769" s="236">
        <v>1.0793309314705013E-2</v>
      </c>
    </row>
    <row r="770" spans="23:30" x14ac:dyDescent="0.2">
      <c r="W770" s="144"/>
      <c r="X770" s="113" t="str">
        <f t="shared" si="31"/>
        <v>1w</v>
      </c>
      <c r="Y770" s="106">
        <f>_xll.qlCalendarAdvance(Calendar,Y769,X770,"f",FALSE)</f>
        <v>44586</v>
      </c>
      <c r="Z770" s="108">
        <f>_xll.qlCalendarAdvance(Calendar,Y770,0&amp;"D")</f>
        <v>44586</v>
      </c>
      <c r="AA770" s="109">
        <v>1.0833950541968562E-2</v>
      </c>
      <c r="AB770" s="143">
        <f t="shared" si="32"/>
        <v>7.9936057773011271E-14</v>
      </c>
      <c r="AC770" s="236" t="e">
        <v>#N/A</v>
      </c>
      <c r="AD770" s="236">
        <v>1.0833950541888626E-2</v>
      </c>
    </row>
    <row r="771" spans="23:30" x14ac:dyDescent="0.2">
      <c r="W771" s="144"/>
      <c r="X771" s="113" t="str">
        <f t="shared" si="31"/>
        <v>1w</v>
      </c>
      <c r="Y771" s="106">
        <f>_xll.qlCalendarAdvance(Calendar,Y770,X771,"f",FALSE)</f>
        <v>44593</v>
      </c>
      <c r="Z771" s="108">
        <f>_xll.qlCalendarAdvance(Calendar,Y771,0&amp;"D")</f>
        <v>44593</v>
      </c>
      <c r="AA771" s="109">
        <v>1.0874435935646076E-2</v>
      </c>
      <c r="AB771" s="143">
        <f t="shared" si="32"/>
        <v>0</v>
      </c>
      <c r="AC771" s="236" t="e">
        <v>#N/A</v>
      </c>
      <c r="AD771" s="236">
        <v>1.0874435935646076E-2</v>
      </c>
    </row>
    <row r="772" spans="23:30" x14ac:dyDescent="0.2">
      <c r="W772" s="144"/>
      <c r="X772" s="113" t="str">
        <f t="shared" si="31"/>
        <v>1w</v>
      </c>
      <c r="Y772" s="106">
        <f>_xll.qlCalendarAdvance(Calendar,Y771,X772,"f",FALSE)</f>
        <v>44600</v>
      </c>
      <c r="Z772" s="108">
        <f>_xll.qlCalendarAdvance(Calendar,Y772,0&amp;"D")</f>
        <v>44600</v>
      </c>
      <c r="AA772" s="109">
        <v>1.0914765496057299E-2</v>
      </c>
      <c r="AB772" s="143">
        <f t="shared" si="32"/>
        <v>0</v>
      </c>
      <c r="AC772" s="236" t="e">
        <v>#N/A</v>
      </c>
      <c r="AD772" s="236">
        <v>1.0914765496057299E-2</v>
      </c>
    </row>
    <row r="773" spans="23:30" x14ac:dyDescent="0.2">
      <c r="W773" s="144"/>
      <c r="X773" s="113" t="str">
        <f t="shared" si="31"/>
        <v>1w</v>
      </c>
      <c r="Y773" s="106">
        <f>_xll.qlCalendarAdvance(Calendar,Y772,X773,"f",FALSE)</f>
        <v>44607</v>
      </c>
      <c r="Z773" s="108">
        <f>_xll.qlCalendarAdvance(Calendar,Y773,0&amp;"D")</f>
        <v>44607</v>
      </c>
      <c r="AA773" s="109">
        <v>1.0954939222882487E-2</v>
      </c>
      <c r="AB773" s="143">
        <f t="shared" si="32"/>
        <v>0</v>
      </c>
      <c r="AC773" s="236" t="e">
        <v>#N/A</v>
      </c>
      <c r="AD773" s="236">
        <v>1.0954939222882487E-2</v>
      </c>
    </row>
    <row r="774" spans="23:30" x14ac:dyDescent="0.2">
      <c r="W774" s="144"/>
      <c r="X774" s="113" t="str">
        <f t="shared" si="31"/>
        <v>1w</v>
      </c>
      <c r="Y774" s="106">
        <f>_xll.qlCalendarAdvance(Calendar,Y773,X774,"f",FALSE)</f>
        <v>44614</v>
      </c>
      <c r="Z774" s="108">
        <f>_xll.qlCalendarAdvance(Calendar,Y774,0&amp;"D")</f>
        <v>44614</v>
      </c>
      <c r="AA774" s="109">
        <v>1.099495711612164E-2</v>
      </c>
      <c r="AB774" s="143">
        <f t="shared" si="32"/>
        <v>0</v>
      </c>
      <c r="AC774" s="236" t="e">
        <v>#N/A</v>
      </c>
      <c r="AD774" s="236">
        <v>1.099495711612164E-2</v>
      </c>
    </row>
    <row r="775" spans="23:30" x14ac:dyDescent="0.2">
      <c r="W775" s="144"/>
      <c r="X775" s="113" t="str">
        <f t="shared" si="31"/>
        <v>1w</v>
      </c>
      <c r="Y775" s="106">
        <f>_xll.qlCalendarAdvance(Calendar,Y774,X775,"f",FALSE)</f>
        <v>44621</v>
      </c>
      <c r="Z775" s="108">
        <f>_xll.qlCalendarAdvance(Calendar,Y775,0&amp;"D")</f>
        <v>44621</v>
      </c>
      <c r="AA775" s="109">
        <v>1.1034819175854693E-2</v>
      </c>
      <c r="AB775" s="143">
        <f t="shared" si="32"/>
        <v>0</v>
      </c>
      <c r="AC775" s="236" t="e">
        <v>#N/A</v>
      </c>
      <c r="AD775" s="236">
        <v>1.1034819175854693E-2</v>
      </c>
    </row>
    <row r="776" spans="23:30" x14ac:dyDescent="0.2">
      <c r="W776" s="144"/>
      <c r="X776" s="113" t="str">
        <f t="shared" si="31"/>
        <v>1w</v>
      </c>
      <c r="Y776" s="106">
        <f>_xll.qlCalendarAdvance(Calendar,Y775,X776,"f",FALSE)</f>
        <v>44628</v>
      </c>
      <c r="Z776" s="108">
        <f>_xll.qlCalendarAdvance(Calendar,Y776,0&amp;"D")</f>
        <v>44628</v>
      </c>
      <c r="AA776" s="109">
        <v>1.1074525401841839E-2</v>
      </c>
      <c r="AB776" s="143">
        <f t="shared" si="32"/>
        <v>0</v>
      </c>
      <c r="AC776" s="236" t="e">
        <v>#N/A</v>
      </c>
      <c r="AD776" s="236">
        <v>1.1074525401841839E-2</v>
      </c>
    </row>
    <row r="777" spans="23:30" x14ac:dyDescent="0.2">
      <c r="W777" s="144"/>
      <c r="X777" s="113" t="str">
        <f t="shared" si="31"/>
        <v>1w</v>
      </c>
      <c r="Y777" s="106">
        <f>_xll.qlCalendarAdvance(Calendar,Y776,X777,"f",FALSE)</f>
        <v>44635</v>
      </c>
      <c r="Z777" s="108">
        <f>_xll.qlCalendarAdvance(Calendar,Y777,0&amp;"D")</f>
        <v>44635</v>
      </c>
      <c r="AA777" s="109">
        <v>1.1114075794083078E-2</v>
      </c>
      <c r="AB777" s="143">
        <f t="shared" si="32"/>
        <v>0</v>
      </c>
      <c r="AC777" s="236" t="e">
        <v>#N/A</v>
      </c>
      <c r="AD777" s="236">
        <v>1.1114075794083078E-2</v>
      </c>
    </row>
    <row r="778" spans="23:30" x14ac:dyDescent="0.2">
      <c r="W778" s="144"/>
      <c r="X778" s="113" t="str">
        <f t="shared" si="31"/>
        <v>1w</v>
      </c>
      <c r="Y778" s="106">
        <f>_xll.qlCalendarAdvance(Calendar,Y777,X778,"f",FALSE)</f>
        <v>44642</v>
      </c>
      <c r="Z778" s="108">
        <f>_xll.qlCalendarAdvance(Calendar,Y778,0&amp;"D")</f>
        <v>44642</v>
      </c>
      <c r="AA778" s="109">
        <v>1.1153470352658346E-2</v>
      </c>
      <c r="AB778" s="143">
        <f t="shared" si="32"/>
        <v>0</v>
      </c>
      <c r="AC778" s="236" t="e">
        <v>#N/A</v>
      </c>
      <c r="AD778" s="236">
        <v>1.1153470352658346E-2</v>
      </c>
    </row>
    <row r="779" spans="23:30" x14ac:dyDescent="0.2">
      <c r="W779" s="144"/>
      <c r="X779" s="113" t="str">
        <f t="shared" si="31"/>
        <v>1w</v>
      </c>
      <c r="Y779" s="106">
        <f>_xll.qlCalendarAdvance(Calendar,Y778,X779,"f",FALSE)</f>
        <v>44649</v>
      </c>
      <c r="Z779" s="108">
        <f>_xll.qlCalendarAdvance(Calendar,Y779,0&amp;"D")</f>
        <v>44649</v>
      </c>
      <c r="AA779" s="109">
        <v>1.1192709077327834E-2</v>
      </c>
      <c r="AB779" s="143">
        <f t="shared" si="32"/>
        <v>0</v>
      </c>
      <c r="AC779" s="236" t="e">
        <v>#N/A</v>
      </c>
      <c r="AD779" s="236">
        <v>1.1192709077327834E-2</v>
      </c>
    </row>
    <row r="780" spans="23:30" x14ac:dyDescent="0.2">
      <c r="W780" s="144"/>
      <c r="X780" s="113" t="str">
        <f t="shared" si="31"/>
        <v>1w</v>
      </c>
      <c r="Y780" s="106">
        <f>_xll.qlCalendarAdvance(Calendar,Y779,X780,"f",FALSE)</f>
        <v>44656</v>
      </c>
      <c r="Z780" s="108">
        <f>_xll.qlCalendarAdvance(Calendar,Y780,0&amp;"D")</f>
        <v>44656</v>
      </c>
      <c r="AA780" s="109">
        <v>1.1231791968251414E-2</v>
      </c>
      <c r="AB780" s="143">
        <f t="shared" si="32"/>
        <v>7.9936057773011271E-14</v>
      </c>
      <c r="AC780" s="236" t="e">
        <v>#N/A</v>
      </c>
      <c r="AD780" s="236">
        <v>1.1231791968171478E-2</v>
      </c>
    </row>
    <row r="781" spans="23:30" x14ac:dyDescent="0.2">
      <c r="W781" s="144"/>
      <c r="X781" s="113" t="str">
        <f t="shared" ref="X781:X844" si="33">X780</f>
        <v>1w</v>
      </c>
      <c r="Y781" s="106">
        <f>_xll.qlCalendarAdvance(Calendar,Y780,X781,"f",FALSE)</f>
        <v>44663</v>
      </c>
      <c r="Z781" s="108">
        <f>_xll.qlCalendarAdvance(Calendar,Y781,0&amp;"D")</f>
        <v>44663</v>
      </c>
      <c r="AA781" s="109">
        <v>1.1270719025029408E-2</v>
      </c>
      <c r="AB781" s="143">
        <f t="shared" si="32"/>
        <v>0</v>
      </c>
      <c r="AC781" s="236" t="e">
        <v>#N/A</v>
      </c>
      <c r="AD781" s="236">
        <v>1.1270719025029408E-2</v>
      </c>
    </row>
    <row r="782" spans="23:30" x14ac:dyDescent="0.2">
      <c r="W782" s="144"/>
      <c r="X782" s="113" t="str">
        <f t="shared" si="33"/>
        <v>1w</v>
      </c>
      <c r="Y782" s="106">
        <f>_xll.qlCalendarAdvance(Calendar,Y781,X782,"f",FALSE)</f>
        <v>44670</v>
      </c>
      <c r="Z782" s="108">
        <f>_xll.qlCalendarAdvance(Calendar,Y782,0&amp;"D")</f>
        <v>44670</v>
      </c>
      <c r="AA782" s="109">
        <v>1.1309490247981557E-2</v>
      </c>
      <c r="AB782" s="143">
        <f t="shared" si="32"/>
        <v>0</v>
      </c>
      <c r="AC782" s="236" t="e">
        <v>#N/A</v>
      </c>
      <c r="AD782" s="236">
        <v>1.1309490247981557E-2</v>
      </c>
    </row>
    <row r="783" spans="23:30" x14ac:dyDescent="0.2">
      <c r="W783" s="144"/>
      <c r="X783" s="113" t="str">
        <f t="shared" si="33"/>
        <v>1w</v>
      </c>
      <c r="Y783" s="106">
        <f>_xll.qlCalendarAdvance(Calendar,Y782,X783,"f",FALSE)</f>
        <v>44677</v>
      </c>
      <c r="Z783" s="108">
        <f>_xll.qlCalendarAdvance(Calendar,Y783,0&amp;"D")</f>
        <v>44677</v>
      </c>
      <c r="AA783" s="109">
        <v>1.1348105636947992E-2</v>
      </c>
      <c r="AB783" s="143">
        <f t="shared" si="32"/>
        <v>0</v>
      </c>
      <c r="AC783" s="236" t="e">
        <v>#N/A</v>
      </c>
      <c r="AD783" s="236">
        <v>1.1348105636947992E-2</v>
      </c>
    </row>
    <row r="784" spans="23:30" x14ac:dyDescent="0.2">
      <c r="W784" s="144"/>
      <c r="X784" s="113" t="str">
        <f t="shared" si="33"/>
        <v>1w</v>
      </c>
      <c r="Y784" s="106">
        <f>_xll.qlCalendarAdvance(Calendar,Y783,X784,"f",FALSE)</f>
        <v>44684</v>
      </c>
      <c r="Z784" s="108">
        <f>_xll.qlCalendarAdvance(Calendar,Y784,0&amp;"D")</f>
        <v>44684</v>
      </c>
      <c r="AA784" s="109">
        <v>1.1386565191768838E-2</v>
      </c>
      <c r="AB784" s="143">
        <f t="shared" si="32"/>
        <v>0</v>
      </c>
      <c r="AC784" s="236" t="e">
        <v>#N/A</v>
      </c>
      <c r="AD784" s="236">
        <v>1.1386565191768838E-2</v>
      </c>
    </row>
    <row r="785" spans="23:30" x14ac:dyDescent="0.2">
      <c r="W785" s="144"/>
      <c r="X785" s="113" t="str">
        <f t="shared" si="33"/>
        <v>1w</v>
      </c>
      <c r="Y785" s="106">
        <f>_xll.qlCalendarAdvance(Calendar,Y784,X785,"f",FALSE)</f>
        <v>44691</v>
      </c>
      <c r="Z785" s="108">
        <f>_xll.qlCalendarAdvance(Calendar,Y785,0&amp;"D")</f>
        <v>44691</v>
      </c>
      <c r="AA785" s="109">
        <v>1.1424868912444097E-2</v>
      </c>
      <c r="AB785" s="143">
        <f t="shared" si="32"/>
        <v>-7.9936057773011271E-14</v>
      </c>
      <c r="AC785" s="236" t="e">
        <v>#N/A</v>
      </c>
      <c r="AD785" s="236">
        <v>1.1424868912524033E-2</v>
      </c>
    </row>
    <row r="786" spans="23:30" x14ac:dyDescent="0.2">
      <c r="W786" s="144"/>
      <c r="X786" s="113" t="str">
        <f t="shared" si="33"/>
        <v>1w</v>
      </c>
      <c r="Y786" s="106">
        <f>_xll.qlCalendarAdvance(Calendar,Y785,X786,"f",FALSE)</f>
        <v>44698</v>
      </c>
      <c r="Z786" s="108">
        <f>_xll.qlCalendarAdvance(Calendar,Y786,0&amp;"D")</f>
        <v>44698</v>
      </c>
      <c r="AA786" s="109">
        <v>1.1463016799053705E-2</v>
      </c>
      <c r="AB786" s="143">
        <f t="shared" si="32"/>
        <v>0</v>
      </c>
      <c r="AC786" s="236" t="e">
        <v>#N/A</v>
      </c>
      <c r="AD786" s="236">
        <v>1.1463016799053705E-2</v>
      </c>
    </row>
    <row r="787" spans="23:30" x14ac:dyDescent="0.2">
      <c r="W787" s="144"/>
      <c r="X787" s="113" t="str">
        <f t="shared" si="33"/>
        <v>1w</v>
      </c>
      <c r="Y787" s="106">
        <f>_xll.qlCalendarAdvance(Calendar,Y786,X787,"f",FALSE)</f>
        <v>44705</v>
      </c>
      <c r="Z787" s="108">
        <f>_xll.qlCalendarAdvance(Calendar,Y787,0&amp;"D")</f>
        <v>44705</v>
      </c>
      <c r="AA787" s="109">
        <v>1.1501008851357852E-2</v>
      </c>
      <c r="AB787" s="143">
        <f t="shared" si="32"/>
        <v>0</v>
      </c>
      <c r="AC787" s="236" t="e">
        <v>#N/A</v>
      </c>
      <c r="AD787" s="236">
        <v>1.1501008851357852E-2</v>
      </c>
    </row>
    <row r="788" spans="23:30" x14ac:dyDescent="0.2">
      <c r="W788" s="144"/>
      <c r="X788" s="113" t="str">
        <f t="shared" si="33"/>
        <v>1w</v>
      </c>
      <c r="Y788" s="106">
        <f>_xll.qlCalendarAdvance(Calendar,Y787,X788,"f",FALSE)</f>
        <v>44712</v>
      </c>
      <c r="Z788" s="108">
        <f>_xll.qlCalendarAdvance(Calendar,Y788,0&amp;"D")</f>
        <v>44712</v>
      </c>
      <c r="AA788" s="109">
        <v>1.1538845069516412E-2</v>
      </c>
      <c r="AB788" s="143">
        <f t="shared" si="32"/>
        <v>0</v>
      </c>
      <c r="AC788" s="236" t="e">
        <v>#N/A</v>
      </c>
      <c r="AD788" s="236">
        <v>1.1538845069516412E-2</v>
      </c>
    </row>
    <row r="789" spans="23:30" x14ac:dyDescent="0.2">
      <c r="W789" s="144"/>
      <c r="X789" s="113" t="str">
        <f t="shared" si="33"/>
        <v>1w</v>
      </c>
      <c r="Y789" s="106">
        <f>_xll.qlCalendarAdvance(Calendar,Y788,X789,"f",FALSE)</f>
        <v>44719</v>
      </c>
      <c r="Z789" s="108">
        <f>_xll.qlCalendarAdvance(Calendar,Y789,0&amp;"D")</f>
        <v>44719</v>
      </c>
      <c r="AA789" s="109">
        <v>1.1576448813075402E-2</v>
      </c>
      <c r="AB789" s="143">
        <f t="shared" ref="AB789:AB852" si="34">AA789-AD789</f>
        <v>0</v>
      </c>
      <c r="AC789" s="236" t="e">
        <v>#N/A</v>
      </c>
      <c r="AD789" s="236">
        <v>1.1576448813075402E-2</v>
      </c>
    </row>
    <row r="790" spans="23:30" x14ac:dyDescent="0.2">
      <c r="W790" s="144"/>
      <c r="X790" s="113" t="str">
        <f t="shared" si="33"/>
        <v>1w</v>
      </c>
      <c r="Y790" s="106">
        <f>_xll.qlCalendarAdvance(Calendar,Y789,X790,"f",FALSE)</f>
        <v>44726</v>
      </c>
      <c r="Z790" s="108">
        <f>_xll.qlCalendarAdvance(Calendar,Y790,0&amp;"D")</f>
        <v>44726</v>
      </c>
      <c r="AA790" s="109">
        <v>1.1613719906806708E-2</v>
      </c>
      <c r="AB790" s="143">
        <f t="shared" si="34"/>
        <v>-7.9936057773011271E-14</v>
      </c>
      <c r="AC790" s="236" t="e">
        <v>#N/A</v>
      </c>
      <c r="AD790" s="236">
        <v>1.1613719906886644E-2</v>
      </c>
    </row>
    <row r="791" spans="23:30" x14ac:dyDescent="0.2">
      <c r="W791" s="144"/>
      <c r="X791" s="113" t="str">
        <f t="shared" si="33"/>
        <v>1w</v>
      </c>
      <c r="Y791" s="106">
        <f>_xll.qlCalendarAdvance(Calendar,Y790,X791,"f",FALSE)</f>
        <v>44733</v>
      </c>
      <c r="Z791" s="108">
        <f>_xll.qlCalendarAdvance(Calendar,Y791,0&amp;"D")</f>
        <v>44733</v>
      </c>
      <c r="AA791" s="109">
        <v>1.1650657747193094E-2</v>
      </c>
      <c r="AB791" s="143">
        <f t="shared" si="34"/>
        <v>0</v>
      </c>
      <c r="AC791" s="236" t="e">
        <v>#N/A</v>
      </c>
      <c r="AD791" s="236">
        <v>1.1650657747193094E-2</v>
      </c>
    </row>
    <row r="792" spans="23:30" x14ac:dyDescent="0.2">
      <c r="W792" s="144"/>
      <c r="X792" s="113" t="str">
        <f t="shared" si="33"/>
        <v>1w</v>
      </c>
      <c r="Y792" s="106">
        <f>_xll.qlCalendarAdvance(Calendar,Y791,X792,"f",FALSE)</f>
        <v>44740</v>
      </c>
      <c r="Z792" s="108">
        <f>_xll.qlCalendarAdvance(Calendar,Y792,0&amp;"D")</f>
        <v>44740</v>
      </c>
      <c r="AA792" s="109">
        <v>1.1687262333994752E-2</v>
      </c>
      <c r="AB792" s="143">
        <f t="shared" si="34"/>
        <v>0</v>
      </c>
      <c r="AC792" s="236" t="e">
        <v>#N/A</v>
      </c>
      <c r="AD792" s="236">
        <v>1.1687262333994752E-2</v>
      </c>
    </row>
    <row r="793" spans="23:30" x14ac:dyDescent="0.2">
      <c r="W793" s="144"/>
      <c r="X793" s="113" t="str">
        <f t="shared" si="33"/>
        <v>1w</v>
      </c>
      <c r="Y793" s="106">
        <f>_xll.qlCalendarAdvance(Calendar,Y792,X793,"f",FALSE)</f>
        <v>44747</v>
      </c>
      <c r="Z793" s="108">
        <f>_xll.qlCalendarAdvance(Calendar,Y793,0&amp;"D")</f>
        <v>44747</v>
      </c>
      <c r="AA793" s="109">
        <v>1.1723533667211683E-2</v>
      </c>
      <c r="AB793" s="143">
        <f t="shared" si="34"/>
        <v>0</v>
      </c>
      <c r="AC793" s="236" t="e">
        <v>#N/A</v>
      </c>
      <c r="AD793" s="236">
        <v>1.1723533667211683E-2</v>
      </c>
    </row>
    <row r="794" spans="23:30" x14ac:dyDescent="0.2">
      <c r="W794" s="144"/>
      <c r="X794" s="113" t="str">
        <f t="shared" si="33"/>
        <v>1w</v>
      </c>
      <c r="Y794" s="106">
        <f>_xll.qlCalendarAdvance(Calendar,Y793,X794,"f",FALSE)</f>
        <v>44754</v>
      </c>
      <c r="Z794" s="108">
        <f>_xll.qlCalendarAdvance(Calendar,Y794,0&amp;"D")</f>
        <v>44754</v>
      </c>
      <c r="AA794" s="109">
        <v>1.1759471746604078E-2</v>
      </c>
      <c r="AB794" s="143">
        <f t="shared" si="34"/>
        <v>-7.9936057773011271E-14</v>
      </c>
      <c r="AC794" s="236" t="e">
        <v>#N/A</v>
      </c>
      <c r="AD794" s="236">
        <v>1.1759471746684014E-2</v>
      </c>
    </row>
    <row r="795" spans="23:30" x14ac:dyDescent="0.2">
      <c r="W795" s="144"/>
      <c r="X795" s="113" t="str">
        <f t="shared" si="33"/>
        <v>1w</v>
      </c>
      <c r="Y795" s="106">
        <f>_xll.qlCalendarAdvance(Calendar,Y794,X795,"f",FALSE)</f>
        <v>44761</v>
      </c>
      <c r="Z795" s="108">
        <f>_xll.qlCalendarAdvance(Calendar,Y795,0&amp;"D")</f>
        <v>44761</v>
      </c>
      <c r="AA795" s="109">
        <v>1.1795076572331809E-2</v>
      </c>
      <c r="AB795" s="143">
        <f t="shared" si="34"/>
        <v>0</v>
      </c>
      <c r="AC795" s="236" t="e">
        <v>#N/A</v>
      </c>
      <c r="AD795" s="236">
        <v>1.1795076572331809E-2</v>
      </c>
    </row>
    <row r="796" spans="23:30" x14ac:dyDescent="0.2">
      <c r="W796" s="144"/>
      <c r="X796" s="113" t="str">
        <f t="shared" si="33"/>
        <v>1w</v>
      </c>
      <c r="Y796" s="106">
        <f>_xll.qlCalendarAdvance(Calendar,Y795,X796,"f",FALSE)</f>
        <v>44768</v>
      </c>
      <c r="Z796" s="108">
        <f>_xll.qlCalendarAdvance(Calendar,Y796,0&amp;"D")</f>
        <v>44768</v>
      </c>
      <c r="AA796" s="109">
        <v>1.1830348143995195E-2</v>
      </c>
      <c r="AB796" s="143">
        <f t="shared" si="34"/>
        <v>0</v>
      </c>
      <c r="AC796" s="236" t="e">
        <v>#N/A</v>
      </c>
      <c r="AD796" s="236">
        <v>1.1830348143995195E-2</v>
      </c>
    </row>
    <row r="797" spans="23:30" x14ac:dyDescent="0.2">
      <c r="W797" s="144"/>
      <c r="X797" s="113" t="str">
        <f t="shared" si="33"/>
        <v>1w</v>
      </c>
      <c r="Y797" s="106">
        <f>_xll.qlCalendarAdvance(Calendar,Y796,X797,"f",FALSE)</f>
        <v>44775</v>
      </c>
      <c r="Z797" s="108">
        <f>_xll.qlCalendarAdvance(Calendar,Y797,0&amp;"D")</f>
        <v>44775</v>
      </c>
      <c r="AA797" s="109">
        <v>1.1865286461834046E-2</v>
      </c>
      <c r="AB797" s="143">
        <f t="shared" si="34"/>
        <v>0</v>
      </c>
      <c r="AC797" s="236" t="e">
        <v>#N/A</v>
      </c>
      <c r="AD797" s="236">
        <v>1.1865286461834046E-2</v>
      </c>
    </row>
    <row r="798" spans="23:30" x14ac:dyDescent="0.2">
      <c r="W798" s="144"/>
      <c r="X798" s="113" t="str">
        <f t="shared" si="33"/>
        <v>1w</v>
      </c>
      <c r="Y798" s="106">
        <f>_xll.qlCalendarAdvance(Calendar,Y797,X798,"f",FALSE)</f>
        <v>44782</v>
      </c>
      <c r="Z798" s="108">
        <f>_xll.qlCalendarAdvance(Calendar,Y798,0&amp;"D")</f>
        <v>44782</v>
      </c>
      <c r="AA798" s="109">
        <v>1.1899891525288808E-2</v>
      </c>
      <c r="AB798" s="143">
        <f t="shared" si="34"/>
        <v>0</v>
      </c>
      <c r="AC798" s="236" t="e">
        <v>#N/A</v>
      </c>
      <c r="AD798" s="236">
        <v>1.1899891525288808E-2</v>
      </c>
    </row>
    <row r="799" spans="23:30" x14ac:dyDescent="0.2">
      <c r="W799" s="144"/>
      <c r="X799" s="113" t="str">
        <f t="shared" si="33"/>
        <v>1w</v>
      </c>
      <c r="Y799" s="106">
        <f>_xll.qlCalendarAdvance(Calendar,Y798,X799,"f",FALSE)</f>
        <v>44789</v>
      </c>
      <c r="Z799" s="108">
        <f>_xll.qlCalendarAdvance(Calendar,Y799,0&amp;"D")</f>
        <v>44789</v>
      </c>
      <c r="AA799" s="109">
        <v>1.1934163334759162E-2</v>
      </c>
      <c r="AB799" s="143">
        <f t="shared" si="34"/>
        <v>0</v>
      </c>
      <c r="AC799" s="236" t="e">
        <v>#N/A</v>
      </c>
      <c r="AD799" s="236">
        <v>1.1934163334759162E-2</v>
      </c>
    </row>
    <row r="800" spans="23:30" x14ac:dyDescent="0.2">
      <c r="W800" s="144"/>
      <c r="X800" s="113" t="str">
        <f t="shared" si="33"/>
        <v>1w</v>
      </c>
      <c r="Y800" s="106">
        <f>_xll.qlCalendarAdvance(Calendar,Y799,X800,"f",FALSE)</f>
        <v>44796</v>
      </c>
      <c r="Z800" s="108">
        <f>_xll.qlCalendarAdvance(Calendar,Y800,0&amp;"D")</f>
        <v>44796</v>
      </c>
      <c r="AA800" s="109">
        <v>1.1968101889765492E-2</v>
      </c>
      <c r="AB800" s="143">
        <f t="shared" si="34"/>
        <v>0</v>
      </c>
      <c r="AC800" s="236" t="e">
        <v>#N/A</v>
      </c>
      <c r="AD800" s="236">
        <v>1.1968101889765492E-2</v>
      </c>
    </row>
    <row r="801" spans="23:30" x14ac:dyDescent="0.2">
      <c r="W801" s="144"/>
      <c r="X801" s="113" t="str">
        <f t="shared" si="33"/>
        <v>1w</v>
      </c>
      <c r="Y801" s="106">
        <f>_xll.qlCalendarAdvance(Calendar,Y800,X801,"f",FALSE)</f>
        <v>44803</v>
      </c>
      <c r="Z801" s="108">
        <f>_xll.qlCalendarAdvance(Calendar,Y801,0&amp;"D")</f>
        <v>44803</v>
      </c>
      <c r="AA801" s="109">
        <v>1.2001707190387734E-2</v>
      </c>
      <c r="AB801" s="143">
        <f t="shared" si="34"/>
        <v>0</v>
      </c>
      <c r="AC801" s="236" t="e">
        <v>#N/A</v>
      </c>
      <c r="AD801" s="236">
        <v>1.2001707190387734E-2</v>
      </c>
    </row>
    <row r="802" spans="23:30" x14ac:dyDescent="0.2">
      <c r="W802" s="144"/>
      <c r="X802" s="113" t="str">
        <f t="shared" si="33"/>
        <v>1w</v>
      </c>
      <c r="Y802" s="106">
        <f>_xll.qlCalendarAdvance(Calendar,Y801,X802,"f",FALSE)</f>
        <v>44810</v>
      </c>
      <c r="Z802" s="108">
        <f>_xll.qlCalendarAdvance(Calendar,Y802,0&amp;"D")</f>
        <v>44810</v>
      </c>
      <c r="AA802" s="109">
        <v>1.2034979236545951E-2</v>
      </c>
      <c r="AB802" s="143">
        <f t="shared" si="34"/>
        <v>-7.9936057773011271E-14</v>
      </c>
      <c r="AC802" s="236" t="e">
        <v>#N/A</v>
      </c>
      <c r="AD802" s="236">
        <v>1.2034979236625887E-2</v>
      </c>
    </row>
    <row r="803" spans="23:30" x14ac:dyDescent="0.2">
      <c r="W803" s="144"/>
      <c r="X803" s="113" t="str">
        <f t="shared" si="33"/>
        <v>1w</v>
      </c>
      <c r="Y803" s="106">
        <f>_xll.qlCalendarAdvance(Calendar,Y802,X803,"f",FALSE)</f>
        <v>44817</v>
      </c>
      <c r="Z803" s="108">
        <f>_xll.qlCalendarAdvance(Calendar,Y803,0&amp;"D")</f>
        <v>44817</v>
      </c>
      <c r="AA803" s="109">
        <v>1.2067918028160207E-2</v>
      </c>
      <c r="AB803" s="143">
        <f t="shared" si="34"/>
        <v>0</v>
      </c>
      <c r="AC803" s="236" t="e">
        <v>#N/A</v>
      </c>
      <c r="AD803" s="236">
        <v>1.2067918028160207E-2</v>
      </c>
    </row>
    <row r="804" spans="23:30" x14ac:dyDescent="0.2">
      <c r="W804" s="144"/>
      <c r="X804" s="113" t="str">
        <f t="shared" si="33"/>
        <v>1w</v>
      </c>
      <c r="Y804" s="106">
        <f>_xll.qlCalendarAdvance(Calendar,Y803,X804,"f",FALSE)</f>
        <v>44824</v>
      </c>
      <c r="Z804" s="108">
        <f>_xll.qlCalendarAdvance(Calendar,Y804,0&amp;"D")</f>
        <v>44824</v>
      </c>
      <c r="AA804" s="109">
        <v>1.2100523565070631E-2</v>
      </c>
      <c r="AB804" s="143">
        <f t="shared" si="34"/>
        <v>0</v>
      </c>
      <c r="AC804" s="236" t="e">
        <v>#N/A</v>
      </c>
      <c r="AD804" s="236">
        <v>1.2100523565070631E-2</v>
      </c>
    </row>
    <row r="805" spans="23:30" x14ac:dyDescent="0.2">
      <c r="W805" s="144"/>
      <c r="X805" s="113" t="str">
        <f t="shared" si="33"/>
        <v>1w</v>
      </c>
      <c r="Y805" s="106">
        <f>_xll.qlCalendarAdvance(Calendar,Y804,X805,"f",FALSE)</f>
        <v>44831</v>
      </c>
      <c r="Z805" s="108">
        <f>_xll.qlCalendarAdvance(Calendar,Y805,0&amp;"D")</f>
        <v>44831</v>
      </c>
      <c r="AA805" s="109">
        <v>1.2132795847197286E-2</v>
      </c>
      <c r="AB805" s="143">
        <f t="shared" si="34"/>
        <v>0</v>
      </c>
      <c r="AC805" s="236" t="e">
        <v>#N/A</v>
      </c>
      <c r="AD805" s="236">
        <v>1.2132795847197286E-2</v>
      </c>
    </row>
    <row r="806" spans="23:30" x14ac:dyDescent="0.2">
      <c r="W806" s="144"/>
      <c r="X806" s="113" t="str">
        <f t="shared" si="33"/>
        <v>1w</v>
      </c>
      <c r="Y806" s="106">
        <f>_xll.qlCalendarAdvance(Calendar,Y805,X806,"f",FALSE)</f>
        <v>44838</v>
      </c>
      <c r="Z806" s="108">
        <f>_xll.qlCalendarAdvance(Calendar,Y806,0&amp;"D")</f>
        <v>44838</v>
      </c>
      <c r="AA806" s="109">
        <v>1.2164734874540173E-2</v>
      </c>
      <c r="AB806" s="143">
        <f t="shared" si="34"/>
        <v>0</v>
      </c>
      <c r="AC806" s="236" t="e">
        <v>#N/A</v>
      </c>
      <c r="AD806" s="236">
        <v>1.2164734874540173E-2</v>
      </c>
    </row>
    <row r="807" spans="23:30" x14ac:dyDescent="0.2">
      <c r="W807" s="144"/>
      <c r="X807" s="113" t="str">
        <f t="shared" si="33"/>
        <v>1w</v>
      </c>
      <c r="Y807" s="106">
        <f>_xll.qlCalendarAdvance(Calendar,Y806,X807,"f",FALSE)</f>
        <v>44845</v>
      </c>
      <c r="Z807" s="108">
        <f>_xll.qlCalendarAdvance(Calendar,Y807,0&amp;"D")</f>
        <v>44845</v>
      </c>
      <c r="AA807" s="109">
        <v>1.2196340646859483E-2</v>
      </c>
      <c r="AB807" s="143">
        <f t="shared" si="34"/>
        <v>0</v>
      </c>
      <c r="AC807" s="236" t="e">
        <v>#N/A</v>
      </c>
      <c r="AD807" s="236">
        <v>1.2196340646859483E-2</v>
      </c>
    </row>
    <row r="808" spans="23:30" x14ac:dyDescent="0.2">
      <c r="W808" s="144"/>
      <c r="X808" s="113" t="str">
        <f t="shared" si="33"/>
        <v>1w</v>
      </c>
      <c r="Y808" s="106">
        <f>_xll.qlCalendarAdvance(Calendar,Y807,X808,"f",FALSE)</f>
        <v>44852</v>
      </c>
      <c r="Z808" s="108">
        <f>_xll.qlCalendarAdvance(Calendar,Y808,0&amp;"D")</f>
        <v>44852</v>
      </c>
      <c r="AA808" s="109">
        <v>1.2227613164075279E-2</v>
      </c>
      <c r="AB808" s="143">
        <f t="shared" si="34"/>
        <v>0</v>
      </c>
      <c r="AC808" s="236" t="e">
        <v>#N/A</v>
      </c>
      <c r="AD808" s="236">
        <v>1.2227613164075279E-2</v>
      </c>
    </row>
    <row r="809" spans="23:30" x14ac:dyDescent="0.2">
      <c r="W809" s="144"/>
      <c r="X809" s="113" t="str">
        <f t="shared" si="33"/>
        <v>1w</v>
      </c>
      <c r="Y809" s="106">
        <f>_xll.qlCalendarAdvance(Calendar,Y808,X809,"f",FALSE)</f>
        <v>44859</v>
      </c>
      <c r="Z809" s="108">
        <f>_xll.qlCalendarAdvance(Calendar,Y809,0&amp;"D")</f>
        <v>44859</v>
      </c>
      <c r="AA809" s="109">
        <v>1.2258552426187563E-2</v>
      </c>
      <c r="AB809" s="143">
        <f t="shared" si="34"/>
        <v>0</v>
      </c>
      <c r="AC809" s="236" t="e">
        <v>#N/A</v>
      </c>
      <c r="AD809" s="236">
        <v>1.2258552426187563E-2</v>
      </c>
    </row>
    <row r="810" spans="23:30" x14ac:dyDescent="0.2">
      <c r="W810" s="144"/>
      <c r="X810" s="113" t="str">
        <f t="shared" si="33"/>
        <v>1w</v>
      </c>
      <c r="Y810" s="106">
        <f>_xll.qlCalendarAdvance(Calendar,Y809,X810,"f",FALSE)</f>
        <v>44866</v>
      </c>
      <c r="Z810" s="108">
        <f>_xll.qlCalendarAdvance(Calendar,Y810,0&amp;"D")</f>
        <v>44866</v>
      </c>
      <c r="AA810" s="109">
        <v>1.2289158433196334E-2</v>
      </c>
      <c r="AB810" s="143">
        <f t="shared" si="34"/>
        <v>0</v>
      </c>
      <c r="AC810" s="236" t="e">
        <v>#N/A</v>
      </c>
      <c r="AD810" s="236">
        <v>1.2289158433196334E-2</v>
      </c>
    </row>
    <row r="811" spans="23:30" x14ac:dyDescent="0.2">
      <c r="W811" s="144"/>
      <c r="X811" s="113" t="str">
        <f t="shared" si="33"/>
        <v>1w</v>
      </c>
      <c r="Y811" s="106">
        <f>_xll.qlCalendarAdvance(Calendar,Y810,X811,"f",FALSE)</f>
        <v>44873</v>
      </c>
      <c r="Z811" s="108">
        <f>_xll.qlCalendarAdvance(Calendar,Y811,0&amp;"D")</f>
        <v>44873</v>
      </c>
      <c r="AA811" s="109">
        <v>1.2319431184781848E-2</v>
      </c>
      <c r="AB811" s="143">
        <f t="shared" si="34"/>
        <v>0</v>
      </c>
      <c r="AC811" s="236" t="e">
        <v>#N/A</v>
      </c>
      <c r="AD811" s="236">
        <v>1.2319431184781848E-2</v>
      </c>
    </row>
    <row r="812" spans="23:30" x14ac:dyDescent="0.2">
      <c r="W812" s="144"/>
      <c r="X812" s="113" t="str">
        <f t="shared" si="33"/>
        <v>1w</v>
      </c>
      <c r="Y812" s="106">
        <f>_xll.qlCalendarAdvance(Calendar,Y811,X812,"f",FALSE)</f>
        <v>44880</v>
      </c>
      <c r="Z812" s="108">
        <f>_xll.qlCalendarAdvance(Calendar,Y812,0&amp;"D")</f>
        <v>44880</v>
      </c>
      <c r="AA812" s="109">
        <v>1.2349370681103977E-2</v>
      </c>
      <c r="AB812" s="143">
        <f t="shared" si="34"/>
        <v>7.9936057773011271E-14</v>
      </c>
      <c r="AC812" s="236" t="e">
        <v>#N/A</v>
      </c>
      <c r="AD812" s="236">
        <v>1.2349370681024041E-2</v>
      </c>
    </row>
    <row r="813" spans="23:30" x14ac:dyDescent="0.2">
      <c r="W813" s="144"/>
      <c r="X813" s="113" t="str">
        <f t="shared" si="33"/>
        <v>1w</v>
      </c>
      <c r="Y813" s="106">
        <f>_xll.qlCalendarAdvance(Calendar,Y812,X813,"f",FALSE)</f>
        <v>44887</v>
      </c>
      <c r="Z813" s="108">
        <f>_xll.qlCalendarAdvance(Calendar,Y813,0&amp;"D")</f>
        <v>44887</v>
      </c>
      <c r="AA813" s="109">
        <v>1.2378976922002849E-2</v>
      </c>
      <c r="AB813" s="143">
        <f t="shared" si="34"/>
        <v>7.9936057773011271E-14</v>
      </c>
      <c r="AC813" s="236" t="e">
        <v>#N/A</v>
      </c>
      <c r="AD813" s="236">
        <v>1.2378976921922913E-2</v>
      </c>
    </row>
    <row r="814" spans="23:30" x14ac:dyDescent="0.2">
      <c r="W814" s="144"/>
      <c r="X814" s="113" t="str">
        <f t="shared" si="33"/>
        <v>1w</v>
      </c>
      <c r="Y814" s="106">
        <f>_xll.qlCalendarAdvance(Calendar,Y813,X814,"f",FALSE)</f>
        <v>44894</v>
      </c>
      <c r="Z814" s="108">
        <f>_xll.qlCalendarAdvance(Calendar,Y814,0&amp;"D")</f>
        <v>44894</v>
      </c>
      <c r="AA814" s="109">
        <v>1.2408249907158719E-2</v>
      </c>
      <c r="AB814" s="143">
        <f t="shared" si="34"/>
        <v>0</v>
      </c>
      <c r="AC814" s="236" t="e">
        <v>#N/A</v>
      </c>
      <c r="AD814" s="236">
        <v>1.2408249907158719E-2</v>
      </c>
    </row>
    <row r="815" spans="23:30" x14ac:dyDescent="0.2">
      <c r="W815" s="144"/>
      <c r="X815" s="113" t="str">
        <f t="shared" si="33"/>
        <v>1w</v>
      </c>
      <c r="Y815" s="106">
        <f>_xll.qlCalendarAdvance(Calendar,Y814,X815,"f",FALSE)</f>
        <v>44901</v>
      </c>
      <c r="Z815" s="108">
        <f>_xll.qlCalendarAdvance(Calendar,Y815,0&amp;"D")</f>
        <v>44901</v>
      </c>
      <c r="AA815" s="109">
        <v>1.2437189636811397E-2</v>
      </c>
      <c r="AB815" s="143">
        <f t="shared" si="34"/>
        <v>0</v>
      </c>
      <c r="AC815" s="236" t="e">
        <v>#N/A</v>
      </c>
      <c r="AD815" s="236">
        <v>1.2437189636811397E-2</v>
      </c>
    </row>
    <row r="816" spans="23:30" x14ac:dyDescent="0.2">
      <c r="W816" s="144"/>
      <c r="X816" s="113" t="str">
        <f t="shared" si="33"/>
        <v>1w</v>
      </c>
      <c r="Y816" s="106">
        <f>_xll.qlCalendarAdvance(Calendar,Y815,X816,"f",FALSE)</f>
        <v>44908</v>
      </c>
      <c r="Z816" s="108">
        <f>_xll.qlCalendarAdvance(Calendar,Y816,0&amp;"D")</f>
        <v>44908</v>
      </c>
      <c r="AA816" s="109">
        <v>1.2465796110721072E-2</v>
      </c>
      <c r="AB816" s="143">
        <f t="shared" si="34"/>
        <v>-7.9936057773011271E-14</v>
      </c>
      <c r="AC816" s="236" t="e">
        <v>#N/A</v>
      </c>
      <c r="AD816" s="236">
        <v>1.2465796110801008E-2</v>
      </c>
    </row>
    <row r="817" spans="23:30" x14ac:dyDescent="0.2">
      <c r="W817" s="144"/>
      <c r="X817" s="113" t="str">
        <f t="shared" si="33"/>
        <v>1w</v>
      </c>
      <c r="Y817" s="106">
        <f>_xll.qlCalendarAdvance(Calendar,Y816,X817,"f",FALSE)</f>
        <v>44915</v>
      </c>
      <c r="Z817" s="108">
        <f>_xll.qlCalendarAdvance(Calendar,Y817,0&amp;"D")</f>
        <v>44915</v>
      </c>
      <c r="AA817" s="109">
        <v>1.2494069328887747E-2</v>
      </c>
      <c r="AB817" s="143">
        <f t="shared" si="34"/>
        <v>0</v>
      </c>
      <c r="AC817" s="236" t="e">
        <v>#N/A</v>
      </c>
      <c r="AD817" s="236">
        <v>1.2494069328887747E-2</v>
      </c>
    </row>
    <row r="818" spans="23:30" x14ac:dyDescent="0.2">
      <c r="W818" s="144"/>
      <c r="X818" s="113" t="str">
        <f t="shared" si="33"/>
        <v>1w</v>
      </c>
      <c r="Y818" s="106">
        <f>_xll.qlCalendarAdvance(Calendar,Y817,X818,"f",FALSE)</f>
        <v>44922</v>
      </c>
      <c r="Z818" s="108">
        <f>_xll.qlCalendarAdvance(Calendar,Y818,0&amp;"D")</f>
        <v>44922</v>
      </c>
      <c r="AA818" s="109">
        <v>1.2522009291231484E-2</v>
      </c>
      <c r="AB818" s="143">
        <f t="shared" si="34"/>
        <v>7.9936057773011271E-14</v>
      </c>
      <c r="AC818" s="236" t="e">
        <v>#N/A</v>
      </c>
      <c r="AD818" s="236">
        <v>1.2522009291151548E-2</v>
      </c>
    </row>
    <row r="819" spans="23:30" x14ac:dyDescent="0.2">
      <c r="W819" s="144"/>
      <c r="X819" s="113" t="str">
        <f t="shared" si="33"/>
        <v>1w</v>
      </c>
      <c r="Y819" s="106">
        <f>_xll.qlCalendarAdvance(Calendar,Y818,X819,"f",FALSE)</f>
        <v>44929</v>
      </c>
      <c r="Z819" s="108">
        <f>_xll.qlCalendarAdvance(Calendar,Y819,0&amp;"D")</f>
        <v>44929</v>
      </c>
      <c r="AA819" s="109">
        <v>1.2549615997512475E-2</v>
      </c>
      <c r="AB819" s="143">
        <f t="shared" si="34"/>
        <v>0</v>
      </c>
      <c r="AC819" s="236" t="e">
        <v>#N/A</v>
      </c>
      <c r="AD819" s="236">
        <v>1.2549615997512475E-2</v>
      </c>
    </row>
    <row r="820" spans="23:30" x14ac:dyDescent="0.2">
      <c r="W820" s="144"/>
      <c r="X820" s="113" t="str">
        <f t="shared" si="33"/>
        <v>1w</v>
      </c>
      <c r="Y820" s="106">
        <f>_xll.qlCalendarAdvance(Calendar,Y819,X820,"f",FALSE)</f>
        <v>44936</v>
      </c>
      <c r="Z820" s="108">
        <f>_xll.qlCalendarAdvance(Calendar,Y820,0&amp;"D")</f>
        <v>44936</v>
      </c>
      <c r="AA820" s="109">
        <v>1.2576889447810657E-2</v>
      </c>
      <c r="AB820" s="143">
        <f t="shared" si="34"/>
        <v>0</v>
      </c>
      <c r="AC820" s="236" t="e">
        <v>#N/A</v>
      </c>
      <c r="AD820" s="236">
        <v>1.2576889447810657E-2</v>
      </c>
    </row>
    <row r="821" spans="23:30" x14ac:dyDescent="0.2">
      <c r="W821" s="144"/>
      <c r="X821" s="113" t="str">
        <f t="shared" si="33"/>
        <v>1w</v>
      </c>
      <c r="Y821" s="106">
        <f>_xll.qlCalendarAdvance(Calendar,Y820,X821,"f",FALSE)</f>
        <v>44943</v>
      </c>
      <c r="Z821" s="108">
        <f>_xll.qlCalendarAdvance(Calendar,Y821,0&amp;"D")</f>
        <v>44943</v>
      </c>
      <c r="AA821" s="109">
        <v>1.260382964212603E-2</v>
      </c>
      <c r="AB821" s="143">
        <f t="shared" si="34"/>
        <v>7.9936057773011271E-14</v>
      </c>
      <c r="AC821" s="236" t="e">
        <v>#N/A</v>
      </c>
      <c r="AD821" s="236">
        <v>1.2603829642046094E-2</v>
      </c>
    </row>
    <row r="822" spans="23:30" x14ac:dyDescent="0.2">
      <c r="W822" s="144"/>
      <c r="X822" s="113" t="str">
        <f t="shared" si="33"/>
        <v>1w</v>
      </c>
      <c r="Y822" s="106">
        <f>_xll.qlCalendarAdvance(Calendar,Y821,X822,"f",FALSE)</f>
        <v>44950</v>
      </c>
      <c r="Z822" s="108">
        <f>_xll.qlCalendarAdvance(Calendar,Y822,0&amp;"D")</f>
        <v>44950</v>
      </c>
      <c r="AA822" s="109">
        <v>1.2630436580138849E-2</v>
      </c>
      <c r="AB822" s="143">
        <f t="shared" si="34"/>
        <v>0</v>
      </c>
      <c r="AC822" s="236" t="e">
        <v>#N/A</v>
      </c>
      <c r="AD822" s="236">
        <v>1.2630436580138849E-2</v>
      </c>
    </row>
    <row r="823" spans="23:30" x14ac:dyDescent="0.2">
      <c r="W823" s="144"/>
      <c r="X823" s="113" t="str">
        <f t="shared" si="33"/>
        <v>1w</v>
      </c>
      <c r="Y823" s="106">
        <f>_xll.qlCalendarAdvance(Calendar,Y822,X823,"f",FALSE)</f>
        <v>44957</v>
      </c>
      <c r="Z823" s="108">
        <f>_xll.qlCalendarAdvance(Calendar,Y823,0&amp;"D")</f>
        <v>44957</v>
      </c>
      <c r="AA823" s="109">
        <v>1.2656710262008986E-2</v>
      </c>
      <c r="AB823" s="143">
        <f t="shared" si="34"/>
        <v>7.9936057773011271E-14</v>
      </c>
      <c r="AC823" s="236" t="e">
        <v>#N/A</v>
      </c>
      <c r="AD823" s="236">
        <v>1.2656710261929049E-2</v>
      </c>
    </row>
    <row r="824" spans="23:30" x14ac:dyDescent="0.2">
      <c r="W824" s="144"/>
      <c r="X824" s="113" t="str">
        <f t="shared" si="33"/>
        <v>1w</v>
      </c>
      <c r="Y824" s="106">
        <f>_xll.qlCalendarAdvance(Calendar,Y823,X824,"f",FALSE)</f>
        <v>44964</v>
      </c>
      <c r="Z824" s="108">
        <f>_xll.qlCalendarAdvance(Calendar,Y824,0&amp;"D")</f>
        <v>44964</v>
      </c>
      <c r="AA824" s="109">
        <v>1.2682650687496633E-2</v>
      </c>
      <c r="AB824" s="143">
        <f t="shared" si="34"/>
        <v>7.9936057773011271E-14</v>
      </c>
      <c r="AC824" s="236" t="e">
        <v>#N/A</v>
      </c>
      <c r="AD824" s="236">
        <v>1.2682650687416697E-2</v>
      </c>
    </row>
    <row r="825" spans="23:30" x14ac:dyDescent="0.2">
      <c r="W825" s="144"/>
      <c r="X825" s="113" t="str">
        <f t="shared" si="33"/>
        <v>1w</v>
      </c>
      <c r="Y825" s="106">
        <f>_xll.qlCalendarAdvance(Calendar,Y824,X825,"f",FALSE)</f>
        <v>44971</v>
      </c>
      <c r="Z825" s="108">
        <f>_xll.qlCalendarAdvance(Calendar,Y825,0&amp;"D")</f>
        <v>44971</v>
      </c>
      <c r="AA825" s="109">
        <v>1.270825785660179E-2</v>
      </c>
      <c r="AB825" s="143">
        <f t="shared" si="34"/>
        <v>0</v>
      </c>
      <c r="AC825" s="236" t="e">
        <v>#N/A</v>
      </c>
      <c r="AD825" s="236">
        <v>1.270825785660179E-2</v>
      </c>
    </row>
    <row r="826" spans="23:30" x14ac:dyDescent="0.2">
      <c r="W826" s="144"/>
      <c r="X826" s="113" t="str">
        <f t="shared" si="33"/>
        <v>1w</v>
      </c>
      <c r="Y826" s="106">
        <f>_xll.qlCalendarAdvance(Calendar,Y825,X826,"f",FALSE)</f>
        <v>44978</v>
      </c>
      <c r="Z826" s="108">
        <f>_xll.qlCalendarAdvance(Calendar,Y826,0&amp;"D")</f>
        <v>44978</v>
      </c>
      <c r="AA826" s="109">
        <v>1.2733531769164586E-2</v>
      </c>
      <c r="AB826" s="143">
        <f t="shared" si="34"/>
        <v>-7.9936057773011271E-14</v>
      </c>
      <c r="AC826" s="236" t="e">
        <v>#N/A</v>
      </c>
      <c r="AD826" s="236">
        <v>1.2733531769244522E-2</v>
      </c>
    </row>
    <row r="827" spans="23:30" x14ac:dyDescent="0.2">
      <c r="W827" s="144"/>
      <c r="X827" s="113" t="str">
        <f t="shared" si="33"/>
        <v>1w</v>
      </c>
      <c r="Y827" s="106">
        <f>_xll.qlCalendarAdvance(Calendar,Y826,X827,"f",FALSE)</f>
        <v>44985</v>
      </c>
      <c r="Z827" s="108">
        <f>_xll.qlCalendarAdvance(Calendar,Y827,0&amp;"D")</f>
        <v>44985</v>
      </c>
      <c r="AA827" s="109">
        <v>1.2758472425424827E-2</v>
      </c>
      <c r="AB827" s="143">
        <f t="shared" si="34"/>
        <v>0</v>
      </c>
      <c r="AC827" s="236" t="e">
        <v>#N/A</v>
      </c>
      <c r="AD827" s="236">
        <v>1.2758472425424827E-2</v>
      </c>
    </row>
    <row r="828" spans="23:30" x14ac:dyDescent="0.2">
      <c r="W828" s="144"/>
      <c r="X828" s="113" t="str">
        <f t="shared" si="33"/>
        <v>1w</v>
      </c>
      <c r="Y828" s="106">
        <f>_xll.qlCalendarAdvance(Calendar,Y827,X828,"f",FALSE)</f>
        <v>44992</v>
      </c>
      <c r="Z828" s="108">
        <f>_xll.qlCalendarAdvance(Calendar,Y828,0&amp;"D")</f>
        <v>44992</v>
      </c>
      <c r="AA828" s="109">
        <v>1.2783079824902899E-2</v>
      </c>
      <c r="AB828" s="143">
        <f t="shared" si="34"/>
        <v>0</v>
      </c>
      <c r="AC828" s="236" t="e">
        <v>#N/A</v>
      </c>
      <c r="AD828" s="236">
        <v>1.2783079824902899E-2</v>
      </c>
    </row>
    <row r="829" spans="23:30" x14ac:dyDescent="0.2">
      <c r="W829" s="144"/>
      <c r="X829" s="113" t="str">
        <f t="shared" si="33"/>
        <v>1w</v>
      </c>
      <c r="Y829" s="106">
        <f>_xll.qlCalendarAdvance(Calendar,Y828,X829,"f",FALSE)</f>
        <v>44999</v>
      </c>
      <c r="Z829" s="108">
        <f>_xll.qlCalendarAdvance(Calendar,Y829,0&amp;"D")</f>
        <v>44999</v>
      </c>
      <c r="AA829" s="109">
        <v>1.2807353967758672E-2</v>
      </c>
      <c r="AB829" s="143">
        <f t="shared" si="34"/>
        <v>0</v>
      </c>
      <c r="AC829" s="236" t="e">
        <v>#N/A</v>
      </c>
      <c r="AD829" s="236">
        <v>1.2807353967758672E-2</v>
      </c>
    </row>
    <row r="830" spans="23:30" x14ac:dyDescent="0.2">
      <c r="W830" s="144"/>
      <c r="X830" s="113" t="str">
        <f t="shared" si="33"/>
        <v>1w</v>
      </c>
      <c r="Y830" s="106">
        <f>_xll.qlCalendarAdvance(Calendar,Y829,X830,"f",FALSE)</f>
        <v>45006</v>
      </c>
      <c r="Z830" s="108">
        <f>_xll.qlCalendarAdvance(Calendar,Y830,0&amp;"D")</f>
        <v>45006</v>
      </c>
      <c r="AA830" s="109">
        <v>1.2831294853912212E-2</v>
      </c>
      <c r="AB830" s="143">
        <f t="shared" si="34"/>
        <v>0</v>
      </c>
      <c r="AC830" s="236" t="e">
        <v>#N/A</v>
      </c>
      <c r="AD830" s="236">
        <v>1.2831294853912212E-2</v>
      </c>
    </row>
    <row r="831" spans="23:30" x14ac:dyDescent="0.2">
      <c r="W831" s="144"/>
      <c r="X831" s="113" t="str">
        <f t="shared" si="33"/>
        <v>1w</v>
      </c>
      <c r="Y831" s="106">
        <f>_xll.qlCalendarAdvance(Calendar,Y830,X831,"f",FALSE)</f>
        <v>45013</v>
      </c>
      <c r="Z831" s="108">
        <f>_xll.qlCalendarAdvance(Calendar,Y831,0&amp;"D")</f>
        <v>45013</v>
      </c>
      <c r="AA831" s="109">
        <v>1.2854902483283581E-2</v>
      </c>
      <c r="AB831" s="143">
        <f t="shared" si="34"/>
        <v>7.9936057773011271E-14</v>
      </c>
      <c r="AC831" s="236" t="e">
        <v>#N/A</v>
      </c>
      <c r="AD831" s="236">
        <v>1.2854902483203645E-2</v>
      </c>
    </row>
    <row r="832" spans="23:30" x14ac:dyDescent="0.2">
      <c r="W832" s="144"/>
      <c r="X832" s="113" t="str">
        <f t="shared" si="33"/>
        <v>1w</v>
      </c>
      <c r="Y832" s="106">
        <f>_xll.qlCalendarAdvance(Calendar,Y831,X832,"f",FALSE)</f>
        <v>45020</v>
      </c>
      <c r="Z832" s="108">
        <f>_xll.qlCalendarAdvance(Calendar,Y832,0&amp;"D")</f>
        <v>45020</v>
      </c>
      <c r="AA832" s="109">
        <v>1.2878176855632972E-2</v>
      </c>
      <c r="AB832" s="143">
        <f t="shared" si="34"/>
        <v>-7.9936057773011271E-14</v>
      </c>
      <c r="AC832" s="236" t="e">
        <v>#N/A</v>
      </c>
      <c r="AD832" s="236">
        <v>1.2878176855712908E-2</v>
      </c>
    </row>
    <row r="833" spans="23:30" x14ac:dyDescent="0.2">
      <c r="W833" s="144"/>
      <c r="X833" s="113" t="str">
        <f t="shared" si="33"/>
        <v>1w</v>
      </c>
      <c r="Y833" s="106">
        <f>_xll.qlCalendarAdvance(Calendar,Y832,X833,"f",FALSE)</f>
        <v>45027</v>
      </c>
      <c r="Z833" s="108">
        <f>_xll.qlCalendarAdvance(Calendar,Y833,0&amp;"D")</f>
        <v>45027</v>
      </c>
      <c r="AA833" s="109">
        <v>1.2901117971200193E-2</v>
      </c>
      <c r="AB833" s="143">
        <f t="shared" si="34"/>
        <v>0</v>
      </c>
      <c r="AC833" s="236" t="e">
        <v>#N/A</v>
      </c>
      <c r="AD833" s="236">
        <v>1.2901117971200193E-2</v>
      </c>
    </row>
    <row r="834" spans="23:30" x14ac:dyDescent="0.2">
      <c r="W834" s="144"/>
      <c r="X834" s="113" t="str">
        <f t="shared" si="33"/>
        <v>1w</v>
      </c>
      <c r="Y834" s="106">
        <f>_xll.qlCalendarAdvance(Calendar,Y833,X834,"f",FALSE)</f>
        <v>45034</v>
      </c>
      <c r="Z834" s="108">
        <f>_xll.qlCalendarAdvance(Calendar,Y834,0&amp;"D")</f>
        <v>45034</v>
      </c>
      <c r="AA834" s="109">
        <v>1.2923725829745436E-2</v>
      </c>
      <c r="AB834" s="143">
        <f t="shared" si="34"/>
        <v>0</v>
      </c>
      <c r="AC834" s="236" t="e">
        <v>#N/A</v>
      </c>
      <c r="AD834" s="236">
        <v>1.2923725829745436E-2</v>
      </c>
    </row>
    <row r="835" spans="23:30" x14ac:dyDescent="0.2">
      <c r="W835" s="144"/>
      <c r="X835" s="113" t="str">
        <f t="shared" si="33"/>
        <v>1w</v>
      </c>
      <c r="Y835" s="106">
        <f>_xll.qlCalendarAdvance(Calendar,Y834,X835,"f",FALSE)</f>
        <v>45041</v>
      </c>
      <c r="Z835" s="108">
        <f>_xll.qlCalendarAdvance(Calendar,Y835,0&amp;"D")</f>
        <v>45041</v>
      </c>
      <c r="AA835" s="109">
        <v>1.29460004312687E-2</v>
      </c>
      <c r="AB835" s="143">
        <f t="shared" si="34"/>
        <v>0</v>
      </c>
      <c r="AC835" s="236" t="e">
        <v>#N/A</v>
      </c>
      <c r="AD835" s="236">
        <v>1.29460004312687E-2</v>
      </c>
    </row>
    <row r="836" spans="23:30" x14ac:dyDescent="0.2">
      <c r="W836" s="144"/>
      <c r="X836" s="113" t="str">
        <f t="shared" si="33"/>
        <v>1w</v>
      </c>
      <c r="Y836" s="106">
        <f>_xll.qlCalendarAdvance(Calendar,Y835,X836,"f",FALSE)</f>
        <v>45048</v>
      </c>
      <c r="Z836" s="108">
        <f>_xll.qlCalendarAdvance(Calendar,Y836,0&amp;"D")</f>
        <v>45048</v>
      </c>
      <c r="AA836" s="109">
        <v>1.2967941775610115E-2</v>
      </c>
      <c r="AB836" s="143">
        <f t="shared" si="34"/>
        <v>0</v>
      </c>
      <c r="AC836" s="236" t="e">
        <v>#N/A</v>
      </c>
      <c r="AD836" s="236">
        <v>1.2967941775610115E-2</v>
      </c>
    </row>
    <row r="837" spans="23:30" x14ac:dyDescent="0.2">
      <c r="W837" s="144"/>
      <c r="X837" s="113" t="str">
        <f t="shared" si="33"/>
        <v>1w</v>
      </c>
      <c r="Y837" s="106">
        <f>_xll.qlCalendarAdvance(Calendar,Y836,X837,"f",FALSE)</f>
        <v>45055</v>
      </c>
      <c r="Z837" s="108">
        <f>_xll.qlCalendarAdvance(Calendar,Y837,0&amp;"D")</f>
        <v>45055</v>
      </c>
      <c r="AA837" s="109">
        <v>1.2989549862769678E-2</v>
      </c>
      <c r="AB837" s="143">
        <f t="shared" si="34"/>
        <v>0</v>
      </c>
      <c r="AC837" s="236" t="e">
        <v>#N/A</v>
      </c>
      <c r="AD837" s="236">
        <v>1.2989549862769678E-2</v>
      </c>
    </row>
    <row r="838" spans="23:30" x14ac:dyDescent="0.2">
      <c r="W838" s="144"/>
      <c r="X838" s="113" t="str">
        <f t="shared" si="33"/>
        <v>1w</v>
      </c>
      <c r="Y838" s="106">
        <f>_xll.qlCalendarAdvance(Calendar,Y837,X838,"f",FALSE)</f>
        <v>45062</v>
      </c>
      <c r="Z838" s="108">
        <f>_xll.qlCalendarAdvance(Calendar,Y838,0&amp;"D")</f>
        <v>45062</v>
      </c>
      <c r="AA838" s="109">
        <v>1.3010824692747391E-2</v>
      </c>
      <c r="AB838" s="143">
        <f t="shared" si="34"/>
        <v>0</v>
      </c>
      <c r="AC838" s="236" t="e">
        <v>#N/A</v>
      </c>
      <c r="AD838" s="236">
        <v>1.3010824692747391E-2</v>
      </c>
    </row>
    <row r="839" spans="23:30" x14ac:dyDescent="0.2">
      <c r="W839" s="144"/>
      <c r="X839" s="113" t="str">
        <f t="shared" si="33"/>
        <v>1w</v>
      </c>
      <c r="Y839" s="106">
        <f>_xll.qlCalendarAdvance(Calendar,Y838,X839,"f",FALSE)</f>
        <v>45069</v>
      </c>
      <c r="Z839" s="108">
        <f>_xll.qlCalendarAdvance(Calendar,Y839,0&amp;"D")</f>
        <v>45069</v>
      </c>
      <c r="AA839" s="109">
        <v>1.3031766265383382E-2</v>
      </c>
      <c r="AB839" s="143">
        <f t="shared" si="34"/>
        <v>0</v>
      </c>
      <c r="AC839" s="236" t="e">
        <v>#N/A</v>
      </c>
      <c r="AD839" s="236">
        <v>1.3031766265383382E-2</v>
      </c>
    </row>
    <row r="840" spans="23:30" x14ac:dyDescent="0.2">
      <c r="W840" s="144"/>
      <c r="X840" s="113" t="str">
        <f t="shared" si="33"/>
        <v>1w</v>
      </c>
      <c r="Y840" s="106">
        <f>_xll.qlCalendarAdvance(Calendar,Y839,X840,"f",FALSE)</f>
        <v>45076</v>
      </c>
      <c r="Z840" s="108">
        <f>_xll.qlCalendarAdvance(Calendar,Y840,0&amp;"D")</f>
        <v>45076</v>
      </c>
      <c r="AA840" s="109">
        <v>1.305237458067765E-2</v>
      </c>
      <c r="AB840" s="143">
        <f t="shared" si="34"/>
        <v>0</v>
      </c>
      <c r="AC840" s="236" t="e">
        <v>#N/A</v>
      </c>
      <c r="AD840" s="236">
        <v>1.305237458067765E-2</v>
      </c>
    </row>
    <row r="841" spans="23:30" x14ac:dyDescent="0.2">
      <c r="W841" s="144"/>
      <c r="X841" s="113" t="str">
        <f t="shared" si="33"/>
        <v>1w</v>
      </c>
      <c r="Y841" s="106">
        <f>_xll.qlCalendarAdvance(Calendar,Y840,X841,"f",FALSE)</f>
        <v>45083</v>
      </c>
      <c r="Z841" s="108">
        <f>_xll.qlCalendarAdvance(Calendar,Y841,0&amp;"D")</f>
        <v>45083</v>
      </c>
      <c r="AA841" s="109">
        <v>1.3072736954384823E-2</v>
      </c>
      <c r="AB841" s="143">
        <f t="shared" si="34"/>
        <v>0</v>
      </c>
      <c r="AC841" s="236" t="e">
        <v>#N/A</v>
      </c>
      <c r="AD841" s="236">
        <v>1.3072736954384823E-2</v>
      </c>
    </row>
    <row r="842" spans="23:30" x14ac:dyDescent="0.2">
      <c r="W842" s="144"/>
      <c r="X842" s="113" t="str">
        <f t="shared" si="33"/>
        <v>1w</v>
      </c>
      <c r="Y842" s="106">
        <f>_xll.qlCalendarAdvance(Calendar,Y841,X842,"f",FALSE)</f>
        <v>45090</v>
      </c>
      <c r="Z842" s="108">
        <f>_xll.qlCalendarAdvance(Calendar,Y842,0&amp;"D")</f>
        <v>45090</v>
      </c>
      <c r="AA842" s="109">
        <v>1.3093041451348597E-2</v>
      </c>
      <c r="AB842" s="143">
        <f t="shared" si="34"/>
        <v>0</v>
      </c>
      <c r="AC842" s="236" t="e">
        <v>#N/A</v>
      </c>
      <c r="AD842" s="236">
        <v>1.3093041451348597E-2</v>
      </c>
    </row>
    <row r="843" spans="23:30" x14ac:dyDescent="0.2">
      <c r="W843" s="144"/>
      <c r="X843" s="113" t="str">
        <f t="shared" si="33"/>
        <v>1w</v>
      </c>
      <c r="Y843" s="106">
        <f>_xll.qlCalendarAdvance(Calendar,Y842,X843,"f",FALSE)</f>
        <v>45097</v>
      </c>
      <c r="Z843" s="108">
        <f>_xll.qlCalendarAdvance(Calendar,Y843,0&amp;"D")</f>
        <v>45097</v>
      </c>
      <c r="AA843" s="109">
        <v>1.3113294788116292E-2</v>
      </c>
      <c r="AB843" s="143">
        <f t="shared" si="34"/>
        <v>0</v>
      </c>
      <c r="AC843" s="236" t="e">
        <v>#N/A</v>
      </c>
      <c r="AD843" s="236">
        <v>1.3113294788116292E-2</v>
      </c>
    </row>
    <row r="844" spans="23:30" x14ac:dyDescent="0.2">
      <c r="W844" s="144"/>
      <c r="X844" s="113" t="str">
        <f t="shared" si="33"/>
        <v>1w</v>
      </c>
      <c r="Y844" s="106">
        <f>_xll.qlCalendarAdvance(Calendar,Y843,X844,"f",FALSE)</f>
        <v>45104</v>
      </c>
      <c r="Z844" s="108">
        <f>_xll.qlCalendarAdvance(Calendar,Y844,0&amp;"D")</f>
        <v>45104</v>
      </c>
      <c r="AA844" s="109">
        <v>1.3133496964687907E-2</v>
      </c>
      <c r="AB844" s="143">
        <f t="shared" si="34"/>
        <v>7.9936057773011271E-14</v>
      </c>
      <c r="AC844" s="236" t="e">
        <v>#N/A</v>
      </c>
      <c r="AD844" s="236">
        <v>1.3133496964607971E-2</v>
      </c>
    </row>
    <row r="845" spans="23:30" x14ac:dyDescent="0.2">
      <c r="W845" s="144"/>
      <c r="X845" s="113" t="str">
        <f t="shared" ref="X845:X908" si="35">X844</f>
        <v>1w</v>
      </c>
      <c r="Y845" s="106">
        <f>_xll.qlCalendarAdvance(Calendar,Y844,X845,"f",FALSE)</f>
        <v>45111</v>
      </c>
      <c r="Z845" s="108">
        <f>_xll.qlCalendarAdvance(Calendar,Y845,0&amp;"D")</f>
        <v>45111</v>
      </c>
      <c r="AA845" s="109">
        <v>1.3153647980983507E-2</v>
      </c>
      <c r="AB845" s="143">
        <f t="shared" si="34"/>
        <v>0</v>
      </c>
      <c r="AC845" s="236" t="e">
        <v>#N/A</v>
      </c>
      <c r="AD845" s="236">
        <v>1.3153647980983507E-2</v>
      </c>
    </row>
    <row r="846" spans="23:30" x14ac:dyDescent="0.2">
      <c r="W846" s="144"/>
      <c r="X846" s="113" t="str">
        <f t="shared" si="35"/>
        <v>1w</v>
      </c>
      <c r="Y846" s="106">
        <f>_xll.qlCalendarAdvance(Calendar,Y845,X846,"f",FALSE)</f>
        <v>45118</v>
      </c>
      <c r="Z846" s="108">
        <f>_xll.qlCalendarAdvance(Calendar,Y846,0&amp;"D")</f>
        <v>45118</v>
      </c>
      <c r="AA846" s="109">
        <v>1.3173747837083027E-2</v>
      </c>
      <c r="AB846" s="143">
        <f t="shared" si="34"/>
        <v>-7.9936057773011271E-14</v>
      </c>
      <c r="AC846" s="236" t="e">
        <v>#N/A</v>
      </c>
      <c r="AD846" s="236">
        <v>1.3173747837162963E-2</v>
      </c>
    </row>
    <row r="847" spans="23:30" x14ac:dyDescent="0.2">
      <c r="W847" s="144"/>
      <c r="X847" s="113" t="str">
        <f t="shared" si="35"/>
        <v>1w</v>
      </c>
      <c r="Y847" s="106">
        <f>_xll.qlCalendarAdvance(Calendar,Y846,X847,"f",FALSE)</f>
        <v>45125</v>
      </c>
      <c r="Z847" s="108">
        <f>_xll.qlCalendarAdvance(Calendar,Y847,0&amp;"D")</f>
        <v>45125</v>
      </c>
      <c r="AA847" s="109">
        <v>1.3193796533066404E-2</v>
      </c>
      <c r="AB847" s="143">
        <f t="shared" si="34"/>
        <v>0</v>
      </c>
      <c r="AC847" s="236" t="e">
        <v>#N/A</v>
      </c>
      <c r="AD847" s="236">
        <v>1.3193796533066404E-2</v>
      </c>
    </row>
    <row r="848" spans="23:30" x14ac:dyDescent="0.2">
      <c r="W848" s="144"/>
      <c r="X848" s="113" t="str">
        <f t="shared" si="35"/>
        <v>1w</v>
      </c>
      <c r="Y848" s="106">
        <f>_xll.qlCalendarAdvance(Calendar,Y847,X848,"f",FALSE)</f>
        <v>45132</v>
      </c>
      <c r="Z848" s="108">
        <f>_xll.qlCalendarAdvance(Calendar,Y848,0&amp;"D")</f>
        <v>45132</v>
      </c>
      <c r="AA848" s="109">
        <v>1.3213794068853701E-2</v>
      </c>
      <c r="AB848" s="143">
        <f t="shared" si="34"/>
        <v>0</v>
      </c>
      <c r="AC848" s="236" t="e">
        <v>#N/A</v>
      </c>
      <c r="AD848" s="236">
        <v>1.3213794068853701E-2</v>
      </c>
    </row>
    <row r="849" spans="23:30" x14ac:dyDescent="0.2">
      <c r="W849" s="144"/>
      <c r="X849" s="113" t="str">
        <f t="shared" si="35"/>
        <v>1w</v>
      </c>
      <c r="Y849" s="106">
        <f>_xll.qlCalendarAdvance(Calendar,Y848,X849,"f",FALSE)</f>
        <v>45139</v>
      </c>
      <c r="Z849" s="108">
        <f>_xll.qlCalendarAdvance(Calendar,Y849,0&amp;"D")</f>
        <v>45139</v>
      </c>
      <c r="AA849" s="109">
        <v>1.3233740444285047E-2</v>
      </c>
      <c r="AB849" s="143">
        <f t="shared" si="34"/>
        <v>0</v>
      </c>
      <c r="AC849" s="236" t="e">
        <v>#N/A</v>
      </c>
      <c r="AD849" s="236">
        <v>1.3233740444285047E-2</v>
      </c>
    </row>
    <row r="850" spans="23:30" x14ac:dyDescent="0.2">
      <c r="W850" s="144"/>
      <c r="X850" s="113" t="str">
        <f t="shared" si="35"/>
        <v>1w</v>
      </c>
      <c r="Y850" s="106">
        <f>_xll.qlCalendarAdvance(Calendar,Y849,X850,"f",FALSE)</f>
        <v>45146</v>
      </c>
      <c r="Z850" s="108">
        <f>_xll.qlCalendarAdvance(Calendar,Y850,0&amp;"D")</f>
        <v>45146</v>
      </c>
      <c r="AA850" s="109">
        <v>1.3253635659520313E-2</v>
      </c>
      <c r="AB850" s="143">
        <f t="shared" si="34"/>
        <v>0</v>
      </c>
      <c r="AC850" s="236" t="e">
        <v>#N/A</v>
      </c>
      <c r="AD850" s="236">
        <v>1.3253635659520313E-2</v>
      </c>
    </row>
    <row r="851" spans="23:30" x14ac:dyDescent="0.2">
      <c r="W851" s="144"/>
      <c r="X851" s="113" t="str">
        <f t="shared" si="35"/>
        <v>1w</v>
      </c>
      <c r="Y851" s="106">
        <f>_xll.qlCalendarAdvance(Calendar,Y850,X851,"f",FALSE)</f>
        <v>45153</v>
      </c>
      <c r="Z851" s="108">
        <f>_xll.qlCalendarAdvance(Calendar,Y851,0&amp;"D")</f>
        <v>45153</v>
      </c>
      <c r="AA851" s="109">
        <v>1.3273479714479564E-2</v>
      </c>
      <c r="AB851" s="143">
        <f t="shared" si="34"/>
        <v>-7.9936057773011271E-14</v>
      </c>
      <c r="AC851" s="236" t="e">
        <v>#N/A</v>
      </c>
      <c r="AD851" s="236">
        <v>1.32734797145595E-2</v>
      </c>
    </row>
    <row r="852" spans="23:30" x14ac:dyDescent="0.2">
      <c r="W852" s="144"/>
      <c r="X852" s="113" t="str">
        <f t="shared" si="35"/>
        <v>1w</v>
      </c>
      <c r="Y852" s="106">
        <f>_xll.qlCalendarAdvance(Calendar,Y851,X852,"f",FALSE)</f>
        <v>45160</v>
      </c>
      <c r="Z852" s="108">
        <f>_xll.qlCalendarAdvance(Calendar,Y852,0&amp;"D")</f>
        <v>45160</v>
      </c>
      <c r="AA852" s="109">
        <v>1.3293272609322671E-2</v>
      </c>
      <c r="AB852" s="143">
        <f t="shared" si="34"/>
        <v>0</v>
      </c>
      <c r="AC852" s="236" t="e">
        <v>#N/A</v>
      </c>
      <c r="AD852" s="236">
        <v>1.3293272609322671E-2</v>
      </c>
    </row>
    <row r="853" spans="23:30" x14ac:dyDescent="0.2">
      <c r="W853" s="144"/>
      <c r="X853" s="113" t="str">
        <f t="shared" si="35"/>
        <v>1w</v>
      </c>
      <c r="Y853" s="106">
        <f>_xll.qlCalendarAdvance(Calendar,Y852,X853,"f",FALSE)</f>
        <v>45167</v>
      </c>
      <c r="Z853" s="108">
        <f>_xll.qlCalendarAdvance(Calendar,Y853,0&amp;"D")</f>
        <v>45167</v>
      </c>
      <c r="AA853" s="109">
        <v>1.3313014343809826E-2</v>
      </c>
      <c r="AB853" s="143">
        <f t="shared" ref="AB853:AB916" si="36">AA853-AD853</f>
        <v>7.9936057773011271E-14</v>
      </c>
      <c r="AC853" s="236" t="e">
        <v>#N/A</v>
      </c>
      <c r="AD853" s="236">
        <v>1.331301434372989E-2</v>
      </c>
    </row>
    <row r="854" spans="23:30" x14ac:dyDescent="0.2">
      <c r="W854" s="144"/>
      <c r="X854" s="113" t="str">
        <f t="shared" si="35"/>
        <v>1w</v>
      </c>
      <c r="Y854" s="106">
        <f>_xll.qlCalendarAdvance(Calendar,Y853,X854,"f",FALSE)</f>
        <v>45174</v>
      </c>
      <c r="Z854" s="108">
        <f>_xll.qlCalendarAdvance(Calendar,Y854,0&amp;"D")</f>
        <v>45174</v>
      </c>
      <c r="AA854" s="109">
        <v>1.3332704918020966E-2</v>
      </c>
      <c r="AB854" s="143">
        <f t="shared" si="36"/>
        <v>7.9936057773011271E-14</v>
      </c>
      <c r="AC854" s="236" t="e">
        <v>#N/A</v>
      </c>
      <c r="AD854" s="236">
        <v>1.333270491794103E-2</v>
      </c>
    </row>
    <row r="855" spans="23:30" x14ac:dyDescent="0.2">
      <c r="W855" s="144"/>
      <c r="X855" s="113" t="str">
        <f t="shared" si="35"/>
        <v>1w</v>
      </c>
      <c r="Y855" s="106">
        <f>_xll.qlCalendarAdvance(Calendar,Y854,X855,"f",FALSE)</f>
        <v>45181</v>
      </c>
      <c r="Z855" s="108">
        <f>_xll.qlCalendarAdvance(Calendar,Y855,0&amp;"D")</f>
        <v>45181</v>
      </c>
      <c r="AA855" s="109">
        <v>1.3352344331876154E-2</v>
      </c>
      <c r="AB855" s="143">
        <f t="shared" si="36"/>
        <v>0</v>
      </c>
      <c r="AC855" s="236" t="e">
        <v>#N/A</v>
      </c>
      <c r="AD855" s="236">
        <v>1.3352344331876154E-2</v>
      </c>
    </row>
    <row r="856" spans="23:30" x14ac:dyDescent="0.2">
      <c r="W856" s="144"/>
      <c r="X856" s="113" t="str">
        <f t="shared" si="35"/>
        <v>1w</v>
      </c>
      <c r="Y856" s="106">
        <f>_xll.qlCalendarAdvance(Calendar,Y855,X856,"f",FALSE)</f>
        <v>45188</v>
      </c>
      <c r="Z856" s="108">
        <f>_xll.qlCalendarAdvance(Calendar,Y856,0&amp;"D")</f>
        <v>45188</v>
      </c>
      <c r="AA856" s="109">
        <v>1.3371932585455326E-2</v>
      </c>
      <c r="AB856" s="143">
        <f t="shared" si="36"/>
        <v>0</v>
      </c>
      <c r="AC856" s="236" t="e">
        <v>#N/A</v>
      </c>
      <c r="AD856" s="236">
        <v>1.3371932585455326E-2</v>
      </c>
    </row>
    <row r="857" spans="23:30" x14ac:dyDescent="0.2">
      <c r="W857" s="144"/>
      <c r="X857" s="113" t="str">
        <f t="shared" si="35"/>
        <v>1w</v>
      </c>
      <c r="Y857" s="106">
        <f>_xll.qlCalendarAdvance(Calendar,Y856,X857,"f",FALSE)</f>
        <v>45195</v>
      </c>
      <c r="Z857" s="108">
        <f>_xll.qlCalendarAdvance(Calendar,Y857,0&amp;"D")</f>
        <v>45195</v>
      </c>
      <c r="AA857" s="109">
        <v>1.3391469678838419E-2</v>
      </c>
      <c r="AB857" s="143">
        <f t="shared" si="36"/>
        <v>0</v>
      </c>
      <c r="AC857" s="236" t="e">
        <v>#N/A</v>
      </c>
      <c r="AD857" s="236">
        <v>1.3391469678838419E-2</v>
      </c>
    </row>
    <row r="858" spans="23:30" x14ac:dyDescent="0.2">
      <c r="W858" s="144"/>
      <c r="X858" s="113" t="str">
        <f t="shared" si="35"/>
        <v>1w</v>
      </c>
      <c r="Y858" s="106">
        <f>_xll.qlCalendarAdvance(Calendar,Y857,X858,"f",FALSE)</f>
        <v>45202</v>
      </c>
      <c r="Z858" s="108">
        <f>_xll.qlCalendarAdvance(Calendar,Y858,0&amp;"D")</f>
        <v>45202</v>
      </c>
      <c r="AA858" s="109">
        <v>1.341095561186556E-2</v>
      </c>
      <c r="AB858" s="143">
        <f t="shared" si="36"/>
        <v>0</v>
      </c>
      <c r="AC858" s="236" t="e">
        <v>#N/A</v>
      </c>
      <c r="AD858" s="236">
        <v>1.341095561186556E-2</v>
      </c>
    </row>
    <row r="859" spans="23:30" x14ac:dyDescent="0.2">
      <c r="W859" s="144"/>
      <c r="X859" s="113" t="str">
        <f t="shared" si="35"/>
        <v>1w</v>
      </c>
      <c r="Y859" s="106">
        <f>_xll.qlCalendarAdvance(Calendar,Y858,X859,"f",FALSE)</f>
        <v>45209</v>
      </c>
      <c r="Z859" s="108">
        <f>_xll.qlCalendarAdvance(Calendar,Y859,0&amp;"D")</f>
        <v>45209</v>
      </c>
      <c r="AA859" s="109">
        <v>1.3430390384616686E-2</v>
      </c>
      <c r="AB859" s="143">
        <f t="shared" si="36"/>
        <v>0</v>
      </c>
      <c r="AC859" s="236" t="e">
        <v>#N/A</v>
      </c>
      <c r="AD859" s="236">
        <v>1.3430390384616686E-2</v>
      </c>
    </row>
    <row r="860" spans="23:30" x14ac:dyDescent="0.2">
      <c r="W860" s="144"/>
      <c r="X860" s="113" t="str">
        <f t="shared" si="35"/>
        <v>1w</v>
      </c>
      <c r="Y860" s="106">
        <f>_xll.qlCalendarAdvance(Calendar,Y859,X860,"f",FALSE)</f>
        <v>45216</v>
      </c>
      <c r="Z860" s="108">
        <f>_xll.qlCalendarAdvance(Calendar,Y860,0&amp;"D")</f>
        <v>45216</v>
      </c>
      <c r="AA860" s="109">
        <v>1.3449773996931924E-2</v>
      </c>
      <c r="AB860" s="143">
        <f t="shared" si="36"/>
        <v>0</v>
      </c>
      <c r="AC860" s="236" t="e">
        <v>#N/A</v>
      </c>
      <c r="AD860" s="236">
        <v>1.3449773996931924E-2</v>
      </c>
    </row>
    <row r="861" spans="23:30" x14ac:dyDescent="0.2">
      <c r="W861" s="144"/>
      <c r="X861" s="113" t="str">
        <f t="shared" si="35"/>
        <v>1w</v>
      </c>
      <c r="Y861" s="106">
        <f>_xll.qlCalendarAdvance(Calendar,Y860,X861,"f",FALSE)</f>
        <v>45223</v>
      </c>
      <c r="Z861" s="108">
        <f>_xll.qlCalendarAdvance(Calendar,Y861,0&amp;"D")</f>
        <v>45223</v>
      </c>
      <c r="AA861" s="109">
        <v>1.3469106448971147E-2</v>
      </c>
      <c r="AB861" s="143">
        <f t="shared" si="36"/>
        <v>0</v>
      </c>
      <c r="AC861" s="236" t="e">
        <v>#N/A</v>
      </c>
      <c r="AD861" s="236">
        <v>1.3469106448971147E-2</v>
      </c>
    </row>
    <row r="862" spans="23:30" x14ac:dyDescent="0.2">
      <c r="W862" s="144"/>
      <c r="X862" s="113" t="str">
        <f t="shared" si="35"/>
        <v>1w</v>
      </c>
      <c r="Y862" s="106">
        <f>_xll.qlCalendarAdvance(Calendar,Y861,X862,"f",FALSE)</f>
        <v>45230</v>
      </c>
      <c r="Z862" s="108">
        <f>_xll.qlCalendarAdvance(Calendar,Y862,0&amp;"D")</f>
        <v>45230</v>
      </c>
      <c r="AA862" s="109">
        <v>1.3488387740734353E-2</v>
      </c>
      <c r="AB862" s="143">
        <f t="shared" si="36"/>
        <v>0</v>
      </c>
      <c r="AC862" s="236" t="e">
        <v>#N/A</v>
      </c>
      <c r="AD862" s="236">
        <v>1.3488387740734353E-2</v>
      </c>
    </row>
    <row r="863" spans="23:30" x14ac:dyDescent="0.2">
      <c r="W863" s="144"/>
      <c r="X863" s="113" t="str">
        <f t="shared" si="35"/>
        <v>1w</v>
      </c>
      <c r="Y863" s="106">
        <f>_xll.qlCalendarAdvance(Calendar,Y862,X863,"f",FALSE)</f>
        <v>45237</v>
      </c>
      <c r="Z863" s="108">
        <f>_xll.qlCalendarAdvance(Calendar,Y863,0&amp;"D")</f>
        <v>45237</v>
      </c>
      <c r="AA863" s="109">
        <v>1.3507617872061672E-2</v>
      </c>
      <c r="AB863" s="143">
        <f t="shared" si="36"/>
        <v>0</v>
      </c>
      <c r="AC863" s="236" t="e">
        <v>#N/A</v>
      </c>
      <c r="AD863" s="236">
        <v>1.3507617872061672E-2</v>
      </c>
    </row>
    <row r="864" spans="23:30" x14ac:dyDescent="0.2">
      <c r="W864" s="144"/>
      <c r="X864" s="113" t="str">
        <f t="shared" si="35"/>
        <v>1w</v>
      </c>
      <c r="Y864" s="106">
        <f>_xll.qlCalendarAdvance(Calendar,Y863,X864,"f",FALSE)</f>
        <v>45244</v>
      </c>
      <c r="Z864" s="108">
        <f>_xll.qlCalendarAdvance(Calendar,Y864,0&amp;"D")</f>
        <v>45244</v>
      </c>
      <c r="AA864" s="109">
        <v>1.352679684303304E-2</v>
      </c>
      <c r="AB864" s="143">
        <f t="shared" si="36"/>
        <v>0</v>
      </c>
      <c r="AC864" s="236" t="e">
        <v>#N/A</v>
      </c>
      <c r="AD864" s="236">
        <v>1.352679684303304E-2</v>
      </c>
    </row>
    <row r="865" spans="23:30" x14ac:dyDescent="0.2">
      <c r="W865" s="144"/>
      <c r="X865" s="113" t="str">
        <f t="shared" si="35"/>
        <v>1w</v>
      </c>
      <c r="Y865" s="106">
        <f>_xll.qlCalendarAdvance(Calendar,Y864,X865,"f",FALSE)</f>
        <v>45251</v>
      </c>
      <c r="Z865" s="108">
        <f>_xll.qlCalendarAdvance(Calendar,Y865,0&amp;"D")</f>
        <v>45251</v>
      </c>
      <c r="AA865" s="109">
        <v>1.3545924653728392E-2</v>
      </c>
      <c r="AB865" s="143">
        <f t="shared" si="36"/>
        <v>0</v>
      </c>
      <c r="AC865" s="236" t="e">
        <v>#N/A</v>
      </c>
      <c r="AD865" s="236">
        <v>1.3545924653728392E-2</v>
      </c>
    </row>
    <row r="866" spans="23:30" x14ac:dyDescent="0.2">
      <c r="W866" s="144"/>
      <c r="X866" s="113" t="str">
        <f t="shared" si="35"/>
        <v>1w</v>
      </c>
      <c r="Y866" s="106">
        <f>_xll.qlCalendarAdvance(Calendar,Y865,X866,"f",FALSE)</f>
        <v>45258</v>
      </c>
      <c r="Z866" s="108">
        <f>_xll.qlCalendarAdvance(Calendar,Y866,0&amp;"D")</f>
        <v>45258</v>
      </c>
      <c r="AA866" s="109">
        <v>1.3565001303987856E-2</v>
      </c>
      <c r="AB866" s="143">
        <f t="shared" si="36"/>
        <v>0</v>
      </c>
      <c r="AC866" s="236" t="e">
        <v>#N/A</v>
      </c>
      <c r="AD866" s="236">
        <v>1.3565001303987856E-2</v>
      </c>
    </row>
    <row r="867" spans="23:30" x14ac:dyDescent="0.2">
      <c r="W867" s="144"/>
      <c r="X867" s="113" t="str">
        <f t="shared" si="35"/>
        <v>1w</v>
      </c>
      <c r="Y867" s="106">
        <f>_xll.qlCalendarAdvance(Calendar,Y866,X867,"f",FALSE)</f>
        <v>45265</v>
      </c>
      <c r="Z867" s="108">
        <f>_xll.qlCalendarAdvance(Calendar,Y867,0&amp;"D")</f>
        <v>45265</v>
      </c>
      <c r="AA867" s="109">
        <v>1.3584026793891368E-2</v>
      </c>
      <c r="AB867" s="143">
        <f t="shared" si="36"/>
        <v>0</v>
      </c>
      <c r="AC867" s="236" t="e">
        <v>#N/A</v>
      </c>
      <c r="AD867" s="236">
        <v>1.3584026793891368E-2</v>
      </c>
    </row>
    <row r="868" spans="23:30" x14ac:dyDescent="0.2">
      <c r="W868" s="144"/>
      <c r="X868" s="113" t="str">
        <f t="shared" si="35"/>
        <v>1w</v>
      </c>
      <c r="Y868" s="106">
        <f>_xll.qlCalendarAdvance(Calendar,Y867,X868,"f",FALSE)</f>
        <v>45272</v>
      </c>
      <c r="Z868" s="108">
        <f>_xll.qlCalendarAdvance(Calendar,Y868,0&amp;"D")</f>
        <v>45272</v>
      </c>
      <c r="AA868" s="109">
        <v>1.3603001123358993E-2</v>
      </c>
      <c r="AB868" s="143">
        <f t="shared" si="36"/>
        <v>-7.9936057773011271E-14</v>
      </c>
      <c r="AC868" s="236" t="e">
        <v>#N/A</v>
      </c>
      <c r="AD868" s="236">
        <v>1.3603001123438929E-2</v>
      </c>
    </row>
    <row r="869" spans="23:30" x14ac:dyDescent="0.2">
      <c r="W869" s="144"/>
      <c r="X869" s="113" t="str">
        <f t="shared" si="35"/>
        <v>1w</v>
      </c>
      <c r="Y869" s="106">
        <f>_xll.qlCalendarAdvance(Calendar,Y868,X869,"f",FALSE)</f>
        <v>45279</v>
      </c>
      <c r="Z869" s="108">
        <f>_xll.qlCalendarAdvance(Calendar,Y869,0&amp;"D")</f>
        <v>45279</v>
      </c>
      <c r="AA869" s="109">
        <v>1.3621924292470666E-2</v>
      </c>
      <c r="AB869" s="143">
        <f t="shared" si="36"/>
        <v>0</v>
      </c>
      <c r="AC869" s="236" t="e">
        <v>#N/A</v>
      </c>
      <c r="AD869" s="236">
        <v>1.3621924292470666E-2</v>
      </c>
    </row>
    <row r="870" spans="23:30" x14ac:dyDescent="0.2">
      <c r="W870" s="144"/>
      <c r="X870" s="113" t="str">
        <f t="shared" si="35"/>
        <v>1w</v>
      </c>
      <c r="Y870" s="106">
        <f>_xll.qlCalendarAdvance(Calendar,Y869,X870,"f",FALSE)</f>
        <v>45287</v>
      </c>
      <c r="Z870" s="108">
        <f>_xll.qlCalendarAdvance(Calendar,Y870,0&amp;"D")</f>
        <v>45287</v>
      </c>
      <c r="AA870" s="109">
        <v>1.3643488125989478E-2</v>
      </c>
      <c r="AB870" s="143">
        <f t="shared" si="36"/>
        <v>-7.9936057773011271E-14</v>
      </c>
      <c r="AC870" s="236" t="e">
        <v>#N/A</v>
      </c>
      <c r="AD870" s="236">
        <v>1.3643488126069414E-2</v>
      </c>
    </row>
    <row r="871" spans="23:30" x14ac:dyDescent="0.2">
      <c r="W871" s="144"/>
      <c r="X871" s="113" t="str">
        <f t="shared" si="35"/>
        <v>1w</v>
      </c>
      <c r="Y871" s="106">
        <f>_xll.qlCalendarAdvance(Calendar,Y870,X871,"f",FALSE)</f>
        <v>45294</v>
      </c>
      <c r="Z871" s="108">
        <f>_xll.qlCalendarAdvance(Calendar,Y871,0&amp;"D")</f>
        <v>45294</v>
      </c>
      <c r="AA871" s="109">
        <v>1.366230166575555E-2</v>
      </c>
      <c r="AB871" s="143">
        <f t="shared" si="36"/>
        <v>7.9936057773011271E-14</v>
      </c>
      <c r="AC871" s="236" t="e">
        <v>#N/A</v>
      </c>
      <c r="AD871" s="236">
        <v>1.3662301665675614E-2</v>
      </c>
    </row>
    <row r="872" spans="23:30" x14ac:dyDescent="0.2">
      <c r="W872" s="144"/>
      <c r="X872" s="113" t="str">
        <f t="shared" si="35"/>
        <v>1w</v>
      </c>
      <c r="Y872" s="106">
        <f>_xll.qlCalendarAdvance(Calendar,Y871,X872,"f",FALSE)</f>
        <v>45301</v>
      </c>
      <c r="Z872" s="108">
        <f>_xll.qlCalendarAdvance(Calendar,Y872,0&amp;"D")</f>
        <v>45301</v>
      </c>
      <c r="AA872" s="109">
        <v>1.3681064044925861E-2</v>
      </c>
      <c r="AB872" s="143">
        <f t="shared" si="36"/>
        <v>0</v>
      </c>
      <c r="AC872" s="236" t="e">
        <v>#N/A</v>
      </c>
      <c r="AD872" s="236">
        <v>1.3681064044925861E-2</v>
      </c>
    </row>
    <row r="873" spans="23:30" x14ac:dyDescent="0.2">
      <c r="W873" s="144"/>
      <c r="X873" s="113" t="str">
        <f t="shared" si="35"/>
        <v>1w</v>
      </c>
      <c r="Y873" s="106">
        <f>_xll.qlCalendarAdvance(Calendar,Y872,X873,"f",FALSE)</f>
        <v>45308</v>
      </c>
      <c r="Z873" s="108">
        <f>_xll.qlCalendarAdvance(Calendar,Y873,0&amp;"D")</f>
        <v>45308</v>
      </c>
      <c r="AA873" s="109">
        <v>1.3699775263740221E-2</v>
      </c>
      <c r="AB873" s="143">
        <f t="shared" si="36"/>
        <v>0</v>
      </c>
      <c r="AC873" s="236" t="e">
        <v>#N/A</v>
      </c>
      <c r="AD873" s="236">
        <v>1.3699775263740221E-2</v>
      </c>
    </row>
    <row r="874" spans="23:30" x14ac:dyDescent="0.2">
      <c r="W874" s="144"/>
      <c r="X874" s="113" t="str">
        <f t="shared" si="35"/>
        <v>1w</v>
      </c>
      <c r="Y874" s="106">
        <f>_xll.qlCalendarAdvance(Calendar,Y873,X874,"f",FALSE)</f>
        <v>45315</v>
      </c>
      <c r="Z874" s="108">
        <f>_xll.qlCalendarAdvance(Calendar,Y874,0&amp;"D")</f>
        <v>45315</v>
      </c>
      <c r="AA874" s="109">
        <v>1.3718435322038758E-2</v>
      </c>
      <c r="AB874" s="143">
        <f t="shared" si="36"/>
        <v>-7.9936057773011271E-14</v>
      </c>
      <c r="AC874" s="236" t="e">
        <v>#N/A</v>
      </c>
      <c r="AD874" s="236">
        <v>1.3718435322118694E-2</v>
      </c>
    </row>
    <row r="875" spans="23:30" x14ac:dyDescent="0.2">
      <c r="W875" s="144"/>
      <c r="X875" s="113" t="str">
        <f t="shared" si="35"/>
        <v>1w</v>
      </c>
      <c r="Y875" s="106">
        <f>_xll.qlCalendarAdvance(Calendar,Y874,X875,"f",FALSE)</f>
        <v>45322</v>
      </c>
      <c r="Z875" s="108">
        <f>_xll.qlCalendarAdvance(Calendar,Y875,0&amp;"D")</f>
        <v>45322</v>
      </c>
      <c r="AA875" s="109">
        <v>1.3737044219981343E-2</v>
      </c>
      <c r="AB875" s="143">
        <f t="shared" si="36"/>
        <v>-7.9936057773011271E-14</v>
      </c>
      <c r="AC875" s="236" t="e">
        <v>#N/A</v>
      </c>
      <c r="AD875" s="236">
        <v>1.3737044220061279E-2</v>
      </c>
    </row>
    <row r="876" spans="23:30" x14ac:dyDescent="0.2">
      <c r="W876" s="144"/>
      <c r="X876" s="113" t="str">
        <f t="shared" si="35"/>
        <v>1w</v>
      </c>
      <c r="Y876" s="106">
        <f>_xll.qlCalendarAdvance(Calendar,Y875,X876,"f",FALSE)</f>
        <v>45329</v>
      </c>
      <c r="Z876" s="108">
        <f>_xll.qlCalendarAdvance(Calendar,Y876,0&amp;"D")</f>
        <v>45329</v>
      </c>
      <c r="AA876" s="109">
        <v>1.3755601957488039E-2</v>
      </c>
      <c r="AB876" s="143">
        <f t="shared" si="36"/>
        <v>0</v>
      </c>
      <c r="AC876" s="236" t="e">
        <v>#N/A</v>
      </c>
      <c r="AD876" s="236">
        <v>1.3755601957488039E-2</v>
      </c>
    </row>
    <row r="877" spans="23:30" x14ac:dyDescent="0.2">
      <c r="W877" s="144"/>
      <c r="X877" s="113" t="str">
        <f t="shared" si="35"/>
        <v>1w</v>
      </c>
      <c r="Y877" s="106">
        <f>_xll.qlCalendarAdvance(Calendar,Y876,X877,"f",FALSE)</f>
        <v>45336</v>
      </c>
      <c r="Z877" s="108">
        <f>_xll.qlCalendarAdvance(Calendar,Y877,0&amp;"D")</f>
        <v>45336</v>
      </c>
      <c r="AA877" s="109">
        <v>1.3774108534478913E-2</v>
      </c>
      <c r="AB877" s="143">
        <f t="shared" si="36"/>
        <v>7.9936057773011271E-14</v>
      </c>
      <c r="AC877" s="236" t="e">
        <v>#N/A</v>
      </c>
      <c r="AD877" s="236">
        <v>1.3774108534398977E-2</v>
      </c>
    </row>
    <row r="878" spans="23:30" x14ac:dyDescent="0.2">
      <c r="W878" s="144"/>
      <c r="X878" s="113" t="str">
        <f t="shared" si="35"/>
        <v>1w</v>
      </c>
      <c r="Y878" s="106">
        <f>_xll.qlCalendarAdvance(Calendar,Y877,X878,"f",FALSE)</f>
        <v>45343</v>
      </c>
      <c r="Z878" s="108">
        <f>_xll.qlCalendarAdvance(Calendar,Y878,0&amp;"D")</f>
        <v>45343</v>
      </c>
      <c r="AA878" s="109">
        <v>1.3792563951033898E-2</v>
      </c>
      <c r="AB878" s="143">
        <f t="shared" si="36"/>
        <v>0</v>
      </c>
      <c r="AC878" s="236" t="e">
        <v>#N/A</v>
      </c>
      <c r="AD878" s="236">
        <v>1.3792563951033898E-2</v>
      </c>
    </row>
    <row r="879" spans="23:30" x14ac:dyDescent="0.2">
      <c r="W879" s="144"/>
      <c r="X879" s="113" t="str">
        <f t="shared" si="35"/>
        <v>1w</v>
      </c>
      <c r="Y879" s="106">
        <f>_xll.qlCalendarAdvance(Calendar,Y878,X879,"f",FALSE)</f>
        <v>45350</v>
      </c>
      <c r="Z879" s="108">
        <f>_xll.qlCalendarAdvance(Calendar,Y879,0&amp;"D")</f>
        <v>45350</v>
      </c>
      <c r="AA879" s="109">
        <v>1.381096820707306E-2</v>
      </c>
      <c r="AB879" s="143">
        <f t="shared" si="36"/>
        <v>0</v>
      </c>
      <c r="AC879" s="236" t="e">
        <v>#N/A</v>
      </c>
      <c r="AD879" s="236">
        <v>1.381096820707306E-2</v>
      </c>
    </row>
    <row r="880" spans="23:30" x14ac:dyDescent="0.2">
      <c r="W880" s="144"/>
      <c r="X880" s="113" t="str">
        <f t="shared" si="35"/>
        <v>1w</v>
      </c>
      <c r="Y880" s="106">
        <f>_xll.qlCalendarAdvance(Calendar,Y879,X880,"f",FALSE)</f>
        <v>45357</v>
      </c>
      <c r="Z880" s="108">
        <f>_xll.qlCalendarAdvance(Calendar,Y880,0&amp;"D")</f>
        <v>45357</v>
      </c>
      <c r="AA880" s="109">
        <v>1.3829321302596398E-2</v>
      </c>
      <c r="AB880" s="143">
        <f t="shared" si="36"/>
        <v>0</v>
      </c>
      <c r="AC880" s="236" t="e">
        <v>#N/A</v>
      </c>
      <c r="AD880" s="236">
        <v>1.3829321302596398E-2</v>
      </c>
    </row>
    <row r="881" spans="23:30" x14ac:dyDescent="0.2">
      <c r="W881" s="144"/>
      <c r="X881" s="113" t="str">
        <f t="shared" si="35"/>
        <v>1w</v>
      </c>
      <c r="Y881" s="106">
        <f>_xll.qlCalendarAdvance(Calendar,Y880,X881,"f",FALSE)</f>
        <v>45364</v>
      </c>
      <c r="Z881" s="108">
        <f>_xll.qlCalendarAdvance(Calendar,Y881,0&amp;"D")</f>
        <v>45364</v>
      </c>
      <c r="AA881" s="109">
        <v>1.3847623237683848E-2</v>
      </c>
      <c r="AB881" s="143">
        <f t="shared" si="36"/>
        <v>0</v>
      </c>
      <c r="AC881" s="236" t="e">
        <v>#N/A</v>
      </c>
      <c r="AD881" s="236">
        <v>1.3847623237683848E-2</v>
      </c>
    </row>
    <row r="882" spans="23:30" x14ac:dyDescent="0.2">
      <c r="W882" s="144"/>
      <c r="X882" s="113" t="str">
        <f t="shared" si="35"/>
        <v>1w</v>
      </c>
      <c r="Y882" s="106">
        <f>_xll.qlCalendarAdvance(Calendar,Y881,X882,"f",FALSE)</f>
        <v>45371</v>
      </c>
      <c r="Z882" s="108">
        <f>_xll.qlCalendarAdvance(Calendar,Y882,0&amp;"D")</f>
        <v>45371</v>
      </c>
      <c r="AA882" s="109">
        <v>1.3865874012335411E-2</v>
      </c>
      <c r="AB882" s="143">
        <f t="shared" si="36"/>
        <v>7.9936057773011271E-14</v>
      </c>
      <c r="AC882" s="236" t="e">
        <v>#N/A</v>
      </c>
      <c r="AD882" s="236">
        <v>1.3865874012255475E-2</v>
      </c>
    </row>
    <row r="883" spans="23:30" x14ac:dyDescent="0.2">
      <c r="W883" s="144"/>
      <c r="X883" s="113" t="str">
        <f t="shared" si="35"/>
        <v>1w</v>
      </c>
      <c r="Y883" s="106">
        <f>_xll.qlCalendarAdvance(Calendar,Y882,X883,"f",FALSE)</f>
        <v>45378</v>
      </c>
      <c r="Z883" s="108">
        <f>_xll.qlCalendarAdvance(Calendar,Y883,0&amp;"D")</f>
        <v>45378</v>
      </c>
      <c r="AA883" s="109">
        <v>1.3884073626231341E-2</v>
      </c>
      <c r="AB883" s="143">
        <f t="shared" si="36"/>
        <v>-7.9936057773011271E-14</v>
      </c>
      <c r="AC883" s="236" t="e">
        <v>#N/A</v>
      </c>
      <c r="AD883" s="236">
        <v>1.3884073626311277E-2</v>
      </c>
    </row>
    <row r="884" spans="23:30" x14ac:dyDescent="0.2">
      <c r="W884" s="144"/>
      <c r="X884" s="113" t="str">
        <f t="shared" si="35"/>
        <v>1w</v>
      </c>
      <c r="Y884" s="106">
        <f>_xll.qlCalendarAdvance(Calendar,Y883,X884,"f",FALSE)</f>
        <v>45385</v>
      </c>
      <c r="Z884" s="108">
        <f>_xll.qlCalendarAdvance(Calendar,Y884,0&amp;"D")</f>
        <v>45385</v>
      </c>
      <c r="AA884" s="109">
        <v>1.3902222079851256E-2</v>
      </c>
      <c r="AB884" s="143">
        <f t="shared" si="36"/>
        <v>0</v>
      </c>
      <c r="AC884" s="236" t="e">
        <v>#N/A</v>
      </c>
      <c r="AD884" s="236">
        <v>1.3902222079851256E-2</v>
      </c>
    </row>
    <row r="885" spans="23:30" x14ac:dyDescent="0.2">
      <c r="W885" s="144"/>
      <c r="X885" s="113" t="str">
        <f t="shared" si="35"/>
        <v>1w</v>
      </c>
      <c r="Y885" s="106">
        <f>_xll.qlCalendarAdvance(Calendar,Y884,X885,"f",FALSE)</f>
        <v>45392</v>
      </c>
      <c r="Z885" s="108">
        <f>_xll.qlCalendarAdvance(Calendar,Y885,0&amp;"D")</f>
        <v>45392</v>
      </c>
      <c r="AA885" s="109">
        <v>1.3920319372875412E-2</v>
      </c>
      <c r="AB885" s="143">
        <f t="shared" si="36"/>
        <v>0</v>
      </c>
      <c r="AC885" s="236" t="e">
        <v>#N/A</v>
      </c>
      <c r="AD885" s="236">
        <v>1.3920319372875412E-2</v>
      </c>
    </row>
    <row r="886" spans="23:30" x14ac:dyDescent="0.2">
      <c r="W886" s="144"/>
      <c r="X886" s="113" t="str">
        <f t="shared" si="35"/>
        <v>1w</v>
      </c>
      <c r="Y886" s="106">
        <f>_xll.qlCalendarAdvance(Calendar,Y885,X886,"f",FALSE)</f>
        <v>45399</v>
      </c>
      <c r="Z886" s="108">
        <f>_xll.qlCalendarAdvance(Calendar,Y886,0&amp;"D")</f>
        <v>45399</v>
      </c>
      <c r="AA886" s="109">
        <v>1.3938365505383743E-2</v>
      </c>
      <c r="AB886" s="143">
        <f t="shared" si="36"/>
        <v>0</v>
      </c>
      <c r="AC886" s="236" t="e">
        <v>#N/A</v>
      </c>
      <c r="AD886" s="236">
        <v>1.3938365505383743E-2</v>
      </c>
    </row>
    <row r="887" spans="23:30" x14ac:dyDescent="0.2">
      <c r="W887" s="144"/>
      <c r="X887" s="113" t="str">
        <f t="shared" si="35"/>
        <v>1w</v>
      </c>
      <c r="Y887" s="106">
        <f>_xll.qlCalendarAdvance(Calendar,Y886,X887,"f",FALSE)</f>
        <v>45406</v>
      </c>
      <c r="Z887" s="108">
        <f>_xll.qlCalendarAdvance(Calendar,Y887,0&amp;"D")</f>
        <v>45406</v>
      </c>
      <c r="AA887" s="109">
        <v>1.3956360477376251E-2</v>
      </c>
      <c r="AB887" s="143">
        <f t="shared" si="36"/>
        <v>7.9936057773011271E-14</v>
      </c>
      <c r="AC887" s="236" t="e">
        <v>#N/A</v>
      </c>
      <c r="AD887" s="236">
        <v>1.3956360477296315E-2</v>
      </c>
    </row>
    <row r="888" spans="23:30" x14ac:dyDescent="0.2">
      <c r="W888" s="144"/>
      <c r="X888" s="113" t="str">
        <f t="shared" si="35"/>
        <v>1w</v>
      </c>
      <c r="Y888" s="106">
        <f>_xll.qlCalendarAdvance(Calendar,Y887,X888,"f",FALSE)</f>
        <v>45414</v>
      </c>
      <c r="Z888" s="108">
        <f>_xll.qlCalendarAdvance(Calendar,Y888,0&amp;"D")</f>
        <v>45414</v>
      </c>
      <c r="AA888" s="109">
        <v>1.3976863513924798E-2</v>
      </c>
      <c r="AB888" s="143">
        <f t="shared" si="36"/>
        <v>-7.9936057773011271E-14</v>
      </c>
      <c r="AC888" s="236" t="e">
        <v>#N/A</v>
      </c>
      <c r="AD888" s="236">
        <v>1.3976863514004734E-2</v>
      </c>
    </row>
    <row r="889" spans="23:30" x14ac:dyDescent="0.2">
      <c r="W889" s="144"/>
      <c r="X889" s="113" t="str">
        <f t="shared" si="35"/>
        <v>1w</v>
      </c>
      <c r="Y889" s="106">
        <f>_xll.qlCalendarAdvance(Calendar,Y888,X889,"f",FALSE)</f>
        <v>45421</v>
      </c>
      <c r="Z889" s="108">
        <f>_xll.qlCalendarAdvance(Calendar,Y889,0&amp;"D")</f>
        <v>45421</v>
      </c>
      <c r="AA889" s="109">
        <v>1.3994748856172023E-2</v>
      </c>
      <c r="AB889" s="143">
        <f t="shared" si="36"/>
        <v>0</v>
      </c>
      <c r="AC889" s="236" t="e">
        <v>#N/A</v>
      </c>
      <c r="AD889" s="236">
        <v>1.3994748856172023E-2</v>
      </c>
    </row>
    <row r="890" spans="23:30" x14ac:dyDescent="0.2">
      <c r="W890" s="144"/>
      <c r="X890" s="113" t="str">
        <f t="shared" si="35"/>
        <v>1w</v>
      </c>
      <c r="Y890" s="106">
        <f>_xll.qlCalendarAdvance(Calendar,Y889,X890,"f",FALSE)</f>
        <v>45428</v>
      </c>
      <c r="Z890" s="108">
        <f>_xll.qlCalendarAdvance(Calendar,Y890,0&amp;"D")</f>
        <v>45428</v>
      </c>
      <c r="AA890" s="109">
        <v>1.4012583037743553E-2</v>
      </c>
      <c r="AB890" s="143">
        <f t="shared" si="36"/>
        <v>0</v>
      </c>
      <c r="AC890" s="236" t="e">
        <v>#N/A</v>
      </c>
      <c r="AD890" s="236">
        <v>1.4012583037743553E-2</v>
      </c>
    </row>
    <row r="891" spans="23:30" x14ac:dyDescent="0.2">
      <c r="W891" s="144"/>
      <c r="X891" s="113" t="str">
        <f t="shared" si="35"/>
        <v>1w</v>
      </c>
      <c r="Y891" s="106">
        <f>_xll.qlCalendarAdvance(Calendar,Y890,X891,"f",FALSE)</f>
        <v>45435</v>
      </c>
      <c r="Z891" s="108">
        <f>_xll.qlCalendarAdvance(Calendar,Y891,0&amp;"D")</f>
        <v>45435</v>
      </c>
      <c r="AA891" s="109">
        <v>1.4030366058719324E-2</v>
      </c>
      <c r="AB891" s="143">
        <f t="shared" si="36"/>
        <v>-7.9936057773011271E-14</v>
      </c>
      <c r="AC891" s="236" t="e">
        <v>#N/A</v>
      </c>
      <c r="AD891" s="236">
        <v>1.403036605879926E-2</v>
      </c>
    </row>
    <row r="892" spans="23:30" x14ac:dyDescent="0.2">
      <c r="W892" s="144"/>
      <c r="X892" s="113" t="str">
        <f t="shared" si="35"/>
        <v>1w</v>
      </c>
      <c r="Y892" s="106">
        <f>_xll.qlCalendarAdvance(Calendar,Y891,X892,"f",FALSE)</f>
        <v>45442</v>
      </c>
      <c r="Z892" s="108">
        <f>_xll.qlCalendarAdvance(Calendar,Y892,0&amp;"D")</f>
        <v>45442</v>
      </c>
      <c r="AA892" s="109">
        <v>1.4048097919259206E-2</v>
      </c>
      <c r="AB892" s="143">
        <f t="shared" si="36"/>
        <v>0</v>
      </c>
      <c r="AC892" s="236" t="e">
        <v>#N/A</v>
      </c>
      <c r="AD892" s="236">
        <v>1.4048097919259206E-2</v>
      </c>
    </row>
    <row r="893" spans="23:30" x14ac:dyDescent="0.2">
      <c r="W893" s="144"/>
      <c r="X893" s="113" t="str">
        <f t="shared" si="35"/>
        <v>1w</v>
      </c>
      <c r="Y893" s="106">
        <f>_xll.qlCalendarAdvance(Calendar,Y892,X893,"f",FALSE)</f>
        <v>45449</v>
      </c>
      <c r="Z893" s="108">
        <f>_xll.qlCalendarAdvance(Calendar,Y893,0&amp;"D")</f>
        <v>45449</v>
      </c>
      <c r="AA893" s="109">
        <v>1.4065806767566968E-2</v>
      </c>
      <c r="AB893" s="143">
        <f t="shared" si="36"/>
        <v>0</v>
      </c>
      <c r="AC893" s="236" t="e">
        <v>#N/A</v>
      </c>
      <c r="AD893" s="236">
        <v>1.4065806767566968E-2</v>
      </c>
    </row>
    <row r="894" spans="23:30" x14ac:dyDescent="0.2">
      <c r="W894" s="144"/>
      <c r="X894" s="113" t="str">
        <f t="shared" si="35"/>
        <v>1w</v>
      </c>
      <c r="Y894" s="106">
        <f>_xll.qlCalendarAdvance(Calendar,Y893,X894,"f",FALSE)</f>
        <v>45456</v>
      </c>
      <c r="Z894" s="108">
        <f>_xll.qlCalendarAdvance(Calendar,Y894,0&amp;"D")</f>
        <v>45456</v>
      </c>
      <c r="AA894" s="109">
        <v>1.4083659972801144E-2</v>
      </c>
      <c r="AB894" s="143">
        <f t="shared" si="36"/>
        <v>0</v>
      </c>
      <c r="AC894" s="236" t="e">
        <v>#N/A</v>
      </c>
      <c r="AD894" s="236">
        <v>1.4083659972801144E-2</v>
      </c>
    </row>
    <row r="895" spans="23:30" x14ac:dyDescent="0.2">
      <c r="W895" s="144"/>
      <c r="X895" s="113" t="str">
        <f t="shared" si="35"/>
        <v>1w</v>
      </c>
      <c r="Y895" s="106">
        <f>_xll.qlCalendarAdvance(Calendar,Y894,X895,"f",FALSE)</f>
        <v>45463</v>
      </c>
      <c r="Z895" s="108">
        <f>_xll.qlCalendarAdvance(Calendar,Y895,0&amp;"D")</f>
        <v>45463</v>
      </c>
      <c r="AA895" s="109">
        <v>1.4101685683325371E-2</v>
      </c>
      <c r="AB895" s="143">
        <f t="shared" si="36"/>
        <v>0</v>
      </c>
      <c r="AC895" s="236" t="e">
        <v>#N/A</v>
      </c>
      <c r="AD895" s="236">
        <v>1.4101685683325371E-2</v>
      </c>
    </row>
    <row r="896" spans="23:30" x14ac:dyDescent="0.2">
      <c r="W896" s="144"/>
      <c r="X896" s="113" t="str">
        <f t="shared" si="35"/>
        <v>1w</v>
      </c>
      <c r="Y896" s="106">
        <f>_xll.qlCalendarAdvance(Calendar,Y895,X896,"f",FALSE)</f>
        <v>45470</v>
      </c>
      <c r="Z896" s="108">
        <f>_xll.qlCalendarAdvance(Calendar,Y896,0&amp;"D")</f>
        <v>45470</v>
      </c>
      <c r="AA896" s="109">
        <v>1.4119883899219587E-2</v>
      </c>
      <c r="AB896" s="143">
        <f t="shared" si="36"/>
        <v>0</v>
      </c>
      <c r="AC896" s="236" t="e">
        <v>#N/A</v>
      </c>
      <c r="AD896" s="236">
        <v>1.4119883899219587E-2</v>
      </c>
    </row>
    <row r="897" spans="23:30" x14ac:dyDescent="0.2">
      <c r="W897" s="144"/>
      <c r="X897" s="113" t="str">
        <f t="shared" si="35"/>
        <v>1w</v>
      </c>
      <c r="Y897" s="106">
        <f>_xll.qlCalendarAdvance(Calendar,Y896,X897,"f",FALSE)</f>
        <v>45477</v>
      </c>
      <c r="Z897" s="108">
        <f>_xll.qlCalendarAdvance(Calendar,Y897,0&amp;"D")</f>
        <v>45477</v>
      </c>
      <c r="AA897" s="109">
        <v>1.4138254620483792E-2</v>
      </c>
      <c r="AB897" s="143">
        <f t="shared" si="36"/>
        <v>0</v>
      </c>
      <c r="AC897" s="236" t="e">
        <v>#N/A</v>
      </c>
      <c r="AD897" s="236">
        <v>1.4138254620483792E-2</v>
      </c>
    </row>
    <row r="898" spans="23:30" x14ac:dyDescent="0.2">
      <c r="W898" s="144"/>
      <c r="X898" s="113" t="str">
        <f t="shared" si="35"/>
        <v>1w</v>
      </c>
      <c r="Y898" s="106">
        <f>_xll.qlCalendarAdvance(Calendar,Y897,X898,"f",FALSE)</f>
        <v>45484</v>
      </c>
      <c r="Z898" s="108">
        <f>_xll.qlCalendarAdvance(Calendar,Y898,0&amp;"D")</f>
        <v>45484</v>
      </c>
      <c r="AA898" s="109">
        <v>1.4156797847197922E-2</v>
      </c>
      <c r="AB898" s="143">
        <f t="shared" si="36"/>
        <v>7.9936057773011271E-14</v>
      </c>
      <c r="AC898" s="236" t="e">
        <v>#N/A</v>
      </c>
      <c r="AD898" s="236">
        <v>1.4156797847117986E-2</v>
      </c>
    </row>
    <row r="899" spans="23:30" x14ac:dyDescent="0.2">
      <c r="W899" s="144"/>
      <c r="X899" s="113" t="str">
        <f t="shared" si="35"/>
        <v>1w</v>
      </c>
      <c r="Y899" s="106">
        <f>_xll.qlCalendarAdvance(Calendar,Y898,X899,"f",FALSE)</f>
        <v>45491</v>
      </c>
      <c r="Z899" s="108">
        <f>_xll.qlCalendarAdvance(Calendar,Y899,0&amp;"D")</f>
        <v>45491</v>
      </c>
      <c r="AA899" s="109">
        <v>1.4175513579202104E-2</v>
      </c>
      <c r="AB899" s="143">
        <f t="shared" si="36"/>
        <v>0</v>
      </c>
      <c r="AC899" s="236" t="e">
        <v>#N/A</v>
      </c>
      <c r="AD899" s="236">
        <v>1.4175513579202104E-2</v>
      </c>
    </row>
    <row r="900" spans="23:30" x14ac:dyDescent="0.2">
      <c r="W900" s="144"/>
      <c r="X900" s="113" t="str">
        <f t="shared" si="35"/>
        <v>1w</v>
      </c>
      <c r="Y900" s="106">
        <f>_xll.qlCalendarAdvance(Calendar,Y899,X900,"f",FALSE)</f>
        <v>45498</v>
      </c>
      <c r="Z900" s="108">
        <f>_xll.qlCalendarAdvance(Calendar,Y900,0&amp;"D")</f>
        <v>45498</v>
      </c>
      <c r="AA900" s="109">
        <v>1.4194401816816082E-2</v>
      </c>
      <c r="AB900" s="143">
        <f t="shared" si="36"/>
        <v>0</v>
      </c>
      <c r="AC900" s="236" t="e">
        <v>#N/A</v>
      </c>
      <c r="AD900" s="236">
        <v>1.4194401816816082E-2</v>
      </c>
    </row>
    <row r="901" spans="23:30" x14ac:dyDescent="0.2">
      <c r="W901" s="144"/>
      <c r="X901" s="113" t="str">
        <f t="shared" si="35"/>
        <v>1w</v>
      </c>
      <c r="Y901" s="106">
        <f>_xll.qlCalendarAdvance(Calendar,Y900,X901,"f",FALSE)</f>
        <v>45505</v>
      </c>
      <c r="Z901" s="108">
        <f>_xll.qlCalendarAdvance(Calendar,Y901,0&amp;"D")</f>
        <v>45505</v>
      </c>
      <c r="AA901" s="109">
        <v>1.421346255980005E-2</v>
      </c>
      <c r="AB901" s="143">
        <f t="shared" si="36"/>
        <v>0</v>
      </c>
      <c r="AC901" s="236" t="e">
        <v>#N/A</v>
      </c>
      <c r="AD901" s="236">
        <v>1.421346255980005E-2</v>
      </c>
    </row>
    <row r="902" spans="23:30" x14ac:dyDescent="0.2">
      <c r="W902" s="144"/>
      <c r="X902" s="113" t="str">
        <f t="shared" si="35"/>
        <v>1w</v>
      </c>
      <c r="Y902" s="106">
        <f>_xll.qlCalendarAdvance(Calendar,Y901,X902,"f",FALSE)</f>
        <v>45512</v>
      </c>
      <c r="Z902" s="108">
        <f>_xll.qlCalendarAdvance(Calendar,Y902,0&amp;"D")</f>
        <v>45512</v>
      </c>
      <c r="AA902" s="109">
        <v>1.423269580847375E-2</v>
      </c>
      <c r="AB902" s="143">
        <f t="shared" si="36"/>
        <v>7.9936057773011271E-14</v>
      </c>
      <c r="AC902" s="236" t="e">
        <v>#N/A</v>
      </c>
      <c r="AD902" s="236">
        <v>1.4232695808393814E-2</v>
      </c>
    </row>
    <row r="903" spans="23:30" x14ac:dyDescent="0.2">
      <c r="W903" s="144"/>
      <c r="X903" s="113" t="str">
        <f t="shared" si="35"/>
        <v>1w</v>
      </c>
      <c r="Y903" s="106">
        <f>_xll.qlCalendarAdvance(Calendar,Y902,X903,"f",FALSE)</f>
        <v>45519</v>
      </c>
      <c r="Z903" s="108">
        <f>_xll.qlCalendarAdvance(Calendar,Y903,0&amp;"D")</f>
        <v>45519</v>
      </c>
      <c r="AA903" s="109">
        <v>1.4252101562597375E-2</v>
      </c>
      <c r="AB903" s="143">
        <f t="shared" si="36"/>
        <v>0</v>
      </c>
      <c r="AC903" s="236" t="e">
        <v>#N/A</v>
      </c>
      <c r="AD903" s="236">
        <v>1.4252101562597375E-2</v>
      </c>
    </row>
    <row r="904" spans="23:30" x14ac:dyDescent="0.2">
      <c r="W904" s="144"/>
      <c r="X904" s="113" t="str">
        <f t="shared" si="35"/>
        <v>1w</v>
      </c>
      <c r="Y904" s="106">
        <f>_xll.qlCalendarAdvance(Calendar,Y903,X904,"f",FALSE)</f>
        <v>45526</v>
      </c>
      <c r="Z904" s="108">
        <f>_xll.qlCalendarAdvance(Calendar,Y904,0&amp;"D")</f>
        <v>45526</v>
      </c>
      <c r="AA904" s="109">
        <v>1.4271679822170924E-2</v>
      </c>
      <c r="AB904" s="143">
        <f t="shared" si="36"/>
        <v>-7.9936057773011271E-14</v>
      </c>
      <c r="AC904" s="236" t="e">
        <v>#N/A</v>
      </c>
      <c r="AD904" s="236">
        <v>1.427167982225086E-2</v>
      </c>
    </row>
    <row r="905" spans="23:30" x14ac:dyDescent="0.2">
      <c r="W905" s="144"/>
      <c r="X905" s="113" t="str">
        <f t="shared" si="35"/>
        <v>1w</v>
      </c>
      <c r="Y905" s="106">
        <f>_xll.qlCalendarAdvance(Calendar,Y904,X905,"f",FALSE)</f>
        <v>45533</v>
      </c>
      <c r="Z905" s="108">
        <f>_xll.qlCalendarAdvance(Calendar,Y905,0&amp;"D")</f>
        <v>45533</v>
      </c>
      <c r="AA905" s="109">
        <v>1.4291430587594078E-2</v>
      </c>
      <c r="AB905" s="143">
        <f t="shared" si="36"/>
        <v>0</v>
      </c>
      <c r="AC905" s="236" t="e">
        <v>#N/A</v>
      </c>
      <c r="AD905" s="236">
        <v>1.4291430587594078E-2</v>
      </c>
    </row>
    <row r="906" spans="23:30" x14ac:dyDescent="0.2">
      <c r="W906" s="144"/>
      <c r="X906" s="113" t="str">
        <f t="shared" si="35"/>
        <v>1w</v>
      </c>
      <c r="Y906" s="106">
        <f>_xll.qlCalendarAdvance(Calendar,Y905,X906,"f",FALSE)</f>
        <v>45540</v>
      </c>
      <c r="Z906" s="108">
        <f>_xll.qlCalendarAdvance(Calendar,Y906,0&amp;"D")</f>
        <v>45540</v>
      </c>
      <c r="AA906" s="109">
        <v>1.4311353858467157E-2</v>
      </c>
      <c r="AB906" s="143">
        <f t="shared" si="36"/>
        <v>-7.9936057773011271E-14</v>
      </c>
      <c r="AC906" s="236" t="e">
        <v>#N/A</v>
      </c>
      <c r="AD906" s="236">
        <v>1.4311353858547093E-2</v>
      </c>
    </row>
    <row r="907" spans="23:30" x14ac:dyDescent="0.2">
      <c r="W907" s="144"/>
      <c r="X907" s="113" t="str">
        <f t="shared" si="35"/>
        <v>1w</v>
      </c>
      <c r="Y907" s="106">
        <f>_xll.qlCalendarAdvance(Calendar,Y906,X907,"f",FALSE)</f>
        <v>45547</v>
      </c>
      <c r="Z907" s="108">
        <f>_xll.qlCalendarAdvance(Calendar,Y907,0&amp;"D")</f>
        <v>45547</v>
      </c>
      <c r="AA907" s="109">
        <v>1.4331449634950033E-2</v>
      </c>
      <c r="AB907" s="143">
        <f t="shared" si="36"/>
        <v>-7.9936057773011271E-14</v>
      </c>
      <c r="AC907" s="236" t="e">
        <v>#N/A</v>
      </c>
      <c r="AD907" s="236">
        <v>1.4331449635029969E-2</v>
      </c>
    </row>
    <row r="908" spans="23:30" x14ac:dyDescent="0.2">
      <c r="W908" s="144"/>
      <c r="X908" s="113" t="str">
        <f t="shared" si="35"/>
        <v>1w</v>
      </c>
      <c r="Y908" s="106">
        <f>_xll.qlCalendarAdvance(Calendar,Y907,X908,"f",FALSE)</f>
        <v>45554</v>
      </c>
      <c r="Z908" s="108">
        <f>_xll.qlCalendarAdvance(Calendar,Y908,0&amp;"D")</f>
        <v>45554</v>
      </c>
      <c r="AA908" s="109">
        <v>1.4351717917282514E-2</v>
      </c>
      <c r="AB908" s="143">
        <f t="shared" si="36"/>
        <v>0</v>
      </c>
      <c r="AC908" s="236" t="e">
        <v>#N/A</v>
      </c>
      <c r="AD908" s="236">
        <v>1.4351717917282514E-2</v>
      </c>
    </row>
    <row r="909" spans="23:30" x14ac:dyDescent="0.2">
      <c r="W909" s="144"/>
      <c r="X909" s="113" t="str">
        <f t="shared" ref="X909:X972" si="37">X908</f>
        <v>1w</v>
      </c>
      <c r="Y909" s="106">
        <f>_xll.qlCalendarAdvance(Calendar,Y908,X909,"f",FALSE)</f>
        <v>45561</v>
      </c>
      <c r="Z909" s="108">
        <f>_xll.qlCalendarAdvance(Calendar,Y909,0&amp;"D")</f>
        <v>45561</v>
      </c>
      <c r="AA909" s="109">
        <v>1.4372158705304727E-2</v>
      </c>
      <c r="AB909" s="143">
        <f t="shared" si="36"/>
        <v>0</v>
      </c>
      <c r="AC909" s="236" t="e">
        <v>#N/A</v>
      </c>
      <c r="AD909" s="236">
        <v>1.4372158705304727E-2</v>
      </c>
    </row>
    <row r="910" spans="23:30" x14ac:dyDescent="0.2">
      <c r="W910" s="144"/>
      <c r="X910" s="113" t="str">
        <f t="shared" si="37"/>
        <v>1w</v>
      </c>
      <c r="Y910" s="106">
        <f>_xll.qlCalendarAdvance(Calendar,Y909,X910,"f",FALSE)</f>
        <v>45568</v>
      </c>
      <c r="Z910" s="108">
        <f>_xll.qlCalendarAdvance(Calendar,Y910,0&amp;"D")</f>
        <v>45568</v>
      </c>
      <c r="AA910" s="109">
        <v>1.439277199909661E-2</v>
      </c>
      <c r="AB910" s="143">
        <f t="shared" si="36"/>
        <v>0</v>
      </c>
      <c r="AC910" s="236" t="e">
        <v>#N/A</v>
      </c>
      <c r="AD910" s="236">
        <v>1.439277199909661E-2</v>
      </c>
    </row>
    <row r="911" spans="23:30" x14ac:dyDescent="0.2">
      <c r="W911" s="144"/>
      <c r="X911" s="113" t="str">
        <f t="shared" si="37"/>
        <v>1w</v>
      </c>
      <c r="Y911" s="106">
        <f>_xll.qlCalendarAdvance(Calendar,Y910,X911,"f",FALSE)</f>
        <v>45575</v>
      </c>
      <c r="Z911" s="108">
        <f>_xll.qlCalendarAdvance(Calendar,Y911,0&amp;"D")</f>
        <v>45575</v>
      </c>
      <c r="AA911" s="109">
        <v>1.4413557798578225E-2</v>
      </c>
      <c r="AB911" s="143">
        <f t="shared" si="36"/>
        <v>0</v>
      </c>
      <c r="AC911" s="236" t="e">
        <v>#N/A</v>
      </c>
      <c r="AD911" s="236">
        <v>1.4413557798578225E-2</v>
      </c>
    </row>
    <row r="912" spans="23:30" x14ac:dyDescent="0.2">
      <c r="W912" s="144"/>
      <c r="X912" s="113" t="str">
        <f t="shared" si="37"/>
        <v>1w</v>
      </c>
      <c r="Y912" s="106">
        <f>_xll.qlCalendarAdvance(Calendar,Y911,X912,"f",FALSE)</f>
        <v>45582</v>
      </c>
      <c r="Z912" s="108">
        <f>_xll.qlCalendarAdvance(Calendar,Y912,0&amp;"D")</f>
        <v>45582</v>
      </c>
      <c r="AA912" s="109">
        <v>1.4434516103909445E-2</v>
      </c>
      <c r="AB912" s="143">
        <f t="shared" si="36"/>
        <v>7.9936057773011271E-14</v>
      </c>
      <c r="AC912" s="236" t="e">
        <v>#N/A</v>
      </c>
      <c r="AD912" s="236">
        <v>1.4434516103829509E-2</v>
      </c>
    </row>
    <row r="913" spans="23:30" x14ac:dyDescent="0.2">
      <c r="W913" s="144"/>
      <c r="X913" s="113" t="str">
        <f t="shared" si="37"/>
        <v>1w</v>
      </c>
      <c r="Y913" s="106">
        <f>_xll.qlCalendarAdvance(Calendar,Y912,X913,"f",FALSE)</f>
        <v>45589</v>
      </c>
      <c r="Z913" s="108">
        <f>_xll.qlCalendarAdvance(Calendar,Y913,0&amp;"D")</f>
        <v>45589</v>
      </c>
      <c r="AA913" s="109">
        <v>1.445564691509027E-2</v>
      </c>
      <c r="AB913" s="143">
        <f t="shared" si="36"/>
        <v>0</v>
      </c>
      <c r="AC913" s="236" t="e">
        <v>#N/A</v>
      </c>
      <c r="AD913" s="236">
        <v>1.445564691509027E-2</v>
      </c>
    </row>
    <row r="914" spans="23:30" x14ac:dyDescent="0.2">
      <c r="W914" s="144"/>
      <c r="X914" s="113" t="str">
        <f t="shared" si="37"/>
        <v>1w</v>
      </c>
      <c r="Y914" s="106">
        <f>_xll.qlCalendarAdvance(Calendar,Y913,X914,"f",FALSE)</f>
        <v>45596</v>
      </c>
      <c r="Z914" s="108">
        <f>_xll.qlCalendarAdvance(Calendar,Y914,0&amp;"D")</f>
        <v>45596</v>
      </c>
      <c r="AA914" s="109">
        <v>1.44769502321207E-2</v>
      </c>
      <c r="AB914" s="143">
        <f t="shared" si="36"/>
        <v>7.9936057773011271E-14</v>
      </c>
      <c r="AC914" s="236" t="e">
        <v>#N/A</v>
      </c>
      <c r="AD914" s="236">
        <v>1.4476950232040764E-2</v>
      </c>
    </row>
    <row r="915" spans="23:30" x14ac:dyDescent="0.2">
      <c r="W915" s="144"/>
      <c r="X915" s="113" t="str">
        <f t="shared" si="37"/>
        <v>1w</v>
      </c>
      <c r="Y915" s="106">
        <f>_xll.qlCalendarAdvance(Calendar,Y914,X915,"f",FALSE)</f>
        <v>45603</v>
      </c>
      <c r="Z915" s="108">
        <f>_xll.qlCalendarAdvance(Calendar,Y915,0&amp;"D")</f>
        <v>45603</v>
      </c>
      <c r="AA915" s="109">
        <v>1.4498426055000735E-2</v>
      </c>
      <c r="AB915" s="143">
        <f t="shared" si="36"/>
        <v>7.9936057773011271E-14</v>
      </c>
      <c r="AC915" s="236" t="e">
        <v>#N/A</v>
      </c>
      <c r="AD915" s="236">
        <v>1.4498426054920799E-2</v>
      </c>
    </row>
    <row r="916" spans="23:30" x14ac:dyDescent="0.2">
      <c r="W916" s="144"/>
      <c r="X916" s="113" t="str">
        <f t="shared" si="37"/>
        <v>1w</v>
      </c>
      <c r="Y916" s="106">
        <f>_xll.qlCalendarAdvance(Calendar,Y915,X916,"f",FALSE)</f>
        <v>45610</v>
      </c>
      <c r="Z916" s="108">
        <f>_xll.qlCalendarAdvance(Calendar,Y916,0&amp;"D")</f>
        <v>45610</v>
      </c>
      <c r="AA916" s="109">
        <v>1.4520074383810311E-2</v>
      </c>
      <c r="AB916" s="143">
        <f t="shared" si="36"/>
        <v>0</v>
      </c>
      <c r="AC916" s="236" t="e">
        <v>#N/A</v>
      </c>
      <c r="AD916" s="236">
        <v>1.4520074383810311E-2</v>
      </c>
    </row>
    <row r="917" spans="23:30" x14ac:dyDescent="0.2">
      <c r="W917" s="144"/>
      <c r="X917" s="113" t="str">
        <f t="shared" si="37"/>
        <v>1w</v>
      </c>
      <c r="Y917" s="106">
        <f>_xll.qlCalendarAdvance(Calendar,Y916,X917,"f",FALSE)</f>
        <v>45617</v>
      </c>
      <c r="Z917" s="108">
        <f>_xll.qlCalendarAdvance(Calendar,Y917,0&amp;"D")</f>
        <v>45617</v>
      </c>
      <c r="AA917" s="109">
        <v>1.4541895218629364E-2</v>
      </c>
      <c r="AB917" s="143">
        <f t="shared" ref="AB917:AB980" si="38">AA917-AD917</f>
        <v>0</v>
      </c>
      <c r="AC917" s="236" t="e">
        <v>#N/A</v>
      </c>
      <c r="AD917" s="236">
        <v>1.4541895218629364E-2</v>
      </c>
    </row>
    <row r="918" spans="23:30" x14ac:dyDescent="0.2">
      <c r="W918" s="144"/>
      <c r="X918" s="113" t="str">
        <f t="shared" si="37"/>
        <v>1w</v>
      </c>
      <c r="Y918" s="106">
        <f>_xll.qlCalendarAdvance(Calendar,Y917,X918,"f",FALSE)</f>
        <v>45624</v>
      </c>
      <c r="Z918" s="108">
        <f>_xll.qlCalendarAdvance(Calendar,Y918,0&amp;"D")</f>
        <v>45624</v>
      </c>
      <c r="AA918" s="109">
        <v>1.4563888559377958E-2</v>
      </c>
      <c r="AB918" s="143">
        <f t="shared" si="38"/>
        <v>0</v>
      </c>
      <c r="AC918" s="236" t="e">
        <v>#N/A</v>
      </c>
      <c r="AD918" s="236">
        <v>1.4563888559377958E-2</v>
      </c>
    </row>
    <row r="919" spans="23:30" x14ac:dyDescent="0.2">
      <c r="W919" s="144"/>
      <c r="X919" s="113" t="str">
        <f t="shared" si="37"/>
        <v>1w</v>
      </c>
      <c r="Y919" s="106">
        <f>_xll.qlCalendarAdvance(Calendar,Y918,X919,"f",FALSE)</f>
        <v>45631</v>
      </c>
      <c r="Z919" s="108">
        <f>_xll.qlCalendarAdvance(Calendar,Y919,0&amp;"D")</f>
        <v>45631</v>
      </c>
      <c r="AA919" s="109">
        <v>1.4586054406215965E-2</v>
      </c>
      <c r="AB919" s="143">
        <f t="shared" si="38"/>
        <v>0</v>
      </c>
      <c r="AC919" s="236" t="e">
        <v>#N/A</v>
      </c>
      <c r="AD919" s="236">
        <v>1.4586054406215965E-2</v>
      </c>
    </row>
    <row r="920" spans="23:30" x14ac:dyDescent="0.2">
      <c r="W920" s="144"/>
      <c r="X920" s="113" t="str">
        <f t="shared" si="37"/>
        <v>1w</v>
      </c>
      <c r="Y920" s="106">
        <f>_xll.qlCalendarAdvance(Calendar,Y919,X920,"f",FALSE)</f>
        <v>45638</v>
      </c>
      <c r="Z920" s="108">
        <f>_xll.qlCalendarAdvance(Calendar,Y920,0&amp;"D")</f>
        <v>45638</v>
      </c>
      <c r="AA920" s="109">
        <v>1.4608392759063449E-2</v>
      </c>
      <c r="AB920" s="143">
        <f t="shared" si="38"/>
        <v>0</v>
      </c>
      <c r="AC920" s="236" t="e">
        <v>#N/A</v>
      </c>
      <c r="AD920" s="236">
        <v>1.4608392759063449E-2</v>
      </c>
    </row>
    <row r="921" spans="23:30" x14ac:dyDescent="0.2">
      <c r="W921" s="144"/>
      <c r="X921" s="113" t="str">
        <f t="shared" si="37"/>
        <v>1w</v>
      </c>
      <c r="Y921" s="106">
        <f>_xll.qlCalendarAdvance(Calendar,Y920,X921,"f",FALSE)</f>
        <v>45645</v>
      </c>
      <c r="Z921" s="108">
        <f>_xll.qlCalendarAdvance(Calendar,Y921,0&amp;"D")</f>
        <v>45645</v>
      </c>
      <c r="AA921" s="109">
        <v>1.4630903618000346E-2</v>
      </c>
      <c r="AB921" s="143">
        <f t="shared" si="38"/>
        <v>0</v>
      </c>
      <c r="AC921" s="236" t="e">
        <v>#N/A</v>
      </c>
      <c r="AD921" s="236">
        <v>1.4630903618000346E-2</v>
      </c>
    </row>
    <row r="922" spans="23:30" x14ac:dyDescent="0.2">
      <c r="W922" s="144"/>
      <c r="X922" s="113" t="str">
        <f t="shared" si="37"/>
        <v>1w</v>
      </c>
      <c r="Y922" s="106">
        <f>_xll.qlCalendarAdvance(Calendar,Y921,X922,"f",FALSE)</f>
        <v>45653</v>
      </c>
      <c r="Z922" s="108">
        <f>_xll.qlCalendarAdvance(Calendar,Y922,0&amp;"D")</f>
        <v>45653</v>
      </c>
      <c r="AA922" s="109">
        <v>1.4660697806903045E-2</v>
      </c>
      <c r="AB922" s="143">
        <f t="shared" si="38"/>
        <v>-2.6645352591003757E-14</v>
      </c>
      <c r="AC922" s="236" t="e">
        <v>#N/A</v>
      </c>
      <c r="AD922" s="236">
        <v>1.466069780692969E-2</v>
      </c>
    </row>
    <row r="923" spans="23:30" x14ac:dyDescent="0.2">
      <c r="W923" s="144"/>
      <c r="X923" s="113" t="str">
        <f t="shared" si="37"/>
        <v>1w</v>
      </c>
      <c r="Y923" s="106">
        <f>_xll.qlCalendarAdvance(Calendar,Y922,X923,"f",FALSE)</f>
        <v>45660</v>
      </c>
      <c r="Z923" s="108">
        <f>_xll.qlCalendarAdvance(Calendar,Y923,0&amp;"D")</f>
        <v>45660</v>
      </c>
      <c r="AA923" s="109">
        <v>1.4683604832619324E-2</v>
      </c>
      <c r="AB923" s="143">
        <f t="shared" si="38"/>
        <v>0</v>
      </c>
      <c r="AC923" s="236" t="e">
        <v>#N/A</v>
      </c>
      <c r="AD923" s="236">
        <v>1.4683604832619324E-2</v>
      </c>
    </row>
    <row r="924" spans="23:30" x14ac:dyDescent="0.2">
      <c r="W924" s="144"/>
      <c r="X924" s="113" t="str">
        <f t="shared" si="37"/>
        <v>1w</v>
      </c>
      <c r="Y924" s="106">
        <f>_xll.qlCalendarAdvance(Calendar,Y923,X924,"f",FALSE)</f>
        <v>45667</v>
      </c>
      <c r="Z924" s="108">
        <f>_xll.qlCalendarAdvance(Calendar,Y924,0&amp;"D")</f>
        <v>45667</v>
      </c>
      <c r="AA924" s="109">
        <v>1.4706684381504687E-2</v>
      </c>
      <c r="AB924" s="143">
        <f t="shared" si="38"/>
        <v>0</v>
      </c>
      <c r="AC924" s="236" t="e">
        <v>#N/A</v>
      </c>
      <c r="AD924" s="236">
        <v>1.4706684381504687E-2</v>
      </c>
    </row>
    <row r="925" spans="23:30" x14ac:dyDescent="0.2">
      <c r="W925" s="144"/>
      <c r="X925" s="113" t="str">
        <f t="shared" si="37"/>
        <v>1w</v>
      </c>
      <c r="Y925" s="106">
        <f>_xll.qlCalendarAdvance(Calendar,Y924,X925,"f",FALSE)</f>
        <v>45674</v>
      </c>
      <c r="Z925" s="108">
        <f>_xll.qlCalendarAdvance(Calendar,Y925,0&amp;"D")</f>
        <v>45674</v>
      </c>
      <c r="AA925" s="109">
        <v>1.4729936453719006E-2</v>
      </c>
      <c r="AB925" s="143">
        <f t="shared" si="38"/>
        <v>-2.6645352591003757E-14</v>
      </c>
      <c r="AC925" s="236" t="e">
        <v>#N/A</v>
      </c>
      <c r="AD925" s="236">
        <v>1.4729936453745651E-2</v>
      </c>
    </row>
    <row r="926" spans="23:30" x14ac:dyDescent="0.2">
      <c r="W926" s="144"/>
      <c r="X926" s="113" t="str">
        <f t="shared" si="37"/>
        <v>1w</v>
      </c>
      <c r="Y926" s="106">
        <f>_xll.qlCalendarAdvance(Calendar,Y925,X926,"f",FALSE)</f>
        <v>45681</v>
      </c>
      <c r="Z926" s="108">
        <f>_xll.qlCalendarAdvance(Calendar,Y926,0&amp;"D")</f>
        <v>45681</v>
      </c>
      <c r="AA926" s="109">
        <v>1.4753361049342217E-2</v>
      </c>
      <c r="AB926" s="143">
        <f t="shared" si="38"/>
        <v>0</v>
      </c>
      <c r="AC926" s="236" t="e">
        <v>#N/A</v>
      </c>
      <c r="AD926" s="236">
        <v>1.4753361049342217E-2</v>
      </c>
    </row>
    <row r="927" spans="23:30" x14ac:dyDescent="0.2">
      <c r="W927" s="144"/>
      <c r="X927" s="113" t="str">
        <f t="shared" si="37"/>
        <v>1w</v>
      </c>
      <c r="Y927" s="106">
        <f>_xll.qlCalendarAdvance(Calendar,Y926,X927,"f",FALSE)</f>
        <v>45688</v>
      </c>
      <c r="Z927" s="108">
        <f>_xll.qlCalendarAdvance(Calendar,Y927,0&amp;"D")</f>
        <v>45688</v>
      </c>
      <c r="AA927" s="109">
        <v>1.4776958168427612E-2</v>
      </c>
      <c r="AB927" s="143">
        <f t="shared" si="38"/>
        <v>0</v>
      </c>
      <c r="AC927" s="236" t="e">
        <v>#N/A</v>
      </c>
      <c r="AD927" s="236">
        <v>1.4776958168427612E-2</v>
      </c>
    </row>
    <row r="928" spans="23:30" x14ac:dyDescent="0.2">
      <c r="W928" s="144"/>
      <c r="X928" s="113" t="str">
        <f t="shared" si="37"/>
        <v>1w</v>
      </c>
      <c r="Y928" s="106">
        <f>_xll.qlCalendarAdvance(Calendar,Y927,X928,"f",FALSE)</f>
        <v>45695</v>
      </c>
      <c r="Z928" s="108">
        <f>_xll.qlCalendarAdvance(Calendar,Y928,0&amp;"D")</f>
        <v>45695</v>
      </c>
      <c r="AA928" s="109">
        <v>1.4800727811161707E-2</v>
      </c>
      <c r="AB928" s="143">
        <f t="shared" si="38"/>
        <v>0</v>
      </c>
      <c r="AC928" s="236" t="e">
        <v>#N/A</v>
      </c>
      <c r="AD928" s="236">
        <v>1.4800727811161707E-2</v>
      </c>
    </row>
    <row r="929" spans="23:30" x14ac:dyDescent="0.2">
      <c r="W929" s="144"/>
      <c r="X929" s="113" t="str">
        <f t="shared" si="37"/>
        <v>1w</v>
      </c>
      <c r="Y929" s="106">
        <f>_xll.qlCalendarAdvance(Calendar,Y928,X929,"f",FALSE)</f>
        <v>45702</v>
      </c>
      <c r="Z929" s="108">
        <f>_xll.qlCalendarAdvance(Calendar,Y929,0&amp;"D")</f>
        <v>45702</v>
      </c>
      <c r="AA929" s="109">
        <v>1.4824669977544502E-2</v>
      </c>
      <c r="AB929" s="143">
        <f t="shared" si="38"/>
        <v>0</v>
      </c>
      <c r="AC929" s="236" t="e">
        <v>#N/A</v>
      </c>
      <c r="AD929" s="236">
        <v>1.4824669977544502E-2</v>
      </c>
    </row>
    <row r="930" spans="23:30" x14ac:dyDescent="0.2">
      <c r="W930" s="144"/>
      <c r="X930" s="113" t="str">
        <f t="shared" si="37"/>
        <v>1w</v>
      </c>
      <c r="Y930" s="106">
        <f>_xll.qlCalendarAdvance(Calendar,Y929,X930,"f",FALSE)</f>
        <v>45709</v>
      </c>
      <c r="Z930" s="108">
        <f>_xll.qlCalendarAdvance(Calendar,Y930,0&amp;"D")</f>
        <v>45709</v>
      </c>
      <c r="AA930" s="109">
        <v>1.4848784667815806E-2</v>
      </c>
      <c r="AB930" s="143">
        <f t="shared" si="38"/>
        <v>2.6645352591003757E-14</v>
      </c>
      <c r="AC930" s="236" t="e">
        <v>#N/A</v>
      </c>
      <c r="AD930" s="236">
        <v>1.4848784667789161E-2</v>
      </c>
    </row>
    <row r="931" spans="23:30" x14ac:dyDescent="0.2">
      <c r="W931" s="144"/>
      <c r="X931" s="113" t="str">
        <f t="shared" si="37"/>
        <v>1w</v>
      </c>
      <c r="Y931" s="106">
        <f>_xll.qlCalendarAdvance(Calendar,Y930,X931,"f",FALSE)</f>
        <v>45716</v>
      </c>
      <c r="Z931" s="108">
        <f>_xll.qlCalendarAdvance(Calendar,Y931,0&amp;"D")</f>
        <v>45716</v>
      </c>
      <c r="AA931" s="109">
        <v>1.4873071881922328E-2</v>
      </c>
      <c r="AB931" s="143">
        <f t="shared" si="38"/>
        <v>0</v>
      </c>
      <c r="AC931" s="236" t="e">
        <v>#N/A</v>
      </c>
      <c r="AD931" s="236">
        <v>1.4873071881922328E-2</v>
      </c>
    </row>
    <row r="932" spans="23:30" x14ac:dyDescent="0.2">
      <c r="W932" s="144"/>
      <c r="X932" s="113" t="str">
        <f t="shared" si="37"/>
        <v>1w</v>
      </c>
      <c r="Y932" s="106">
        <f>_xll.qlCalendarAdvance(Calendar,Y931,X932,"f",FALSE)</f>
        <v>45723</v>
      </c>
      <c r="Z932" s="108">
        <f>_xll.qlCalendarAdvance(Calendar,Y932,0&amp;"D")</f>
        <v>45723</v>
      </c>
      <c r="AA932" s="109">
        <v>1.4897531620077231E-2</v>
      </c>
      <c r="AB932" s="143">
        <f t="shared" si="38"/>
        <v>0</v>
      </c>
      <c r="AC932" s="236" t="e">
        <v>#N/A</v>
      </c>
      <c r="AD932" s="236">
        <v>1.4897531620077231E-2</v>
      </c>
    </row>
    <row r="933" spans="23:30" x14ac:dyDescent="0.2">
      <c r="W933" s="144"/>
      <c r="X933" s="113" t="str">
        <f t="shared" si="37"/>
        <v>1w</v>
      </c>
      <c r="Y933" s="106">
        <f>_xll.qlCalendarAdvance(Calendar,Y932,X933,"f",FALSE)</f>
        <v>45730</v>
      </c>
      <c r="Z933" s="108">
        <f>_xll.qlCalendarAdvance(Calendar,Y933,0&amp;"D")</f>
        <v>45730</v>
      </c>
      <c r="AA933" s="109">
        <v>1.4922163882360451E-2</v>
      </c>
      <c r="AB933" s="143">
        <f t="shared" si="38"/>
        <v>0</v>
      </c>
      <c r="AC933" s="236" t="e">
        <v>#N/A</v>
      </c>
      <c r="AD933" s="236">
        <v>1.4922163882360451E-2</v>
      </c>
    </row>
    <row r="934" spans="23:30" x14ac:dyDescent="0.2">
      <c r="W934" s="144"/>
      <c r="X934" s="113" t="str">
        <f t="shared" si="37"/>
        <v>1w</v>
      </c>
      <c r="Y934" s="106">
        <f>_xll.qlCalendarAdvance(Calendar,Y933,X934,"f",FALSE)</f>
        <v>45737</v>
      </c>
      <c r="Z934" s="108">
        <f>_xll.qlCalendarAdvance(Calendar,Y934,0&amp;"D")</f>
        <v>45737</v>
      </c>
      <c r="AA934" s="109">
        <v>1.4946968668878569E-2</v>
      </c>
      <c r="AB934" s="143">
        <f t="shared" si="38"/>
        <v>0</v>
      </c>
      <c r="AC934" s="236" t="e">
        <v>#N/A</v>
      </c>
      <c r="AD934" s="236">
        <v>1.4946968668878569E-2</v>
      </c>
    </row>
    <row r="935" spans="23:30" x14ac:dyDescent="0.2">
      <c r="W935" s="144"/>
      <c r="X935" s="113" t="str">
        <f t="shared" si="37"/>
        <v>1w</v>
      </c>
      <c r="Y935" s="106">
        <f>_xll.qlCalendarAdvance(Calendar,Y934,X935,"f",FALSE)</f>
        <v>45744</v>
      </c>
      <c r="Z935" s="108">
        <f>_xll.qlCalendarAdvance(Calendar,Y935,0&amp;"D")</f>
        <v>45744</v>
      </c>
      <c r="AA935" s="109">
        <v>1.4971945979738166E-2</v>
      </c>
      <c r="AB935" s="143">
        <f t="shared" si="38"/>
        <v>0</v>
      </c>
      <c r="AC935" s="236" t="e">
        <v>#N/A</v>
      </c>
      <c r="AD935" s="236">
        <v>1.4971945979738166E-2</v>
      </c>
    </row>
    <row r="936" spans="23:30" x14ac:dyDescent="0.2">
      <c r="W936" s="144"/>
      <c r="X936" s="113" t="str">
        <f t="shared" si="37"/>
        <v>1w</v>
      </c>
      <c r="Y936" s="106">
        <f>_xll.qlCalendarAdvance(Calendar,Y935,X936,"f",FALSE)</f>
        <v>45751</v>
      </c>
      <c r="Z936" s="108">
        <f>_xll.qlCalendarAdvance(Calendar,Y936,0&amp;"D")</f>
        <v>45751</v>
      </c>
      <c r="AA936" s="109">
        <v>1.4997095815019179E-2</v>
      </c>
      <c r="AB936" s="143">
        <f t="shared" si="38"/>
        <v>0</v>
      </c>
      <c r="AC936" s="236" t="e">
        <v>#N/A</v>
      </c>
      <c r="AD936" s="236">
        <v>1.4997095815019179E-2</v>
      </c>
    </row>
    <row r="937" spans="23:30" x14ac:dyDescent="0.2">
      <c r="W937" s="144"/>
      <c r="X937" s="113" t="str">
        <f t="shared" si="37"/>
        <v>1w</v>
      </c>
      <c r="Y937" s="106">
        <f>_xll.qlCalendarAdvance(Calendar,Y936,X937,"f",FALSE)</f>
        <v>45758</v>
      </c>
      <c r="Z937" s="108">
        <f>_xll.qlCalendarAdvance(Calendar,Y937,0&amp;"D")</f>
        <v>45758</v>
      </c>
      <c r="AA937" s="109">
        <v>1.5022418174854835E-2</v>
      </c>
      <c r="AB937" s="143">
        <f t="shared" si="38"/>
        <v>0</v>
      </c>
      <c r="AC937" s="236" t="e">
        <v>#N/A</v>
      </c>
      <c r="AD937" s="236">
        <v>1.5022418174854835E-2</v>
      </c>
    </row>
    <row r="938" spans="23:30" x14ac:dyDescent="0.2">
      <c r="W938" s="144"/>
      <c r="X938" s="113" t="str">
        <f t="shared" si="37"/>
        <v>1w</v>
      </c>
      <c r="Y938" s="106">
        <f>_xll.qlCalendarAdvance(Calendar,Y937,X938,"f",FALSE)</f>
        <v>45769</v>
      </c>
      <c r="Z938" s="108">
        <f>_xll.qlCalendarAdvance(Calendar,Y938,0&amp;"D")</f>
        <v>45769</v>
      </c>
      <c r="AA938" s="109">
        <v>1.5058261205238566E-2</v>
      </c>
      <c r="AB938" s="143">
        <f t="shared" si="38"/>
        <v>0</v>
      </c>
      <c r="AC938" s="236" t="e">
        <v>#N/A</v>
      </c>
      <c r="AD938" s="236">
        <v>1.5058261205238566E-2</v>
      </c>
    </row>
    <row r="939" spans="23:30" x14ac:dyDescent="0.2">
      <c r="W939" s="144"/>
      <c r="X939" s="113" t="str">
        <f t="shared" si="37"/>
        <v>1w</v>
      </c>
      <c r="Y939" s="106">
        <f>_xll.qlCalendarAdvance(Calendar,Y938,X939,"f",FALSE)</f>
        <v>45776</v>
      </c>
      <c r="Z939" s="108">
        <f>_xll.qlCalendarAdvance(Calendar,Y939,0&amp;"D")</f>
        <v>45776</v>
      </c>
      <c r="AA939" s="109">
        <v>1.508400039857527E-2</v>
      </c>
      <c r="AB939" s="143">
        <f t="shared" si="38"/>
        <v>0</v>
      </c>
      <c r="AC939" s="236" t="e">
        <v>#N/A</v>
      </c>
      <c r="AD939" s="236">
        <v>1.508400039857527E-2</v>
      </c>
    </row>
    <row r="940" spans="23:30" x14ac:dyDescent="0.2">
      <c r="W940" s="144"/>
      <c r="X940" s="113" t="str">
        <f t="shared" si="37"/>
        <v>1w</v>
      </c>
      <c r="Y940" s="106">
        <f>_xll.qlCalendarAdvance(Calendar,Y939,X940,"f",FALSE)</f>
        <v>45783</v>
      </c>
      <c r="Z940" s="108">
        <f>_xll.qlCalendarAdvance(Calendar,Y940,0&amp;"D")</f>
        <v>45783</v>
      </c>
      <c r="AA940" s="109">
        <v>1.5109912098720812E-2</v>
      </c>
      <c r="AB940" s="143">
        <f t="shared" si="38"/>
        <v>0</v>
      </c>
      <c r="AC940" s="236" t="e">
        <v>#N/A</v>
      </c>
      <c r="AD940" s="236">
        <v>1.5109912098720812E-2</v>
      </c>
    </row>
    <row r="941" spans="23:30" x14ac:dyDescent="0.2">
      <c r="W941" s="144"/>
      <c r="X941" s="113" t="str">
        <f t="shared" si="37"/>
        <v>1w</v>
      </c>
      <c r="Y941" s="106">
        <f>_xll.qlCalendarAdvance(Calendar,Y940,X941,"f",FALSE)</f>
        <v>45790</v>
      </c>
      <c r="Z941" s="108">
        <f>_xll.qlCalendarAdvance(Calendar,Y941,0&amp;"D")</f>
        <v>45790</v>
      </c>
      <c r="AA941" s="109">
        <v>1.5135996305675192E-2</v>
      </c>
      <c r="AB941" s="143">
        <f t="shared" si="38"/>
        <v>0</v>
      </c>
      <c r="AC941" s="236" t="e">
        <v>#N/A</v>
      </c>
      <c r="AD941" s="236">
        <v>1.5135996305675192E-2</v>
      </c>
    </row>
    <row r="942" spans="23:30" x14ac:dyDescent="0.2">
      <c r="W942" s="144"/>
      <c r="X942" s="113" t="str">
        <f t="shared" si="37"/>
        <v>1w</v>
      </c>
      <c r="Y942" s="106">
        <f>_xll.qlCalendarAdvance(Calendar,Y941,X942,"f",FALSE)</f>
        <v>45797</v>
      </c>
      <c r="Z942" s="108">
        <f>_xll.qlCalendarAdvance(Calendar,Y942,0&amp;"D")</f>
        <v>45797</v>
      </c>
      <c r="AA942" s="109">
        <v>1.516225301943841E-2</v>
      </c>
      <c r="AB942" s="143">
        <f t="shared" si="38"/>
        <v>0</v>
      </c>
      <c r="AC942" s="236" t="e">
        <v>#N/A</v>
      </c>
      <c r="AD942" s="236">
        <v>1.516225301943841E-2</v>
      </c>
    </row>
    <row r="943" spans="23:30" x14ac:dyDescent="0.2">
      <c r="W943" s="144"/>
      <c r="X943" s="113" t="str">
        <f t="shared" si="37"/>
        <v>1w</v>
      </c>
      <c r="Y943" s="106">
        <f>_xll.qlCalendarAdvance(Calendar,Y942,X943,"f",FALSE)</f>
        <v>45804</v>
      </c>
      <c r="Z943" s="108">
        <f>_xll.qlCalendarAdvance(Calendar,Y943,0&amp;"D")</f>
        <v>45804</v>
      </c>
      <c r="AA943" s="109">
        <v>1.5188682240010465E-2</v>
      </c>
      <c r="AB943" s="143">
        <f t="shared" si="38"/>
        <v>0</v>
      </c>
      <c r="AC943" s="236" t="e">
        <v>#N/A</v>
      </c>
      <c r="AD943" s="236">
        <v>1.5188682240010465E-2</v>
      </c>
    </row>
    <row r="944" spans="23:30" x14ac:dyDescent="0.2">
      <c r="W944" s="144"/>
      <c r="X944" s="113" t="str">
        <f t="shared" si="37"/>
        <v>1w</v>
      </c>
      <c r="Y944" s="106">
        <f>_xll.qlCalendarAdvance(Calendar,Y943,X944,"f",FALSE)</f>
        <v>45811</v>
      </c>
      <c r="Z944" s="108">
        <f>_xll.qlCalendarAdvance(Calendar,Y944,0&amp;"D")</f>
        <v>45811</v>
      </c>
      <c r="AA944" s="109">
        <v>1.5215266310955045E-2</v>
      </c>
      <c r="AB944" s="143">
        <f t="shared" si="38"/>
        <v>0</v>
      </c>
      <c r="AC944" s="236" t="e">
        <v>#N/A</v>
      </c>
      <c r="AD944" s="236">
        <v>1.5215266310955045E-2</v>
      </c>
    </row>
    <row r="945" spans="23:30" x14ac:dyDescent="0.2">
      <c r="W945" s="144"/>
      <c r="X945" s="113" t="str">
        <f t="shared" si="37"/>
        <v>1w</v>
      </c>
      <c r="Y945" s="106">
        <f>_xll.qlCalendarAdvance(Calendar,Y944,X945,"f",FALSE)</f>
        <v>45818</v>
      </c>
      <c r="Z945" s="108">
        <f>_xll.qlCalendarAdvance(Calendar,Y945,0&amp;"D")</f>
        <v>45818</v>
      </c>
      <c r="AA945" s="109">
        <v>1.5241510844221651E-2</v>
      </c>
      <c r="AB945" s="143">
        <f t="shared" si="38"/>
        <v>0</v>
      </c>
      <c r="AC945" s="236" t="e">
        <v>#N/A</v>
      </c>
      <c r="AD945" s="236">
        <v>1.5241510844221651E-2</v>
      </c>
    </row>
    <row r="946" spans="23:30" x14ac:dyDescent="0.2">
      <c r="W946" s="144"/>
      <c r="X946" s="113" t="str">
        <f t="shared" si="37"/>
        <v>1w</v>
      </c>
      <c r="Y946" s="106">
        <f>_xll.qlCalendarAdvance(Calendar,Y945,X946,"f",FALSE)</f>
        <v>45825</v>
      </c>
      <c r="Z946" s="108">
        <f>_xll.qlCalendarAdvance(Calendar,Y946,0&amp;"D")</f>
        <v>45825</v>
      </c>
      <c r="AA946" s="109">
        <v>1.5267186302461155E-2</v>
      </c>
      <c r="AB946" s="143">
        <f t="shared" si="38"/>
        <v>0</v>
      </c>
      <c r="AC946" s="236" t="e">
        <v>#N/A</v>
      </c>
      <c r="AD946" s="236">
        <v>1.5267186302461155E-2</v>
      </c>
    </row>
    <row r="947" spans="23:30" x14ac:dyDescent="0.2">
      <c r="W947" s="144"/>
      <c r="X947" s="113" t="str">
        <f t="shared" si="37"/>
        <v>1w</v>
      </c>
      <c r="Y947" s="106">
        <f>_xll.qlCalendarAdvance(Calendar,Y946,X947,"f",FALSE)</f>
        <v>45832</v>
      </c>
      <c r="Z947" s="108">
        <f>_xll.qlCalendarAdvance(Calendar,Y947,0&amp;"D")</f>
        <v>45832</v>
      </c>
      <c r="AA947" s="109">
        <v>1.5292292685833431E-2</v>
      </c>
      <c r="AB947" s="143">
        <f t="shared" si="38"/>
        <v>0</v>
      </c>
      <c r="AC947" s="236" t="e">
        <v>#N/A</v>
      </c>
      <c r="AD947" s="236">
        <v>1.5292292685833431E-2</v>
      </c>
    </row>
    <row r="948" spans="23:30" x14ac:dyDescent="0.2">
      <c r="W948" s="144"/>
      <c r="X948" s="113" t="str">
        <f t="shared" si="37"/>
        <v>1w</v>
      </c>
      <c r="Y948" s="106">
        <f>_xll.qlCalendarAdvance(Calendar,Y947,X948,"f",FALSE)</f>
        <v>45839</v>
      </c>
      <c r="Z948" s="108">
        <f>_xll.qlCalendarAdvance(Calendar,Y948,0&amp;"D")</f>
        <v>45839</v>
      </c>
      <c r="AA948" s="109">
        <v>1.5316829994018732E-2</v>
      </c>
      <c r="AB948" s="143">
        <f t="shared" si="38"/>
        <v>0</v>
      </c>
      <c r="AC948" s="236" t="e">
        <v>#N/A</v>
      </c>
      <c r="AD948" s="236">
        <v>1.5316829994018732E-2</v>
      </c>
    </row>
    <row r="949" spans="23:30" x14ac:dyDescent="0.2">
      <c r="W949" s="144"/>
      <c r="X949" s="113" t="str">
        <f t="shared" si="37"/>
        <v>1w</v>
      </c>
      <c r="Y949" s="106">
        <f>_xll.qlCalendarAdvance(Calendar,Y948,X949,"f",FALSE)</f>
        <v>45846</v>
      </c>
      <c r="Z949" s="108">
        <f>_xll.qlCalendarAdvance(Calendar,Y949,0&amp;"D")</f>
        <v>45846</v>
      </c>
      <c r="AA949" s="109">
        <v>1.5340798226857189E-2</v>
      </c>
      <c r="AB949" s="143">
        <f t="shared" si="38"/>
        <v>0</v>
      </c>
      <c r="AC949" s="236" t="e">
        <v>#N/A</v>
      </c>
      <c r="AD949" s="236">
        <v>1.5340798226857189E-2</v>
      </c>
    </row>
    <row r="950" spans="23:30" x14ac:dyDescent="0.2">
      <c r="W950" s="144"/>
      <c r="X950" s="113" t="str">
        <f t="shared" si="37"/>
        <v>1w</v>
      </c>
      <c r="Y950" s="106">
        <f>_xll.qlCalendarAdvance(Calendar,Y949,X950,"f",FALSE)</f>
        <v>45853</v>
      </c>
      <c r="Z950" s="108">
        <f>_xll.qlCalendarAdvance(Calendar,Y950,0&amp;"D")</f>
        <v>45853</v>
      </c>
      <c r="AA950" s="109">
        <v>1.5364197384348799E-2</v>
      </c>
      <c r="AB950" s="143">
        <f t="shared" si="38"/>
        <v>0</v>
      </c>
      <c r="AC950" s="236" t="e">
        <v>#N/A</v>
      </c>
      <c r="AD950" s="236">
        <v>1.5364197384348799E-2</v>
      </c>
    </row>
    <row r="951" spans="23:30" x14ac:dyDescent="0.2">
      <c r="W951" s="144"/>
      <c r="X951" s="113" t="str">
        <f t="shared" si="37"/>
        <v>1w</v>
      </c>
      <c r="Y951" s="106">
        <f>_xll.qlCalendarAdvance(Calendar,Y950,X951,"f",FALSE)</f>
        <v>45860</v>
      </c>
      <c r="Z951" s="108">
        <f>_xll.qlCalendarAdvance(Calendar,Y951,0&amp;"D")</f>
        <v>45860</v>
      </c>
      <c r="AA951" s="109">
        <v>1.5387027466333691E-2</v>
      </c>
      <c r="AB951" s="143">
        <f t="shared" si="38"/>
        <v>0</v>
      </c>
      <c r="AC951" s="236" t="e">
        <v>#N/A</v>
      </c>
      <c r="AD951" s="236">
        <v>1.5387027466333691E-2</v>
      </c>
    </row>
    <row r="952" spans="23:30" x14ac:dyDescent="0.2">
      <c r="W952" s="144"/>
      <c r="X952" s="113" t="str">
        <f t="shared" si="37"/>
        <v>1w</v>
      </c>
      <c r="Y952" s="106">
        <f>_xll.qlCalendarAdvance(Calendar,Y951,X952,"f",FALSE)</f>
        <v>45867</v>
      </c>
      <c r="Z952" s="108">
        <f>_xll.qlCalendarAdvance(Calendar,Y952,0&amp;"D")</f>
        <v>45867</v>
      </c>
      <c r="AA952" s="109">
        <v>1.5409288472811866E-2</v>
      </c>
      <c r="AB952" s="143">
        <f t="shared" si="38"/>
        <v>0</v>
      </c>
      <c r="AC952" s="236" t="e">
        <v>#N/A</v>
      </c>
      <c r="AD952" s="236">
        <v>1.5409288472811866E-2</v>
      </c>
    </row>
    <row r="953" spans="23:30" x14ac:dyDescent="0.2">
      <c r="W953" s="144"/>
      <c r="X953" s="113" t="str">
        <f t="shared" si="37"/>
        <v>1w</v>
      </c>
      <c r="Y953" s="106">
        <f>_xll.qlCalendarAdvance(Calendar,Y952,X953,"f",FALSE)</f>
        <v>45874</v>
      </c>
      <c r="Z953" s="108">
        <f>_xll.qlCalendarAdvance(Calendar,Y953,0&amp;"D")</f>
        <v>45874</v>
      </c>
      <c r="AA953" s="109">
        <v>1.5430980403463579E-2</v>
      </c>
      <c r="AB953" s="143">
        <f t="shared" si="38"/>
        <v>0</v>
      </c>
      <c r="AC953" s="236" t="e">
        <v>#N/A</v>
      </c>
      <c r="AD953" s="236">
        <v>1.5430980403463579E-2</v>
      </c>
    </row>
    <row r="954" spans="23:30" x14ac:dyDescent="0.2">
      <c r="W954" s="144"/>
      <c r="X954" s="113" t="str">
        <f t="shared" si="37"/>
        <v>1w</v>
      </c>
      <c r="Y954" s="106">
        <f>_xll.qlCalendarAdvance(Calendar,Y953,X954,"f",FALSE)</f>
        <v>45881</v>
      </c>
      <c r="Z954" s="108">
        <f>_xll.qlCalendarAdvance(Calendar,Y954,0&amp;"D")</f>
        <v>45881</v>
      </c>
      <c r="AA954" s="109">
        <v>1.5452103258368766E-2</v>
      </c>
      <c r="AB954" s="143">
        <f t="shared" si="38"/>
        <v>0</v>
      </c>
      <c r="AC954" s="236" t="e">
        <v>#N/A</v>
      </c>
      <c r="AD954" s="236">
        <v>1.5452103258368766E-2</v>
      </c>
    </row>
    <row r="955" spans="23:30" x14ac:dyDescent="0.2">
      <c r="W955" s="144"/>
      <c r="X955" s="113" t="str">
        <f t="shared" si="37"/>
        <v>1w</v>
      </c>
      <c r="Y955" s="106">
        <f>_xll.qlCalendarAdvance(Calendar,Y954,X955,"f",FALSE)</f>
        <v>45888</v>
      </c>
      <c r="Z955" s="108">
        <f>_xll.qlCalendarAdvance(Calendar,Y955,0&amp;"D")</f>
        <v>45888</v>
      </c>
      <c r="AA955" s="109">
        <v>1.5472657037287618E-2</v>
      </c>
      <c r="AB955" s="143">
        <f t="shared" si="38"/>
        <v>0</v>
      </c>
      <c r="AC955" s="236" t="e">
        <v>#N/A</v>
      </c>
      <c r="AD955" s="236">
        <v>1.5472657037287618E-2</v>
      </c>
    </row>
    <row r="956" spans="23:30" x14ac:dyDescent="0.2">
      <c r="W956" s="144"/>
      <c r="X956" s="113" t="str">
        <f t="shared" si="37"/>
        <v>1w</v>
      </c>
      <c r="Y956" s="106">
        <f>_xll.qlCalendarAdvance(Calendar,Y955,X956,"f",FALSE)</f>
        <v>45895</v>
      </c>
      <c r="Z956" s="108">
        <f>_xll.qlCalendarAdvance(Calendar,Y956,0&amp;"D")</f>
        <v>45895</v>
      </c>
      <c r="AA956" s="109">
        <v>1.5492641740220137E-2</v>
      </c>
      <c r="AB956" s="143">
        <f t="shared" si="38"/>
        <v>0</v>
      </c>
      <c r="AC956" s="236" t="e">
        <v>#N/A</v>
      </c>
      <c r="AD956" s="236">
        <v>1.5492641740220137E-2</v>
      </c>
    </row>
    <row r="957" spans="23:30" x14ac:dyDescent="0.2">
      <c r="W957" s="144"/>
      <c r="X957" s="113" t="str">
        <f t="shared" si="37"/>
        <v>1w</v>
      </c>
      <c r="Y957" s="106">
        <f>_xll.qlCalendarAdvance(Calendar,Y956,X957,"f",FALSE)</f>
        <v>45902</v>
      </c>
      <c r="Z957" s="108">
        <f>_xll.qlCalendarAdvance(Calendar,Y957,0&amp;"D")</f>
        <v>45902</v>
      </c>
      <c r="AA957" s="109">
        <v>1.5512057367006449E-2</v>
      </c>
      <c r="AB957" s="143">
        <f t="shared" si="38"/>
        <v>0</v>
      </c>
      <c r="AC957" s="236" t="e">
        <v>#N/A</v>
      </c>
      <c r="AD957" s="236">
        <v>1.5512057367006449E-2</v>
      </c>
    </row>
    <row r="958" spans="23:30" x14ac:dyDescent="0.2">
      <c r="W958" s="144"/>
      <c r="X958" s="113" t="str">
        <f t="shared" si="37"/>
        <v>1w</v>
      </c>
      <c r="Y958" s="106">
        <f>_xll.qlCalendarAdvance(Calendar,Y957,X958,"f",FALSE)</f>
        <v>45909</v>
      </c>
      <c r="Z958" s="108">
        <f>_xll.qlCalendarAdvance(Calendar,Y958,0&amp;"D")</f>
        <v>45909</v>
      </c>
      <c r="AA958" s="109">
        <v>1.5530903917726491E-2</v>
      </c>
      <c r="AB958" s="143">
        <f t="shared" si="38"/>
        <v>0</v>
      </c>
      <c r="AC958" s="236" t="e">
        <v>#N/A</v>
      </c>
      <c r="AD958" s="236">
        <v>1.5530903917726491E-2</v>
      </c>
    </row>
    <row r="959" spans="23:30" x14ac:dyDescent="0.2">
      <c r="W959" s="144"/>
      <c r="X959" s="113" t="str">
        <f t="shared" si="37"/>
        <v>1w</v>
      </c>
      <c r="Y959" s="106">
        <f>_xll.qlCalendarAdvance(Calendar,Y958,X959,"f",FALSE)</f>
        <v>45916</v>
      </c>
      <c r="Z959" s="108">
        <f>_xll.qlCalendarAdvance(Calendar,Y959,0&amp;"D")</f>
        <v>45916</v>
      </c>
      <c r="AA959" s="109">
        <v>1.5549181392060518E-2</v>
      </c>
      <c r="AB959" s="143">
        <f t="shared" si="38"/>
        <v>0</v>
      </c>
      <c r="AC959" s="236" t="e">
        <v>#N/A</v>
      </c>
      <c r="AD959" s="236">
        <v>1.5549181392060518E-2</v>
      </c>
    </row>
    <row r="960" spans="23:30" x14ac:dyDescent="0.2">
      <c r="W960" s="144"/>
      <c r="X960" s="113" t="str">
        <f t="shared" si="37"/>
        <v>1w</v>
      </c>
      <c r="Y960" s="106">
        <f>_xll.qlCalendarAdvance(Calendar,Y959,X960,"f",FALSE)</f>
        <v>45923</v>
      </c>
      <c r="Z960" s="108">
        <f>_xll.qlCalendarAdvance(Calendar,Y960,0&amp;"D")</f>
        <v>45923</v>
      </c>
      <c r="AA960" s="109">
        <v>1.5566889790008531E-2</v>
      </c>
      <c r="AB960" s="143">
        <f t="shared" si="38"/>
        <v>0</v>
      </c>
      <c r="AC960" s="236" t="e">
        <v>#N/A</v>
      </c>
      <c r="AD960" s="236">
        <v>1.5566889790008531E-2</v>
      </c>
    </row>
    <row r="961" spans="23:30" x14ac:dyDescent="0.2">
      <c r="W961" s="144"/>
      <c r="X961" s="113" t="str">
        <f t="shared" si="37"/>
        <v>1w</v>
      </c>
      <c r="Y961" s="106">
        <f>_xll.qlCalendarAdvance(Calendar,Y960,X961,"f",FALSE)</f>
        <v>45930</v>
      </c>
      <c r="Z961" s="108">
        <f>_xll.qlCalendarAdvance(Calendar,Y961,0&amp;"D")</f>
        <v>45930</v>
      </c>
      <c r="AA961" s="109">
        <v>1.558402911157053E-2</v>
      </c>
      <c r="AB961" s="143">
        <f t="shared" si="38"/>
        <v>0</v>
      </c>
      <c r="AC961" s="236" t="e">
        <v>#N/A</v>
      </c>
      <c r="AD961" s="236">
        <v>1.558402911157053E-2</v>
      </c>
    </row>
    <row r="962" spans="23:30" x14ac:dyDescent="0.2">
      <c r="W962" s="144"/>
      <c r="X962" s="113" t="str">
        <f t="shared" si="37"/>
        <v>1w</v>
      </c>
      <c r="Y962" s="106">
        <f>_xll.qlCalendarAdvance(Calendar,Y961,X962,"f",FALSE)</f>
        <v>45937</v>
      </c>
      <c r="Z962" s="108">
        <f>_xll.qlCalendarAdvance(Calendar,Y962,0&amp;"D")</f>
        <v>45937</v>
      </c>
      <c r="AA962" s="109">
        <v>1.5600599356506706E-2</v>
      </c>
      <c r="AB962" s="143">
        <f t="shared" si="38"/>
        <v>0</v>
      </c>
      <c r="AC962" s="236" t="e">
        <v>#N/A</v>
      </c>
      <c r="AD962" s="236">
        <v>1.5600599356506706E-2</v>
      </c>
    </row>
    <row r="963" spans="23:30" x14ac:dyDescent="0.2">
      <c r="W963" s="144"/>
      <c r="X963" s="113" t="str">
        <f t="shared" si="37"/>
        <v>1w</v>
      </c>
      <c r="Y963" s="106">
        <f>_xll.qlCalendarAdvance(Calendar,Y962,X963,"f",FALSE)</f>
        <v>45944</v>
      </c>
      <c r="Z963" s="108">
        <f>_xll.qlCalendarAdvance(Calendar,Y963,0&amp;"D")</f>
        <v>45944</v>
      </c>
      <c r="AA963" s="109">
        <v>1.5616600524976931E-2</v>
      </c>
      <c r="AB963" s="143">
        <f t="shared" si="38"/>
        <v>0</v>
      </c>
      <c r="AC963" s="236" t="e">
        <v>#N/A</v>
      </c>
      <c r="AD963" s="236">
        <v>1.5616600524976931E-2</v>
      </c>
    </row>
    <row r="964" spans="23:30" x14ac:dyDescent="0.2">
      <c r="W964" s="144"/>
      <c r="X964" s="113" t="str">
        <f t="shared" si="37"/>
        <v>1w</v>
      </c>
      <c r="Y964" s="106">
        <f>_xll.qlCalendarAdvance(Calendar,Y963,X964,"f",FALSE)</f>
        <v>45951</v>
      </c>
      <c r="Z964" s="108">
        <f>_xll.qlCalendarAdvance(Calendar,Y964,0&amp;"D")</f>
        <v>45951</v>
      </c>
      <c r="AA964" s="109">
        <v>1.5632032616581526E-2</v>
      </c>
      <c r="AB964" s="143">
        <f t="shared" si="38"/>
        <v>0</v>
      </c>
      <c r="AC964" s="236" t="e">
        <v>#N/A</v>
      </c>
      <c r="AD964" s="236">
        <v>1.5632032616581526E-2</v>
      </c>
    </row>
    <row r="965" spans="23:30" x14ac:dyDescent="0.2">
      <c r="W965" s="144"/>
      <c r="X965" s="113" t="str">
        <f t="shared" si="37"/>
        <v>1w</v>
      </c>
      <c r="Y965" s="106">
        <f>_xll.qlCalendarAdvance(Calendar,Y964,X965,"f",FALSE)</f>
        <v>45958</v>
      </c>
      <c r="Z965" s="108">
        <f>_xll.qlCalendarAdvance(Calendar,Y965,0&amp;"D")</f>
        <v>45958</v>
      </c>
      <c r="AA965" s="109">
        <v>1.5646895631480362E-2</v>
      </c>
      <c r="AB965" s="143">
        <f t="shared" si="38"/>
        <v>-7.9936057773011271E-14</v>
      </c>
      <c r="AC965" s="236" t="e">
        <v>#N/A</v>
      </c>
      <c r="AD965" s="236">
        <v>1.5646895631560298E-2</v>
      </c>
    </row>
    <row r="966" spans="23:30" x14ac:dyDescent="0.2">
      <c r="W966" s="144"/>
      <c r="X966" s="113" t="str">
        <f t="shared" si="37"/>
        <v>1w</v>
      </c>
      <c r="Y966" s="106">
        <f>_xll.qlCalendarAdvance(Calendar,Y965,X966,"f",FALSE)</f>
        <v>45965</v>
      </c>
      <c r="Z966" s="108">
        <f>_xll.qlCalendarAdvance(Calendar,Y966,0&amp;"D")</f>
        <v>45965</v>
      </c>
      <c r="AA966" s="109">
        <v>1.5661189569513567E-2</v>
      </c>
      <c r="AB966" s="143">
        <f t="shared" si="38"/>
        <v>-7.9936057773011271E-14</v>
      </c>
      <c r="AC966" s="236" t="e">
        <v>#N/A</v>
      </c>
      <c r="AD966" s="236">
        <v>1.5661189569593503E-2</v>
      </c>
    </row>
    <row r="967" spans="23:30" x14ac:dyDescent="0.2">
      <c r="W967" s="144"/>
      <c r="X967" s="113" t="str">
        <f t="shared" si="37"/>
        <v>1w</v>
      </c>
      <c r="Y967" s="106">
        <f>_xll.qlCalendarAdvance(Calendar,Y966,X967,"f",FALSE)</f>
        <v>45972</v>
      </c>
      <c r="Z967" s="108">
        <f>_xll.qlCalendarAdvance(Calendar,Y967,0&amp;"D")</f>
        <v>45972</v>
      </c>
      <c r="AA967" s="109">
        <v>1.5674914430681142E-2</v>
      </c>
      <c r="AB967" s="143">
        <f t="shared" si="38"/>
        <v>0</v>
      </c>
      <c r="AC967" s="236" t="e">
        <v>#N/A</v>
      </c>
      <c r="AD967" s="236">
        <v>1.5674914430681142E-2</v>
      </c>
    </row>
    <row r="968" spans="23:30" x14ac:dyDescent="0.2">
      <c r="W968" s="144"/>
      <c r="X968" s="113" t="str">
        <f t="shared" si="37"/>
        <v>1w</v>
      </c>
      <c r="Y968" s="106">
        <f>_xll.qlCalendarAdvance(Calendar,Y967,X968,"f",FALSE)</f>
        <v>45979</v>
      </c>
      <c r="Z968" s="108">
        <f>_xll.qlCalendarAdvance(Calendar,Y968,0&amp;"D")</f>
        <v>45979</v>
      </c>
      <c r="AA968" s="109">
        <v>1.5688070214903149E-2</v>
      </c>
      <c r="AB968" s="143">
        <f t="shared" si="38"/>
        <v>0</v>
      </c>
      <c r="AC968" s="236" t="e">
        <v>#N/A</v>
      </c>
      <c r="AD968" s="236">
        <v>1.5688070214903149E-2</v>
      </c>
    </row>
    <row r="969" spans="23:30" x14ac:dyDescent="0.2">
      <c r="W969" s="144"/>
      <c r="X969" s="113" t="str">
        <f t="shared" si="37"/>
        <v>1w</v>
      </c>
      <c r="Y969" s="106">
        <f>_xll.qlCalendarAdvance(Calendar,Y968,X969,"f",FALSE)</f>
        <v>45986</v>
      </c>
      <c r="Z969" s="108">
        <f>_xll.qlCalendarAdvance(Calendar,Y969,0&amp;"D")</f>
        <v>45986</v>
      </c>
      <c r="AA969" s="109">
        <v>1.5700656922019718E-2</v>
      </c>
      <c r="AB969" s="143">
        <f t="shared" si="38"/>
        <v>0</v>
      </c>
      <c r="AC969" s="236" t="e">
        <v>#N/A</v>
      </c>
      <c r="AD969" s="236">
        <v>1.5700656922019718E-2</v>
      </c>
    </row>
    <row r="970" spans="23:30" x14ac:dyDescent="0.2">
      <c r="W970" s="144"/>
      <c r="X970" s="113" t="str">
        <f t="shared" si="37"/>
        <v>1w</v>
      </c>
      <c r="Y970" s="106">
        <f>_xll.qlCalendarAdvance(Calendar,Y969,X970,"f",FALSE)</f>
        <v>45993</v>
      </c>
      <c r="Z970" s="108">
        <f>_xll.qlCalendarAdvance(Calendar,Y970,0&amp;"D")</f>
        <v>45993</v>
      </c>
      <c r="AA970" s="109">
        <v>1.5712674552110784E-2</v>
      </c>
      <c r="AB970" s="143">
        <f t="shared" si="38"/>
        <v>0</v>
      </c>
      <c r="AC970" s="236" t="e">
        <v>#N/A</v>
      </c>
      <c r="AD970" s="236">
        <v>1.5712674552110784E-2</v>
      </c>
    </row>
    <row r="971" spans="23:30" x14ac:dyDescent="0.2">
      <c r="W971" s="144"/>
      <c r="X971" s="113" t="str">
        <f t="shared" si="37"/>
        <v>1w</v>
      </c>
      <c r="Y971" s="106">
        <f>_xll.qlCalendarAdvance(Calendar,Y970,X971,"f",FALSE)</f>
        <v>46000</v>
      </c>
      <c r="Z971" s="108">
        <f>_xll.qlCalendarAdvance(Calendar,Y971,0&amp;"D")</f>
        <v>46000</v>
      </c>
      <c r="AA971" s="109">
        <v>1.572412310509641E-2</v>
      </c>
      <c r="AB971" s="143">
        <f t="shared" si="38"/>
        <v>7.9936057773011271E-14</v>
      </c>
      <c r="AC971" s="236" t="e">
        <v>#N/A</v>
      </c>
      <c r="AD971" s="236">
        <v>1.5724123105016474E-2</v>
      </c>
    </row>
    <row r="972" spans="23:30" x14ac:dyDescent="0.2">
      <c r="W972" s="144"/>
      <c r="X972" s="113" t="str">
        <f t="shared" si="37"/>
        <v>1w</v>
      </c>
      <c r="Y972" s="106">
        <f>_xll.qlCalendarAdvance(Calendar,Y971,X972,"f",FALSE)</f>
        <v>46007</v>
      </c>
      <c r="Z972" s="108">
        <f>_xll.qlCalendarAdvance(Calendar,Y972,0&amp;"D")</f>
        <v>46007</v>
      </c>
      <c r="AA972" s="109">
        <v>1.573500258073679E-2</v>
      </c>
      <c r="AB972" s="143">
        <f t="shared" si="38"/>
        <v>0</v>
      </c>
      <c r="AC972" s="236" t="e">
        <v>#N/A</v>
      </c>
      <c r="AD972" s="236">
        <v>1.573500258073679E-2</v>
      </c>
    </row>
    <row r="973" spans="23:30" x14ac:dyDescent="0.2">
      <c r="W973" s="144"/>
      <c r="X973" s="113" t="str">
        <f t="shared" ref="X973:X1036" si="39">X972</f>
        <v>1w</v>
      </c>
      <c r="Y973" s="106">
        <f>_xll.qlCalendarAdvance(Calendar,Y972,X973,"f",FALSE)</f>
        <v>46014</v>
      </c>
      <c r="Z973" s="108">
        <f>_xll.qlCalendarAdvance(Calendar,Y973,0&amp;"D")</f>
        <v>46014</v>
      </c>
      <c r="AA973" s="109">
        <v>1.5745312979191795E-2</v>
      </c>
      <c r="AB973" s="143">
        <f t="shared" si="38"/>
        <v>0</v>
      </c>
      <c r="AC973" s="236" t="e">
        <v>#N/A</v>
      </c>
      <c r="AD973" s="236">
        <v>1.5745312979191795E-2</v>
      </c>
    </row>
    <row r="974" spans="23:30" x14ac:dyDescent="0.2">
      <c r="W974" s="144"/>
      <c r="X974" s="113" t="str">
        <f t="shared" si="39"/>
        <v>1w</v>
      </c>
      <c r="Y974" s="106">
        <f>_xll.qlCalendarAdvance(Calendar,Y973,X974,"f",FALSE)</f>
        <v>46021</v>
      </c>
      <c r="Z974" s="108">
        <f>_xll.qlCalendarAdvance(Calendar,Y974,0&amp;"D")</f>
        <v>46021</v>
      </c>
      <c r="AA974" s="109">
        <v>1.5755054300461424E-2</v>
      </c>
      <c r="AB974" s="143">
        <f t="shared" si="38"/>
        <v>7.9936057773011271E-14</v>
      </c>
      <c r="AC974" s="236" t="e">
        <v>#N/A</v>
      </c>
      <c r="AD974" s="236">
        <v>1.5755054300381488E-2</v>
      </c>
    </row>
    <row r="975" spans="23:30" x14ac:dyDescent="0.2">
      <c r="W975" s="144"/>
      <c r="X975" s="113" t="str">
        <f t="shared" si="39"/>
        <v>1w</v>
      </c>
      <c r="Y975" s="106">
        <f>_xll.qlCalendarAdvance(Calendar,Y974,X975,"f",FALSE)</f>
        <v>46028</v>
      </c>
      <c r="Z975" s="108">
        <f>_xll.qlCalendarAdvance(Calendar,Y975,0&amp;"D")</f>
        <v>46028</v>
      </c>
      <c r="AA975" s="109">
        <v>1.5764226544225934E-2</v>
      </c>
      <c r="AB975" s="143">
        <f t="shared" si="38"/>
        <v>0</v>
      </c>
      <c r="AC975" s="236" t="e">
        <v>#N/A</v>
      </c>
      <c r="AD975" s="236">
        <v>1.5764226544225934E-2</v>
      </c>
    </row>
    <row r="976" spans="23:30" x14ac:dyDescent="0.2">
      <c r="W976" s="144"/>
      <c r="X976" s="113" t="str">
        <f t="shared" si="39"/>
        <v>1w</v>
      </c>
      <c r="Y976" s="106">
        <f>_xll.qlCalendarAdvance(Calendar,Y975,X976,"f",FALSE)</f>
        <v>46035</v>
      </c>
      <c r="Z976" s="108">
        <f>_xll.qlCalendarAdvance(Calendar,Y976,0&amp;"D")</f>
        <v>46035</v>
      </c>
      <c r="AA976" s="109">
        <v>1.5772829710565262E-2</v>
      </c>
      <c r="AB976" s="143">
        <f t="shared" si="38"/>
        <v>0</v>
      </c>
      <c r="AC976" s="236" t="e">
        <v>#N/A</v>
      </c>
      <c r="AD976" s="236">
        <v>1.5772829710565262E-2</v>
      </c>
    </row>
    <row r="977" spans="23:30" x14ac:dyDescent="0.2">
      <c r="W977" s="144"/>
      <c r="X977" s="113" t="str">
        <f t="shared" si="39"/>
        <v>1w</v>
      </c>
      <c r="Y977" s="106">
        <f>_xll.qlCalendarAdvance(Calendar,Y976,X977,"f",FALSE)</f>
        <v>46042</v>
      </c>
      <c r="Z977" s="108">
        <f>_xll.qlCalendarAdvance(Calendar,Y977,0&amp;"D")</f>
        <v>46042</v>
      </c>
      <c r="AA977" s="109">
        <v>1.5780863799559341E-2</v>
      </c>
      <c r="AB977" s="143">
        <f t="shared" si="38"/>
        <v>0</v>
      </c>
      <c r="AC977" s="236" t="e">
        <v>#N/A</v>
      </c>
      <c r="AD977" s="236">
        <v>1.5780863799559341E-2</v>
      </c>
    </row>
    <row r="978" spans="23:30" x14ac:dyDescent="0.2">
      <c r="W978" s="144"/>
      <c r="X978" s="113" t="str">
        <f t="shared" si="39"/>
        <v>1w</v>
      </c>
      <c r="Y978" s="106">
        <f>_xll.qlCalendarAdvance(Calendar,Y977,X978,"f",FALSE)</f>
        <v>46049</v>
      </c>
      <c r="Z978" s="108">
        <f>_xll.qlCalendarAdvance(Calendar,Y978,0&amp;"D")</f>
        <v>46049</v>
      </c>
      <c r="AA978" s="109">
        <v>1.5788328811048302E-2</v>
      </c>
      <c r="AB978" s="143">
        <f t="shared" si="38"/>
        <v>0</v>
      </c>
      <c r="AC978" s="236" t="e">
        <v>#N/A</v>
      </c>
      <c r="AD978" s="236">
        <v>1.5788328811048302E-2</v>
      </c>
    </row>
    <row r="979" spans="23:30" x14ac:dyDescent="0.2">
      <c r="W979" s="144"/>
      <c r="X979" s="113" t="str">
        <f t="shared" si="39"/>
        <v>1w</v>
      </c>
      <c r="Y979" s="106">
        <f>_xll.qlCalendarAdvance(Calendar,Y978,X979,"f",FALSE)</f>
        <v>46056</v>
      </c>
      <c r="Z979" s="108">
        <f>_xll.qlCalendarAdvance(Calendar,Y979,0&amp;"D")</f>
        <v>46056</v>
      </c>
      <c r="AA979" s="109">
        <v>1.579522474511208E-2</v>
      </c>
      <c r="AB979" s="143">
        <f t="shared" si="38"/>
        <v>0</v>
      </c>
      <c r="AC979" s="236" t="e">
        <v>#N/A</v>
      </c>
      <c r="AD979" s="236">
        <v>1.579522474511208E-2</v>
      </c>
    </row>
    <row r="980" spans="23:30" x14ac:dyDescent="0.2">
      <c r="W980" s="144"/>
      <c r="X980" s="113" t="str">
        <f t="shared" si="39"/>
        <v>1w</v>
      </c>
      <c r="Y980" s="106">
        <f>_xll.qlCalendarAdvance(Calendar,Y979,X980,"f",FALSE)</f>
        <v>46063</v>
      </c>
      <c r="Z980" s="108">
        <f>_xll.qlCalendarAdvance(Calendar,Y980,0&amp;"D")</f>
        <v>46063</v>
      </c>
      <c r="AA980" s="109">
        <v>1.5801551601510866E-2</v>
      </c>
      <c r="AB980" s="143">
        <f t="shared" si="38"/>
        <v>0</v>
      </c>
      <c r="AC980" s="236" t="e">
        <v>#N/A</v>
      </c>
      <c r="AD980" s="236">
        <v>1.5801551601510866E-2</v>
      </c>
    </row>
    <row r="981" spans="23:30" x14ac:dyDescent="0.2">
      <c r="W981" s="144"/>
      <c r="X981" s="113" t="str">
        <f t="shared" si="39"/>
        <v>1w</v>
      </c>
      <c r="Y981" s="106">
        <f>_xll.qlCalendarAdvance(Calendar,Y980,X981,"f",FALSE)</f>
        <v>46070</v>
      </c>
      <c r="Z981" s="108">
        <f>_xll.qlCalendarAdvance(Calendar,Y981,0&amp;"D")</f>
        <v>46070</v>
      </c>
      <c r="AA981" s="109">
        <v>1.5807309380404533E-2</v>
      </c>
      <c r="AB981" s="143">
        <f t="shared" ref="AB981:AB1044" si="40">AA981-AD981</f>
        <v>0</v>
      </c>
      <c r="AC981" s="236" t="e">
        <v>#N/A</v>
      </c>
      <c r="AD981" s="236">
        <v>1.5807309380404533E-2</v>
      </c>
    </row>
    <row r="982" spans="23:30" x14ac:dyDescent="0.2">
      <c r="W982" s="144"/>
      <c r="X982" s="113" t="str">
        <f t="shared" si="39"/>
        <v>1w</v>
      </c>
      <c r="Y982" s="106">
        <f>_xll.qlCalendarAdvance(Calendar,Y981,X982,"f",FALSE)</f>
        <v>46077</v>
      </c>
      <c r="Z982" s="108">
        <f>_xll.qlCalendarAdvance(Calendar,Y982,0&amp;"D")</f>
        <v>46077</v>
      </c>
      <c r="AA982" s="109">
        <v>1.5812498081713144E-2</v>
      </c>
      <c r="AB982" s="143">
        <f t="shared" si="40"/>
        <v>0</v>
      </c>
      <c r="AC982" s="236" t="e">
        <v>#N/A</v>
      </c>
      <c r="AD982" s="236">
        <v>1.5812498081713144E-2</v>
      </c>
    </row>
    <row r="983" spans="23:30" x14ac:dyDescent="0.2">
      <c r="W983" s="144"/>
      <c r="X983" s="113" t="str">
        <f t="shared" si="39"/>
        <v>1w</v>
      </c>
      <c r="Y983" s="106">
        <f>_xll.qlCalendarAdvance(Calendar,Y982,X983,"f",FALSE)</f>
        <v>46084</v>
      </c>
      <c r="Z983" s="108">
        <f>_xll.qlCalendarAdvance(Calendar,Y983,0&amp;"D")</f>
        <v>46084</v>
      </c>
      <c r="AA983" s="109">
        <v>1.5817117705356765E-2</v>
      </c>
      <c r="AB983" s="143">
        <f t="shared" si="40"/>
        <v>-7.9936057773011271E-14</v>
      </c>
      <c r="AC983" s="236" t="e">
        <v>#N/A</v>
      </c>
      <c r="AD983" s="236">
        <v>1.5817117705436701E-2</v>
      </c>
    </row>
    <row r="984" spans="23:30" x14ac:dyDescent="0.2">
      <c r="W984" s="144"/>
      <c r="X984" s="113" t="str">
        <f t="shared" si="39"/>
        <v>1w</v>
      </c>
      <c r="Y984" s="106">
        <f>_xll.qlCalendarAdvance(Calendar,Y983,X984,"f",FALSE)</f>
        <v>46091</v>
      </c>
      <c r="Z984" s="108">
        <f>_xll.qlCalendarAdvance(Calendar,Y984,0&amp;"D")</f>
        <v>46091</v>
      </c>
      <c r="AA984" s="109">
        <v>1.582116825141533E-2</v>
      </c>
      <c r="AB984" s="143">
        <f t="shared" si="40"/>
        <v>0</v>
      </c>
      <c r="AC984" s="236" t="e">
        <v>#N/A</v>
      </c>
      <c r="AD984" s="236">
        <v>1.582116825141533E-2</v>
      </c>
    </row>
    <row r="985" spans="23:30" x14ac:dyDescent="0.2">
      <c r="W985" s="144"/>
      <c r="X985" s="113" t="str">
        <f t="shared" si="39"/>
        <v>1w</v>
      </c>
      <c r="Y985" s="106">
        <f>_xll.qlCalendarAdvance(Calendar,Y984,X985,"f",FALSE)</f>
        <v>46098</v>
      </c>
      <c r="Z985" s="108">
        <f>_xll.qlCalendarAdvance(Calendar,Y985,0&amp;"D")</f>
        <v>46098</v>
      </c>
      <c r="AA985" s="109">
        <v>1.5824649719728967E-2</v>
      </c>
      <c r="AB985" s="143">
        <f t="shared" si="40"/>
        <v>0</v>
      </c>
      <c r="AC985" s="236" t="e">
        <v>#N/A</v>
      </c>
      <c r="AD985" s="236">
        <v>1.5824649719728967E-2</v>
      </c>
    </row>
    <row r="986" spans="23:30" x14ac:dyDescent="0.2">
      <c r="W986" s="144"/>
      <c r="X986" s="113" t="str">
        <f t="shared" si="39"/>
        <v>1w</v>
      </c>
      <c r="Y986" s="106">
        <f>_xll.qlCalendarAdvance(Calendar,Y985,X986,"f",FALSE)</f>
        <v>46105</v>
      </c>
      <c r="Z986" s="108">
        <f>_xll.qlCalendarAdvance(Calendar,Y986,0&amp;"D")</f>
        <v>46105</v>
      </c>
      <c r="AA986" s="109">
        <v>1.5827562110377613E-2</v>
      </c>
      <c r="AB986" s="143">
        <f t="shared" si="40"/>
        <v>-7.9936057773011271E-14</v>
      </c>
      <c r="AC986" s="236" t="e">
        <v>#N/A</v>
      </c>
      <c r="AD986" s="236">
        <v>1.5827562110457549E-2</v>
      </c>
    </row>
    <row r="987" spans="23:30" x14ac:dyDescent="0.2">
      <c r="W987" s="144"/>
      <c r="X987" s="113" t="str">
        <f t="shared" si="39"/>
        <v>1w</v>
      </c>
      <c r="Y987" s="106">
        <f>_xll.qlCalendarAdvance(Calendar,Y986,X987,"f",FALSE)</f>
        <v>46112</v>
      </c>
      <c r="Z987" s="108">
        <f>_xll.qlCalendarAdvance(Calendar,Y987,0&amp;"D")</f>
        <v>46112</v>
      </c>
      <c r="AA987" s="109">
        <v>1.582990542352114E-2</v>
      </c>
      <c r="AB987" s="143">
        <f t="shared" si="40"/>
        <v>7.9936057773011271E-14</v>
      </c>
      <c r="AC987" s="236" t="e">
        <v>#N/A</v>
      </c>
      <c r="AD987" s="236">
        <v>1.5829905423441204E-2</v>
      </c>
    </row>
    <row r="988" spans="23:30" x14ac:dyDescent="0.2">
      <c r="W988" s="144"/>
      <c r="X988" s="113" t="str">
        <f t="shared" si="39"/>
        <v>1w</v>
      </c>
      <c r="Y988" s="106">
        <f>_xll.qlCalendarAdvance(Calendar,Y987,X988,"f",FALSE)</f>
        <v>46119</v>
      </c>
      <c r="Z988" s="108">
        <f>_xll.qlCalendarAdvance(Calendar,Y988,0&amp;"D")</f>
        <v>46119</v>
      </c>
      <c r="AA988" s="109">
        <v>1.5831679658759867E-2</v>
      </c>
      <c r="AB988" s="143">
        <f t="shared" si="40"/>
        <v>7.9936057773011271E-14</v>
      </c>
      <c r="AC988" s="236" t="e">
        <v>#N/A</v>
      </c>
      <c r="AD988" s="236">
        <v>1.5831679658679931E-2</v>
      </c>
    </row>
    <row r="989" spans="23:30" x14ac:dyDescent="0.2">
      <c r="W989" s="144"/>
      <c r="X989" s="113" t="str">
        <f t="shared" si="39"/>
        <v>1w</v>
      </c>
      <c r="Y989" s="106">
        <f>_xll.qlCalendarAdvance(Calendar,Y988,X989,"f",FALSE)</f>
        <v>46126</v>
      </c>
      <c r="Z989" s="108">
        <f>_xll.qlCalendarAdvance(Calendar,Y989,0&amp;"D")</f>
        <v>46126</v>
      </c>
      <c r="AA989" s="109">
        <v>1.5832884816253667E-2</v>
      </c>
      <c r="AB989" s="143">
        <f t="shared" si="40"/>
        <v>0</v>
      </c>
      <c r="AC989" s="236" t="e">
        <v>#N/A</v>
      </c>
      <c r="AD989" s="236">
        <v>1.5832884816253667E-2</v>
      </c>
    </row>
    <row r="990" spans="23:30" x14ac:dyDescent="0.2">
      <c r="W990" s="144"/>
      <c r="X990" s="113" t="str">
        <f t="shared" si="39"/>
        <v>1w</v>
      </c>
      <c r="Y990" s="106">
        <f>_xll.qlCalendarAdvance(Calendar,Y989,X990,"f",FALSE)</f>
        <v>46133</v>
      </c>
      <c r="Z990" s="108">
        <f>_xll.qlCalendarAdvance(Calendar,Y990,0&amp;"D")</f>
        <v>46133</v>
      </c>
      <c r="AA990" s="109">
        <v>1.5833520896162412E-2</v>
      </c>
      <c r="AB990" s="143">
        <f t="shared" si="40"/>
        <v>0</v>
      </c>
      <c r="AC990" s="236" t="e">
        <v>#N/A</v>
      </c>
      <c r="AD990" s="236">
        <v>1.5833520896162412E-2</v>
      </c>
    </row>
    <row r="991" spans="23:30" x14ac:dyDescent="0.2">
      <c r="W991" s="144"/>
      <c r="X991" s="113" t="str">
        <f t="shared" si="39"/>
        <v>1w</v>
      </c>
      <c r="Y991" s="106">
        <f>_xll.qlCalendarAdvance(Calendar,Y990,X991,"f",FALSE)</f>
        <v>46140</v>
      </c>
      <c r="Z991" s="108">
        <f>_xll.qlCalendarAdvance(Calendar,Y991,0&amp;"D")</f>
        <v>46140</v>
      </c>
      <c r="AA991" s="109">
        <v>1.5833587898166357E-2</v>
      </c>
      <c r="AB991" s="143">
        <f t="shared" si="40"/>
        <v>0</v>
      </c>
      <c r="AC991" s="236" t="e">
        <v>#N/A</v>
      </c>
      <c r="AD991" s="236">
        <v>1.5833587898166357E-2</v>
      </c>
    </row>
    <row r="992" spans="23:30" x14ac:dyDescent="0.2">
      <c r="W992" s="144"/>
      <c r="X992" s="113" t="str">
        <f t="shared" si="39"/>
        <v>1w</v>
      </c>
      <c r="Y992" s="106">
        <f>_xll.qlCalendarAdvance(Calendar,Y991,X992,"f",FALSE)</f>
        <v>46147</v>
      </c>
      <c r="Z992" s="108">
        <f>_xll.qlCalendarAdvance(Calendar,Y992,0&amp;"D")</f>
        <v>46147</v>
      </c>
      <c r="AA992" s="109">
        <v>1.5833085822665183E-2</v>
      </c>
      <c r="AB992" s="143">
        <f t="shared" si="40"/>
        <v>0</v>
      </c>
      <c r="AC992" s="236" t="e">
        <v>#N/A</v>
      </c>
      <c r="AD992" s="236">
        <v>1.5833085822665183E-2</v>
      </c>
    </row>
    <row r="993" spans="23:30" x14ac:dyDescent="0.2">
      <c r="W993" s="144"/>
      <c r="X993" s="113" t="str">
        <f t="shared" si="39"/>
        <v>1w</v>
      </c>
      <c r="Y993" s="106">
        <f>_xll.qlCalendarAdvance(Calendar,Y992,X993,"f",FALSE)</f>
        <v>46154</v>
      </c>
      <c r="Z993" s="108">
        <f>_xll.qlCalendarAdvance(Calendar,Y993,0&amp;"D")</f>
        <v>46154</v>
      </c>
      <c r="AA993" s="109">
        <v>1.5832014669259209E-2</v>
      </c>
      <c r="AB993" s="143">
        <f t="shared" si="40"/>
        <v>0</v>
      </c>
      <c r="AC993" s="236" t="e">
        <v>#N/A</v>
      </c>
      <c r="AD993" s="236">
        <v>1.5832014669259209E-2</v>
      </c>
    </row>
    <row r="994" spans="23:30" x14ac:dyDescent="0.2">
      <c r="W994" s="144"/>
      <c r="X994" s="113" t="str">
        <f t="shared" si="39"/>
        <v>1w</v>
      </c>
      <c r="Y994" s="106">
        <f>_xll.qlCalendarAdvance(Calendar,Y993,X994,"f",FALSE)</f>
        <v>46161</v>
      </c>
      <c r="Z994" s="108">
        <f>_xll.qlCalendarAdvance(Calendar,Y994,0&amp;"D")</f>
        <v>46161</v>
      </c>
      <c r="AA994" s="109">
        <v>1.583037443826818E-2</v>
      </c>
      <c r="AB994" s="143">
        <f t="shared" si="40"/>
        <v>0</v>
      </c>
      <c r="AC994" s="236" t="e">
        <v>#N/A</v>
      </c>
      <c r="AD994" s="236">
        <v>1.583037443826818E-2</v>
      </c>
    </row>
    <row r="995" spans="23:30" x14ac:dyDescent="0.2">
      <c r="W995" s="144"/>
      <c r="X995" s="113" t="str">
        <f t="shared" si="39"/>
        <v>1w</v>
      </c>
      <c r="Y995" s="106">
        <f>_xll.qlCalendarAdvance(Calendar,Y994,X995,"f",FALSE)</f>
        <v>46168</v>
      </c>
      <c r="Z995" s="108">
        <f>_xll.qlCalendarAdvance(Calendar,Y995,0&amp;"D")</f>
        <v>46168</v>
      </c>
      <c r="AA995" s="109">
        <v>1.5828165129612159E-2</v>
      </c>
      <c r="AB995" s="143">
        <f t="shared" si="40"/>
        <v>7.9936057773011271E-14</v>
      </c>
      <c r="AC995" s="236" t="e">
        <v>#N/A</v>
      </c>
      <c r="AD995" s="236">
        <v>1.5828165129532223E-2</v>
      </c>
    </row>
    <row r="996" spans="23:30" x14ac:dyDescent="0.2">
      <c r="W996" s="144"/>
      <c r="X996" s="113" t="str">
        <f t="shared" si="39"/>
        <v>1w</v>
      </c>
      <c r="Y996" s="106">
        <f>_xll.qlCalendarAdvance(Calendar,Y995,X996,"f",FALSE)</f>
        <v>46175</v>
      </c>
      <c r="Z996" s="108">
        <f>_xll.qlCalendarAdvance(Calendar,Y996,0&amp;"D")</f>
        <v>46175</v>
      </c>
      <c r="AA996" s="109">
        <v>1.5825404356801798E-2</v>
      </c>
      <c r="AB996" s="143">
        <f t="shared" si="40"/>
        <v>0</v>
      </c>
      <c r="AC996" s="236" t="e">
        <v>#N/A</v>
      </c>
      <c r="AD996" s="236">
        <v>1.5825404356801798E-2</v>
      </c>
    </row>
    <row r="997" spans="23:30" x14ac:dyDescent="0.2">
      <c r="W997" s="144"/>
      <c r="X997" s="113" t="str">
        <f t="shared" si="39"/>
        <v>1w</v>
      </c>
      <c r="Y997" s="106">
        <f>_xll.qlCalendarAdvance(Calendar,Y996,X997,"f",FALSE)</f>
        <v>46182</v>
      </c>
      <c r="Z997" s="108">
        <f>_xll.qlCalendarAdvance(Calendar,Y997,0&amp;"D")</f>
        <v>46182</v>
      </c>
      <c r="AA997" s="109">
        <v>1.582258530349101E-2</v>
      </c>
      <c r="AB997" s="143">
        <f t="shared" si="40"/>
        <v>0</v>
      </c>
      <c r="AC997" s="236" t="e">
        <v>#N/A</v>
      </c>
      <c r="AD997" s="236">
        <v>1.582258530349101E-2</v>
      </c>
    </row>
    <row r="998" spans="23:30" x14ac:dyDescent="0.2">
      <c r="W998" s="144"/>
      <c r="X998" s="113" t="str">
        <f t="shared" si="39"/>
        <v>1w</v>
      </c>
      <c r="Y998" s="106">
        <f>_xll.qlCalendarAdvance(Calendar,Y997,X998,"f",FALSE)</f>
        <v>46189</v>
      </c>
      <c r="Z998" s="108">
        <f>_xll.qlCalendarAdvance(Calendar,Y998,0&amp;"D")</f>
        <v>46189</v>
      </c>
      <c r="AA998" s="109">
        <v>1.5819936947636393E-2</v>
      </c>
      <c r="AB998" s="143">
        <f t="shared" si="40"/>
        <v>0</v>
      </c>
      <c r="AC998" s="236" t="e">
        <v>#N/A</v>
      </c>
      <c r="AD998" s="236">
        <v>1.5819936947636393E-2</v>
      </c>
    </row>
    <row r="999" spans="23:30" x14ac:dyDescent="0.2">
      <c r="W999" s="144"/>
      <c r="X999" s="113" t="str">
        <f t="shared" si="39"/>
        <v>1w</v>
      </c>
      <c r="Y999" s="106">
        <f>_xll.qlCalendarAdvance(Calendar,Y998,X999,"f",FALSE)</f>
        <v>46196</v>
      </c>
      <c r="Z999" s="108">
        <f>_xll.qlCalendarAdvance(Calendar,Y999,0&amp;"D")</f>
        <v>46196</v>
      </c>
      <c r="AA999" s="109">
        <v>1.5817459289237945E-2</v>
      </c>
      <c r="AB999" s="143">
        <f t="shared" si="40"/>
        <v>0</v>
      </c>
      <c r="AC999" s="236" t="e">
        <v>#N/A</v>
      </c>
      <c r="AD999" s="236">
        <v>1.5817459289237945E-2</v>
      </c>
    </row>
    <row r="1000" spans="23:30" x14ac:dyDescent="0.2">
      <c r="W1000" s="144"/>
      <c r="X1000" s="113" t="str">
        <f t="shared" si="39"/>
        <v>1w</v>
      </c>
      <c r="Y1000" s="106">
        <f>_xll.qlCalendarAdvance(Calendar,Y999,X1000,"f",FALSE)</f>
        <v>46203</v>
      </c>
      <c r="Z1000" s="108">
        <f>_xll.qlCalendarAdvance(Calendar,Y1000,0&amp;"D")</f>
        <v>46203</v>
      </c>
      <c r="AA1000" s="109">
        <v>1.5815152328295667E-2</v>
      </c>
      <c r="AB1000" s="143">
        <f t="shared" si="40"/>
        <v>0</v>
      </c>
      <c r="AC1000" s="236" t="e">
        <v>#N/A</v>
      </c>
      <c r="AD1000" s="236">
        <v>1.5815152328295667E-2</v>
      </c>
    </row>
    <row r="1001" spans="23:30" x14ac:dyDescent="0.2">
      <c r="W1001" s="144"/>
      <c r="X1001" s="113" t="str">
        <f t="shared" si="39"/>
        <v>1w</v>
      </c>
      <c r="Y1001" s="106">
        <f>_xll.qlCalendarAdvance(Calendar,Y1000,X1001,"f",FALSE)</f>
        <v>46210</v>
      </c>
      <c r="Z1001" s="108">
        <f>_xll.qlCalendarAdvance(Calendar,Y1001,0&amp;"D")</f>
        <v>46210</v>
      </c>
      <c r="AA1001" s="109">
        <v>1.581301606480956E-2</v>
      </c>
      <c r="AB1001" s="143">
        <f t="shared" si="40"/>
        <v>0</v>
      </c>
      <c r="AC1001" s="236" t="e">
        <v>#N/A</v>
      </c>
      <c r="AD1001" s="236">
        <v>1.581301606480956E-2</v>
      </c>
    </row>
    <row r="1002" spans="23:30" x14ac:dyDescent="0.2">
      <c r="W1002" s="144"/>
      <c r="X1002" s="113" t="str">
        <f t="shared" si="39"/>
        <v>1w</v>
      </c>
      <c r="Y1002" s="106">
        <f>_xll.qlCalendarAdvance(Calendar,Y1001,X1002,"f",FALSE)</f>
        <v>46217</v>
      </c>
      <c r="Z1002" s="108">
        <f>_xll.qlCalendarAdvance(Calendar,Y1002,0&amp;"D")</f>
        <v>46217</v>
      </c>
      <c r="AA1002" s="109">
        <v>1.5811050498699686E-2</v>
      </c>
      <c r="AB1002" s="143">
        <f t="shared" si="40"/>
        <v>0</v>
      </c>
      <c r="AC1002" s="236" t="e">
        <v>#N/A</v>
      </c>
      <c r="AD1002" s="236">
        <v>1.5811050498699686E-2</v>
      </c>
    </row>
    <row r="1003" spans="23:30" x14ac:dyDescent="0.2">
      <c r="W1003" s="144"/>
      <c r="X1003" s="113" t="str">
        <f t="shared" si="39"/>
        <v>1w</v>
      </c>
      <c r="Y1003" s="106">
        <f>_xll.qlCalendarAdvance(Calendar,Y1002,X1003,"f",FALSE)</f>
        <v>46224</v>
      </c>
      <c r="Z1003" s="108">
        <f>_xll.qlCalendarAdvance(Calendar,Y1003,0&amp;"D")</f>
        <v>46224</v>
      </c>
      <c r="AA1003" s="109">
        <v>1.5809255630125918E-2</v>
      </c>
      <c r="AB1003" s="143">
        <f t="shared" si="40"/>
        <v>0</v>
      </c>
      <c r="AC1003" s="236" t="e">
        <v>#N/A</v>
      </c>
      <c r="AD1003" s="236">
        <v>1.5809255630125918E-2</v>
      </c>
    </row>
    <row r="1004" spans="23:30" x14ac:dyDescent="0.2">
      <c r="W1004" s="144"/>
      <c r="X1004" s="113" t="str">
        <f t="shared" si="39"/>
        <v>1w</v>
      </c>
      <c r="Y1004" s="106">
        <f>_xll.qlCalendarAdvance(Calendar,Y1003,X1004,"f",FALSE)</f>
        <v>46231</v>
      </c>
      <c r="Z1004" s="108">
        <f>_xll.qlCalendarAdvance(Calendar,Y1004,0&amp;"D")</f>
        <v>46231</v>
      </c>
      <c r="AA1004" s="109">
        <v>1.580763145900832E-2</v>
      </c>
      <c r="AB1004" s="143">
        <f t="shared" si="40"/>
        <v>0</v>
      </c>
      <c r="AC1004" s="236" t="e">
        <v>#N/A</v>
      </c>
      <c r="AD1004" s="236">
        <v>1.580763145900832E-2</v>
      </c>
    </row>
    <row r="1005" spans="23:30" x14ac:dyDescent="0.2">
      <c r="W1005" s="144"/>
      <c r="X1005" s="113" t="str">
        <f t="shared" si="39"/>
        <v>1w</v>
      </c>
      <c r="Y1005" s="106">
        <f>_xll.qlCalendarAdvance(Calendar,Y1004,X1005,"f",FALSE)</f>
        <v>46238</v>
      </c>
      <c r="Z1005" s="108">
        <f>_xll.qlCalendarAdvance(Calendar,Y1005,0&amp;"D")</f>
        <v>46238</v>
      </c>
      <c r="AA1005" s="109">
        <v>1.5806177985107084E-2</v>
      </c>
      <c r="AB1005" s="143">
        <f t="shared" si="40"/>
        <v>0</v>
      </c>
      <c r="AC1005" s="236" t="e">
        <v>#N/A</v>
      </c>
      <c r="AD1005" s="236">
        <v>1.5806177985107084E-2</v>
      </c>
    </row>
    <row r="1006" spans="23:30" x14ac:dyDescent="0.2">
      <c r="W1006" s="144"/>
      <c r="X1006" s="113" t="str">
        <f t="shared" si="39"/>
        <v>1w</v>
      </c>
      <c r="Y1006" s="106">
        <f>_xll.qlCalendarAdvance(Calendar,Y1005,X1006,"f",FALSE)</f>
        <v>46245</v>
      </c>
      <c r="Z1006" s="108">
        <f>_xll.qlCalendarAdvance(Calendar,Y1006,0&amp;"D")</f>
        <v>46245</v>
      </c>
      <c r="AA1006" s="109">
        <v>1.5804895208901826E-2</v>
      </c>
      <c r="AB1006" s="143">
        <f t="shared" si="40"/>
        <v>7.9936057773011271E-14</v>
      </c>
      <c r="AC1006" s="236" t="e">
        <v>#N/A</v>
      </c>
      <c r="AD1006" s="236">
        <v>1.580489520882189E-2</v>
      </c>
    </row>
    <row r="1007" spans="23:30" x14ac:dyDescent="0.2">
      <c r="W1007" s="144"/>
      <c r="X1007" s="113" t="str">
        <f t="shared" si="39"/>
        <v>1w</v>
      </c>
      <c r="Y1007" s="106">
        <f>_xll.qlCalendarAdvance(Calendar,Y1006,X1007,"f",FALSE)</f>
        <v>46252</v>
      </c>
      <c r="Z1007" s="108">
        <f>_xll.qlCalendarAdvance(Calendar,Y1007,0&amp;"D")</f>
        <v>46252</v>
      </c>
      <c r="AA1007" s="109">
        <v>1.5803783129992865E-2</v>
      </c>
      <c r="AB1007" s="143">
        <f t="shared" si="40"/>
        <v>0</v>
      </c>
      <c r="AC1007" s="236" t="e">
        <v>#N/A</v>
      </c>
      <c r="AD1007" s="236">
        <v>1.5803783129992865E-2</v>
      </c>
    </row>
    <row r="1008" spans="23:30" x14ac:dyDescent="0.2">
      <c r="W1008" s="144"/>
      <c r="X1008" s="113" t="str">
        <f t="shared" si="39"/>
        <v>1w</v>
      </c>
      <c r="Y1008" s="106">
        <f>_xll.qlCalendarAdvance(Calendar,Y1007,X1008,"f",FALSE)</f>
        <v>46259</v>
      </c>
      <c r="Z1008" s="108">
        <f>_xll.qlCalendarAdvance(Calendar,Y1008,0&amp;"D")</f>
        <v>46259</v>
      </c>
      <c r="AA1008" s="109">
        <v>1.5802841748540075E-2</v>
      </c>
      <c r="AB1008" s="143">
        <f t="shared" si="40"/>
        <v>0</v>
      </c>
      <c r="AC1008" s="236" t="e">
        <v>#N/A</v>
      </c>
      <c r="AD1008" s="236">
        <v>1.5802841748540075E-2</v>
      </c>
    </row>
    <row r="1009" spans="23:30" x14ac:dyDescent="0.2">
      <c r="W1009" s="144"/>
      <c r="X1009" s="113" t="str">
        <f t="shared" si="39"/>
        <v>1w</v>
      </c>
      <c r="Y1009" s="106">
        <f>_xll.qlCalendarAdvance(Calendar,Y1008,X1009,"f",FALSE)</f>
        <v>46266</v>
      </c>
      <c r="Z1009" s="108">
        <f>_xll.qlCalendarAdvance(Calendar,Y1009,0&amp;"D")</f>
        <v>46266</v>
      </c>
      <c r="AA1009" s="109">
        <v>1.5802071064463519E-2</v>
      </c>
      <c r="AB1009" s="143">
        <f t="shared" si="40"/>
        <v>0</v>
      </c>
      <c r="AC1009" s="236" t="e">
        <v>#N/A</v>
      </c>
      <c r="AD1009" s="236">
        <v>1.5802071064463519E-2</v>
      </c>
    </row>
    <row r="1010" spans="23:30" x14ac:dyDescent="0.2">
      <c r="W1010" s="144"/>
      <c r="X1010" s="113" t="str">
        <f t="shared" si="39"/>
        <v>1w</v>
      </c>
      <c r="Y1010" s="106">
        <f>_xll.qlCalendarAdvance(Calendar,Y1009,X1010,"f",FALSE)</f>
        <v>46273</v>
      </c>
      <c r="Z1010" s="108">
        <f>_xll.qlCalendarAdvance(Calendar,Y1010,0&amp;"D")</f>
        <v>46273</v>
      </c>
      <c r="AA1010" s="109">
        <v>1.5801471077843132E-2</v>
      </c>
      <c r="AB1010" s="143">
        <f t="shared" si="40"/>
        <v>0</v>
      </c>
      <c r="AC1010" s="236" t="e">
        <v>#N/A</v>
      </c>
      <c r="AD1010" s="236">
        <v>1.5801471077843132E-2</v>
      </c>
    </row>
    <row r="1011" spans="23:30" x14ac:dyDescent="0.2">
      <c r="W1011" s="144"/>
      <c r="X1011" s="113" t="str">
        <f t="shared" si="39"/>
        <v>1w</v>
      </c>
      <c r="Y1011" s="106">
        <f>_xll.qlCalendarAdvance(Calendar,Y1010,X1011,"f",FALSE)</f>
        <v>46280</v>
      </c>
      <c r="Z1011" s="108">
        <f>_xll.qlCalendarAdvance(Calendar,Y1011,0&amp;"D")</f>
        <v>46280</v>
      </c>
      <c r="AA1011" s="109">
        <v>1.5801041788758852E-2</v>
      </c>
      <c r="AB1011" s="143">
        <f t="shared" si="40"/>
        <v>7.9936057773011271E-14</v>
      </c>
      <c r="AC1011" s="236" t="e">
        <v>#N/A</v>
      </c>
      <c r="AD1011" s="236">
        <v>1.5801041788678916E-2</v>
      </c>
    </row>
    <row r="1012" spans="23:30" x14ac:dyDescent="0.2">
      <c r="W1012" s="144"/>
      <c r="X1012" s="113" t="str">
        <f t="shared" si="39"/>
        <v>1w</v>
      </c>
      <c r="Y1012" s="106">
        <f>_xll.qlCalendarAdvance(Calendar,Y1011,X1012,"f",FALSE)</f>
        <v>46287</v>
      </c>
      <c r="Z1012" s="108">
        <f>_xll.qlCalendarAdvance(Calendar,Y1012,0&amp;"D")</f>
        <v>46287</v>
      </c>
      <c r="AA1012" s="109">
        <v>1.5800783196970869E-2</v>
      </c>
      <c r="AB1012" s="143">
        <f t="shared" si="40"/>
        <v>0</v>
      </c>
      <c r="AC1012" s="236" t="e">
        <v>#N/A</v>
      </c>
      <c r="AD1012" s="236">
        <v>1.5800783196970869E-2</v>
      </c>
    </row>
    <row r="1013" spans="23:30" x14ac:dyDescent="0.2">
      <c r="W1013" s="144"/>
      <c r="X1013" s="113" t="str">
        <f t="shared" si="39"/>
        <v>1w</v>
      </c>
      <c r="Y1013" s="106">
        <f>_xll.qlCalendarAdvance(Calendar,Y1012,X1013,"f",FALSE)</f>
        <v>46294</v>
      </c>
      <c r="Z1013" s="108">
        <f>_xll.qlCalendarAdvance(Calendar,Y1013,0&amp;"D")</f>
        <v>46294</v>
      </c>
      <c r="AA1013" s="109">
        <v>1.5800695302639056E-2</v>
      </c>
      <c r="AB1013" s="143">
        <f t="shared" si="40"/>
        <v>7.9936057773011271E-14</v>
      </c>
      <c r="AC1013" s="236" t="e">
        <v>#N/A</v>
      </c>
      <c r="AD1013" s="236">
        <v>1.580069530255912E-2</v>
      </c>
    </row>
    <row r="1014" spans="23:30" x14ac:dyDescent="0.2">
      <c r="W1014" s="144"/>
      <c r="X1014" s="113" t="str">
        <f t="shared" si="39"/>
        <v>1w</v>
      </c>
      <c r="Y1014" s="106">
        <f>_xll.qlCalendarAdvance(Calendar,Y1013,X1014,"f",FALSE)</f>
        <v>46301</v>
      </c>
      <c r="Z1014" s="108">
        <f>_xll.qlCalendarAdvance(Calendar,Y1014,0&amp;"D")</f>
        <v>46301</v>
      </c>
      <c r="AA1014" s="109">
        <v>1.5800778105763413E-2</v>
      </c>
      <c r="AB1014" s="143">
        <f t="shared" si="40"/>
        <v>0</v>
      </c>
      <c r="AC1014" s="236" t="e">
        <v>#N/A</v>
      </c>
      <c r="AD1014" s="236">
        <v>1.5800778105763413E-2</v>
      </c>
    </row>
    <row r="1015" spans="23:30" x14ac:dyDescent="0.2">
      <c r="W1015" s="144"/>
      <c r="X1015" s="113" t="str">
        <f t="shared" si="39"/>
        <v>1w</v>
      </c>
      <c r="Y1015" s="106">
        <f>_xll.qlCalendarAdvance(Calendar,Y1014,X1015,"f",FALSE)</f>
        <v>46308</v>
      </c>
      <c r="Z1015" s="108">
        <f>_xll.qlCalendarAdvance(Calendar,Y1015,0&amp;"D")</f>
        <v>46308</v>
      </c>
      <c r="AA1015" s="109">
        <v>1.5801031606264004E-2</v>
      </c>
      <c r="AB1015" s="143">
        <f t="shared" si="40"/>
        <v>0</v>
      </c>
      <c r="AC1015" s="236" t="e">
        <v>#N/A</v>
      </c>
      <c r="AD1015" s="236">
        <v>1.5801031606264004E-2</v>
      </c>
    </row>
    <row r="1016" spans="23:30" x14ac:dyDescent="0.2">
      <c r="W1016" s="144"/>
      <c r="X1016" s="113" t="str">
        <f t="shared" si="39"/>
        <v>1w</v>
      </c>
      <c r="Y1016" s="106">
        <f>_xll.qlCalendarAdvance(Calendar,Y1015,X1016,"f",FALSE)</f>
        <v>46315</v>
      </c>
      <c r="Z1016" s="108">
        <f>_xll.qlCalendarAdvance(Calendar,Y1016,0&amp;"D")</f>
        <v>46315</v>
      </c>
      <c r="AA1016" s="109">
        <v>1.5801455804140829E-2</v>
      </c>
      <c r="AB1016" s="143">
        <f t="shared" si="40"/>
        <v>0</v>
      </c>
      <c r="AC1016" s="236" t="e">
        <v>#N/A</v>
      </c>
      <c r="AD1016" s="236">
        <v>1.5801455804140829E-2</v>
      </c>
    </row>
    <row r="1017" spans="23:30" x14ac:dyDescent="0.2">
      <c r="W1017" s="144"/>
      <c r="X1017" s="113" t="str">
        <f t="shared" si="39"/>
        <v>1w</v>
      </c>
      <c r="Y1017" s="106">
        <f>_xll.qlCalendarAdvance(Calendar,Y1016,X1017,"f",FALSE)</f>
        <v>46322</v>
      </c>
      <c r="Z1017" s="108">
        <f>_xll.qlCalendarAdvance(Calendar,Y1017,0&amp;"D")</f>
        <v>46322</v>
      </c>
      <c r="AA1017" s="109">
        <v>1.580205069955376E-2</v>
      </c>
      <c r="AB1017" s="143">
        <f t="shared" si="40"/>
        <v>-7.9936057773011271E-14</v>
      </c>
      <c r="AC1017" s="236" t="e">
        <v>#N/A</v>
      </c>
      <c r="AD1017" s="236">
        <v>1.5802050699633696E-2</v>
      </c>
    </row>
    <row r="1018" spans="23:30" x14ac:dyDescent="0.2">
      <c r="W1018" s="144"/>
      <c r="X1018" s="113" t="str">
        <f t="shared" si="39"/>
        <v>1w</v>
      </c>
      <c r="Y1018" s="106">
        <f>_xll.qlCalendarAdvance(Calendar,Y1017,X1018,"f",FALSE)</f>
        <v>46329</v>
      </c>
      <c r="Z1018" s="108">
        <f>_xll.qlCalendarAdvance(Calendar,Y1018,0&amp;"D")</f>
        <v>46329</v>
      </c>
      <c r="AA1018" s="109">
        <v>1.5802816292342925E-2</v>
      </c>
      <c r="AB1018" s="143">
        <f t="shared" si="40"/>
        <v>0</v>
      </c>
      <c r="AC1018" s="236" t="e">
        <v>#N/A</v>
      </c>
      <c r="AD1018" s="236">
        <v>1.5802816292342925E-2</v>
      </c>
    </row>
    <row r="1019" spans="23:30" x14ac:dyDescent="0.2">
      <c r="W1019" s="144"/>
      <c r="X1019" s="113" t="str">
        <f t="shared" si="39"/>
        <v>1w</v>
      </c>
      <c r="Y1019" s="106">
        <f>_xll.qlCalendarAdvance(Calendar,Y1018,X1019,"f",FALSE)</f>
        <v>46336</v>
      </c>
      <c r="Z1019" s="108">
        <f>_xll.qlCalendarAdvance(Calendar,Y1019,0&amp;"D")</f>
        <v>46336</v>
      </c>
      <c r="AA1019" s="109">
        <v>1.580375258258826E-2</v>
      </c>
      <c r="AB1019" s="143">
        <f t="shared" si="40"/>
        <v>0</v>
      </c>
      <c r="AC1019" s="236" t="e">
        <v>#N/A</v>
      </c>
      <c r="AD1019" s="236">
        <v>1.580375258258826E-2</v>
      </c>
    </row>
    <row r="1020" spans="23:30" x14ac:dyDescent="0.2">
      <c r="W1020" s="144"/>
      <c r="X1020" s="113" t="str">
        <f t="shared" si="39"/>
        <v>1w</v>
      </c>
      <c r="Y1020" s="106">
        <f>_xll.qlCalendarAdvance(Calendar,Y1019,X1020,"f",FALSE)</f>
        <v>46343</v>
      </c>
      <c r="Z1020" s="108">
        <f>_xll.qlCalendarAdvance(Calendar,Y1020,0&amp;"D")</f>
        <v>46343</v>
      </c>
      <c r="AA1020" s="109">
        <v>1.5804859570289764E-2</v>
      </c>
      <c r="AB1020" s="143">
        <f t="shared" si="40"/>
        <v>0</v>
      </c>
      <c r="AC1020" s="236" t="e">
        <v>#N/A</v>
      </c>
      <c r="AD1020" s="236">
        <v>1.5804859570289764E-2</v>
      </c>
    </row>
    <row r="1021" spans="23:30" x14ac:dyDescent="0.2">
      <c r="W1021" s="144"/>
      <c r="X1021" s="113" t="str">
        <f t="shared" si="39"/>
        <v>1w</v>
      </c>
      <c r="Y1021" s="106">
        <f>_xll.qlCalendarAdvance(Calendar,Y1020,X1021,"f",FALSE)</f>
        <v>46350</v>
      </c>
      <c r="Z1021" s="108">
        <f>_xll.qlCalendarAdvance(Calendar,Y1021,0&amp;"D")</f>
        <v>46350</v>
      </c>
      <c r="AA1021" s="109">
        <v>1.5806137255447439E-2</v>
      </c>
      <c r="AB1021" s="143">
        <f t="shared" si="40"/>
        <v>7.9936057773011271E-14</v>
      </c>
      <c r="AC1021" s="236" t="e">
        <v>#N/A</v>
      </c>
      <c r="AD1021" s="236">
        <v>1.5806137255367503E-2</v>
      </c>
    </row>
    <row r="1022" spans="23:30" x14ac:dyDescent="0.2">
      <c r="W1022" s="144"/>
      <c r="X1022" s="113" t="str">
        <f t="shared" si="39"/>
        <v>1w</v>
      </c>
      <c r="Y1022" s="106">
        <f>_xll.qlCalendarAdvance(Calendar,Y1021,X1022,"f",FALSE)</f>
        <v>46357</v>
      </c>
      <c r="Z1022" s="108">
        <f>_xll.qlCalendarAdvance(Calendar,Y1022,0&amp;"D")</f>
        <v>46357</v>
      </c>
      <c r="AA1022" s="109">
        <v>1.5807585637901411E-2</v>
      </c>
      <c r="AB1022" s="143">
        <f t="shared" si="40"/>
        <v>0</v>
      </c>
      <c r="AC1022" s="236" t="e">
        <v>#N/A</v>
      </c>
      <c r="AD1022" s="236">
        <v>1.5807585637901411E-2</v>
      </c>
    </row>
    <row r="1023" spans="23:30" x14ac:dyDescent="0.2">
      <c r="W1023" s="144"/>
      <c r="X1023" s="113" t="str">
        <f t="shared" si="39"/>
        <v>1w</v>
      </c>
      <c r="Y1023" s="106">
        <f>_xll.qlCalendarAdvance(Calendar,Y1022,X1023,"f",FALSE)</f>
        <v>46364</v>
      </c>
      <c r="Z1023" s="108">
        <f>_xll.qlCalendarAdvance(Calendar,Y1023,0&amp;"D")</f>
        <v>46364</v>
      </c>
      <c r="AA1023" s="109">
        <v>1.5809204717811554E-2</v>
      </c>
      <c r="AB1023" s="143">
        <f t="shared" si="40"/>
        <v>0</v>
      </c>
      <c r="AC1023" s="236" t="e">
        <v>#N/A</v>
      </c>
      <c r="AD1023" s="236">
        <v>1.5809204717811554E-2</v>
      </c>
    </row>
    <row r="1024" spans="23:30" x14ac:dyDescent="0.2">
      <c r="W1024" s="144"/>
      <c r="X1024" s="113" t="str">
        <f t="shared" si="39"/>
        <v>1w</v>
      </c>
      <c r="Y1024" s="106">
        <f>_xll.qlCalendarAdvance(Calendar,Y1023,X1024,"f",FALSE)</f>
        <v>46371</v>
      </c>
      <c r="Z1024" s="108">
        <f>_xll.qlCalendarAdvance(Calendar,Y1024,0&amp;"D")</f>
        <v>46371</v>
      </c>
      <c r="AA1024" s="109">
        <v>1.5810994495257802E-2</v>
      </c>
      <c r="AB1024" s="143">
        <f t="shared" si="40"/>
        <v>0</v>
      </c>
      <c r="AC1024" s="236" t="e">
        <v>#N/A</v>
      </c>
      <c r="AD1024" s="236">
        <v>1.5810994495257802E-2</v>
      </c>
    </row>
    <row r="1025" spans="23:30" x14ac:dyDescent="0.2">
      <c r="W1025" s="144"/>
      <c r="X1025" s="113" t="str">
        <f t="shared" si="39"/>
        <v>1w</v>
      </c>
      <c r="Y1025" s="106">
        <f>_xll.qlCalendarAdvance(Calendar,Y1024,X1025,"f",FALSE)</f>
        <v>46378</v>
      </c>
      <c r="Z1025" s="108">
        <f>_xll.qlCalendarAdvance(Calendar,Y1025,0&amp;"D")</f>
        <v>46378</v>
      </c>
      <c r="AA1025" s="109">
        <v>1.5812954970080284E-2</v>
      </c>
      <c r="AB1025" s="143">
        <f t="shared" si="40"/>
        <v>0</v>
      </c>
      <c r="AC1025" s="236" t="e">
        <v>#N/A</v>
      </c>
      <c r="AD1025" s="236">
        <v>1.5812954970080284E-2</v>
      </c>
    </row>
    <row r="1026" spans="23:30" x14ac:dyDescent="0.2">
      <c r="W1026" s="144"/>
      <c r="X1026" s="113" t="str">
        <f t="shared" si="39"/>
        <v>1w</v>
      </c>
      <c r="Y1026" s="106">
        <f>_xll.qlCalendarAdvance(Calendar,Y1025,X1026,"f",FALSE)</f>
        <v>46385</v>
      </c>
      <c r="Z1026" s="108">
        <f>_xll.qlCalendarAdvance(Calendar,Y1026,0&amp;"D")</f>
        <v>46385</v>
      </c>
      <c r="AA1026" s="109">
        <v>1.5815086142279E-2</v>
      </c>
      <c r="AB1026" s="143">
        <f t="shared" si="40"/>
        <v>-7.9936057773011271E-14</v>
      </c>
      <c r="AC1026" s="236" t="e">
        <v>#N/A</v>
      </c>
      <c r="AD1026" s="236">
        <v>1.5815086142358936E-2</v>
      </c>
    </row>
    <row r="1027" spans="23:30" x14ac:dyDescent="0.2">
      <c r="W1027" s="144"/>
      <c r="X1027" s="113" t="str">
        <f t="shared" si="39"/>
        <v>1w</v>
      </c>
      <c r="Y1027" s="106">
        <f>_xll.qlCalendarAdvance(Calendar,Y1026,X1027,"f",FALSE)</f>
        <v>46392</v>
      </c>
      <c r="Z1027" s="108">
        <f>_xll.qlCalendarAdvance(Calendar,Y1027,0&amp;"D")</f>
        <v>46392</v>
      </c>
      <c r="AA1027" s="109">
        <v>1.5817388012093758E-2</v>
      </c>
      <c r="AB1027" s="143">
        <f t="shared" si="40"/>
        <v>0</v>
      </c>
      <c r="AC1027" s="236" t="e">
        <v>#N/A</v>
      </c>
      <c r="AD1027" s="236">
        <v>1.5817388012093758E-2</v>
      </c>
    </row>
    <row r="1028" spans="23:30" x14ac:dyDescent="0.2">
      <c r="W1028" s="144"/>
      <c r="X1028" s="113" t="str">
        <f t="shared" si="39"/>
        <v>1w</v>
      </c>
      <c r="Y1028" s="106">
        <f>_xll.qlCalendarAdvance(Calendar,Y1027,X1028,"f",FALSE)</f>
        <v>46399</v>
      </c>
      <c r="Z1028" s="108">
        <f>_xll.qlCalendarAdvance(Calendar,Y1028,0&amp;"D")</f>
        <v>46399</v>
      </c>
      <c r="AA1028" s="109">
        <v>1.581986057928475E-2</v>
      </c>
      <c r="AB1028" s="143">
        <f t="shared" si="40"/>
        <v>0</v>
      </c>
      <c r="AC1028" s="236" t="e">
        <v>#N/A</v>
      </c>
      <c r="AD1028" s="236">
        <v>1.581986057928475E-2</v>
      </c>
    </row>
    <row r="1029" spans="23:30" x14ac:dyDescent="0.2">
      <c r="W1029" s="144"/>
      <c r="X1029" s="113" t="str">
        <f t="shared" si="39"/>
        <v>1w</v>
      </c>
      <c r="Y1029" s="106">
        <f>_xll.qlCalendarAdvance(Calendar,Y1028,X1029,"f",FALSE)</f>
        <v>46406</v>
      </c>
      <c r="Z1029" s="108">
        <f>_xll.qlCalendarAdvance(Calendar,Y1029,0&amp;"D")</f>
        <v>46406</v>
      </c>
      <c r="AA1029" s="109">
        <v>1.5822503843851976E-2</v>
      </c>
      <c r="AB1029" s="143">
        <f t="shared" si="40"/>
        <v>0</v>
      </c>
      <c r="AC1029" s="236" t="e">
        <v>#N/A</v>
      </c>
      <c r="AD1029" s="236">
        <v>1.5822503843851976E-2</v>
      </c>
    </row>
    <row r="1030" spans="23:30" x14ac:dyDescent="0.2">
      <c r="W1030" s="144"/>
      <c r="X1030" s="113" t="str">
        <f t="shared" si="39"/>
        <v>1w</v>
      </c>
      <c r="Y1030" s="106">
        <f>_xll.qlCalendarAdvance(Calendar,Y1029,X1030,"f",FALSE)</f>
        <v>46413</v>
      </c>
      <c r="Z1030" s="108">
        <f>_xll.qlCalendarAdvance(Calendar,Y1030,0&amp;"D")</f>
        <v>46413</v>
      </c>
      <c r="AA1030" s="109">
        <v>1.5825317806035244E-2</v>
      </c>
      <c r="AB1030" s="143">
        <f t="shared" si="40"/>
        <v>7.9936057773011271E-14</v>
      </c>
      <c r="AC1030" s="236" t="e">
        <v>#N/A</v>
      </c>
      <c r="AD1030" s="236">
        <v>1.5825317805955308E-2</v>
      </c>
    </row>
    <row r="1031" spans="23:30" x14ac:dyDescent="0.2">
      <c r="W1031" s="144"/>
      <c r="X1031" s="113" t="str">
        <f t="shared" si="39"/>
        <v>1w</v>
      </c>
      <c r="Y1031" s="106">
        <f>_xll.qlCalendarAdvance(Calendar,Y1030,X1031,"f",FALSE)</f>
        <v>46420</v>
      </c>
      <c r="Z1031" s="108">
        <f>_xll.qlCalendarAdvance(Calendar,Y1031,0&amp;"D")</f>
        <v>46420</v>
      </c>
      <c r="AA1031" s="109">
        <v>1.5828302465434874E-2</v>
      </c>
      <c r="AB1031" s="143">
        <f t="shared" si="40"/>
        <v>0</v>
      </c>
      <c r="AC1031" s="236" t="e">
        <v>#N/A</v>
      </c>
      <c r="AD1031" s="236">
        <v>1.5828302465434874E-2</v>
      </c>
    </row>
    <row r="1032" spans="23:30" x14ac:dyDescent="0.2">
      <c r="W1032" s="144"/>
      <c r="X1032" s="113" t="str">
        <f t="shared" si="39"/>
        <v>1w</v>
      </c>
      <c r="Y1032" s="106">
        <f>_xll.qlCalendarAdvance(Calendar,Y1031,X1032,"f",FALSE)</f>
        <v>46427</v>
      </c>
      <c r="Z1032" s="108">
        <f>_xll.qlCalendarAdvance(Calendar,Y1032,0&amp;"D")</f>
        <v>46427</v>
      </c>
      <c r="AA1032" s="109">
        <v>1.5831457822450545E-2</v>
      </c>
      <c r="AB1032" s="143">
        <f t="shared" si="40"/>
        <v>0</v>
      </c>
      <c r="AC1032" s="236" t="e">
        <v>#N/A</v>
      </c>
      <c r="AD1032" s="236">
        <v>1.5831457822450545E-2</v>
      </c>
    </row>
    <row r="1033" spans="23:30" x14ac:dyDescent="0.2">
      <c r="W1033" s="144"/>
      <c r="X1033" s="113" t="str">
        <f t="shared" si="39"/>
        <v>1w</v>
      </c>
      <c r="Y1033" s="106">
        <f>_xll.qlCalendarAdvance(Calendar,Y1032,X1033,"f",FALSE)</f>
        <v>46434</v>
      </c>
      <c r="Z1033" s="108">
        <f>_xll.qlCalendarAdvance(Calendar,Y1033,0&amp;"D")</f>
        <v>46434</v>
      </c>
      <c r="AA1033" s="109">
        <v>1.5834783877002323E-2</v>
      </c>
      <c r="AB1033" s="143">
        <f t="shared" si="40"/>
        <v>0</v>
      </c>
      <c r="AC1033" s="236" t="e">
        <v>#N/A</v>
      </c>
      <c r="AD1033" s="236">
        <v>1.5834783877002323E-2</v>
      </c>
    </row>
    <row r="1034" spans="23:30" x14ac:dyDescent="0.2">
      <c r="W1034" s="144"/>
      <c r="X1034" s="113" t="str">
        <f t="shared" si="39"/>
        <v>1w</v>
      </c>
      <c r="Y1034" s="106">
        <f>_xll.qlCalendarAdvance(Calendar,Y1033,X1034,"f",FALSE)</f>
        <v>46441</v>
      </c>
      <c r="Z1034" s="108">
        <f>_xll.qlCalendarAdvance(Calendar,Y1034,0&amp;"D")</f>
        <v>46441</v>
      </c>
      <c r="AA1034" s="109">
        <v>1.5838280628930335E-2</v>
      </c>
      <c r="AB1034" s="143">
        <f t="shared" si="40"/>
        <v>7.9936057773011271E-14</v>
      </c>
      <c r="AC1034" s="236" t="e">
        <v>#N/A</v>
      </c>
      <c r="AD1034" s="236">
        <v>1.5838280628850399E-2</v>
      </c>
    </row>
    <row r="1035" spans="23:30" x14ac:dyDescent="0.2">
      <c r="W1035" s="144"/>
      <c r="X1035" s="113" t="str">
        <f t="shared" si="39"/>
        <v>1w</v>
      </c>
      <c r="Y1035" s="106">
        <f>_xll.qlCalendarAdvance(Calendar,Y1034,X1035,"f",FALSE)</f>
        <v>46448</v>
      </c>
      <c r="Z1035" s="108">
        <f>_xll.qlCalendarAdvance(Calendar,Y1035,0&amp;"D")</f>
        <v>46448</v>
      </c>
      <c r="AA1035" s="109">
        <v>1.5841948078314516E-2</v>
      </c>
      <c r="AB1035" s="143">
        <f t="shared" si="40"/>
        <v>7.9936057773011271E-14</v>
      </c>
      <c r="AC1035" s="236" t="e">
        <v>#N/A</v>
      </c>
      <c r="AD1035" s="236">
        <v>1.584194807823458E-2</v>
      </c>
    </row>
    <row r="1036" spans="23:30" x14ac:dyDescent="0.2">
      <c r="W1036" s="144"/>
      <c r="X1036" s="113" t="str">
        <f t="shared" si="39"/>
        <v>1w</v>
      </c>
      <c r="Y1036" s="106">
        <f>_xll.qlCalendarAdvance(Calendar,Y1035,X1036,"f",FALSE)</f>
        <v>46455</v>
      </c>
      <c r="Z1036" s="108">
        <f>_xll.qlCalendarAdvance(Calendar,Y1036,0&amp;"D")</f>
        <v>46455</v>
      </c>
      <c r="AA1036" s="109">
        <v>1.5845786225234804E-2</v>
      </c>
      <c r="AB1036" s="143">
        <f t="shared" si="40"/>
        <v>0</v>
      </c>
      <c r="AC1036" s="236" t="e">
        <v>#N/A</v>
      </c>
      <c r="AD1036" s="236">
        <v>1.5845786225234804E-2</v>
      </c>
    </row>
    <row r="1037" spans="23:30" x14ac:dyDescent="0.2">
      <c r="W1037" s="144"/>
      <c r="X1037" s="113" t="str">
        <f t="shared" ref="X1037:X1100" si="41">X1036</f>
        <v>1w</v>
      </c>
      <c r="Y1037" s="106">
        <f>_xll.qlCalendarAdvance(Calendar,Y1036,X1037,"f",FALSE)</f>
        <v>46462</v>
      </c>
      <c r="Z1037" s="108">
        <f>_xll.qlCalendarAdvance(Calendar,Y1037,0&amp;"D")</f>
        <v>46462</v>
      </c>
      <c r="AA1037" s="109">
        <v>1.5849795069611261E-2</v>
      </c>
      <c r="AB1037" s="143">
        <f t="shared" si="40"/>
        <v>0</v>
      </c>
      <c r="AC1037" s="236" t="e">
        <v>#N/A</v>
      </c>
      <c r="AD1037" s="236">
        <v>1.5849795069611261E-2</v>
      </c>
    </row>
    <row r="1038" spans="23:30" x14ac:dyDescent="0.2">
      <c r="W1038" s="144"/>
      <c r="X1038" s="113" t="str">
        <f t="shared" si="41"/>
        <v>1w</v>
      </c>
      <c r="Y1038" s="106">
        <f>_xll.qlCalendarAdvance(Calendar,Y1037,X1038,"f",FALSE)</f>
        <v>46469</v>
      </c>
      <c r="Z1038" s="108">
        <f>_xll.qlCalendarAdvance(Calendar,Y1038,0&amp;"D")</f>
        <v>46469</v>
      </c>
      <c r="AA1038" s="109">
        <v>1.5853974611523824E-2</v>
      </c>
      <c r="AB1038" s="143">
        <f t="shared" si="40"/>
        <v>0</v>
      </c>
      <c r="AC1038" s="236" t="e">
        <v>#N/A</v>
      </c>
      <c r="AD1038" s="236">
        <v>1.5853974611523824E-2</v>
      </c>
    </row>
    <row r="1039" spans="23:30" x14ac:dyDescent="0.2">
      <c r="W1039" s="144"/>
      <c r="X1039" s="113" t="str">
        <f t="shared" si="41"/>
        <v>1w</v>
      </c>
      <c r="Y1039" s="106">
        <f>_xll.qlCalendarAdvance(Calendar,Y1038,X1039,"f",FALSE)</f>
        <v>46476</v>
      </c>
      <c r="Z1039" s="108">
        <f>_xll.qlCalendarAdvance(Calendar,Y1039,0&amp;"D")</f>
        <v>46476</v>
      </c>
      <c r="AA1039" s="109">
        <v>1.5858324850892558E-2</v>
      </c>
      <c r="AB1039" s="143">
        <f t="shared" si="40"/>
        <v>0</v>
      </c>
      <c r="AC1039" s="236" t="e">
        <v>#N/A</v>
      </c>
      <c r="AD1039" s="236">
        <v>1.5858324850892558E-2</v>
      </c>
    </row>
    <row r="1040" spans="23:30" x14ac:dyDescent="0.2">
      <c r="W1040" s="144"/>
      <c r="X1040" s="113" t="str">
        <f t="shared" si="41"/>
        <v>1w</v>
      </c>
      <c r="Y1040" s="106">
        <f>_xll.qlCalendarAdvance(Calendar,Y1039,X1040,"f",FALSE)</f>
        <v>46483</v>
      </c>
      <c r="Z1040" s="108">
        <f>_xll.qlCalendarAdvance(Calendar,Y1040,0&amp;"D")</f>
        <v>46483</v>
      </c>
      <c r="AA1040" s="109">
        <v>1.5862845787797397E-2</v>
      </c>
      <c r="AB1040" s="143">
        <f t="shared" si="40"/>
        <v>0</v>
      </c>
      <c r="AC1040" s="236" t="e">
        <v>#N/A</v>
      </c>
      <c r="AD1040" s="236">
        <v>1.5862845787797397E-2</v>
      </c>
    </row>
    <row r="1041" spans="23:30" x14ac:dyDescent="0.2">
      <c r="W1041" s="144"/>
      <c r="X1041" s="113" t="str">
        <f t="shared" si="41"/>
        <v>1w</v>
      </c>
      <c r="Y1041" s="106">
        <f>_xll.qlCalendarAdvance(Calendar,Y1040,X1041,"f",FALSE)</f>
        <v>46490</v>
      </c>
      <c r="Z1041" s="108">
        <f>_xll.qlCalendarAdvance(Calendar,Y1041,0&amp;"D")</f>
        <v>46490</v>
      </c>
      <c r="AA1041" s="109">
        <v>1.5867537422318279E-2</v>
      </c>
      <c r="AB1041" s="143">
        <f t="shared" si="40"/>
        <v>7.9936057773011271E-14</v>
      </c>
      <c r="AC1041" s="236" t="e">
        <v>#N/A</v>
      </c>
      <c r="AD1041" s="236">
        <v>1.5867537422238343E-2</v>
      </c>
    </row>
    <row r="1042" spans="23:30" x14ac:dyDescent="0.2">
      <c r="W1042" s="144"/>
      <c r="X1042" s="113" t="str">
        <f t="shared" si="41"/>
        <v>1w</v>
      </c>
      <c r="Y1042" s="106">
        <f>_xll.qlCalendarAdvance(Calendar,Y1041,X1042,"f",FALSE)</f>
        <v>46497</v>
      </c>
      <c r="Z1042" s="108">
        <f>_xll.qlCalendarAdvance(Calendar,Y1042,0&amp;"D")</f>
        <v>46497</v>
      </c>
      <c r="AA1042" s="109">
        <v>1.5872399754135458E-2</v>
      </c>
      <c r="AB1042" s="143">
        <f t="shared" si="40"/>
        <v>0</v>
      </c>
      <c r="AC1042" s="236" t="e">
        <v>#N/A</v>
      </c>
      <c r="AD1042" s="236">
        <v>1.5872399754135458E-2</v>
      </c>
    </row>
    <row r="1043" spans="23:30" x14ac:dyDescent="0.2">
      <c r="W1043" s="144"/>
      <c r="X1043" s="113" t="str">
        <f t="shared" si="41"/>
        <v>1w</v>
      </c>
      <c r="Y1043" s="106">
        <f>_xll.qlCalendarAdvance(Calendar,Y1042,X1043,"f",FALSE)</f>
        <v>46504</v>
      </c>
      <c r="Z1043" s="108">
        <f>_xll.qlCalendarAdvance(Calendar,Y1043,0&amp;"D")</f>
        <v>46504</v>
      </c>
      <c r="AA1043" s="109">
        <v>1.5877432783648615E-2</v>
      </c>
      <c r="AB1043" s="143">
        <f t="shared" si="40"/>
        <v>0</v>
      </c>
      <c r="AC1043" s="236" t="e">
        <v>#N/A</v>
      </c>
      <c r="AD1043" s="236">
        <v>1.5877432783648615E-2</v>
      </c>
    </row>
    <row r="1044" spans="23:30" x14ac:dyDescent="0.2">
      <c r="W1044" s="144"/>
      <c r="X1044" s="113" t="str">
        <f t="shared" si="41"/>
        <v>1w</v>
      </c>
      <c r="Y1044" s="106">
        <f>_xll.qlCalendarAdvance(Calendar,Y1043,X1044,"f",FALSE)</f>
        <v>46511</v>
      </c>
      <c r="Z1044" s="108">
        <f>_xll.qlCalendarAdvance(Calendar,Y1044,0&amp;"D")</f>
        <v>46511</v>
      </c>
      <c r="AA1044" s="109">
        <v>1.5882636510617942E-2</v>
      </c>
      <c r="AB1044" s="143">
        <f t="shared" si="40"/>
        <v>0</v>
      </c>
      <c r="AC1044" s="236" t="e">
        <v>#N/A</v>
      </c>
      <c r="AD1044" s="236">
        <v>1.5882636510617942E-2</v>
      </c>
    </row>
    <row r="1045" spans="23:30" x14ac:dyDescent="0.2">
      <c r="W1045" s="144"/>
      <c r="X1045" s="113" t="str">
        <f t="shared" si="41"/>
        <v>1w</v>
      </c>
      <c r="Y1045" s="106">
        <f>_xll.qlCalendarAdvance(Calendar,Y1044,X1045,"f",FALSE)</f>
        <v>46518</v>
      </c>
      <c r="Z1045" s="108">
        <f>_xll.qlCalendarAdvance(Calendar,Y1045,0&amp;"D")</f>
        <v>46518</v>
      </c>
      <c r="AA1045" s="109">
        <v>1.5888010935203312E-2</v>
      </c>
      <c r="AB1045" s="143">
        <f t="shared" ref="AB1045:AB1108" si="42">AA1045-AD1045</f>
        <v>0</v>
      </c>
      <c r="AC1045" s="236" t="e">
        <v>#N/A</v>
      </c>
      <c r="AD1045" s="236">
        <v>1.5888010935203312E-2</v>
      </c>
    </row>
    <row r="1046" spans="23:30" x14ac:dyDescent="0.2">
      <c r="W1046" s="144"/>
      <c r="X1046" s="113" t="str">
        <f t="shared" si="41"/>
        <v>1w</v>
      </c>
      <c r="Y1046" s="106">
        <f>_xll.qlCalendarAdvance(Calendar,Y1045,X1046,"f",FALSE)</f>
        <v>46525</v>
      </c>
      <c r="Z1046" s="108">
        <f>_xll.qlCalendarAdvance(Calendar,Y1046,0&amp;"D")</f>
        <v>46525</v>
      </c>
      <c r="AA1046" s="109">
        <v>1.5893556057244851E-2</v>
      </c>
      <c r="AB1046" s="143">
        <f t="shared" si="42"/>
        <v>0</v>
      </c>
      <c r="AC1046" s="236" t="e">
        <v>#N/A</v>
      </c>
      <c r="AD1046" s="236">
        <v>1.5893556057244851E-2</v>
      </c>
    </row>
    <row r="1047" spans="23:30" x14ac:dyDescent="0.2">
      <c r="W1047" s="144"/>
      <c r="X1047" s="113" t="str">
        <f t="shared" si="41"/>
        <v>1w</v>
      </c>
      <c r="Y1047" s="106">
        <f>_xll.qlCalendarAdvance(Calendar,Y1046,X1047,"f",FALSE)</f>
        <v>46532</v>
      </c>
      <c r="Z1047" s="108">
        <f>_xll.qlCalendarAdvance(Calendar,Y1047,0&amp;"D")</f>
        <v>46532</v>
      </c>
      <c r="AA1047" s="109">
        <v>1.5899271876902432E-2</v>
      </c>
      <c r="AB1047" s="143">
        <f t="shared" si="42"/>
        <v>0</v>
      </c>
      <c r="AC1047" s="236" t="e">
        <v>#N/A</v>
      </c>
      <c r="AD1047" s="236">
        <v>1.5899271876902432E-2</v>
      </c>
    </row>
    <row r="1048" spans="23:30" x14ac:dyDescent="0.2">
      <c r="W1048" s="144"/>
      <c r="X1048" s="113" t="str">
        <f t="shared" si="41"/>
        <v>1w</v>
      </c>
      <c r="Y1048" s="106">
        <f>_xll.qlCalendarAdvance(Calendar,Y1047,X1048,"f",FALSE)</f>
        <v>46539</v>
      </c>
      <c r="Z1048" s="108">
        <f>_xll.qlCalendarAdvance(Calendar,Y1048,0&amp;"D")</f>
        <v>46539</v>
      </c>
      <c r="AA1048" s="109">
        <v>1.5905157634223954E-2</v>
      </c>
      <c r="AB1048" s="143">
        <f t="shared" si="42"/>
        <v>0</v>
      </c>
      <c r="AC1048" s="236" t="e">
        <v>#N/A</v>
      </c>
      <c r="AD1048" s="236">
        <v>1.5905157634223954E-2</v>
      </c>
    </row>
    <row r="1049" spans="23:30" x14ac:dyDescent="0.2">
      <c r="W1049" s="144"/>
      <c r="X1049" s="113" t="str">
        <f t="shared" si="41"/>
        <v>1w</v>
      </c>
      <c r="Y1049" s="106">
        <f>_xll.qlCalendarAdvance(Calendar,Y1048,X1049,"f",FALSE)</f>
        <v>46546</v>
      </c>
      <c r="Z1049" s="108">
        <f>_xll.qlCalendarAdvance(Calendar,Y1049,0&amp;"D")</f>
        <v>46546</v>
      </c>
      <c r="AA1049" s="109">
        <v>1.5911087185394024E-2</v>
      </c>
      <c r="AB1049" s="143">
        <f t="shared" si="42"/>
        <v>0</v>
      </c>
      <c r="AC1049" s="236" t="e">
        <v>#N/A</v>
      </c>
      <c r="AD1049" s="236">
        <v>1.5911087185394024E-2</v>
      </c>
    </row>
    <row r="1050" spans="23:30" x14ac:dyDescent="0.2">
      <c r="W1050" s="144"/>
      <c r="X1050" s="113" t="str">
        <f t="shared" si="41"/>
        <v>1w</v>
      </c>
      <c r="Y1050" s="106">
        <f>_xll.qlCalendarAdvance(Calendar,Y1049,X1050,"f",FALSE)</f>
        <v>46553</v>
      </c>
      <c r="Z1050" s="108">
        <f>_xll.qlCalendarAdvance(Calendar,Y1050,0&amp;"D")</f>
        <v>46553</v>
      </c>
      <c r="AA1050" s="109">
        <v>1.5916964022970603E-2</v>
      </c>
      <c r="AB1050" s="143">
        <f t="shared" si="42"/>
        <v>0</v>
      </c>
      <c r="AC1050" s="236" t="e">
        <v>#N/A</v>
      </c>
      <c r="AD1050" s="236">
        <v>1.5916964022970603E-2</v>
      </c>
    </row>
    <row r="1051" spans="23:30" x14ac:dyDescent="0.2">
      <c r="W1051" s="144"/>
      <c r="X1051" s="113" t="str">
        <f t="shared" si="41"/>
        <v>1w</v>
      </c>
      <c r="Y1051" s="106">
        <f>_xll.qlCalendarAdvance(Calendar,Y1050,X1051,"f",FALSE)</f>
        <v>46560</v>
      </c>
      <c r="Z1051" s="108">
        <f>_xll.qlCalendarAdvance(Calendar,Y1051,0&amp;"D")</f>
        <v>46560</v>
      </c>
      <c r="AA1051" s="109">
        <v>1.5922788146873756E-2</v>
      </c>
      <c r="AB1051" s="143">
        <f t="shared" si="42"/>
        <v>0</v>
      </c>
      <c r="AC1051" s="236" t="e">
        <v>#N/A</v>
      </c>
      <c r="AD1051" s="236">
        <v>1.5922788146873756E-2</v>
      </c>
    </row>
    <row r="1052" spans="23:30" x14ac:dyDescent="0.2">
      <c r="W1052" s="144"/>
      <c r="X1052" s="113" t="str">
        <f t="shared" si="41"/>
        <v>1w</v>
      </c>
      <c r="Y1052" s="106">
        <f>_xll.qlCalendarAdvance(Calendar,Y1051,X1052,"f",FALSE)</f>
        <v>46567</v>
      </c>
      <c r="Z1052" s="108">
        <f>_xll.qlCalendarAdvance(Calendar,Y1052,0&amp;"D")</f>
        <v>46567</v>
      </c>
      <c r="AA1052" s="109">
        <v>1.5928559557103483E-2</v>
      </c>
      <c r="AB1052" s="143">
        <f t="shared" si="42"/>
        <v>0</v>
      </c>
      <c r="AC1052" s="236" t="e">
        <v>#N/A</v>
      </c>
      <c r="AD1052" s="236">
        <v>1.5928559557103483E-2</v>
      </c>
    </row>
    <row r="1053" spans="23:30" x14ac:dyDescent="0.2">
      <c r="W1053" s="144"/>
      <c r="X1053" s="113" t="str">
        <f t="shared" si="41"/>
        <v>1w</v>
      </c>
      <c r="Y1053" s="106">
        <f>_xll.qlCalendarAdvance(Calendar,Y1052,X1053,"f",FALSE)</f>
        <v>46574</v>
      </c>
      <c r="Z1053" s="108">
        <f>_xll.qlCalendarAdvance(Calendar,Y1053,0&amp;"D")</f>
        <v>46574</v>
      </c>
      <c r="AA1053" s="109">
        <v>1.5934278253659784E-2</v>
      </c>
      <c r="AB1053" s="143">
        <f t="shared" si="42"/>
        <v>0</v>
      </c>
      <c r="AC1053" s="236" t="e">
        <v>#N/A</v>
      </c>
      <c r="AD1053" s="236">
        <v>1.5934278253659784E-2</v>
      </c>
    </row>
    <row r="1054" spans="23:30" x14ac:dyDescent="0.2">
      <c r="W1054" s="144"/>
      <c r="X1054" s="113" t="str">
        <f t="shared" si="41"/>
        <v>1w</v>
      </c>
      <c r="Y1054" s="106">
        <f>_xll.qlCalendarAdvance(Calendar,Y1053,X1054,"f",FALSE)</f>
        <v>46581</v>
      </c>
      <c r="Z1054" s="108">
        <f>_xll.qlCalendarAdvance(Calendar,Y1054,0&amp;"D")</f>
        <v>46581</v>
      </c>
      <c r="AA1054" s="109">
        <v>1.5939944236542658E-2</v>
      </c>
      <c r="AB1054" s="143">
        <f t="shared" si="42"/>
        <v>0</v>
      </c>
      <c r="AC1054" s="236" t="e">
        <v>#N/A</v>
      </c>
      <c r="AD1054" s="236">
        <v>1.5939944236542658E-2</v>
      </c>
    </row>
    <row r="1055" spans="23:30" x14ac:dyDescent="0.2">
      <c r="W1055" s="144"/>
      <c r="X1055" s="113" t="str">
        <f t="shared" si="41"/>
        <v>1w</v>
      </c>
      <c r="Y1055" s="106">
        <f>_xll.qlCalendarAdvance(Calendar,Y1054,X1055,"f",FALSE)</f>
        <v>46588</v>
      </c>
      <c r="Z1055" s="108">
        <f>_xll.qlCalendarAdvance(Calendar,Y1055,0&amp;"D")</f>
        <v>46588</v>
      </c>
      <c r="AA1055" s="109">
        <v>1.5945557505752106E-2</v>
      </c>
      <c r="AB1055" s="143">
        <f t="shared" si="42"/>
        <v>0</v>
      </c>
      <c r="AC1055" s="236" t="e">
        <v>#N/A</v>
      </c>
      <c r="AD1055" s="236">
        <v>1.5945557505752106E-2</v>
      </c>
    </row>
    <row r="1056" spans="23:30" x14ac:dyDescent="0.2">
      <c r="W1056" s="144"/>
      <c r="X1056" s="113" t="str">
        <f t="shared" si="41"/>
        <v>1w</v>
      </c>
      <c r="Y1056" s="106">
        <f>_xll.qlCalendarAdvance(Calendar,Y1055,X1056,"f",FALSE)</f>
        <v>46595</v>
      </c>
      <c r="Z1056" s="108">
        <f>_xll.qlCalendarAdvance(Calendar,Y1056,0&amp;"D")</f>
        <v>46595</v>
      </c>
      <c r="AA1056" s="109">
        <v>1.5951118061288128E-2</v>
      </c>
      <c r="AB1056" s="143">
        <f t="shared" si="42"/>
        <v>0</v>
      </c>
      <c r="AC1056" s="236" t="e">
        <v>#N/A</v>
      </c>
      <c r="AD1056" s="236">
        <v>1.5951118061288128E-2</v>
      </c>
    </row>
    <row r="1057" spans="23:30" x14ac:dyDescent="0.2">
      <c r="W1057" s="144"/>
      <c r="X1057" s="113" t="str">
        <f t="shared" si="41"/>
        <v>1w</v>
      </c>
      <c r="Y1057" s="106">
        <f>_xll.qlCalendarAdvance(Calendar,Y1056,X1057,"f",FALSE)</f>
        <v>46602</v>
      </c>
      <c r="Z1057" s="108">
        <f>_xll.qlCalendarAdvance(Calendar,Y1057,0&amp;"D")</f>
        <v>46602</v>
      </c>
      <c r="AA1057" s="109">
        <v>1.5956625903070787E-2</v>
      </c>
      <c r="AB1057" s="143">
        <f t="shared" si="42"/>
        <v>0</v>
      </c>
      <c r="AC1057" s="236" t="e">
        <v>#N/A</v>
      </c>
      <c r="AD1057" s="236">
        <v>1.5956625903070787E-2</v>
      </c>
    </row>
    <row r="1058" spans="23:30" x14ac:dyDescent="0.2">
      <c r="W1058" s="144"/>
      <c r="X1058" s="113" t="str">
        <f t="shared" si="41"/>
        <v>1w</v>
      </c>
      <c r="Y1058" s="106">
        <f>_xll.qlCalendarAdvance(Calendar,Y1057,X1058,"f",FALSE)</f>
        <v>46609</v>
      </c>
      <c r="Z1058" s="108">
        <f>_xll.qlCalendarAdvance(Calendar,Y1058,0&amp;"D")</f>
        <v>46609</v>
      </c>
      <c r="AA1058" s="109">
        <v>1.5962081031259956E-2</v>
      </c>
      <c r="AB1058" s="143">
        <f t="shared" si="42"/>
        <v>0</v>
      </c>
      <c r="AC1058" s="236" t="e">
        <v>#N/A</v>
      </c>
      <c r="AD1058" s="236">
        <v>1.5962081031259956E-2</v>
      </c>
    </row>
    <row r="1059" spans="23:30" x14ac:dyDescent="0.2">
      <c r="W1059" s="144"/>
      <c r="X1059" s="113" t="str">
        <f t="shared" si="41"/>
        <v>1w</v>
      </c>
      <c r="Y1059" s="106">
        <f>_xll.qlCalendarAdvance(Calendar,Y1058,X1059,"f",FALSE)</f>
        <v>46616</v>
      </c>
      <c r="Z1059" s="108">
        <f>_xll.qlCalendarAdvance(Calendar,Y1059,0&amp;"D")</f>
        <v>46616</v>
      </c>
      <c r="AA1059" s="109">
        <v>1.5967483445855635E-2</v>
      </c>
      <c r="AB1059" s="143">
        <f t="shared" si="42"/>
        <v>0</v>
      </c>
      <c r="AC1059" s="236" t="e">
        <v>#N/A</v>
      </c>
      <c r="AD1059" s="236">
        <v>1.5967483445855635E-2</v>
      </c>
    </row>
    <row r="1060" spans="23:30" x14ac:dyDescent="0.2">
      <c r="W1060" s="144"/>
      <c r="X1060" s="113" t="str">
        <f t="shared" si="41"/>
        <v>1w</v>
      </c>
      <c r="Y1060" s="106">
        <f>_xll.qlCalendarAdvance(Calendar,Y1059,X1060,"f",FALSE)</f>
        <v>46623</v>
      </c>
      <c r="Z1060" s="108">
        <f>_xll.qlCalendarAdvance(Calendar,Y1060,0&amp;"D")</f>
        <v>46623</v>
      </c>
      <c r="AA1060" s="109">
        <v>1.5972833146618015E-2</v>
      </c>
      <c r="AB1060" s="143">
        <f t="shared" si="42"/>
        <v>0</v>
      </c>
      <c r="AC1060" s="236" t="e">
        <v>#N/A</v>
      </c>
      <c r="AD1060" s="236">
        <v>1.5972833146618015E-2</v>
      </c>
    </row>
    <row r="1061" spans="23:30" x14ac:dyDescent="0.2">
      <c r="W1061" s="144"/>
      <c r="X1061" s="113" t="str">
        <f t="shared" si="41"/>
        <v>1w</v>
      </c>
      <c r="Y1061" s="106">
        <f>_xll.qlCalendarAdvance(Calendar,Y1060,X1061,"f",FALSE)</f>
        <v>46630</v>
      </c>
      <c r="Z1061" s="108">
        <f>_xll.qlCalendarAdvance(Calendar,Y1061,0&amp;"D")</f>
        <v>46630</v>
      </c>
      <c r="AA1061" s="109">
        <v>1.5978130133786905E-2</v>
      </c>
      <c r="AB1061" s="143">
        <f t="shared" si="42"/>
        <v>0</v>
      </c>
      <c r="AC1061" s="236" t="e">
        <v>#N/A</v>
      </c>
      <c r="AD1061" s="236">
        <v>1.5978130133786905E-2</v>
      </c>
    </row>
    <row r="1062" spans="23:30" x14ac:dyDescent="0.2">
      <c r="W1062" s="144"/>
      <c r="X1062" s="113" t="str">
        <f t="shared" si="41"/>
        <v>1w</v>
      </c>
      <c r="Y1062" s="106">
        <f>_xll.qlCalendarAdvance(Calendar,Y1061,X1062,"f",FALSE)</f>
        <v>46637</v>
      </c>
      <c r="Z1062" s="108">
        <f>_xll.qlCalendarAdvance(Calendar,Y1062,0&amp;"D")</f>
        <v>46637</v>
      </c>
      <c r="AA1062" s="109">
        <v>1.5983374407202433E-2</v>
      </c>
      <c r="AB1062" s="143">
        <f t="shared" si="42"/>
        <v>0</v>
      </c>
      <c r="AC1062" s="236" t="e">
        <v>#N/A</v>
      </c>
      <c r="AD1062" s="236">
        <v>1.5983374407202433E-2</v>
      </c>
    </row>
    <row r="1063" spans="23:30" x14ac:dyDescent="0.2">
      <c r="W1063" s="144"/>
      <c r="X1063" s="113" t="str">
        <f t="shared" si="41"/>
        <v>1w</v>
      </c>
      <c r="Y1063" s="106">
        <f>_xll.qlCalendarAdvance(Calendar,Y1062,X1063,"f",FALSE)</f>
        <v>46644</v>
      </c>
      <c r="Z1063" s="108">
        <f>_xll.qlCalendarAdvance(Calendar,Y1063,0&amp;"D")</f>
        <v>46644</v>
      </c>
      <c r="AA1063" s="109">
        <v>1.5988565966864599E-2</v>
      </c>
      <c r="AB1063" s="143">
        <f t="shared" si="42"/>
        <v>0</v>
      </c>
      <c r="AC1063" s="236" t="e">
        <v>#N/A</v>
      </c>
      <c r="AD1063" s="236">
        <v>1.5988565966864599E-2</v>
      </c>
    </row>
    <row r="1064" spans="23:30" x14ac:dyDescent="0.2">
      <c r="W1064" s="144"/>
      <c r="X1064" s="113" t="str">
        <f t="shared" si="41"/>
        <v>1w</v>
      </c>
      <c r="Y1064" s="106">
        <f>_xll.qlCalendarAdvance(Calendar,Y1063,X1064,"f",FALSE)</f>
        <v>46651</v>
      </c>
      <c r="Z1064" s="108">
        <f>_xll.qlCalendarAdvance(Calendar,Y1064,0&amp;"D")</f>
        <v>46651</v>
      </c>
      <c r="AA1064" s="109">
        <v>1.5993704812933274E-2</v>
      </c>
      <c r="AB1064" s="143">
        <f t="shared" si="42"/>
        <v>7.9936057773011271E-14</v>
      </c>
      <c r="AC1064" s="236" t="e">
        <v>#N/A</v>
      </c>
      <c r="AD1064" s="236">
        <v>1.5993704812853338E-2</v>
      </c>
    </row>
    <row r="1065" spans="23:30" x14ac:dyDescent="0.2">
      <c r="W1065" s="144"/>
      <c r="X1065" s="113" t="str">
        <f t="shared" si="41"/>
        <v>1w</v>
      </c>
      <c r="Y1065" s="106">
        <f>_xll.qlCalendarAdvance(Calendar,Y1064,X1065,"f",FALSE)</f>
        <v>46658</v>
      </c>
      <c r="Z1065" s="108">
        <f>_xll.qlCalendarAdvance(Calendar,Y1065,0&amp;"D")</f>
        <v>46658</v>
      </c>
      <c r="AA1065" s="109">
        <v>1.5998790945328523E-2</v>
      </c>
      <c r="AB1065" s="143">
        <f t="shared" si="42"/>
        <v>7.9936057773011271E-14</v>
      </c>
      <c r="AC1065" s="236" t="e">
        <v>#N/A</v>
      </c>
      <c r="AD1065" s="236">
        <v>1.5998790945248587E-2</v>
      </c>
    </row>
    <row r="1066" spans="23:30" x14ac:dyDescent="0.2">
      <c r="W1066" s="144"/>
      <c r="X1066" s="113" t="str">
        <f t="shared" si="41"/>
        <v>1w</v>
      </c>
      <c r="Y1066" s="106">
        <f>_xll.qlCalendarAdvance(Calendar,Y1065,X1066,"f",FALSE)</f>
        <v>46665</v>
      </c>
      <c r="Z1066" s="108">
        <f>_xll.qlCalendarAdvance(Calendar,Y1066,0&amp;"D")</f>
        <v>46665</v>
      </c>
      <c r="AA1066" s="109">
        <v>1.6003824363970409E-2</v>
      </c>
      <c r="AB1066" s="143">
        <f t="shared" si="42"/>
        <v>0</v>
      </c>
      <c r="AC1066" s="236" t="e">
        <v>#N/A</v>
      </c>
      <c r="AD1066" s="236">
        <v>1.6003824363970409E-2</v>
      </c>
    </row>
    <row r="1067" spans="23:30" x14ac:dyDescent="0.2">
      <c r="W1067" s="144"/>
      <c r="X1067" s="113" t="str">
        <f t="shared" si="41"/>
        <v>1w</v>
      </c>
      <c r="Y1067" s="106">
        <f>_xll.qlCalendarAdvance(Calendar,Y1066,X1067,"f",FALSE)</f>
        <v>46672</v>
      </c>
      <c r="Z1067" s="108">
        <f>_xll.qlCalendarAdvance(Calendar,Y1067,0&amp;"D")</f>
        <v>46672</v>
      </c>
      <c r="AA1067" s="109">
        <v>1.6008805068858933E-2</v>
      </c>
      <c r="AB1067" s="143">
        <f t="shared" si="42"/>
        <v>0</v>
      </c>
      <c r="AC1067" s="236" t="e">
        <v>#N/A</v>
      </c>
      <c r="AD1067" s="236">
        <v>1.6008805068858933E-2</v>
      </c>
    </row>
    <row r="1068" spans="23:30" x14ac:dyDescent="0.2">
      <c r="W1068" s="144"/>
      <c r="X1068" s="113" t="str">
        <f t="shared" si="41"/>
        <v>1w</v>
      </c>
      <c r="Y1068" s="106">
        <f>_xll.qlCalendarAdvance(Calendar,Y1067,X1068,"f",FALSE)</f>
        <v>46679</v>
      </c>
      <c r="Z1068" s="108">
        <f>_xll.qlCalendarAdvance(Calendar,Y1068,0&amp;"D")</f>
        <v>46679</v>
      </c>
      <c r="AA1068" s="109">
        <v>1.6013733060074031E-2</v>
      </c>
      <c r="AB1068" s="143">
        <f t="shared" si="42"/>
        <v>0</v>
      </c>
      <c r="AC1068" s="236" t="e">
        <v>#N/A</v>
      </c>
      <c r="AD1068" s="236">
        <v>1.6013733060074031E-2</v>
      </c>
    </row>
    <row r="1069" spans="23:30" x14ac:dyDescent="0.2">
      <c r="W1069" s="144"/>
      <c r="X1069" s="113" t="str">
        <f t="shared" si="41"/>
        <v>1w</v>
      </c>
      <c r="Y1069" s="106">
        <f>_xll.qlCalendarAdvance(Calendar,Y1068,X1069,"f",FALSE)</f>
        <v>46686</v>
      </c>
      <c r="Z1069" s="108">
        <f>_xll.qlCalendarAdvance(Calendar,Y1069,0&amp;"D")</f>
        <v>46686</v>
      </c>
      <c r="AA1069" s="109">
        <v>1.6018608337695639E-2</v>
      </c>
      <c r="AB1069" s="143">
        <f t="shared" si="42"/>
        <v>0</v>
      </c>
      <c r="AC1069" s="236" t="e">
        <v>#N/A</v>
      </c>
      <c r="AD1069" s="236">
        <v>1.6018608337695639E-2</v>
      </c>
    </row>
    <row r="1070" spans="23:30" x14ac:dyDescent="0.2">
      <c r="W1070" s="144"/>
      <c r="X1070" s="113" t="str">
        <f t="shared" si="41"/>
        <v>1w</v>
      </c>
      <c r="Y1070" s="106">
        <f>_xll.qlCalendarAdvance(Calendar,Y1069,X1070,"f",FALSE)</f>
        <v>46693</v>
      </c>
      <c r="Z1070" s="108">
        <f>_xll.qlCalendarAdvance(Calendar,Y1070,0&amp;"D")</f>
        <v>46693</v>
      </c>
      <c r="AA1070" s="109">
        <v>1.6023430901483948E-2</v>
      </c>
      <c r="AB1070" s="143">
        <f t="shared" si="42"/>
        <v>0</v>
      </c>
      <c r="AC1070" s="236" t="e">
        <v>#N/A</v>
      </c>
      <c r="AD1070" s="236">
        <v>1.6023430901483948E-2</v>
      </c>
    </row>
    <row r="1071" spans="23:30" x14ac:dyDescent="0.2">
      <c r="W1071" s="144"/>
      <c r="X1071" s="113" t="str">
        <f t="shared" si="41"/>
        <v>1w</v>
      </c>
      <c r="Y1071" s="106">
        <f>_xll.qlCalendarAdvance(Calendar,Y1070,X1071,"f",FALSE)</f>
        <v>46700</v>
      </c>
      <c r="Z1071" s="108">
        <f>_xll.qlCalendarAdvance(Calendar,Y1071,0&amp;"D")</f>
        <v>46700</v>
      </c>
      <c r="AA1071" s="109">
        <v>1.6028200751518895E-2</v>
      </c>
      <c r="AB1071" s="143">
        <f t="shared" si="42"/>
        <v>0</v>
      </c>
      <c r="AC1071" s="236" t="e">
        <v>#N/A</v>
      </c>
      <c r="AD1071" s="236">
        <v>1.6028200751518895E-2</v>
      </c>
    </row>
    <row r="1072" spans="23:30" x14ac:dyDescent="0.2">
      <c r="W1072" s="144"/>
      <c r="X1072" s="113" t="str">
        <f t="shared" si="41"/>
        <v>1w</v>
      </c>
      <c r="Y1072" s="106">
        <f>_xll.qlCalendarAdvance(Calendar,Y1071,X1072,"f",FALSE)</f>
        <v>46707</v>
      </c>
      <c r="Z1072" s="108">
        <f>_xll.qlCalendarAdvance(Calendar,Y1072,0&amp;"D")</f>
        <v>46707</v>
      </c>
      <c r="AA1072" s="109">
        <v>1.6032917888040288E-2</v>
      </c>
      <c r="AB1072" s="143">
        <f t="shared" si="42"/>
        <v>0</v>
      </c>
      <c r="AC1072" s="236" t="e">
        <v>#N/A</v>
      </c>
      <c r="AD1072" s="236">
        <v>1.6032917888040288E-2</v>
      </c>
    </row>
    <row r="1073" spans="23:30" x14ac:dyDescent="0.2">
      <c r="W1073" s="144"/>
      <c r="X1073" s="113" t="str">
        <f t="shared" si="41"/>
        <v>1w</v>
      </c>
      <c r="Y1073" s="106">
        <f>_xll.qlCalendarAdvance(Calendar,Y1072,X1073,"f",FALSE)</f>
        <v>46714</v>
      </c>
      <c r="Z1073" s="108">
        <f>_xll.qlCalendarAdvance(Calendar,Y1073,0&amp;"D")</f>
        <v>46714</v>
      </c>
      <c r="AA1073" s="109">
        <v>1.6037582310648446E-2</v>
      </c>
      <c r="AB1073" s="143">
        <f t="shared" si="42"/>
        <v>0</v>
      </c>
      <c r="AC1073" s="236" t="e">
        <v>#N/A</v>
      </c>
      <c r="AD1073" s="236">
        <v>1.6037582310648446E-2</v>
      </c>
    </row>
    <row r="1074" spans="23:30" x14ac:dyDescent="0.2">
      <c r="W1074" s="144"/>
      <c r="X1074" s="113" t="str">
        <f t="shared" si="41"/>
        <v>1w</v>
      </c>
      <c r="Y1074" s="106">
        <f>_xll.qlCalendarAdvance(Calendar,Y1073,X1074,"f",FALSE)</f>
        <v>46721</v>
      </c>
      <c r="Z1074" s="108">
        <f>_xll.qlCalendarAdvance(Calendar,Y1074,0&amp;"D")</f>
        <v>46721</v>
      </c>
      <c r="AA1074" s="109">
        <v>1.6042194019583178E-2</v>
      </c>
      <c r="AB1074" s="143">
        <f t="shared" si="42"/>
        <v>0</v>
      </c>
      <c r="AC1074" s="236" t="e">
        <v>#N/A</v>
      </c>
      <c r="AD1074" s="236">
        <v>1.6042194019583178E-2</v>
      </c>
    </row>
    <row r="1075" spans="23:30" x14ac:dyDescent="0.2">
      <c r="W1075" s="144"/>
      <c r="X1075" s="113" t="str">
        <f t="shared" si="41"/>
        <v>1w</v>
      </c>
      <c r="Y1075" s="106">
        <f>_xll.qlCalendarAdvance(Calendar,Y1074,X1075,"f",FALSE)</f>
        <v>46728</v>
      </c>
      <c r="Z1075" s="108">
        <f>_xll.qlCalendarAdvance(Calendar,Y1075,0&amp;"D")</f>
        <v>46728</v>
      </c>
      <c r="AA1075" s="109">
        <v>1.6046753014844484E-2</v>
      </c>
      <c r="AB1075" s="143">
        <f t="shared" si="42"/>
        <v>0</v>
      </c>
      <c r="AC1075" s="236" t="e">
        <v>#N/A</v>
      </c>
      <c r="AD1075" s="236">
        <v>1.6046753014844484E-2</v>
      </c>
    </row>
    <row r="1076" spans="23:30" x14ac:dyDescent="0.2">
      <c r="W1076" s="144"/>
      <c r="X1076" s="113" t="str">
        <f t="shared" si="41"/>
        <v>1w</v>
      </c>
      <c r="Y1076" s="106">
        <f>_xll.qlCalendarAdvance(Calendar,Y1075,X1076,"f",FALSE)</f>
        <v>46735</v>
      </c>
      <c r="Z1076" s="108">
        <f>_xll.qlCalendarAdvance(Calendar,Y1076,0&amp;"D")</f>
        <v>46735</v>
      </c>
      <c r="AA1076" s="109">
        <v>1.6051259296432363E-2</v>
      </c>
      <c r="AB1076" s="143">
        <f t="shared" si="42"/>
        <v>0</v>
      </c>
      <c r="AC1076" s="236" t="e">
        <v>#N/A</v>
      </c>
      <c r="AD1076" s="236">
        <v>1.6051259296432363E-2</v>
      </c>
    </row>
    <row r="1077" spans="23:30" x14ac:dyDescent="0.2">
      <c r="W1077" s="144"/>
      <c r="X1077" s="113" t="str">
        <f t="shared" si="41"/>
        <v>1w</v>
      </c>
      <c r="Y1077" s="106">
        <f>_xll.qlCalendarAdvance(Calendar,Y1076,X1077,"f",FALSE)</f>
        <v>46742</v>
      </c>
      <c r="Z1077" s="108">
        <f>_xll.qlCalendarAdvance(Calendar,Y1077,0&amp;"D")</f>
        <v>46742</v>
      </c>
      <c r="AA1077" s="109">
        <v>1.605571286426688E-2</v>
      </c>
      <c r="AB1077" s="143">
        <f t="shared" si="42"/>
        <v>0</v>
      </c>
      <c r="AC1077" s="236" t="e">
        <v>#N/A</v>
      </c>
      <c r="AD1077" s="236">
        <v>1.605571286426688E-2</v>
      </c>
    </row>
    <row r="1078" spans="23:30" x14ac:dyDescent="0.2">
      <c r="W1078" s="144"/>
      <c r="X1078" s="113" t="str">
        <f t="shared" si="41"/>
        <v>1w</v>
      </c>
      <c r="Y1078" s="106">
        <f>_xll.qlCalendarAdvance(Calendar,Y1077,X1078,"f",FALSE)</f>
        <v>46749</v>
      </c>
      <c r="Z1078" s="108">
        <f>_xll.qlCalendarAdvance(Calendar,Y1078,0&amp;"D")</f>
        <v>46749</v>
      </c>
      <c r="AA1078" s="109">
        <v>1.6060113718268099E-2</v>
      </c>
      <c r="AB1078" s="143">
        <f t="shared" si="42"/>
        <v>0</v>
      </c>
      <c r="AC1078" s="236" t="e">
        <v>#N/A</v>
      </c>
      <c r="AD1078" s="236">
        <v>1.6060113718268099E-2</v>
      </c>
    </row>
    <row r="1079" spans="23:30" x14ac:dyDescent="0.2">
      <c r="W1079" s="144"/>
      <c r="X1079" s="113" t="str">
        <f t="shared" si="41"/>
        <v>1w</v>
      </c>
      <c r="Y1079" s="106">
        <f>_xll.qlCalendarAdvance(Calendar,Y1078,X1079,"f",FALSE)</f>
        <v>46756</v>
      </c>
      <c r="Z1079" s="108">
        <f>_xll.qlCalendarAdvance(Calendar,Y1079,0&amp;"D")</f>
        <v>46756</v>
      </c>
      <c r="AA1079" s="109">
        <v>1.6064461858755763E-2</v>
      </c>
      <c r="AB1079" s="143">
        <f t="shared" si="42"/>
        <v>7.9936057773011271E-14</v>
      </c>
      <c r="AC1079" s="236" t="e">
        <v>#N/A</v>
      </c>
      <c r="AD1079" s="236">
        <v>1.6064461858675827E-2</v>
      </c>
    </row>
    <row r="1080" spans="23:30" x14ac:dyDescent="0.2">
      <c r="W1080" s="144"/>
      <c r="X1080" s="113" t="str">
        <f t="shared" si="41"/>
        <v>1w</v>
      </c>
      <c r="Y1080" s="106">
        <f>_xll.qlCalendarAdvance(Calendar,Y1079,X1080,"f",FALSE)</f>
        <v>46763</v>
      </c>
      <c r="Z1080" s="108">
        <f>_xll.qlCalendarAdvance(Calendar,Y1080,0&amp;"D")</f>
        <v>46763</v>
      </c>
      <c r="AA1080" s="109">
        <v>1.6068757285250257E-2</v>
      </c>
      <c r="AB1080" s="143">
        <f t="shared" si="42"/>
        <v>0</v>
      </c>
      <c r="AC1080" s="236" t="e">
        <v>#N/A</v>
      </c>
      <c r="AD1080" s="236">
        <v>1.6068757285250257E-2</v>
      </c>
    </row>
    <row r="1081" spans="23:30" x14ac:dyDescent="0.2">
      <c r="W1081" s="144"/>
      <c r="X1081" s="113" t="str">
        <f t="shared" si="41"/>
        <v>1w</v>
      </c>
      <c r="Y1081" s="106">
        <f>_xll.qlCalendarAdvance(Calendar,Y1080,X1081,"f",FALSE)</f>
        <v>46770</v>
      </c>
      <c r="Z1081" s="108">
        <f>_xll.qlCalendarAdvance(Calendar,Y1081,0&amp;"D")</f>
        <v>46770</v>
      </c>
      <c r="AA1081" s="109">
        <v>1.6072999998151261E-2</v>
      </c>
      <c r="AB1081" s="143">
        <f t="shared" si="42"/>
        <v>0</v>
      </c>
      <c r="AC1081" s="236" t="e">
        <v>#N/A</v>
      </c>
      <c r="AD1081" s="236">
        <v>1.6072999998151261E-2</v>
      </c>
    </row>
    <row r="1082" spans="23:30" x14ac:dyDescent="0.2">
      <c r="W1082" s="144"/>
      <c r="X1082" s="113" t="str">
        <f t="shared" si="41"/>
        <v>1w</v>
      </c>
      <c r="Y1082" s="106">
        <f>_xll.qlCalendarAdvance(Calendar,Y1081,X1082,"f",FALSE)</f>
        <v>46777</v>
      </c>
      <c r="Z1082" s="108">
        <f>_xll.qlCalendarAdvance(Calendar,Y1082,0&amp;"D")</f>
        <v>46777</v>
      </c>
      <c r="AA1082" s="109">
        <v>1.6077189997378838E-2</v>
      </c>
      <c r="AB1082" s="143">
        <f t="shared" si="42"/>
        <v>0</v>
      </c>
      <c r="AC1082" s="236" t="e">
        <v>#N/A</v>
      </c>
      <c r="AD1082" s="236">
        <v>1.6077189997378838E-2</v>
      </c>
    </row>
    <row r="1083" spans="23:30" x14ac:dyDescent="0.2">
      <c r="W1083" s="144"/>
      <c r="X1083" s="113" t="str">
        <f t="shared" si="41"/>
        <v>1w</v>
      </c>
      <c r="Y1083" s="106">
        <f>_xll.qlCalendarAdvance(Calendar,Y1082,X1083,"f",FALSE)</f>
        <v>46784</v>
      </c>
      <c r="Z1083" s="108">
        <f>_xll.qlCalendarAdvance(Calendar,Y1083,0&amp;"D")</f>
        <v>46784</v>
      </c>
      <c r="AA1083" s="109">
        <v>1.6081327282773117E-2</v>
      </c>
      <c r="AB1083" s="143">
        <f t="shared" si="42"/>
        <v>0</v>
      </c>
      <c r="AC1083" s="236" t="e">
        <v>#N/A</v>
      </c>
      <c r="AD1083" s="236">
        <v>1.6081327282773117E-2</v>
      </c>
    </row>
    <row r="1084" spans="23:30" x14ac:dyDescent="0.2">
      <c r="W1084" s="144"/>
      <c r="X1084" s="113" t="str">
        <f t="shared" si="41"/>
        <v>1w</v>
      </c>
      <c r="Y1084" s="106">
        <f>_xll.qlCalendarAdvance(Calendar,Y1083,X1084,"f",FALSE)</f>
        <v>46791</v>
      </c>
      <c r="Z1084" s="108">
        <f>_xll.qlCalendarAdvance(Calendar,Y1084,0&amp;"D")</f>
        <v>46791</v>
      </c>
      <c r="AA1084" s="109">
        <v>1.6085411854493969E-2</v>
      </c>
      <c r="AB1084" s="143">
        <f t="shared" si="42"/>
        <v>0</v>
      </c>
      <c r="AC1084" s="236" t="e">
        <v>#N/A</v>
      </c>
      <c r="AD1084" s="236">
        <v>1.6085411854493969E-2</v>
      </c>
    </row>
    <row r="1085" spans="23:30" x14ac:dyDescent="0.2">
      <c r="W1085" s="144"/>
      <c r="X1085" s="113" t="str">
        <f t="shared" si="41"/>
        <v>1w</v>
      </c>
      <c r="Y1085" s="106">
        <f>_xll.qlCalendarAdvance(Calendar,Y1084,X1085,"f",FALSE)</f>
        <v>46798</v>
      </c>
      <c r="Z1085" s="108">
        <f>_xll.qlCalendarAdvance(Calendar,Y1085,0&amp;"D")</f>
        <v>46798</v>
      </c>
      <c r="AA1085" s="109">
        <v>1.608944371246146E-2</v>
      </c>
      <c r="AB1085" s="143">
        <f t="shared" si="42"/>
        <v>0</v>
      </c>
      <c r="AC1085" s="236" t="e">
        <v>#N/A</v>
      </c>
      <c r="AD1085" s="236">
        <v>1.608944371246146E-2</v>
      </c>
    </row>
    <row r="1086" spans="23:30" x14ac:dyDescent="0.2">
      <c r="W1086" s="144"/>
      <c r="X1086" s="113" t="str">
        <f t="shared" si="41"/>
        <v>1w</v>
      </c>
      <c r="Y1086" s="106">
        <f>_xll.qlCalendarAdvance(Calendar,Y1085,X1086,"f",FALSE)</f>
        <v>46805</v>
      </c>
      <c r="Z1086" s="108">
        <f>_xll.qlCalendarAdvance(Calendar,Y1086,0&amp;"D")</f>
        <v>46805</v>
      </c>
      <c r="AA1086" s="109">
        <v>1.6093422856675588E-2</v>
      </c>
      <c r="AB1086" s="143">
        <f t="shared" si="42"/>
        <v>0</v>
      </c>
      <c r="AC1086" s="236" t="e">
        <v>#N/A</v>
      </c>
      <c r="AD1086" s="236">
        <v>1.6093422856675588E-2</v>
      </c>
    </row>
    <row r="1087" spans="23:30" x14ac:dyDescent="0.2">
      <c r="W1087" s="144"/>
      <c r="X1087" s="113" t="str">
        <f t="shared" si="41"/>
        <v>1w</v>
      </c>
      <c r="Y1087" s="106">
        <f>_xll.qlCalendarAdvance(Calendar,Y1086,X1087,"f",FALSE)</f>
        <v>46812</v>
      </c>
      <c r="Z1087" s="108">
        <f>_xll.qlCalendarAdvance(Calendar,Y1087,0&amp;"D")</f>
        <v>46812</v>
      </c>
      <c r="AA1087" s="109">
        <v>1.6097349287056417E-2</v>
      </c>
      <c r="AB1087" s="143">
        <f t="shared" si="42"/>
        <v>-7.9936057773011271E-14</v>
      </c>
      <c r="AC1087" s="236" t="e">
        <v>#N/A</v>
      </c>
      <c r="AD1087" s="236">
        <v>1.6097349287136353E-2</v>
      </c>
    </row>
    <row r="1088" spans="23:30" x14ac:dyDescent="0.2">
      <c r="W1088" s="144"/>
      <c r="X1088" s="113" t="str">
        <f t="shared" si="41"/>
        <v>1w</v>
      </c>
      <c r="Y1088" s="106">
        <f>_xll.qlCalendarAdvance(Calendar,Y1087,X1088,"f",FALSE)</f>
        <v>46819</v>
      </c>
      <c r="Z1088" s="108">
        <f>_xll.qlCalendarAdvance(Calendar,Y1088,0&amp;"D")</f>
        <v>46819</v>
      </c>
      <c r="AA1088" s="109">
        <v>1.6101223003843756E-2</v>
      </c>
      <c r="AB1088" s="143">
        <f t="shared" si="42"/>
        <v>0</v>
      </c>
      <c r="AC1088" s="236" t="e">
        <v>#N/A</v>
      </c>
      <c r="AD1088" s="236">
        <v>1.6101223003843756E-2</v>
      </c>
    </row>
    <row r="1089" spans="23:30" x14ac:dyDescent="0.2">
      <c r="W1089" s="144"/>
      <c r="X1089" s="113" t="str">
        <f t="shared" si="41"/>
        <v>1w</v>
      </c>
      <c r="Y1089" s="106">
        <f>_xll.qlCalendarAdvance(Calendar,Y1088,X1089,"f",FALSE)</f>
        <v>46826</v>
      </c>
      <c r="Z1089" s="108">
        <f>_xll.qlCalendarAdvance(Calendar,Y1089,0&amp;"D")</f>
        <v>46826</v>
      </c>
      <c r="AA1089" s="109">
        <v>1.6105044006877733E-2</v>
      </c>
      <c r="AB1089" s="143">
        <f t="shared" si="42"/>
        <v>7.9936057773011271E-14</v>
      </c>
      <c r="AC1089" s="236" t="e">
        <v>#N/A</v>
      </c>
      <c r="AD1089" s="236">
        <v>1.6105044006797797E-2</v>
      </c>
    </row>
    <row r="1090" spans="23:30" x14ac:dyDescent="0.2">
      <c r="W1090" s="144"/>
      <c r="X1090" s="113" t="str">
        <f t="shared" si="41"/>
        <v>1w</v>
      </c>
      <c r="Y1090" s="106">
        <f>_xll.qlCalendarAdvance(Calendar,Y1089,X1090,"f",FALSE)</f>
        <v>46833</v>
      </c>
      <c r="Z1090" s="108">
        <f>_xll.qlCalendarAdvance(Calendar,Y1090,0&amp;"D")</f>
        <v>46833</v>
      </c>
      <c r="AA1090" s="109">
        <v>1.6108812295998476E-2</v>
      </c>
      <c r="AB1090" s="143">
        <f t="shared" si="42"/>
        <v>0</v>
      </c>
      <c r="AC1090" s="236" t="e">
        <v>#N/A</v>
      </c>
      <c r="AD1090" s="236">
        <v>1.6108812295998476E-2</v>
      </c>
    </row>
    <row r="1091" spans="23:30" x14ac:dyDescent="0.2">
      <c r="W1091" s="144"/>
      <c r="X1091" s="113" t="str">
        <f t="shared" si="41"/>
        <v>1w</v>
      </c>
      <c r="Y1091" s="106">
        <f>_xll.qlCalendarAdvance(Calendar,Y1090,X1091,"f",FALSE)</f>
        <v>46840</v>
      </c>
      <c r="Z1091" s="108">
        <f>_xll.qlCalendarAdvance(Calendar,Y1091,0&amp;"D")</f>
        <v>46840</v>
      </c>
      <c r="AA1091" s="109">
        <v>1.6112527871525728E-2</v>
      </c>
      <c r="AB1091" s="143">
        <f t="shared" si="42"/>
        <v>0</v>
      </c>
      <c r="AC1091" s="236" t="e">
        <v>#N/A</v>
      </c>
      <c r="AD1091" s="236">
        <v>1.6112527871525728E-2</v>
      </c>
    </row>
    <row r="1092" spans="23:30" x14ac:dyDescent="0.2">
      <c r="W1092" s="144"/>
      <c r="X1092" s="113" t="str">
        <f t="shared" si="41"/>
        <v>1w</v>
      </c>
      <c r="Y1092" s="106">
        <f>_xll.qlCalendarAdvance(Calendar,Y1091,X1092,"f",FALSE)</f>
        <v>46847</v>
      </c>
      <c r="Z1092" s="108">
        <f>_xll.qlCalendarAdvance(Calendar,Y1092,0&amp;"D")</f>
        <v>46847</v>
      </c>
      <c r="AA1092" s="109">
        <v>1.6116190733299618E-2</v>
      </c>
      <c r="AB1092" s="143">
        <f t="shared" si="42"/>
        <v>0</v>
      </c>
      <c r="AC1092" s="236" t="e">
        <v>#N/A</v>
      </c>
      <c r="AD1092" s="236">
        <v>1.6116190733299618E-2</v>
      </c>
    </row>
    <row r="1093" spans="23:30" x14ac:dyDescent="0.2">
      <c r="W1093" s="144"/>
      <c r="X1093" s="113" t="str">
        <f t="shared" si="41"/>
        <v>1w</v>
      </c>
      <c r="Y1093" s="106">
        <f>_xll.qlCalendarAdvance(Calendar,Y1092,X1093,"f",FALSE)</f>
        <v>46854</v>
      </c>
      <c r="Z1093" s="108">
        <f>_xll.qlCalendarAdvance(Calendar,Y1093,0&amp;"D")</f>
        <v>46854</v>
      </c>
      <c r="AA1093" s="109">
        <v>1.6119800881320145E-2</v>
      </c>
      <c r="AB1093" s="143">
        <f t="shared" si="42"/>
        <v>0</v>
      </c>
      <c r="AC1093" s="236" t="e">
        <v>#N/A</v>
      </c>
      <c r="AD1093" s="236">
        <v>1.6119800881320145E-2</v>
      </c>
    </row>
    <row r="1094" spans="23:30" x14ac:dyDescent="0.2">
      <c r="W1094" s="144"/>
      <c r="X1094" s="113" t="str">
        <f t="shared" si="41"/>
        <v>1w</v>
      </c>
      <c r="Y1094" s="106">
        <f>_xll.qlCalendarAdvance(Calendar,Y1093,X1094,"f",FALSE)</f>
        <v>46861</v>
      </c>
      <c r="Z1094" s="108">
        <f>_xll.qlCalendarAdvance(Calendar,Y1094,0&amp;"D")</f>
        <v>46861</v>
      </c>
      <c r="AA1094" s="109">
        <v>1.6123358315507375E-2</v>
      </c>
      <c r="AB1094" s="143">
        <f t="shared" si="42"/>
        <v>0</v>
      </c>
      <c r="AC1094" s="236" t="e">
        <v>#N/A</v>
      </c>
      <c r="AD1094" s="236">
        <v>1.6123358315507375E-2</v>
      </c>
    </row>
    <row r="1095" spans="23:30" x14ac:dyDescent="0.2">
      <c r="W1095" s="144"/>
      <c r="X1095" s="113" t="str">
        <f t="shared" si="41"/>
        <v>1w</v>
      </c>
      <c r="Y1095" s="106">
        <f>_xll.qlCalendarAdvance(Calendar,Y1094,X1095,"f",FALSE)</f>
        <v>46868</v>
      </c>
      <c r="Z1095" s="108">
        <f>_xll.qlCalendarAdvance(Calendar,Y1095,0&amp;"D")</f>
        <v>46868</v>
      </c>
      <c r="AA1095" s="109">
        <v>1.6126863036021177E-2</v>
      </c>
      <c r="AB1095" s="143">
        <f t="shared" si="42"/>
        <v>0</v>
      </c>
      <c r="AC1095" s="236" t="e">
        <v>#N/A</v>
      </c>
      <c r="AD1095" s="236">
        <v>1.6126863036021177E-2</v>
      </c>
    </row>
    <row r="1096" spans="23:30" x14ac:dyDescent="0.2">
      <c r="W1096" s="144"/>
      <c r="X1096" s="113" t="str">
        <f t="shared" si="41"/>
        <v>1w</v>
      </c>
      <c r="Y1096" s="106">
        <f>_xll.qlCalendarAdvance(Calendar,Y1095,X1096,"f",FALSE)</f>
        <v>46875</v>
      </c>
      <c r="Z1096" s="108">
        <f>_xll.qlCalendarAdvance(Calendar,Y1096,0&amp;"D")</f>
        <v>46875</v>
      </c>
      <c r="AA1096" s="109">
        <v>1.6130315042701682E-2</v>
      </c>
      <c r="AB1096" s="143">
        <f t="shared" si="42"/>
        <v>0</v>
      </c>
      <c r="AC1096" s="236" t="e">
        <v>#N/A</v>
      </c>
      <c r="AD1096" s="236">
        <v>1.6130315042701682E-2</v>
      </c>
    </row>
    <row r="1097" spans="23:30" x14ac:dyDescent="0.2">
      <c r="W1097" s="144"/>
      <c r="X1097" s="113" t="str">
        <f t="shared" si="41"/>
        <v>1w</v>
      </c>
      <c r="Y1097" s="106">
        <f>_xll.qlCalendarAdvance(Calendar,Y1096,X1097,"f",FALSE)</f>
        <v>46882</v>
      </c>
      <c r="Z1097" s="108">
        <f>_xll.qlCalendarAdvance(Calendar,Y1097,0&amp;"D")</f>
        <v>46882</v>
      </c>
      <c r="AA1097" s="109">
        <v>1.613371433570876E-2</v>
      </c>
      <c r="AB1097" s="143">
        <f t="shared" si="42"/>
        <v>0</v>
      </c>
      <c r="AC1097" s="236" t="e">
        <v>#N/A</v>
      </c>
      <c r="AD1097" s="236">
        <v>1.613371433570876E-2</v>
      </c>
    </row>
    <row r="1098" spans="23:30" x14ac:dyDescent="0.2">
      <c r="W1098" s="144"/>
      <c r="X1098" s="113" t="str">
        <f t="shared" si="41"/>
        <v>1w</v>
      </c>
      <c r="Y1098" s="106">
        <f>_xll.qlCalendarAdvance(Calendar,Y1097,X1098,"f",FALSE)</f>
        <v>46889</v>
      </c>
      <c r="Z1098" s="108">
        <f>_xll.qlCalendarAdvance(Calendar,Y1098,0&amp;"D")</f>
        <v>46889</v>
      </c>
      <c r="AA1098" s="109">
        <v>1.6137060914882539E-2</v>
      </c>
      <c r="AB1098" s="143">
        <f t="shared" si="42"/>
        <v>0</v>
      </c>
      <c r="AC1098" s="236" t="e">
        <v>#N/A</v>
      </c>
      <c r="AD1098" s="236">
        <v>1.6137060914882539E-2</v>
      </c>
    </row>
    <row r="1099" spans="23:30" x14ac:dyDescent="0.2">
      <c r="W1099" s="144"/>
      <c r="X1099" s="113" t="str">
        <f t="shared" si="41"/>
        <v>1w</v>
      </c>
      <c r="Y1099" s="106">
        <f>_xll.qlCalendarAdvance(Calendar,Y1098,X1099,"f",FALSE)</f>
        <v>46896</v>
      </c>
      <c r="Z1099" s="108">
        <f>_xll.qlCalendarAdvance(Calendar,Y1099,0&amp;"D")</f>
        <v>46896</v>
      </c>
      <c r="AA1099" s="109">
        <v>1.6140354780302957E-2</v>
      </c>
      <c r="AB1099" s="143">
        <f t="shared" si="42"/>
        <v>0</v>
      </c>
      <c r="AC1099" s="236" t="e">
        <v>#N/A</v>
      </c>
      <c r="AD1099" s="236">
        <v>1.6140354780302957E-2</v>
      </c>
    </row>
    <row r="1100" spans="23:30" x14ac:dyDescent="0.2">
      <c r="W1100" s="144"/>
      <c r="X1100" s="113" t="str">
        <f t="shared" si="41"/>
        <v>1w</v>
      </c>
      <c r="Y1100" s="106">
        <f>_xll.qlCalendarAdvance(Calendar,Y1099,X1100,"f",FALSE)</f>
        <v>46903</v>
      </c>
      <c r="Z1100" s="108">
        <f>_xll.qlCalendarAdvance(Calendar,Y1100,0&amp;"D")</f>
        <v>46903</v>
      </c>
      <c r="AA1100" s="109">
        <v>1.6143595932049948E-2</v>
      </c>
      <c r="AB1100" s="143">
        <f t="shared" si="42"/>
        <v>0</v>
      </c>
      <c r="AC1100" s="236" t="e">
        <v>#N/A</v>
      </c>
      <c r="AD1100" s="236">
        <v>1.6143595932049948E-2</v>
      </c>
    </row>
    <row r="1101" spans="23:30" x14ac:dyDescent="0.2">
      <c r="W1101" s="144"/>
      <c r="X1101" s="113" t="str">
        <f t="shared" ref="X1101:X1164" si="43">X1100</f>
        <v>1w</v>
      </c>
      <c r="Y1101" s="106">
        <f>_xll.qlCalendarAdvance(Calendar,Y1100,X1101,"f",FALSE)</f>
        <v>46910</v>
      </c>
      <c r="Z1101" s="108">
        <f>_xll.qlCalendarAdvance(Calendar,Y1101,0&amp;"D")</f>
        <v>46910</v>
      </c>
      <c r="AA1101" s="109">
        <v>1.614678436996364E-2</v>
      </c>
      <c r="AB1101" s="143">
        <f t="shared" si="42"/>
        <v>0</v>
      </c>
      <c r="AC1101" s="236" t="e">
        <v>#N/A</v>
      </c>
      <c r="AD1101" s="236">
        <v>1.614678436996364E-2</v>
      </c>
    </row>
    <row r="1102" spans="23:30" x14ac:dyDescent="0.2">
      <c r="W1102" s="144"/>
      <c r="X1102" s="113" t="str">
        <f t="shared" si="43"/>
        <v>1w</v>
      </c>
      <c r="Y1102" s="106">
        <f>_xll.qlCalendarAdvance(Calendar,Y1101,X1102,"f",FALSE)</f>
        <v>46917</v>
      </c>
      <c r="Z1102" s="108">
        <f>_xll.qlCalendarAdvance(Calendar,Y1102,0&amp;"D")</f>
        <v>46917</v>
      </c>
      <c r="AA1102" s="109">
        <v>1.6149920094123971E-2</v>
      </c>
      <c r="AB1102" s="143">
        <f t="shared" si="42"/>
        <v>0</v>
      </c>
      <c r="AC1102" s="236" t="e">
        <v>#N/A</v>
      </c>
      <c r="AD1102" s="236">
        <v>1.6149920094123971E-2</v>
      </c>
    </row>
    <row r="1103" spans="23:30" x14ac:dyDescent="0.2">
      <c r="W1103" s="144"/>
      <c r="X1103" s="113" t="str">
        <f t="shared" si="43"/>
        <v>1w</v>
      </c>
      <c r="Y1103" s="106">
        <f>_xll.qlCalendarAdvance(Calendar,Y1102,X1103,"f",FALSE)</f>
        <v>46924</v>
      </c>
      <c r="Z1103" s="108">
        <f>_xll.qlCalendarAdvance(Calendar,Y1103,0&amp;"D")</f>
        <v>46924</v>
      </c>
      <c r="AA1103" s="109">
        <v>1.6153003104610875E-2</v>
      </c>
      <c r="AB1103" s="143">
        <f t="shared" si="42"/>
        <v>7.9936057773011271E-14</v>
      </c>
      <c r="AC1103" s="236" t="e">
        <v>#N/A</v>
      </c>
      <c r="AD1103" s="236">
        <v>1.6153003104530939E-2</v>
      </c>
    </row>
    <row r="1104" spans="23:30" x14ac:dyDescent="0.2">
      <c r="W1104" s="144"/>
      <c r="X1104" s="113" t="str">
        <f t="shared" si="43"/>
        <v>1w</v>
      </c>
      <c r="Y1104" s="106">
        <f>_xll.qlCalendarAdvance(Calendar,Y1103,X1104,"f",FALSE)</f>
        <v>46931</v>
      </c>
      <c r="Z1104" s="108">
        <f>_xll.qlCalendarAdvance(Calendar,Y1104,0&amp;"D")</f>
        <v>46931</v>
      </c>
      <c r="AA1104" s="109">
        <v>1.6156033401104608E-2</v>
      </c>
      <c r="AB1104" s="143">
        <f t="shared" si="42"/>
        <v>0</v>
      </c>
      <c r="AC1104" s="236" t="e">
        <v>#N/A</v>
      </c>
      <c r="AD1104" s="236">
        <v>1.6156033401104608E-2</v>
      </c>
    </row>
    <row r="1105" spans="23:30" x14ac:dyDescent="0.2">
      <c r="W1105" s="144"/>
      <c r="X1105" s="113" t="str">
        <f t="shared" si="43"/>
        <v>1w</v>
      </c>
      <c r="Y1105" s="106">
        <f>_xll.qlCalendarAdvance(Calendar,Y1104,X1105,"f",FALSE)</f>
        <v>46938</v>
      </c>
      <c r="Z1105" s="108">
        <f>_xll.qlCalendarAdvance(Calendar,Y1105,0&amp;"D")</f>
        <v>46938</v>
      </c>
      <c r="AA1105" s="109">
        <v>1.6159010984004851E-2</v>
      </c>
      <c r="AB1105" s="143">
        <f t="shared" si="42"/>
        <v>0</v>
      </c>
      <c r="AC1105" s="236" t="e">
        <v>#N/A</v>
      </c>
      <c r="AD1105" s="236">
        <v>1.6159010984004851E-2</v>
      </c>
    </row>
    <row r="1106" spans="23:30" x14ac:dyDescent="0.2">
      <c r="W1106" s="144"/>
      <c r="X1106" s="113" t="str">
        <f t="shared" si="43"/>
        <v>1w</v>
      </c>
      <c r="Y1106" s="106">
        <f>_xll.qlCalendarAdvance(Calendar,Y1105,X1106,"f",FALSE)</f>
        <v>46945</v>
      </c>
      <c r="Z1106" s="108">
        <f>_xll.qlCalendarAdvance(Calendar,Y1106,0&amp;"D")</f>
        <v>46945</v>
      </c>
      <c r="AA1106" s="109">
        <v>1.6161935853071796E-2</v>
      </c>
      <c r="AB1106" s="143">
        <f t="shared" si="42"/>
        <v>0</v>
      </c>
      <c r="AC1106" s="236" t="e">
        <v>#N/A</v>
      </c>
      <c r="AD1106" s="236">
        <v>1.6161935853071796E-2</v>
      </c>
    </row>
    <row r="1107" spans="23:30" x14ac:dyDescent="0.2">
      <c r="W1107" s="144"/>
      <c r="X1107" s="113" t="str">
        <f t="shared" si="43"/>
        <v>1w</v>
      </c>
      <c r="Y1107" s="106">
        <f>_xll.qlCalendarAdvance(Calendar,Y1106,X1107,"f",FALSE)</f>
        <v>46952</v>
      </c>
      <c r="Z1107" s="108">
        <f>_xll.qlCalendarAdvance(Calendar,Y1107,0&amp;"D")</f>
        <v>46952</v>
      </c>
      <c r="AA1107" s="109">
        <v>1.6164808008465315E-2</v>
      </c>
      <c r="AB1107" s="143">
        <f t="shared" si="42"/>
        <v>0</v>
      </c>
      <c r="AC1107" s="236" t="e">
        <v>#N/A</v>
      </c>
      <c r="AD1107" s="236">
        <v>1.6164808008465315E-2</v>
      </c>
    </row>
    <row r="1108" spans="23:30" x14ac:dyDescent="0.2">
      <c r="W1108" s="144"/>
      <c r="X1108" s="113" t="str">
        <f t="shared" si="43"/>
        <v>1w</v>
      </c>
      <c r="Y1108" s="106">
        <f>_xll.qlCalendarAdvance(Calendar,Y1107,X1108,"f",FALSE)</f>
        <v>46959</v>
      </c>
      <c r="Z1108" s="108">
        <f>_xll.qlCalendarAdvance(Calendar,Y1108,0&amp;"D")</f>
        <v>46959</v>
      </c>
      <c r="AA1108" s="109">
        <v>1.6167627449945599E-2</v>
      </c>
      <c r="AB1108" s="143">
        <f t="shared" si="42"/>
        <v>0</v>
      </c>
      <c r="AC1108" s="236" t="e">
        <v>#N/A</v>
      </c>
      <c r="AD1108" s="236">
        <v>1.6167627449945599E-2</v>
      </c>
    </row>
    <row r="1109" spans="23:30" x14ac:dyDescent="0.2">
      <c r="W1109" s="144"/>
      <c r="X1109" s="113" t="str">
        <f t="shared" si="43"/>
        <v>1w</v>
      </c>
      <c r="Y1109" s="106">
        <f>_xll.qlCalendarAdvance(Calendar,Y1108,X1109,"f",FALSE)</f>
        <v>46966</v>
      </c>
      <c r="Z1109" s="108">
        <f>_xll.qlCalendarAdvance(Calendar,Y1109,0&amp;"D")</f>
        <v>46966</v>
      </c>
      <c r="AA1109" s="109">
        <v>1.6170394177752456E-2</v>
      </c>
      <c r="AB1109" s="143">
        <f t="shared" ref="AB1109:AB1172" si="44">AA1109-AD1109</f>
        <v>0</v>
      </c>
      <c r="AC1109" s="236" t="e">
        <v>#N/A</v>
      </c>
      <c r="AD1109" s="236">
        <v>1.6170394177752456E-2</v>
      </c>
    </row>
    <row r="1110" spans="23:30" x14ac:dyDescent="0.2">
      <c r="W1110" s="144"/>
      <c r="X1110" s="113" t="str">
        <f t="shared" si="43"/>
        <v>1w</v>
      </c>
      <c r="Y1110" s="106">
        <f>_xll.qlCalendarAdvance(Calendar,Y1109,X1110,"f",FALSE)</f>
        <v>46973</v>
      </c>
      <c r="Z1110" s="108">
        <f>_xll.qlCalendarAdvance(Calendar,Y1110,0&amp;"D")</f>
        <v>46973</v>
      </c>
      <c r="AA1110" s="109">
        <v>1.6173108191726016E-2</v>
      </c>
      <c r="AB1110" s="143">
        <f t="shared" si="44"/>
        <v>0</v>
      </c>
      <c r="AC1110" s="236" t="e">
        <v>#N/A</v>
      </c>
      <c r="AD1110" s="236">
        <v>1.6173108191726016E-2</v>
      </c>
    </row>
    <row r="1111" spans="23:30" x14ac:dyDescent="0.2">
      <c r="W1111" s="144"/>
      <c r="X1111" s="113" t="str">
        <f t="shared" si="43"/>
        <v>1w</v>
      </c>
      <c r="Y1111" s="106">
        <f>_xll.qlCalendarAdvance(Calendar,Y1110,X1111,"f",FALSE)</f>
        <v>46980</v>
      </c>
      <c r="Z1111" s="108">
        <f>_xll.qlCalendarAdvance(Calendar,Y1111,0&amp;"D")</f>
        <v>46980</v>
      </c>
      <c r="AA1111" s="109">
        <v>1.6175769491946212E-2</v>
      </c>
      <c r="AB1111" s="143">
        <f t="shared" si="44"/>
        <v>0</v>
      </c>
      <c r="AC1111" s="236" t="e">
        <v>#N/A</v>
      </c>
      <c r="AD1111" s="236">
        <v>1.6175769491946212E-2</v>
      </c>
    </row>
    <row r="1112" spans="23:30" x14ac:dyDescent="0.2">
      <c r="W1112" s="144"/>
      <c r="X1112" s="113" t="str">
        <f t="shared" si="43"/>
        <v>1w</v>
      </c>
      <c r="Y1112" s="106">
        <f>_xll.qlCalendarAdvance(Calendar,Y1111,X1112,"f",FALSE)</f>
        <v>46987</v>
      </c>
      <c r="Z1112" s="108">
        <f>_xll.qlCalendarAdvance(Calendar,Y1112,0&amp;"D")</f>
        <v>46987</v>
      </c>
      <c r="AA1112" s="109">
        <v>1.6178378078413047E-2</v>
      </c>
      <c r="AB1112" s="143">
        <f t="shared" si="44"/>
        <v>7.9936057773011271E-14</v>
      </c>
      <c r="AC1112" s="236" t="e">
        <v>#N/A</v>
      </c>
      <c r="AD1112" s="236">
        <v>1.6178378078333111E-2</v>
      </c>
    </row>
    <row r="1113" spans="23:30" x14ac:dyDescent="0.2">
      <c r="W1113" s="144"/>
      <c r="X1113" s="113" t="str">
        <f t="shared" si="43"/>
        <v>1w</v>
      </c>
      <c r="Y1113" s="106">
        <f>_xll.qlCalendarAdvance(Calendar,Y1112,X1113,"f",FALSE)</f>
        <v>46994</v>
      </c>
      <c r="Z1113" s="108">
        <f>_xll.qlCalendarAdvance(Calendar,Y1113,0&amp;"D")</f>
        <v>46994</v>
      </c>
      <c r="AA1113" s="109">
        <v>1.6180933951046583E-2</v>
      </c>
      <c r="AB1113" s="143">
        <f t="shared" si="44"/>
        <v>0</v>
      </c>
      <c r="AC1113" s="236" t="e">
        <v>#N/A</v>
      </c>
      <c r="AD1113" s="236">
        <v>1.6180933951046583E-2</v>
      </c>
    </row>
    <row r="1114" spans="23:30" x14ac:dyDescent="0.2">
      <c r="W1114" s="144"/>
      <c r="X1114" s="113" t="str">
        <f t="shared" si="43"/>
        <v>1w</v>
      </c>
      <c r="Y1114" s="106">
        <f>_xll.qlCalendarAdvance(Calendar,Y1113,X1114,"f",FALSE)</f>
        <v>47001</v>
      </c>
      <c r="Z1114" s="108">
        <f>_xll.qlCalendarAdvance(Calendar,Y1114,0&amp;"D")</f>
        <v>47001</v>
      </c>
      <c r="AA1114" s="109">
        <v>1.6183437109926757E-2</v>
      </c>
      <c r="AB1114" s="143">
        <f t="shared" si="44"/>
        <v>0</v>
      </c>
      <c r="AC1114" s="236" t="e">
        <v>#N/A</v>
      </c>
      <c r="AD1114" s="236">
        <v>1.6183437109926757E-2</v>
      </c>
    </row>
    <row r="1115" spans="23:30" x14ac:dyDescent="0.2">
      <c r="W1115" s="144"/>
      <c r="X1115" s="113" t="str">
        <f t="shared" si="43"/>
        <v>1w</v>
      </c>
      <c r="Y1115" s="106">
        <f>_xll.qlCalendarAdvance(Calendar,Y1114,X1115,"f",FALSE)</f>
        <v>47008</v>
      </c>
      <c r="Z1115" s="108">
        <f>_xll.qlCalendarAdvance(Calendar,Y1115,0&amp;"D")</f>
        <v>47008</v>
      </c>
      <c r="AA1115" s="109">
        <v>1.6185887555053569E-2</v>
      </c>
      <c r="AB1115" s="143">
        <f t="shared" si="44"/>
        <v>0</v>
      </c>
      <c r="AC1115" s="236" t="e">
        <v>#N/A</v>
      </c>
      <c r="AD1115" s="236">
        <v>1.6185887555053569E-2</v>
      </c>
    </row>
    <row r="1116" spans="23:30" x14ac:dyDescent="0.2">
      <c r="W1116" s="144"/>
      <c r="X1116" s="113" t="str">
        <f t="shared" si="43"/>
        <v>1w</v>
      </c>
      <c r="Y1116" s="106">
        <f>_xll.qlCalendarAdvance(Calendar,Y1115,X1116,"f",FALSE)</f>
        <v>47015</v>
      </c>
      <c r="Z1116" s="108">
        <f>_xll.qlCalendarAdvance(Calendar,Y1116,0&amp;"D")</f>
        <v>47015</v>
      </c>
      <c r="AA1116" s="109">
        <v>1.6188285286347082E-2</v>
      </c>
      <c r="AB1116" s="143">
        <f t="shared" si="44"/>
        <v>0</v>
      </c>
      <c r="AC1116" s="236" t="e">
        <v>#N/A</v>
      </c>
      <c r="AD1116" s="236">
        <v>1.6188285286347082E-2</v>
      </c>
    </row>
    <row r="1117" spans="23:30" x14ac:dyDescent="0.2">
      <c r="W1117" s="144"/>
      <c r="X1117" s="113" t="str">
        <f t="shared" si="43"/>
        <v>1w</v>
      </c>
      <c r="Y1117" s="106">
        <f>_xll.qlCalendarAdvance(Calendar,Y1116,X1117,"f",FALSE)</f>
        <v>47022</v>
      </c>
      <c r="Z1117" s="108">
        <f>_xll.qlCalendarAdvance(Calendar,Y1117,0&amp;"D")</f>
        <v>47022</v>
      </c>
      <c r="AA1117" s="109">
        <v>1.6190630303887232E-2</v>
      </c>
      <c r="AB1117" s="143">
        <f t="shared" si="44"/>
        <v>0</v>
      </c>
      <c r="AC1117" s="236" t="e">
        <v>#N/A</v>
      </c>
      <c r="AD1117" s="236">
        <v>1.6190630303887232E-2</v>
      </c>
    </row>
    <row r="1118" spans="23:30" x14ac:dyDescent="0.2">
      <c r="W1118" s="144"/>
      <c r="X1118" s="113" t="str">
        <f t="shared" si="43"/>
        <v>1w</v>
      </c>
      <c r="Y1118" s="106">
        <f>_xll.qlCalendarAdvance(Calendar,Y1117,X1118,"f",FALSE)</f>
        <v>47029</v>
      </c>
      <c r="Z1118" s="108">
        <f>_xll.qlCalendarAdvance(Calendar,Y1118,0&amp;"D")</f>
        <v>47029</v>
      </c>
      <c r="AA1118" s="109">
        <v>1.6192922607594085E-2</v>
      </c>
      <c r="AB1118" s="143">
        <f t="shared" si="44"/>
        <v>-7.9936057773011271E-14</v>
      </c>
      <c r="AC1118" s="236" t="e">
        <v>#N/A</v>
      </c>
      <c r="AD1118" s="236">
        <v>1.6192922607674021E-2</v>
      </c>
    </row>
    <row r="1119" spans="23:30" x14ac:dyDescent="0.2">
      <c r="W1119" s="144"/>
      <c r="X1119" s="113" t="str">
        <f t="shared" si="43"/>
        <v>1w</v>
      </c>
      <c r="Y1119" s="106">
        <f>_xll.qlCalendarAdvance(Calendar,Y1118,X1119,"f",FALSE)</f>
        <v>47036</v>
      </c>
      <c r="Z1119" s="108">
        <f>_xll.qlCalendarAdvance(Calendar,Y1119,0&amp;"D")</f>
        <v>47036</v>
      </c>
      <c r="AA1119" s="109">
        <v>1.6195162197547575E-2</v>
      </c>
      <c r="AB1119" s="143">
        <f t="shared" si="44"/>
        <v>-7.9936057773011271E-14</v>
      </c>
      <c r="AC1119" s="236" t="e">
        <v>#N/A</v>
      </c>
      <c r="AD1119" s="236">
        <v>1.6195162197627511E-2</v>
      </c>
    </row>
    <row r="1120" spans="23:30" x14ac:dyDescent="0.2">
      <c r="W1120" s="144"/>
      <c r="X1120" s="113" t="str">
        <f t="shared" si="43"/>
        <v>1w</v>
      </c>
      <c r="Y1120" s="106">
        <f>_xll.qlCalendarAdvance(Calendar,Y1119,X1120,"f",FALSE)</f>
        <v>47043</v>
      </c>
      <c r="Z1120" s="108">
        <f>_xll.qlCalendarAdvance(Calendar,Y1120,0&amp;"D")</f>
        <v>47043</v>
      </c>
      <c r="AA1120" s="109">
        <v>1.6197349073907574E-2</v>
      </c>
      <c r="AB1120" s="143">
        <f t="shared" si="44"/>
        <v>7.9936057773011271E-14</v>
      </c>
      <c r="AC1120" s="236" t="e">
        <v>#N/A</v>
      </c>
      <c r="AD1120" s="236">
        <v>1.6197349073827638E-2</v>
      </c>
    </row>
    <row r="1121" spans="23:30" x14ac:dyDescent="0.2">
      <c r="W1121" s="144"/>
      <c r="X1121" s="113" t="str">
        <f t="shared" si="43"/>
        <v>1w</v>
      </c>
      <c r="Y1121" s="106">
        <f>_xll.qlCalendarAdvance(Calendar,Y1120,X1121,"f",FALSE)</f>
        <v>47050</v>
      </c>
      <c r="Z1121" s="108">
        <f>_xll.qlCalendarAdvance(Calendar,Y1121,0&amp;"D")</f>
        <v>47050</v>
      </c>
      <c r="AA1121" s="109">
        <v>1.6199483236274403E-2</v>
      </c>
      <c r="AB1121" s="143">
        <f t="shared" si="44"/>
        <v>7.9936057773011271E-14</v>
      </c>
      <c r="AC1121" s="236" t="e">
        <v>#N/A</v>
      </c>
      <c r="AD1121" s="236">
        <v>1.6199483236194467E-2</v>
      </c>
    </row>
    <row r="1122" spans="23:30" x14ac:dyDescent="0.2">
      <c r="W1122" s="144"/>
      <c r="X1122" s="113" t="str">
        <f t="shared" si="43"/>
        <v>1w</v>
      </c>
      <c r="Y1122" s="106">
        <f>_xll.qlCalendarAdvance(Calendar,Y1121,X1122,"f",FALSE)</f>
        <v>47057</v>
      </c>
      <c r="Z1122" s="108">
        <f>_xll.qlCalendarAdvance(Calendar,Y1122,0&amp;"D")</f>
        <v>47057</v>
      </c>
      <c r="AA1122" s="109">
        <v>1.6201564684807934E-2</v>
      </c>
      <c r="AB1122" s="143">
        <f t="shared" si="44"/>
        <v>0</v>
      </c>
      <c r="AC1122" s="236" t="e">
        <v>#N/A</v>
      </c>
      <c r="AD1122" s="236">
        <v>1.6201564684807934E-2</v>
      </c>
    </row>
    <row r="1123" spans="23:30" x14ac:dyDescent="0.2">
      <c r="W1123" s="144"/>
      <c r="X1123" s="113" t="str">
        <f t="shared" si="43"/>
        <v>1w</v>
      </c>
      <c r="Y1123" s="106">
        <f>_xll.qlCalendarAdvance(Calendar,Y1122,X1123,"f",FALSE)</f>
        <v>47064</v>
      </c>
      <c r="Z1123" s="108">
        <f>_xll.qlCalendarAdvance(Calendar,Y1123,0&amp;"D")</f>
        <v>47064</v>
      </c>
      <c r="AA1123" s="109">
        <v>1.6203593419668039E-2</v>
      </c>
      <c r="AB1123" s="143">
        <f t="shared" si="44"/>
        <v>0</v>
      </c>
      <c r="AC1123" s="236" t="e">
        <v>#N/A</v>
      </c>
      <c r="AD1123" s="236">
        <v>1.6203593419668039E-2</v>
      </c>
    </row>
    <row r="1124" spans="23:30" x14ac:dyDescent="0.2">
      <c r="W1124" s="144"/>
      <c r="X1124" s="113" t="str">
        <f t="shared" si="43"/>
        <v>1w</v>
      </c>
      <c r="Y1124" s="106">
        <f>_xll.qlCalendarAdvance(Calendar,Y1123,X1124,"f",FALSE)</f>
        <v>47071</v>
      </c>
      <c r="Z1124" s="108">
        <f>_xll.qlCalendarAdvance(Calendar,Y1124,0&amp;"D")</f>
        <v>47071</v>
      </c>
      <c r="AA1124" s="109">
        <v>1.6205569440694845E-2</v>
      </c>
      <c r="AB1124" s="143">
        <f t="shared" si="44"/>
        <v>7.9936057773011271E-14</v>
      </c>
      <c r="AC1124" s="236" t="e">
        <v>#N/A</v>
      </c>
      <c r="AD1124" s="236">
        <v>1.6205569440614909E-2</v>
      </c>
    </row>
    <row r="1125" spans="23:30" x14ac:dyDescent="0.2">
      <c r="W1125" s="144"/>
      <c r="X1125" s="113" t="str">
        <f t="shared" si="43"/>
        <v>1w</v>
      </c>
      <c r="Y1125" s="106">
        <f>_xll.qlCalendarAdvance(Calendar,Y1124,X1125,"f",FALSE)</f>
        <v>47078</v>
      </c>
      <c r="Z1125" s="108">
        <f>_xll.qlCalendarAdvance(Calendar,Y1125,0&amp;"D")</f>
        <v>47078</v>
      </c>
      <c r="AA1125" s="109">
        <v>1.6207492747968288E-2</v>
      </c>
      <c r="AB1125" s="143">
        <f t="shared" si="44"/>
        <v>7.9936057773011271E-14</v>
      </c>
      <c r="AC1125" s="236" t="e">
        <v>#N/A</v>
      </c>
      <c r="AD1125" s="236">
        <v>1.6207492747888352E-2</v>
      </c>
    </row>
    <row r="1126" spans="23:30" x14ac:dyDescent="0.2">
      <c r="W1126" s="144"/>
      <c r="X1126" s="113" t="str">
        <f t="shared" si="43"/>
        <v>1w</v>
      </c>
      <c r="Y1126" s="106">
        <f>_xll.qlCalendarAdvance(Calendar,Y1125,X1126,"f",FALSE)</f>
        <v>47085</v>
      </c>
      <c r="Z1126" s="108">
        <f>_xll.qlCalendarAdvance(Calendar,Y1126,0&amp;"D")</f>
        <v>47085</v>
      </c>
      <c r="AA1126" s="109">
        <v>1.6209363341408434E-2</v>
      </c>
      <c r="AB1126" s="143">
        <f t="shared" si="44"/>
        <v>7.9936057773011271E-14</v>
      </c>
      <c r="AC1126" s="236" t="e">
        <v>#N/A</v>
      </c>
      <c r="AD1126" s="236">
        <v>1.6209363341328498E-2</v>
      </c>
    </row>
    <row r="1127" spans="23:30" x14ac:dyDescent="0.2">
      <c r="W1127" s="144"/>
      <c r="X1127" s="113" t="str">
        <f t="shared" si="43"/>
        <v>1w</v>
      </c>
      <c r="Y1127" s="106">
        <f>_xll.qlCalendarAdvance(Calendar,Y1126,X1127,"f",FALSE)</f>
        <v>47092</v>
      </c>
      <c r="Z1127" s="108">
        <f>_xll.qlCalendarAdvance(Calendar,Y1127,0&amp;"D")</f>
        <v>47092</v>
      </c>
      <c r="AA1127" s="109">
        <v>1.6211181220935345E-2</v>
      </c>
      <c r="AB1127" s="143">
        <f t="shared" si="44"/>
        <v>-7.9936057773011271E-14</v>
      </c>
      <c r="AC1127" s="236" t="e">
        <v>#N/A</v>
      </c>
      <c r="AD1127" s="236">
        <v>1.6211181221015281E-2</v>
      </c>
    </row>
    <row r="1128" spans="23:30" x14ac:dyDescent="0.2">
      <c r="W1128" s="144"/>
      <c r="X1128" s="113" t="str">
        <f t="shared" si="43"/>
        <v>1w</v>
      </c>
      <c r="Y1128" s="106">
        <f>_xll.qlCalendarAdvance(Calendar,Y1127,X1128,"f",FALSE)</f>
        <v>47099</v>
      </c>
      <c r="Z1128" s="108">
        <f>_xll.qlCalendarAdvance(Calendar,Y1128,0&amp;"D")</f>
        <v>47099</v>
      </c>
      <c r="AA1128" s="109">
        <v>1.6212946386788829E-2</v>
      </c>
      <c r="AB1128" s="143">
        <f t="shared" si="44"/>
        <v>-7.9936057773011271E-14</v>
      </c>
      <c r="AC1128" s="236" t="e">
        <v>#N/A</v>
      </c>
      <c r="AD1128" s="236">
        <v>1.6212946386868765E-2</v>
      </c>
    </row>
    <row r="1129" spans="23:30" x14ac:dyDescent="0.2">
      <c r="W1129" s="144"/>
      <c r="X1129" s="113" t="str">
        <f t="shared" si="43"/>
        <v>1w</v>
      </c>
      <c r="Y1129" s="106">
        <f>_xll.qlCalendarAdvance(Calendar,Y1128,X1129,"f",FALSE)</f>
        <v>47106</v>
      </c>
      <c r="Z1129" s="108">
        <f>_xll.qlCalendarAdvance(Calendar,Y1129,0&amp;"D")</f>
        <v>47106</v>
      </c>
      <c r="AA1129" s="109">
        <v>1.6214658838968887E-2</v>
      </c>
      <c r="AB1129" s="143">
        <f t="shared" si="44"/>
        <v>0</v>
      </c>
      <c r="AC1129" s="236" t="e">
        <v>#N/A</v>
      </c>
      <c r="AD1129" s="236">
        <v>1.6214658838968887E-2</v>
      </c>
    </row>
    <row r="1130" spans="23:30" x14ac:dyDescent="0.2">
      <c r="W1130" s="144"/>
      <c r="X1130" s="113" t="str">
        <f t="shared" si="43"/>
        <v>1w</v>
      </c>
      <c r="Y1130" s="106">
        <f>_xll.qlCalendarAdvance(Calendar,Y1129,X1130,"f",FALSE)</f>
        <v>47114</v>
      </c>
      <c r="Z1130" s="108">
        <f>_xll.qlCalendarAdvance(Calendar,Y1130,0&amp;"D")</f>
        <v>47114</v>
      </c>
      <c r="AA1130" s="109">
        <v>1.6216551379573119E-2</v>
      </c>
      <c r="AB1130" s="143">
        <f t="shared" si="44"/>
        <v>0</v>
      </c>
      <c r="AC1130" s="236" t="e">
        <v>#N/A</v>
      </c>
      <c r="AD1130" s="236">
        <v>1.6216551379573119E-2</v>
      </c>
    </row>
    <row r="1131" spans="23:30" x14ac:dyDescent="0.2">
      <c r="W1131" s="144"/>
      <c r="X1131" s="113" t="str">
        <f t="shared" si="43"/>
        <v>1w</v>
      </c>
      <c r="Y1131" s="106">
        <f>_xll.qlCalendarAdvance(Calendar,Y1130,X1131,"f",FALSE)</f>
        <v>47121</v>
      </c>
      <c r="Z1131" s="108">
        <f>_xll.qlCalendarAdvance(Calendar,Y1131,0&amp;"D")</f>
        <v>47121</v>
      </c>
      <c r="AA1131" s="109">
        <v>1.6218150873550385E-2</v>
      </c>
      <c r="AB1131" s="143">
        <f t="shared" si="44"/>
        <v>7.9936057773011271E-14</v>
      </c>
      <c r="AC1131" s="236" t="e">
        <v>#N/A</v>
      </c>
      <c r="AD1131" s="236">
        <v>1.6218150873470449E-2</v>
      </c>
    </row>
    <row r="1132" spans="23:30" x14ac:dyDescent="0.2">
      <c r="W1132" s="144"/>
      <c r="X1132" s="113" t="str">
        <f t="shared" si="43"/>
        <v>1w</v>
      </c>
      <c r="Y1132" s="106">
        <f>_xll.qlCalendarAdvance(Calendar,Y1131,X1132,"f",FALSE)</f>
        <v>47128</v>
      </c>
      <c r="Z1132" s="108">
        <f>_xll.qlCalendarAdvance(Calendar,Y1132,0&amp;"D")</f>
        <v>47128</v>
      </c>
      <c r="AA1132" s="109">
        <v>1.6219697653534482E-2</v>
      </c>
      <c r="AB1132" s="143">
        <f t="shared" si="44"/>
        <v>-7.9936057773011271E-14</v>
      </c>
      <c r="AC1132" s="236" t="e">
        <v>#N/A</v>
      </c>
      <c r="AD1132" s="236">
        <v>1.6219697653614418E-2</v>
      </c>
    </row>
    <row r="1133" spans="23:30" x14ac:dyDescent="0.2">
      <c r="W1133" s="144"/>
      <c r="X1133" s="113" t="str">
        <f t="shared" si="43"/>
        <v>1w</v>
      </c>
      <c r="Y1133" s="106">
        <f>_xll.qlCalendarAdvance(Calendar,Y1132,X1133,"f",FALSE)</f>
        <v>47135</v>
      </c>
      <c r="Z1133" s="108">
        <f>_xll.qlCalendarAdvance(Calendar,Y1133,0&amp;"D")</f>
        <v>47135</v>
      </c>
      <c r="AA1133" s="109">
        <v>1.6221191719925088E-2</v>
      </c>
      <c r="AB1133" s="143">
        <f t="shared" si="44"/>
        <v>0</v>
      </c>
      <c r="AC1133" s="236" t="e">
        <v>#N/A</v>
      </c>
      <c r="AD1133" s="236">
        <v>1.6221191719925088E-2</v>
      </c>
    </row>
    <row r="1134" spans="23:30" x14ac:dyDescent="0.2">
      <c r="W1134" s="144"/>
      <c r="X1134" s="113" t="str">
        <f t="shared" si="43"/>
        <v>1w</v>
      </c>
      <c r="Y1134" s="106">
        <f>_xll.qlCalendarAdvance(Calendar,Y1133,X1134,"f",FALSE)</f>
        <v>47142</v>
      </c>
      <c r="Z1134" s="108">
        <f>_xll.qlCalendarAdvance(Calendar,Y1134,0&amp;"D")</f>
        <v>47142</v>
      </c>
      <c r="AA1134" s="109">
        <v>1.6222633072482395E-2</v>
      </c>
      <c r="AB1134" s="143">
        <f t="shared" si="44"/>
        <v>-7.9936057773011271E-14</v>
      </c>
      <c r="AC1134" s="236" t="e">
        <v>#N/A</v>
      </c>
      <c r="AD1134" s="236">
        <v>1.6222633072562331E-2</v>
      </c>
    </row>
    <row r="1135" spans="23:30" x14ac:dyDescent="0.2">
      <c r="W1135" s="144"/>
      <c r="X1135" s="113" t="str">
        <f t="shared" si="43"/>
        <v>1w</v>
      </c>
      <c r="Y1135" s="106">
        <f>_xll.qlCalendarAdvance(Calendar,Y1134,X1135,"f",FALSE)</f>
        <v>47149</v>
      </c>
      <c r="Z1135" s="108">
        <f>_xll.qlCalendarAdvance(Calendar,Y1135,0&amp;"D")</f>
        <v>47149</v>
      </c>
      <c r="AA1135" s="109">
        <v>1.6224021711206404E-2</v>
      </c>
      <c r="AB1135" s="143">
        <f t="shared" si="44"/>
        <v>-7.9936057773011271E-14</v>
      </c>
      <c r="AC1135" s="236" t="e">
        <v>#N/A</v>
      </c>
      <c r="AD1135" s="236">
        <v>1.6224021711286341E-2</v>
      </c>
    </row>
    <row r="1136" spans="23:30" x14ac:dyDescent="0.2">
      <c r="W1136" s="144"/>
      <c r="X1136" s="113" t="str">
        <f t="shared" si="43"/>
        <v>1w</v>
      </c>
      <c r="Y1136" s="106">
        <f>_xll.qlCalendarAdvance(Calendar,Y1135,X1136,"f",FALSE)</f>
        <v>47156</v>
      </c>
      <c r="Z1136" s="108">
        <f>_xll.qlCalendarAdvance(Calendar,Y1136,0&amp;"D")</f>
        <v>47156</v>
      </c>
      <c r="AA1136" s="109">
        <v>1.6225357636256987E-2</v>
      </c>
      <c r="AB1136" s="143">
        <f t="shared" si="44"/>
        <v>7.9936057773011271E-14</v>
      </c>
      <c r="AC1136" s="236" t="e">
        <v>#N/A</v>
      </c>
      <c r="AD1136" s="236">
        <v>1.6225357636177051E-2</v>
      </c>
    </row>
    <row r="1137" spans="23:30" x14ac:dyDescent="0.2">
      <c r="W1137" s="144"/>
      <c r="X1137" s="113" t="str">
        <f t="shared" si="43"/>
        <v>1w</v>
      </c>
      <c r="Y1137" s="106">
        <f>_xll.qlCalendarAdvance(Calendar,Y1136,X1137,"f",FALSE)</f>
        <v>47163</v>
      </c>
      <c r="Z1137" s="108">
        <f>_xll.qlCalendarAdvance(Calendar,Y1137,0&amp;"D")</f>
        <v>47163</v>
      </c>
      <c r="AA1137" s="109">
        <v>1.6226640847394336E-2</v>
      </c>
      <c r="AB1137" s="143">
        <f t="shared" si="44"/>
        <v>7.9936057773011271E-14</v>
      </c>
      <c r="AC1137" s="236" t="e">
        <v>#N/A</v>
      </c>
      <c r="AD1137" s="236">
        <v>1.62266408473144E-2</v>
      </c>
    </row>
    <row r="1138" spans="23:30" x14ac:dyDescent="0.2">
      <c r="W1138" s="144"/>
      <c r="X1138" s="113" t="str">
        <f t="shared" si="43"/>
        <v>1w</v>
      </c>
      <c r="Y1138" s="106">
        <f>_xll.qlCalendarAdvance(Calendar,Y1137,X1138,"f",FALSE)</f>
        <v>47170</v>
      </c>
      <c r="Z1138" s="108">
        <f>_xll.qlCalendarAdvance(Calendar,Y1138,0&amp;"D")</f>
        <v>47170</v>
      </c>
      <c r="AA1138" s="109">
        <v>1.6227871344698386E-2</v>
      </c>
      <c r="AB1138" s="143">
        <f t="shared" si="44"/>
        <v>0</v>
      </c>
      <c r="AC1138" s="236" t="e">
        <v>#N/A</v>
      </c>
      <c r="AD1138" s="236">
        <v>1.6227871344698386E-2</v>
      </c>
    </row>
    <row r="1139" spans="23:30" x14ac:dyDescent="0.2">
      <c r="W1139" s="144"/>
      <c r="X1139" s="113" t="str">
        <f t="shared" si="43"/>
        <v>1w</v>
      </c>
      <c r="Y1139" s="106">
        <f>_xll.qlCalendarAdvance(Calendar,Y1138,X1139,"f",FALSE)</f>
        <v>47177</v>
      </c>
      <c r="Z1139" s="108">
        <f>_xll.qlCalendarAdvance(Calendar,Y1139,0&amp;"D")</f>
        <v>47177</v>
      </c>
      <c r="AA1139" s="109">
        <v>1.6229049128249073E-2</v>
      </c>
      <c r="AB1139" s="143">
        <f t="shared" si="44"/>
        <v>0</v>
      </c>
      <c r="AC1139" s="236" t="e">
        <v>#N/A</v>
      </c>
      <c r="AD1139" s="236">
        <v>1.6229049128249073E-2</v>
      </c>
    </row>
    <row r="1140" spans="23:30" x14ac:dyDescent="0.2">
      <c r="W1140" s="144"/>
      <c r="X1140" s="113" t="str">
        <f t="shared" si="43"/>
        <v>1w</v>
      </c>
      <c r="Y1140" s="106">
        <f>_xll.qlCalendarAdvance(Calendar,Y1139,X1140,"f",FALSE)</f>
        <v>47184</v>
      </c>
      <c r="Z1140" s="108">
        <f>_xll.qlCalendarAdvance(Calendar,Y1140,0&amp;"D")</f>
        <v>47184</v>
      </c>
      <c r="AA1140" s="109">
        <v>1.6230174198046399E-2</v>
      </c>
      <c r="AB1140" s="143">
        <f t="shared" si="44"/>
        <v>0</v>
      </c>
      <c r="AC1140" s="236" t="e">
        <v>#N/A</v>
      </c>
      <c r="AD1140" s="236">
        <v>1.6230174198046399E-2</v>
      </c>
    </row>
    <row r="1141" spans="23:30" x14ac:dyDescent="0.2">
      <c r="W1141" s="144"/>
      <c r="X1141" s="113" t="str">
        <f t="shared" si="43"/>
        <v>1w</v>
      </c>
      <c r="Y1141" s="106">
        <f>_xll.qlCalendarAdvance(Calendar,Y1140,X1141,"f",FALSE)</f>
        <v>47191</v>
      </c>
      <c r="Z1141" s="108">
        <f>_xll.qlCalendarAdvance(Calendar,Y1141,0&amp;"D")</f>
        <v>47191</v>
      </c>
      <c r="AA1141" s="109">
        <v>1.623124655393049E-2</v>
      </c>
      <c r="AB1141" s="143">
        <f t="shared" si="44"/>
        <v>0</v>
      </c>
      <c r="AC1141" s="236" t="e">
        <v>#N/A</v>
      </c>
      <c r="AD1141" s="236">
        <v>1.623124655393049E-2</v>
      </c>
    </row>
    <row r="1142" spans="23:30" x14ac:dyDescent="0.2">
      <c r="W1142" s="144"/>
      <c r="X1142" s="113" t="str">
        <f t="shared" si="43"/>
        <v>1w</v>
      </c>
      <c r="Y1142" s="106">
        <f>_xll.qlCalendarAdvance(Calendar,Y1141,X1142,"f",FALSE)</f>
        <v>47198</v>
      </c>
      <c r="Z1142" s="108">
        <f>_xll.qlCalendarAdvance(Calendar,Y1142,0&amp;"D")</f>
        <v>47198</v>
      </c>
      <c r="AA1142" s="109">
        <v>1.6232266196141154E-2</v>
      </c>
      <c r="AB1142" s="143">
        <f t="shared" si="44"/>
        <v>0</v>
      </c>
      <c r="AC1142" s="236" t="e">
        <v>#N/A</v>
      </c>
      <c r="AD1142" s="236">
        <v>1.6232266196141154E-2</v>
      </c>
    </row>
    <row r="1143" spans="23:30" x14ac:dyDescent="0.2">
      <c r="W1143" s="144"/>
      <c r="X1143" s="113" t="str">
        <f t="shared" si="43"/>
        <v>1w</v>
      </c>
      <c r="Y1143" s="106">
        <f>_xll.qlCalendarAdvance(Calendar,Y1142,X1143,"f",FALSE)</f>
        <v>47205</v>
      </c>
      <c r="Z1143" s="108">
        <f>_xll.qlCalendarAdvance(Calendar,Y1143,0&amp;"D")</f>
        <v>47205</v>
      </c>
      <c r="AA1143" s="109">
        <v>1.6233233124438584E-2</v>
      </c>
      <c r="AB1143" s="143">
        <f t="shared" si="44"/>
        <v>0</v>
      </c>
      <c r="AC1143" s="236" t="e">
        <v>#N/A</v>
      </c>
      <c r="AD1143" s="236">
        <v>1.6233233124438584E-2</v>
      </c>
    </row>
    <row r="1144" spans="23:30" x14ac:dyDescent="0.2">
      <c r="W1144" s="144"/>
      <c r="X1144" s="113" t="str">
        <f t="shared" si="43"/>
        <v>1w</v>
      </c>
      <c r="Y1144" s="106">
        <f>_xll.qlCalendarAdvance(Calendar,Y1143,X1144,"f",FALSE)</f>
        <v>47212</v>
      </c>
      <c r="Z1144" s="108">
        <f>_xll.qlCalendarAdvance(Calendar,Y1144,0&amp;"D")</f>
        <v>47212</v>
      </c>
      <c r="AA1144" s="109">
        <v>1.6234147338982652E-2</v>
      </c>
      <c r="AB1144" s="143">
        <f t="shared" si="44"/>
        <v>0</v>
      </c>
      <c r="AC1144" s="236" t="e">
        <v>#N/A</v>
      </c>
      <c r="AD1144" s="236">
        <v>1.6234147338982652E-2</v>
      </c>
    </row>
    <row r="1145" spans="23:30" x14ac:dyDescent="0.2">
      <c r="W1145" s="144"/>
      <c r="X1145" s="113" t="str">
        <f t="shared" si="43"/>
        <v>1w</v>
      </c>
      <c r="Y1145" s="106">
        <f>_xll.qlCalendarAdvance(Calendar,Y1144,X1145,"f",FALSE)</f>
        <v>47219</v>
      </c>
      <c r="Z1145" s="108">
        <f>_xll.qlCalendarAdvance(Calendar,Y1145,0&amp;"D")</f>
        <v>47219</v>
      </c>
      <c r="AA1145" s="109">
        <v>1.6235008839693421E-2</v>
      </c>
      <c r="AB1145" s="143">
        <f t="shared" si="44"/>
        <v>0</v>
      </c>
      <c r="AC1145" s="236" t="e">
        <v>#N/A</v>
      </c>
      <c r="AD1145" s="236">
        <v>1.6235008839693421E-2</v>
      </c>
    </row>
    <row r="1146" spans="23:30" x14ac:dyDescent="0.2">
      <c r="W1146" s="144"/>
      <c r="X1146" s="113" t="str">
        <f t="shared" si="43"/>
        <v>1w</v>
      </c>
      <c r="Y1146" s="106">
        <f>_xll.qlCalendarAdvance(Calendar,Y1145,X1146,"f",FALSE)</f>
        <v>47226</v>
      </c>
      <c r="Z1146" s="108">
        <f>_xll.qlCalendarAdvance(Calendar,Y1146,0&amp;"D")</f>
        <v>47226</v>
      </c>
      <c r="AA1146" s="109">
        <v>1.6235817626650828E-2</v>
      </c>
      <c r="AB1146" s="143">
        <f t="shared" si="44"/>
        <v>7.9936057773011271E-14</v>
      </c>
      <c r="AC1146" s="236" t="e">
        <v>#N/A</v>
      </c>
      <c r="AD1146" s="236">
        <v>1.6235817626570892E-2</v>
      </c>
    </row>
    <row r="1147" spans="23:30" x14ac:dyDescent="0.2">
      <c r="W1147" s="144"/>
      <c r="X1147" s="113" t="str">
        <f t="shared" si="43"/>
        <v>1w</v>
      </c>
      <c r="Y1147" s="106">
        <f>_xll.qlCalendarAdvance(Calendar,Y1146,X1147,"f",FALSE)</f>
        <v>47233</v>
      </c>
      <c r="Z1147" s="108">
        <f>_xll.qlCalendarAdvance(Calendar,Y1147,0&amp;"D")</f>
        <v>47233</v>
      </c>
      <c r="AA1147" s="109">
        <v>1.6236573699774937E-2</v>
      </c>
      <c r="AB1147" s="143">
        <f t="shared" si="44"/>
        <v>0</v>
      </c>
      <c r="AC1147" s="236" t="e">
        <v>#N/A</v>
      </c>
      <c r="AD1147" s="236">
        <v>1.6236573699774937E-2</v>
      </c>
    </row>
    <row r="1148" spans="23:30" x14ac:dyDescent="0.2">
      <c r="W1148" s="144"/>
      <c r="X1148" s="113" t="str">
        <f t="shared" si="43"/>
        <v>1w</v>
      </c>
      <c r="Y1148" s="106">
        <f>_xll.qlCalendarAdvance(Calendar,Y1147,X1148,"f",FALSE)</f>
        <v>47240</v>
      </c>
      <c r="Z1148" s="108">
        <f>_xll.qlCalendarAdvance(Calendar,Y1148,0&amp;"D")</f>
        <v>47240</v>
      </c>
      <c r="AA1148" s="109">
        <v>1.6237277059145683E-2</v>
      </c>
      <c r="AB1148" s="143">
        <f t="shared" si="44"/>
        <v>0</v>
      </c>
      <c r="AC1148" s="236" t="e">
        <v>#N/A</v>
      </c>
      <c r="AD1148" s="236">
        <v>1.6237277059145683E-2</v>
      </c>
    </row>
    <row r="1149" spans="23:30" x14ac:dyDescent="0.2">
      <c r="W1149" s="144"/>
      <c r="X1149" s="113" t="str">
        <f t="shared" si="43"/>
        <v>1w</v>
      </c>
      <c r="Y1149" s="106">
        <f>_xll.qlCalendarAdvance(Calendar,Y1148,X1149,"f",FALSE)</f>
        <v>47247</v>
      </c>
      <c r="Z1149" s="108">
        <f>_xll.qlCalendarAdvance(Calendar,Y1149,0&amp;"D")</f>
        <v>47247</v>
      </c>
      <c r="AA1149" s="109">
        <v>1.6237927704683131E-2</v>
      </c>
      <c r="AB1149" s="143">
        <f t="shared" si="44"/>
        <v>0</v>
      </c>
      <c r="AC1149" s="236" t="e">
        <v>#N/A</v>
      </c>
      <c r="AD1149" s="236">
        <v>1.6237927704683131E-2</v>
      </c>
    </row>
    <row r="1150" spans="23:30" x14ac:dyDescent="0.2">
      <c r="W1150" s="144"/>
      <c r="X1150" s="113" t="str">
        <f t="shared" si="43"/>
        <v>1w</v>
      </c>
      <c r="Y1150" s="106">
        <f>_xll.qlCalendarAdvance(Calendar,Y1149,X1150,"f",FALSE)</f>
        <v>47254</v>
      </c>
      <c r="Z1150" s="108">
        <f>_xll.qlCalendarAdvance(Calendar,Y1150,0&amp;"D")</f>
        <v>47254</v>
      </c>
      <c r="AA1150" s="109">
        <v>1.6238525636307344E-2</v>
      </c>
      <c r="AB1150" s="143">
        <f t="shared" si="44"/>
        <v>0</v>
      </c>
      <c r="AC1150" s="236" t="e">
        <v>#N/A</v>
      </c>
      <c r="AD1150" s="236">
        <v>1.6238525636307344E-2</v>
      </c>
    </row>
    <row r="1151" spans="23:30" x14ac:dyDescent="0.2">
      <c r="W1151" s="144"/>
      <c r="X1151" s="113" t="str">
        <f t="shared" si="43"/>
        <v>1w</v>
      </c>
      <c r="Y1151" s="106">
        <f>_xll.qlCalendarAdvance(Calendar,Y1150,X1151,"f",FALSE)</f>
        <v>47261</v>
      </c>
      <c r="Z1151" s="108">
        <f>_xll.qlCalendarAdvance(Calendar,Y1151,0&amp;"D")</f>
        <v>47261</v>
      </c>
      <c r="AA1151" s="109">
        <v>1.6239070854338067E-2</v>
      </c>
      <c r="AB1151" s="143">
        <f t="shared" si="44"/>
        <v>0</v>
      </c>
      <c r="AC1151" s="236" t="e">
        <v>#N/A</v>
      </c>
      <c r="AD1151" s="236">
        <v>1.6239070854338067E-2</v>
      </c>
    </row>
    <row r="1152" spans="23:30" x14ac:dyDescent="0.2">
      <c r="W1152" s="144"/>
      <c r="X1152" s="113" t="str">
        <f t="shared" si="43"/>
        <v>1w</v>
      </c>
      <c r="Y1152" s="106">
        <f>_xll.qlCalendarAdvance(Calendar,Y1151,X1152,"f",FALSE)</f>
        <v>47268</v>
      </c>
      <c r="Z1152" s="108">
        <f>_xll.qlCalendarAdvance(Calendar,Y1152,0&amp;"D")</f>
        <v>47268</v>
      </c>
      <c r="AA1152" s="109">
        <v>1.6239563358375619E-2</v>
      </c>
      <c r="AB1152" s="143">
        <f t="shared" si="44"/>
        <v>0</v>
      </c>
      <c r="AC1152" s="236" t="e">
        <v>#N/A</v>
      </c>
      <c r="AD1152" s="236">
        <v>1.6239563358375619E-2</v>
      </c>
    </row>
    <row r="1153" spans="23:30" x14ac:dyDescent="0.2">
      <c r="W1153" s="144"/>
      <c r="X1153" s="113" t="str">
        <f t="shared" si="43"/>
        <v>1w</v>
      </c>
      <c r="Y1153" s="106">
        <f>_xll.qlCalendarAdvance(Calendar,Y1152,X1153,"f",FALSE)</f>
        <v>47275</v>
      </c>
      <c r="Z1153" s="108">
        <f>_xll.qlCalendarAdvance(Calendar,Y1153,0&amp;"D")</f>
        <v>47275</v>
      </c>
      <c r="AA1153" s="109">
        <v>1.624000314865981E-2</v>
      </c>
      <c r="AB1153" s="143">
        <f t="shared" si="44"/>
        <v>-7.9936057773011271E-14</v>
      </c>
      <c r="AC1153" s="236" t="e">
        <v>#N/A</v>
      </c>
      <c r="AD1153" s="236">
        <v>1.6240003148739746E-2</v>
      </c>
    </row>
    <row r="1154" spans="23:30" x14ac:dyDescent="0.2">
      <c r="W1154" s="144"/>
      <c r="X1154" s="113" t="str">
        <f t="shared" si="43"/>
        <v>1w</v>
      </c>
      <c r="Y1154" s="106">
        <f>_xll.qlCalendarAdvance(Calendar,Y1153,X1154,"f",FALSE)</f>
        <v>47282</v>
      </c>
      <c r="Z1154" s="108">
        <f>_xll.qlCalendarAdvance(Calendar,Y1154,0&amp;"D")</f>
        <v>47282</v>
      </c>
      <c r="AA1154" s="109">
        <v>1.6240390225190637E-2</v>
      </c>
      <c r="AB1154" s="143">
        <f t="shared" si="44"/>
        <v>0</v>
      </c>
      <c r="AC1154" s="236" t="e">
        <v>#N/A</v>
      </c>
      <c r="AD1154" s="236">
        <v>1.6240390225190637E-2</v>
      </c>
    </row>
    <row r="1155" spans="23:30" x14ac:dyDescent="0.2">
      <c r="W1155" s="144"/>
      <c r="X1155" s="113" t="str">
        <f t="shared" si="43"/>
        <v>1w</v>
      </c>
      <c r="Y1155" s="106">
        <f>_xll.qlCalendarAdvance(Calendar,Y1154,X1155,"f",FALSE)</f>
        <v>47289</v>
      </c>
      <c r="Z1155" s="108">
        <f>_xll.qlCalendarAdvance(Calendar,Y1155,0&amp;"D")</f>
        <v>47289</v>
      </c>
      <c r="AA1155" s="109">
        <v>1.6240724587888167E-2</v>
      </c>
      <c r="AB1155" s="143">
        <f t="shared" si="44"/>
        <v>7.9936057773011271E-14</v>
      </c>
      <c r="AC1155" s="236" t="e">
        <v>#N/A</v>
      </c>
      <c r="AD1155" s="236">
        <v>1.6240724587808231E-2</v>
      </c>
    </row>
    <row r="1156" spans="23:30" x14ac:dyDescent="0.2">
      <c r="W1156" s="144"/>
      <c r="X1156" s="113" t="str">
        <f t="shared" si="43"/>
        <v>1w</v>
      </c>
      <c r="Y1156" s="106">
        <f>_xll.qlCalendarAdvance(Calendar,Y1155,X1156,"f",FALSE)</f>
        <v>47296</v>
      </c>
      <c r="Z1156" s="108">
        <f>_xll.qlCalendarAdvance(Calendar,Y1156,0&amp;"D")</f>
        <v>47296</v>
      </c>
      <c r="AA1156" s="109">
        <v>1.6241006236752398E-2</v>
      </c>
      <c r="AB1156" s="143">
        <f t="shared" si="44"/>
        <v>0</v>
      </c>
      <c r="AC1156" s="236" t="e">
        <v>#N/A</v>
      </c>
      <c r="AD1156" s="236">
        <v>1.6241006236752398E-2</v>
      </c>
    </row>
    <row r="1157" spans="23:30" x14ac:dyDescent="0.2">
      <c r="W1157" s="144"/>
      <c r="X1157" s="113" t="str">
        <f t="shared" si="43"/>
        <v>1w</v>
      </c>
      <c r="Y1157" s="106">
        <f>_xll.qlCalendarAdvance(Calendar,Y1156,X1157,"f",FALSE)</f>
        <v>47303</v>
      </c>
      <c r="Z1157" s="108">
        <f>_xll.qlCalendarAdvance(Calendar,Y1157,0&amp;"D")</f>
        <v>47303</v>
      </c>
      <c r="AA1157" s="109">
        <v>1.6241235171863266E-2</v>
      </c>
      <c r="AB1157" s="143">
        <f t="shared" si="44"/>
        <v>0</v>
      </c>
      <c r="AC1157" s="236" t="e">
        <v>#N/A</v>
      </c>
      <c r="AD1157" s="236">
        <v>1.6241235171863266E-2</v>
      </c>
    </row>
    <row r="1158" spans="23:30" x14ac:dyDescent="0.2">
      <c r="W1158" s="144"/>
      <c r="X1158" s="113" t="str">
        <f t="shared" si="43"/>
        <v>1w</v>
      </c>
      <c r="Y1158" s="106">
        <f>_xll.qlCalendarAdvance(Calendar,Y1157,X1158,"f",FALSE)</f>
        <v>47310</v>
      </c>
      <c r="Z1158" s="108">
        <f>_xll.qlCalendarAdvance(Calendar,Y1158,0&amp;"D")</f>
        <v>47310</v>
      </c>
      <c r="AA1158" s="109">
        <v>1.6241411393140837E-2</v>
      </c>
      <c r="AB1158" s="143">
        <f t="shared" si="44"/>
        <v>0</v>
      </c>
      <c r="AC1158" s="236" t="e">
        <v>#N/A</v>
      </c>
      <c r="AD1158" s="236">
        <v>1.6241411393140837E-2</v>
      </c>
    </row>
    <row r="1159" spans="23:30" x14ac:dyDescent="0.2">
      <c r="W1159" s="144"/>
      <c r="X1159" s="113" t="str">
        <f t="shared" si="43"/>
        <v>1w</v>
      </c>
      <c r="Y1159" s="106">
        <f>_xll.qlCalendarAdvance(Calendar,Y1158,X1159,"f",FALSE)</f>
        <v>47317</v>
      </c>
      <c r="Z1159" s="108">
        <f>_xll.qlCalendarAdvance(Calendar,Y1159,0&amp;"D")</f>
        <v>47317</v>
      </c>
      <c r="AA1159" s="109">
        <v>1.6241534900585108E-2</v>
      </c>
      <c r="AB1159" s="143">
        <f t="shared" si="44"/>
        <v>0</v>
      </c>
      <c r="AC1159" s="236" t="e">
        <v>#N/A</v>
      </c>
      <c r="AD1159" s="236">
        <v>1.6241534900585108E-2</v>
      </c>
    </row>
    <row r="1160" spans="23:30" x14ac:dyDescent="0.2">
      <c r="W1160" s="144"/>
      <c r="X1160" s="113" t="str">
        <f t="shared" si="43"/>
        <v>1w</v>
      </c>
      <c r="Y1160" s="106">
        <f>_xll.qlCalendarAdvance(Calendar,Y1159,X1160,"f",FALSE)</f>
        <v>47324</v>
      </c>
      <c r="Z1160" s="108">
        <f>_xll.qlCalendarAdvance(Calendar,Y1160,0&amp;"D")</f>
        <v>47324</v>
      </c>
      <c r="AA1160" s="109">
        <v>1.6241605694276018E-2</v>
      </c>
      <c r="AB1160" s="143">
        <f t="shared" si="44"/>
        <v>7.9936057773011271E-14</v>
      </c>
      <c r="AC1160" s="236" t="e">
        <v>#N/A</v>
      </c>
      <c r="AD1160" s="236">
        <v>1.6241605694196082E-2</v>
      </c>
    </row>
    <row r="1161" spans="23:30" x14ac:dyDescent="0.2">
      <c r="W1161" s="144"/>
      <c r="X1161" s="113" t="str">
        <f t="shared" si="43"/>
        <v>1w</v>
      </c>
      <c r="Y1161" s="106">
        <f>_xll.qlCalendarAdvance(Calendar,Y1160,X1161,"f",FALSE)</f>
        <v>47331</v>
      </c>
      <c r="Z1161" s="108">
        <f>_xll.qlCalendarAdvance(Calendar,Y1161,0&amp;"D")</f>
        <v>47331</v>
      </c>
      <c r="AA1161" s="109">
        <v>1.6241623774053693E-2</v>
      </c>
      <c r="AB1161" s="143">
        <f t="shared" si="44"/>
        <v>0</v>
      </c>
      <c r="AC1161" s="236" t="e">
        <v>#N/A</v>
      </c>
      <c r="AD1161" s="236">
        <v>1.6241623774053693E-2</v>
      </c>
    </row>
    <row r="1162" spans="23:30" x14ac:dyDescent="0.2">
      <c r="W1162" s="144"/>
      <c r="X1162" s="113" t="str">
        <f t="shared" si="43"/>
        <v>1w</v>
      </c>
      <c r="Y1162" s="106">
        <f>_xll.qlCalendarAdvance(Calendar,Y1161,X1162,"f",FALSE)</f>
        <v>47338</v>
      </c>
      <c r="Z1162" s="108">
        <f>_xll.qlCalendarAdvance(Calendar,Y1162,0&amp;"D")</f>
        <v>47338</v>
      </c>
      <c r="AA1162" s="109">
        <v>1.6241589140157942E-2</v>
      </c>
      <c r="AB1162" s="143">
        <f t="shared" si="44"/>
        <v>0</v>
      </c>
      <c r="AC1162" s="236" t="e">
        <v>#N/A</v>
      </c>
      <c r="AD1162" s="236">
        <v>1.6241589140157942E-2</v>
      </c>
    </row>
    <row r="1163" spans="23:30" x14ac:dyDescent="0.2">
      <c r="W1163" s="144"/>
      <c r="X1163" s="113" t="str">
        <f t="shared" si="43"/>
        <v>1w</v>
      </c>
      <c r="Y1163" s="106">
        <f>_xll.qlCalendarAdvance(Calendar,Y1162,X1163,"f",FALSE)</f>
        <v>47345</v>
      </c>
      <c r="Z1163" s="108">
        <f>_xll.qlCalendarAdvance(Calendar,Y1163,0&amp;"D")</f>
        <v>47345</v>
      </c>
      <c r="AA1163" s="109">
        <v>1.6241501792428892E-2</v>
      </c>
      <c r="AB1163" s="143">
        <f t="shared" si="44"/>
        <v>0</v>
      </c>
      <c r="AC1163" s="236" t="e">
        <v>#N/A</v>
      </c>
      <c r="AD1163" s="236">
        <v>1.6241501792428892E-2</v>
      </c>
    </row>
    <row r="1164" spans="23:30" x14ac:dyDescent="0.2">
      <c r="W1164" s="144"/>
      <c r="X1164" s="113" t="str">
        <f t="shared" si="43"/>
        <v>1w</v>
      </c>
      <c r="Y1164" s="106">
        <f>_xll.qlCalendarAdvance(Calendar,Y1163,X1164,"f",FALSE)</f>
        <v>47352</v>
      </c>
      <c r="Z1164" s="108">
        <f>_xll.qlCalendarAdvance(Calendar,Y1164,0&amp;"D")</f>
        <v>47352</v>
      </c>
      <c r="AA1164" s="109">
        <v>1.6241361730786608E-2</v>
      </c>
      <c r="AB1164" s="143">
        <f t="shared" si="44"/>
        <v>0</v>
      </c>
      <c r="AC1164" s="236" t="e">
        <v>#N/A</v>
      </c>
      <c r="AD1164" s="236">
        <v>1.6241361730786608E-2</v>
      </c>
    </row>
    <row r="1165" spans="23:30" x14ac:dyDescent="0.2">
      <c r="W1165" s="144"/>
      <c r="X1165" s="113" t="str">
        <f t="shared" ref="X1165:X1228" si="45">X1164</f>
        <v>1w</v>
      </c>
      <c r="Y1165" s="106">
        <f>_xll.qlCalendarAdvance(Calendar,Y1164,X1165,"f",FALSE)</f>
        <v>47359</v>
      </c>
      <c r="Z1165" s="108">
        <f>_xll.qlCalendarAdvance(Calendar,Y1165,0&amp;"D")</f>
        <v>47359</v>
      </c>
      <c r="AA1165" s="109">
        <v>1.6241168955390961E-2</v>
      </c>
      <c r="AB1165" s="143">
        <f t="shared" si="44"/>
        <v>-7.9936057773011271E-14</v>
      </c>
      <c r="AC1165" s="236" t="e">
        <v>#N/A</v>
      </c>
      <c r="AD1165" s="236">
        <v>1.6241168955470897E-2</v>
      </c>
    </row>
    <row r="1166" spans="23:30" x14ac:dyDescent="0.2">
      <c r="W1166" s="144"/>
      <c r="X1166" s="113" t="str">
        <f t="shared" si="45"/>
        <v>1w</v>
      </c>
      <c r="Y1166" s="106">
        <f>_xll.qlCalendarAdvance(Calendar,Y1165,X1166,"f",FALSE)</f>
        <v>47366</v>
      </c>
      <c r="Z1166" s="108">
        <f>_xll.qlCalendarAdvance(Calendar,Y1166,0&amp;"D")</f>
        <v>47366</v>
      </c>
      <c r="AA1166" s="109">
        <v>1.6240923466321888E-2</v>
      </c>
      <c r="AB1166" s="143">
        <f t="shared" si="44"/>
        <v>0</v>
      </c>
      <c r="AC1166" s="236" t="e">
        <v>#N/A</v>
      </c>
      <c r="AD1166" s="236">
        <v>1.6240923466321888E-2</v>
      </c>
    </row>
    <row r="1167" spans="23:30" x14ac:dyDescent="0.2">
      <c r="W1167" s="144"/>
      <c r="X1167" s="113" t="str">
        <f t="shared" si="45"/>
        <v>1w</v>
      </c>
      <c r="Y1167" s="106">
        <f>_xll.qlCalendarAdvance(Calendar,Y1166,X1167,"f",FALSE)</f>
        <v>47373</v>
      </c>
      <c r="Z1167" s="108">
        <f>_xll.qlCalendarAdvance(Calendar,Y1167,0&amp;"D")</f>
        <v>47373</v>
      </c>
      <c r="AA1167" s="109">
        <v>1.6240625263339581E-2</v>
      </c>
      <c r="AB1167" s="143">
        <f t="shared" si="44"/>
        <v>7.9936057773011271E-14</v>
      </c>
      <c r="AC1167" s="236" t="e">
        <v>#N/A</v>
      </c>
      <c r="AD1167" s="236">
        <v>1.6240625263259645E-2</v>
      </c>
    </row>
    <row r="1168" spans="23:30" x14ac:dyDescent="0.2">
      <c r="W1168" s="144"/>
      <c r="X1168" s="113" t="str">
        <f t="shared" si="45"/>
        <v>1w</v>
      </c>
      <c r="Y1168" s="106">
        <f>_xll.qlCalendarAdvance(Calendar,Y1167,X1168,"f",FALSE)</f>
        <v>47380</v>
      </c>
      <c r="Z1168" s="108">
        <f>_xll.qlCalendarAdvance(Calendar,Y1168,0&amp;"D")</f>
        <v>47380</v>
      </c>
      <c r="AA1168" s="109">
        <v>1.6240274346444039E-2</v>
      </c>
      <c r="AB1168" s="143">
        <f t="shared" si="44"/>
        <v>-7.9936057773011271E-14</v>
      </c>
      <c r="AC1168" s="236" t="e">
        <v>#N/A</v>
      </c>
      <c r="AD1168" s="236">
        <v>1.6240274346523975E-2</v>
      </c>
    </row>
    <row r="1169" spans="23:30" x14ac:dyDescent="0.2">
      <c r="W1169" s="144"/>
      <c r="X1169" s="113" t="str">
        <f t="shared" si="45"/>
        <v>1w</v>
      </c>
      <c r="Y1169" s="106">
        <f>_xll.qlCalendarAdvance(Calendar,Y1168,X1169,"f",FALSE)</f>
        <v>47387</v>
      </c>
      <c r="Z1169" s="108">
        <f>_xll.qlCalendarAdvance(Calendar,Y1169,0&amp;"D")</f>
        <v>47387</v>
      </c>
      <c r="AA1169" s="109">
        <v>1.6239870715955007E-2</v>
      </c>
      <c r="AB1169" s="143">
        <f t="shared" si="44"/>
        <v>0</v>
      </c>
      <c r="AC1169" s="236" t="e">
        <v>#N/A</v>
      </c>
      <c r="AD1169" s="236">
        <v>1.6239870715955007E-2</v>
      </c>
    </row>
    <row r="1170" spans="23:30" x14ac:dyDescent="0.2">
      <c r="W1170" s="144"/>
      <c r="X1170" s="113" t="str">
        <f t="shared" si="45"/>
        <v>1w</v>
      </c>
      <c r="Y1170" s="106">
        <f>_xll.qlCalendarAdvance(Calendar,Y1169,X1170,"f",FALSE)</f>
        <v>47394</v>
      </c>
      <c r="Z1170" s="108">
        <f>_xll.qlCalendarAdvance(Calendar,Y1170,0&amp;"D")</f>
        <v>47394</v>
      </c>
      <c r="AA1170" s="109">
        <v>1.6239414371472805E-2</v>
      </c>
      <c r="AB1170" s="143">
        <f t="shared" si="44"/>
        <v>0</v>
      </c>
      <c r="AC1170" s="236" t="e">
        <v>#N/A</v>
      </c>
      <c r="AD1170" s="236">
        <v>1.6239414371472805E-2</v>
      </c>
    </row>
    <row r="1171" spans="23:30" x14ac:dyDescent="0.2">
      <c r="W1171" s="144"/>
      <c r="X1171" s="113" t="str">
        <f t="shared" si="45"/>
        <v>1w</v>
      </c>
      <c r="Y1171" s="106">
        <f>_xll.qlCalendarAdvance(Calendar,Y1170,X1171,"f",FALSE)</f>
        <v>47401</v>
      </c>
      <c r="Z1171" s="108">
        <f>_xll.qlCalendarAdvance(Calendar,Y1171,0&amp;"D")</f>
        <v>47401</v>
      </c>
      <c r="AA1171" s="109">
        <v>1.6238905313317176E-2</v>
      </c>
      <c r="AB1171" s="143">
        <f t="shared" si="44"/>
        <v>0</v>
      </c>
      <c r="AC1171" s="236" t="e">
        <v>#N/A</v>
      </c>
      <c r="AD1171" s="236">
        <v>1.6238905313317176E-2</v>
      </c>
    </row>
    <row r="1172" spans="23:30" x14ac:dyDescent="0.2">
      <c r="W1172" s="144"/>
      <c r="X1172" s="113" t="str">
        <f t="shared" si="45"/>
        <v>1w</v>
      </c>
      <c r="Y1172" s="106">
        <f>_xll.qlCalendarAdvance(Calendar,Y1171,X1172,"f",FALSE)</f>
        <v>47408</v>
      </c>
      <c r="Z1172" s="108">
        <f>_xll.qlCalendarAdvance(Calendar,Y1172,0&amp;"D")</f>
        <v>47408</v>
      </c>
      <c r="AA1172" s="109">
        <v>1.6238343541168376E-2</v>
      </c>
      <c r="AB1172" s="143">
        <f t="shared" si="44"/>
        <v>-7.9936057773011271E-14</v>
      </c>
      <c r="AC1172" s="236" t="e">
        <v>#N/A</v>
      </c>
      <c r="AD1172" s="236">
        <v>1.6238343541248312E-2</v>
      </c>
    </row>
    <row r="1173" spans="23:30" x14ac:dyDescent="0.2">
      <c r="W1173" s="144"/>
      <c r="X1173" s="113" t="str">
        <f t="shared" si="45"/>
        <v>1w</v>
      </c>
      <c r="Y1173" s="106">
        <f>_xll.qlCalendarAdvance(Calendar,Y1172,X1173,"f",FALSE)</f>
        <v>47415</v>
      </c>
      <c r="Z1173" s="108">
        <f>_xll.qlCalendarAdvance(Calendar,Y1173,0&amp;"D")</f>
        <v>47415</v>
      </c>
      <c r="AA1173" s="109">
        <v>1.6237729055346151E-2</v>
      </c>
      <c r="AB1173" s="143">
        <f t="shared" ref="AB1173:AB1236" si="46">AA1173-AD1173</f>
        <v>-7.9936057773011271E-14</v>
      </c>
      <c r="AC1173" s="236" t="e">
        <v>#N/A</v>
      </c>
      <c r="AD1173" s="236">
        <v>1.6237729055426087E-2</v>
      </c>
    </row>
    <row r="1174" spans="23:30" x14ac:dyDescent="0.2">
      <c r="W1174" s="144"/>
      <c r="X1174" s="113" t="str">
        <f t="shared" si="45"/>
        <v>1w</v>
      </c>
      <c r="Y1174" s="106">
        <f>_xll.qlCalendarAdvance(Calendar,Y1173,X1174,"f",FALSE)</f>
        <v>47422</v>
      </c>
      <c r="Z1174" s="108">
        <f>_xll.qlCalendarAdvance(Calendar,Y1174,0&amp;"D")</f>
        <v>47422</v>
      </c>
      <c r="AA1174" s="109">
        <v>1.6237061855930435E-2</v>
      </c>
      <c r="AB1174" s="143">
        <f t="shared" si="46"/>
        <v>7.9936057773011271E-14</v>
      </c>
      <c r="AC1174" s="236" t="e">
        <v>#N/A</v>
      </c>
      <c r="AD1174" s="236">
        <v>1.6237061855850499E-2</v>
      </c>
    </row>
    <row r="1175" spans="23:30" x14ac:dyDescent="0.2">
      <c r="W1175" s="144"/>
      <c r="X1175" s="113" t="str">
        <f t="shared" si="45"/>
        <v>1w</v>
      </c>
      <c r="Y1175" s="106">
        <f>_xll.qlCalendarAdvance(Calendar,Y1174,X1175,"f",FALSE)</f>
        <v>47429</v>
      </c>
      <c r="Z1175" s="108">
        <f>_xll.qlCalendarAdvance(Calendar,Y1175,0&amp;"D")</f>
        <v>47429</v>
      </c>
      <c r="AA1175" s="109">
        <v>1.6236341942441612E-2</v>
      </c>
      <c r="AB1175" s="143">
        <f t="shared" si="46"/>
        <v>0</v>
      </c>
      <c r="AC1175" s="236" t="e">
        <v>#N/A</v>
      </c>
      <c r="AD1175" s="236">
        <v>1.6236341942441612E-2</v>
      </c>
    </row>
    <row r="1176" spans="23:30" x14ac:dyDescent="0.2">
      <c r="W1176" s="144"/>
      <c r="X1176" s="113" t="str">
        <f t="shared" si="45"/>
        <v>1w</v>
      </c>
      <c r="Y1176" s="106">
        <f>_xll.qlCalendarAdvance(Calendar,Y1175,X1176,"f",FALSE)</f>
        <v>47436</v>
      </c>
      <c r="Z1176" s="108">
        <f>_xll.qlCalendarAdvance(Calendar,Y1176,0&amp;"D")</f>
        <v>47436</v>
      </c>
      <c r="AA1176" s="109">
        <v>1.6235569315279363E-2</v>
      </c>
      <c r="AB1176" s="143">
        <f t="shared" si="46"/>
        <v>0</v>
      </c>
      <c r="AC1176" s="236" t="e">
        <v>#N/A</v>
      </c>
      <c r="AD1176" s="236">
        <v>1.6235569315279363E-2</v>
      </c>
    </row>
    <row r="1177" spans="23:30" x14ac:dyDescent="0.2">
      <c r="W1177" s="144"/>
      <c r="X1177" s="113" t="str">
        <f t="shared" si="45"/>
        <v>1w</v>
      </c>
      <c r="Y1177" s="106">
        <f>_xll.qlCalendarAdvance(Calendar,Y1176,X1177,"f",FALSE)</f>
        <v>47443</v>
      </c>
      <c r="Z1177" s="108">
        <f>_xll.qlCalendarAdvance(Calendar,Y1177,0&amp;"D")</f>
        <v>47443</v>
      </c>
      <c r="AA1177" s="109">
        <v>1.623474397420388E-2</v>
      </c>
      <c r="AB1177" s="143">
        <f t="shared" si="46"/>
        <v>0</v>
      </c>
      <c r="AC1177" s="236" t="e">
        <v>#N/A</v>
      </c>
      <c r="AD1177" s="236">
        <v>1.623474397420388E-2</v>
      </c>
    </row>
    <row r="1178" spans="23:30" x14ac:dyDescent="0.2">
      <c r="W1178" s="144"/>
      <c r="X1178" s="113" t="str">
        <f t="shared" si="45"/>
        <v>1w</v>
      </c>
      <c r="Y1178" s="106">
        <f>_xll.qlCalendarAdvance(Calendar,Y1177,X1178,"f",FALSE)</f>
        <v>47450</v>
      </c>
      <c r="Z1178" s="108">
        <f>_xll.qlCalendarAdvance(Calendar,Y1178,0&amp;"D")</f>
        <v>47450</v>
      </c>
      <c r="AA1178" s="109">
        <v>1.6233865919295098E-2</v>
      </c>
      <c r="AB1178" s="143">
        <f t="shared" si="46"/>
        <v>-7.9936057773011271E-14</v>
      </c>
      <c r="AC1178" s="236" t="e">
        <v>#N/A</v>
      </c>
      <c r="AD1178" s="236">
        <v>1.6233865919375035E-2</v>
      </c>
    </row>
    <row r="1179" spans="23:30" x14ac:dyDescent="0.2">
      <c r="W1179" s="144"/>
      <c r="X1179" s="113" t="str">
        <f t="shared" si="45"/>
        <v>1w</v>
      </c>
      <c r="Y1179" s="106">
        <f>_xll.qlCalendarAdvance(Calendar,Y1178,X1179,"f",FALSE)</f>
        <v>47457</v>
      </c>
      <c r="Z1179" s="108">
        <f>_xll.qlCalendarAdvance(Calendar,Y1179,0&amp;"D")</f>
        <v>47457</v>
      </c>
      <c r="AA1179" s="109">
        <v>1.6232935150632954E-2</v>
      </c>
      <c r="AB1179" s="143">
        <f t="shared" si="46"/>
        <v>-7.9936057773011271E-14</v>
      </c>
      <c r="AC1179" s="236" t="e">
        <v>#N/A</v>
      </c>
      <c r="AD1179" s="236">
        <v>1.6232935150712891E-2</v>
      </c>
    </row>
    <row r="1180" spans="23:30" x14ac:dyDescent="0.2">
      <c r="W1180" s="144"/>
      <c r="X1180" s="113" t="str">
        <f t="shared" si="45"/>
        <v>1w</v>
      </c>
      <c r="Y1180" s="106">
        <f>_xll.qlCalendarAdvance(Calendar,Y1179,X1180,"f",FALSE)</f>
        <v>47464</v>
      </c>
      <c r="Z1180" s="108">
        <f>_xll.qlCalendarAdvance(Calendar,Y1180,0&amp;"D")</f>
        <v>47464</v>
      </c>
      <c r="AA1180" s="109">
        <v>1.6231951668297384E-2</v>
      </c>
      <c r="AB1180" s="143">
        <f t="shared" si="46"/>
        <v>0</v>
      </c>
      <c r="AC1180" s="236" t="e">
        <v>#N/A</v>
      </c>
      <c r="AD1180" s="236">
        <v>1.6231951668297384E-2</v>
      </c>
    </row>
    <row r="1181" spans="23:30" x14ac:dyDescent="0.2">
      <c r="W1181" s="144"/>
      <c r="X1181" s="113" t="str">
        <f t="shared" si="45"/>
        <v>1w</v>
      </c>
      <c r="Y1181" s="106">
        <f>_xll.qlCalendarAdvance(Calendar,Y1180,X1181,"f",FALSE)</f>
        <v>47471</v>
      </c>
      <c r="Z1181" s="108">
        <f>_xll.qlCalendarAdvance(Calendar,Y1181,0&amp;"D")</f>
        <v>47471</v>
      </c>
      <c r="AA1181" s="109">
        <v>1.6230915472048579E-2</v>
      </c>
      <c r="AB1181" s="143">
        <f t="shared" si="46"/>
        <v>0</v>
      </c>
      <c r="AC1181" s="236" t="e">
        <v>#N/A</v>
      </c>
      <c r="AD1181" s="236">
        <v>1.6230915472048579E-2</v>
      </c>
    </row>
    <row r="1182" spans="23:30" x14ac:dyDescent="0.2">
      <c r="W1182" s="144"/>
      <c r="X1182" s="113" t="str">
        <f t="shared" si="45"/>
        <v>1w</v>
      </c>
      <c r="Y1182" s="106">
        <f>_xll.qlCalendarAdvance(Calendar,Y1181,X1182,"f",FALSE)</f>
        <v>47479</v>
      </c>
      <c r="Z1182" s="108">
        <f>_xll.qlCalendarAdvance(Calendar,Y1182,0&amp;"D")</f>
        <v>47479</v>
      </c>
      <c r="AA1182" s="109">
        <v>1.6229666700162682E-2</v>
      </c>
      <c r="AB1182" s="143">
        <f t="shared" si="46"/>
        <v>-7.9936057773011271E-14</v>
      </c>
      <c r="AC1182" s="236" t="e">
        <v>#N/A</v>
      </c>
      <c r="AD1182" s="236">
        <v>1.6229666700242618E-2</v>
      </c>
    </row>
    <row r="1183" spans="23:30" x14ac:dyDescent="0.2">
      <c r="W1183" s="144"/>
      <c r="X1183" s="113" t="str">
        <f t="shared" si="45"/>
        <v>1w</v>
      </c>
      <c r="Y1183" s="106">
        <f>_xll.qlCalendarAdvance(Calendar,Y1182,X1183,"f",FALSE)</f>
        <v>47486</v>
      </c>
      <c r="Z1183" s="108">
        <f>_xll.qlCalendarAdvance(Calendar,Y1183,0&amp;"D")</f>
        <v>47486</v>
      </c>
      <c r="AA1183" s="109">
        <v>1.6228517545870957E-2</v>
      </c>
      <c r="AB1183" s="143">
        <f t="shared" si="46"/>
        <v>0</v>
      </c>
      <c r="AC1183" s="236" t="e">
        <v>#N/A</v>
      </c>
      <c r="AD1183" s="236">
        <v>1.6228517545870957E-2</v>
      </c>
    </row>
    <row r="1184" spans="23:30" x14ac:dyDescent="0.2">
      <c r="W1184" s="144"/>
      <c r="X1184" s="113" t="str">
        <f t="shared" si="45"/>
        <v>1w</v>
      </c>
      <c r="Y1184" s="106">
        <f>_xll.qlCalendarAdvance(Calendar,Y1183,X1184,"f",FALSE)</f>
        <v>47493</v>
      </c>
      <c r="Z1184" s="108">
        <f>_xll.qlCalendarAdvance(Calendar,Y1184,0&amp;"D")</f>
        <v>47493</v>
      </c>
      <c r="AA1184" s="109">
        <v>1.6227315677665999E-2</v>
      </c>
      <c r="AB1184" s="143">
        <f t="shared" si="46"/>
        <v>0</v>
      </c>
      <c r="AC1184" s="236" t="e">
        <v>#N/A</v>
      </c>
      <c r="AD1184" s="236">
        <v>1.6227315677665999E-2</v>
      </c>
    </row>
    <row r="1185" spans="23:30" x14ac:dyDescent="0.2">
      <c r="W1185" s="144"/>
      <c r="X1185" s="113" t="str">
        <f t="shared" si="45"/>
        <v>1w</v>
      </c>
      <c r="Y1185" s="106">
        <f>_xll.qlCalendarAdvance(Calendar,Y1184,X1185,"f",FALSE)</f>
        <v>47500</v>
      </c>
      <c r="Z1185" s="108">
        <f>_xll.qlCalendarAdvance(Calendar,Y1185,0&amp;"D")</f>
        <v>47500</v>
      </c>
      <c r="AA1185" s="109">
        <v>1.6226061095627742E-2</v>
      </c>
      <c r="AB1185" s="143">
        <f t="shared" si="46"/>
        <v>0</v>
      </c>
      <c r="AC1185" s="236" t="e">
        <v>#N/A</v>
      </c>
      <c r="AD1185" s="236">
        <v>1.6226061095627742E-2</v>
      </c>
    </row>
    <row r="1186" spans="23:30" x14ac:dyDescent="0.2">
      <c r="W1186" s="144"/>
      <c r="X1186" s="113" t="str">
        <f t="shared" si="45"/>
        <v>1w</v>
      </c>
      <c r="Y1186" s="106">
        <f>_xll.qlCalendarAdvance(Calendar,Y1185,X1186,"f",FALSE)</f>
        <v>47507</v>
      </c>
      <c r="Z1186" s="108">
        <f>_xll.qlCalendarAdvance(Calendar,Y1186,0&amp;"D")</f>
        <v>47507</v>
      </c>
      <c r="AA1186" s="109">
        <v>1.6224753799836122E-2</v>
      </c>
      <c r="AB1186" s="143">
        <f t="shared" si="46"/>
        <v>-7.9936057773011271E-14</v>
      </c>
      <c r="AC1186" s="236" t="e">
        <v>#N/A</v>
      </c>
      <c r="AD1186" s="236">
        <v>1.6224753799916058E-2</v>
      </c>
    </row>
    <row r="1187" spans="23:30" x14ac:dyDescent="0.2">
      <c r="W1187" s="144"/>
      <c r="X1187" s="113" t="str">
        <f t="shared" si="45"/>
        <v>1w</v>
      </c>
      <c r="Y1187" s="106">
        <f>_xll.qlCalendarAdvance(Calendar,Y1186,X1187,"f",FALSE)</f>
        <v>47514</v>
      </c>
      <c r="Z1187" s="108">
        <f>_xll.qlCalendarAdvance(Calendar,Y1187,0&amp;"D")</f>
        <v>47514</v>
      </c>
      <c r="AA1187" s="109">
        <v>1.6223393790291141E-2</v>
      </c>
      <c r="AB1187" s="143">
        <f t="shared" si="46"/>
        <v>0</v>
      </c>
      <c r="AC1187" s="236" t="e">
        <v>#N/A</v>
      </c>
      <c r="AD1187" s="236">
        <v>1.6223393790291141E-2</v>
      </c>
    </row>
    <row r="1188" spans="23:30" x14ac:dyDescent="0.2">
      <c r="W1188" s="144"/>
      <c r="X1188" s="113" t="str">
        <f t="shared" si="45"/>
        <v>1w</v>
      </c>
      <c r="Y1188" s="106">
        <f>_xll.qlCalendarAdvance(Calendar,Y1187,X1188,"f",FALSE)</f>
        <v>47521</v>
      </c>
      <c r="Z1188" s="108">
        <f>_xll.qlCalendarAdvance(Calendar,Y1188,0&amp;"D")</f>
        <v>47521</v>
      </c>
      <c r="AA1188" s="109">
        <v>1.6221981066832925E-2</v>
      </c>
      <c r="AB1188" s="143">
        <f t="shared" si="46"/>
        <v>-7.9936057773011271E-14</v>
      </c>
      <c r="AC1188" s="236" t="e">
        <v>#N/A</v>
      </c>
      <c r="AD1188" s="236">
        <v>1.6221981066912861E-2</v>
      </c>
    </row>
    <row r="1189" spans="23:30" x14ac:dyDescent="0.2">
      <c r="W1189" s="144"/>
      <c r="X1189" s="113" t="str">
        <f t="shared" si="45"/>
        <v>1w</v>
      </c>
      <c r="Y1189" s="106">
        <f>_xll.qlCalendarAdvance(Calendar,Y1188,X1189,"f",FALSE)</f>
        <v>47528</v>
      </c>
      <c r="Z1189" s="108">
        <f>_xll.qlCalendarAdvance(Calendar,Y1189,0&amp;"D")</f>
        <v>47528</v>
      </c>
      <c r="AA1189" s="109">
        <v>1.6220515629701282E-2</v>
      </c>
      <c r="AB1189" s="143">
        <f t="shared" si="46"/>
        <v>0</v>
      </c>
      <c r="AC1189" s="236" t="e">
        <v>#N/A</v>
      </c>
      <c r="AD1189" s="236">
        <v>1.6220515629701282E-2</v>
      </c>
    </row>
    <row r="1190" spans="23:30" x14ac:dyDescent="0.2">
      <c r="W1190" s="144"/>
      <c r="X1190" s="113" t="str">
        <f t="shared" si="45"/>
        <v>1w</v>
      </c>
      <c r="Y1190" s="106">
        <f>_xll.qlCalendarAdvance(Calendar,Y1189,X1190,"f",FALSE)</f>
        <v>47535</v>
      </c>
      <c r="Z1190" s="108">
        <f>_xll.qlCalendarAdvance(Calendar,Y1190,0&amp;"D")</f>
        <v>47535</v>
      </c>
      <c r="AA1190" s="109">
        <v>1.6218997478736341E-2</v>
      </c>
      <c r="AB1190" s="143">
        <f t="shared" si="46"/>
        <v>0</v>
      </c>
      <c r="AC1190" s="236" t="e">
        <v>#N/A</v>
      </c>
      <c r="AD1190" s="236">
        <v>1.6218997478736341E-2</v>
      </c>
    </row>
    <row r="1191" spans="23:30" x14ac:dyDescent="0.2">
      <c r="W1191" s="144"/>
      <c r="X1191" s="113" t="str">
        <f t="shared" si="45"/>
        <v>1w</v>
      </c>
      <c r="Y1191" s="106">
        <f>_xll.qlCalendarAdvance(Calendar,Y1190,X1191,"f",FALSE)</f>
        <v>47542</v>
      </c>
      <c r="Z1191" s="108">
        <f>_xll.qlCalendarAdvance(Calendar,Y1191,0&amp;"D")</f>
        <v>47542</v>
      </c>
      <c r="AA1191" s="109">
        <v>1.6217426613938102E-2</v>
      </c>
      <c r="AB1191" s="143">
        <f t="shared" si="46"/>
        <v>0</v>
      </c>
      <c r="AC1191" s="236" t="e">
        <v>#N/A</v>
      </c>
      <c r="AD1191" s="236">
        <v>1.6217426613938102E-2</v>
      </c>
    </row>
    <row r="1192" spans="23:30" x14ac:dyDescent="0.2">
      <c r="W1192" s="144"/>
      <c r="X1192" s="113" t="str">
        <f t="shared" si="45"/>
        <v>1w</v>
      </c>
      <c r="Y1192" s="106">
        <f>_xll.qlCalendarAdvance(Calendar,Y1191,X1192,"f",FALSE)</f>
        <v>47549</v>
      </c>
      <c r="Z1192" s="108">
        <f>_xll.qlCalendarAdvance(Calendar,Y1192,0&amp;"D")</f>
        <v>47549</v>
      </c>
      <c r="AA1192" s="109">
        <v>1.62158030353865E-2</v>
      </c>
      <c r="AB1192" s="143">
        <f t="shared" si="46"/>
        <v>0</v>
      </c>
      <c r="AC1192" s="236" t="e">
        <v>#N/A</v>
      </c>
      <c r="AD1192" s="236">
        <v>1.62158030353865E-2</v>
      </c>
    </row>
    <row r="1193" spans="23:30" x14ac:dyDescent="0.2">
      <c r="W1193" s="144"/>
      <c r="X1193" s="113" t="str">
        <f t="shared" si="45"/>
        <v>1w</v>
      </c>
      <c r="Y1193" s="106">
        <f>_xll.qlCalendarAdvance(Calendar,Y1192,X1193,"f",FALSE)</f>
        <v>47556</v>
      </c>
      <c r="Z1193" s="108">
        <f>_xll.qlCalendarAdvance(Calendar,Y1193,0&amp;"D")</f>
        <v>47556</v>
      </c>
      <c r="AA1193" s="109">
        <v>1.62141267430016E-2</v>
      </c>
      <c r="AB1193" s="143">
        <f t="shared" si="46"/>
        <v>0</v>
      </c>
      <c r="AC1193" s="236" t="e">
        <v>#N/A</v>
      </c>
      <c r="AD1193" s="236">
        <v>1.62141267430016E-2</v>
      </c>
    </row>
    <row r="1194" spans="23:30" x14ac:dyDescent="0.2">
      <c r="W1194" s="144"/>
      <c r="X1194" s="113" t="str">
        <f t="shared" si="45"/>
        <v>1w</v>
      </c>
      <c r="Y1194" s="106">
        <f>_xll.qlCalendarAdvance(Calendar,Y1193,X1194,"f",FALSE)</f>
        <v>47563</v>
      </c>
      <c r="Z1194" s="108">
        <f>_xll.qlCalendarAdvance(Calendar,Y1194,0&amp;"D")</f>
        <v>47563</v>
      </c>
      <c r="AA1194" s="109">
        <v>1.6212397736863338E-2</v>
      </c>
      <c r="AB1194" s="143">
        <f t="shared" si="46"/>
        <v>0</v>
      </c>
      <c r="AC1194" s="236" t="e">
        <v>#N/A</v>
      </c>
      <c r="AD1194" s="236">
        <v>1.6212397736863338E-2</v>
      </c>
    </row>
    <row r="1195" spans="23:30" x14ac:dyDescent="0.2">
      <c r="W1195" s="144"/>
      <c r="X1195" s="113" t="str">
        <f t="shared" si="45"/>
        <v>1w</v>
      </c>
      <c r="Y1195" s="106">
        <f>_xll.qlCalendarAdvance(Calendar,Y1194,X1195,"f",FALSE)</f>
        <v>47570</v>
      </c>
      <c r="Z1195" s="108">
        <f>_xll.qlCalendarAdvance(Calendar,Y1195,0&amp;"D")</f>
        <v>47570</v>
      </c>
      <c r="AA1195" s="109">
        <v>1.6210616016971713E-2</v>
      </c>
      <c r="AB1195" s="143">
        <f t="shared" si="46"/>
        <v>7.9936057773011271E-14</v>
      </c>
      <c r="AC1195" s="236" t="e">
        <v>#N/A</v>
      </c>
      <c r="AD1195" s="236">
        <v>1.6210616016891777E-2</v>
      </c>
    </row>
    <row r="1196" spans="23:30" x14ac:dyDescent="0.2">
      <c r="W1196" s="144"/>
      <c r="X1196" s="113" t="str">
        <f t="shared" si="45"/>
        <v>1w</v>
      </c>
      <c r="Y1196" s="106">
        <f>_xll.qlCalendarAdvance(Calendar,Y1195,X1196,"f",FALSE)</f>
        <v>47577</v>
      </c>
      <c r="Z1196" s="108">
        <f>_xll.qlCalendarAdvance(Calendar,Y1196,0&amp;"D")</f>
        <v>47577</v>
      </c>
      <c r="AA1196" s="109">
        <v>1.6208781583166854E-2</v>
      </c>
      <c r="AB1196" s="143">
        <f t="shared" si="46"/>
        <v>0</v>
      </c>
      <c r="AC1196" s="236" t="e">
        <v>#N/A</v>
      </c>
      <c r="AD1196" s="236">
        <v>1.6208781583166854E-2</v>
      </c>
    </row>
    <row r="1197" spans="23:30" x14ac:dyDescent="0.2">
      <c r="W1197" s="144"/>
      <c r="X1197" s="113" t="str">
        <f t="shared" si="45"/>
        <v>1w</v>
      </c>
      <c r="Y1197" s="106">
        <f>_xll.qlCalendarAdvance(Calendar,Y1196,X1197,"f",FALSE)</f>
        <v>47584</v>
      </c>
      <c r="Z1197" s="108">
        <f>_xll.qlCalendarAdvance(Calendar,Y1197,0&amp;"D")</f>
        <v>47584</v>
      </c>
      <c r="AA1197" s="109">
        <v>1.6206894435608632E-2</v>
      </c>
      <c r="AB1197" s="143">
        <f t="shared" si="46"/>
        <v>0</v>
      </c>
      <c r="AC1197" s="236" t="e">
        <v>#N/A</v>
      </c>
      <c r="AD1197" s="236">
        <v>1.6206894435608632E-2</v>
      </c>
    </row>
    <row r="1198" spans="23:30" x14ac:dyDescent="0.2">
      <c r="W1198" s="144"/>
      <c r="X1198" s="113" t="str">
        <f t="shared" si="45"/>
        <v>1w</v>
      </c>
      <c r="Y1198" s="106">
        <f>_xll.qlCalendarAdvance(Calendar,Y1197,X1198,"f",FALSE)</f>
        <v>47591</v>
      </c>
      <c r="Z1198" s="108">
        <f>_xll.qlCalendarAdvance(Calendar,Y1198,0&amp;"D")</f>
        <v>47591</v>
      </c>
      <c r="AA1198" s="109">
        <v>1.6205848426121605E-2</v>
      </c>
      <c r="AB1198" s="143">
        <f t="shared" si="46"/>
        <v>-1.5987211554602254E-14</v>
      </c>
      <c r="AC1198" s="236" t="e">
        <v>#N/A</v>
      </c>
      <c r="AD1198" s="236">
        <v>1.6205848426137592E-2</v>
      </c>
    </row>
    <row r="1199" spans="23:30" x14ac:dyDescent="0.2">
      <c r="W1199" s="144"/>
      <c r="X1199" s="113" t="str">
        <f t="shared" si="45"/>
        <v>1w</v>
      </c>
      <c r="Y1199" s="106">
        <f>_xll.qlCalendarAdvance(Calendar,Y1198,X1199,"f",FALSE)</f>
        <v>47598</v>
      </c>
      <c r="Z1199" s="108">
        <f>_xll.qlCalendarAdvance(Calendar,Y1199,0&amp;"D")</f>
        <v>47598</v>
      </c>
      <c r="AA1199" s="109">
        <v>1.620296199907223E-2</v>
      </c>
      <c r="AB1199" s="143">
        <f t="shared" si="46"/>
        <v>0</v>
      </c>
      <c r="AC1199" s="236" t="e">
        <v>#N/A</v>
      </c>
      <c r="AD1199" s="236">
        <v>1.620296199907223E-2</v>
      </c>
    </row>
    <row r="1200" spans="23:30" x14ac:dyDescent="0.2">
      <c r="W1200" s="144"/>
      <c r="X1200" s="113" t="str">
        <f t="shared" si="45"/>
        <v>1w</v>
      </c>
      <c r="Y1200" s="106">
        <f>_xll.qlCalendarAdvance(Calendar,Y1199,X1200,"f",FALSE)</f>
        <v>47605</v>
      </c>
      <c r="Z1200" s="108">
        <f>_xll.qlCalendarAdvance(Calendar,Y1200,0&amp;"D")</f>
        <v>47605</v>
      </c>
      <c r="AA1200" s="109">
        <v>1.6200916710253921E-2</v>
      </c>
      <c r="AB1200" s="143">
        <f t="shared" si="46"/>
        <v>0</v>
      </c>
      <c r="AC1200" s="236" t="e">
        <v>#N/A</v>
      </c>
      <c r="AD1200" s="236">
        <v>1.6200916710253921E-2</v>
      </c>
    </row>
    <row r="1201" spans="23:30" x14ac:dyDescent="0.2">
      <c r="W1201" s="144"/>
      <c r="X1201" s="113" t="str">
        <f t="shared" si="45"/>
        <v>1w</v>
      </c>
      <c r="Y1201" s="106">
        <f>_xll.qlCalendarAdvance(Calendar,Y1200,X1201,"f",FALSE)</f>
        <v>47612</v>
      </c>
      <c r="Z1201" s="108">
        <f>_xll.qlCalendarAdvance(Calendar,Y1201,0&amp;"D")</f>
        <v>47612</v>
      </c>
      <c r="AA1201" s="109">
        <v>1.6198818707522378E-2</v>
      </c>
      <c r="AB1201" s="143">
        <f t="shared" si="46"/>
        <v>0</v>
      </c>
      <c r="AC1201" s="236" t="e">
        <v>#N/A</v>
      </c>
      <c r="AD1201" s="236">
        <v>1.6198818707522378E-2</v>
      </c>
    </row>
    <row r="1202" spans="23:30" x14ac:dyDescent="0.2">
      <c r="W1202" s="144"/>
      <c r="X1202" s="113" t="str">
        <f t="shared" si="45"/>
        <v>1w</v>
      </c>
      <c r="Y1202" s="106">
        <f>_xll.qlCalendarAdvance(Calendar,Y1201,X1202,"f",FALSE)</f>
        <v>47619</v>
      </c>
      <c r="Z1202" s="108">
        <f>_xll.qlCalendarAdvance(Calendar,Y1202,0&amp;"D")</f>
        <v>47619</v>
      </c>
      <c r="AA1202" s="109">
        <v>1.6196667991037472E-2</v>
      </c>
      <c r="AB1202" s="143">
        <f t="shared" si="46"/>
        <v>0</v>
      </c>
      <c r="AC1202" s="236" t="e">
        <v>#N/A</v>
      </c>
      <c r="AD1202" s="236">
        <v>1.6196667991037472E-2</v>
      </c>
    </row>
    <row r="1203" spans="23:30" x14ac:dyDescent="0.2">
      <c r="W1203" s="144"/>
      <c r="X1203" s="113" t="str">
        <f t="shared" si="45"/>
        <v>1w</v>
      </c>
      <c r="Y1203" s="106">
        <f>_xll.qlCalendarAdvance(Calendar,Y1202,X1203,"f",FALSE)</f>
        <v>47626</v>
      </c>
      <c r="Z1203" s="108">
        <f>_xll.qlCalendarAdvance(Calendar,Y1203,0&amp;"D")</f>
        <v>47626</v>
      </c>
      <c r="AA1203" s="109">
        <v>1.6194464560719268E-2</v>
      </c>
      <c r="AB1203" s="143">
        <f t="shared" si="46"/>
        <v>0</v>
      </c>
      <c r="AC1203" s="236" t="e">
        <v>#N/A</v>
      </c>
      <c r="AD1203" s="236">
        <v>1.6194464560719268E-2</v>
      </c>
    </row>
    <row r="1204" spans="23:30" x14ac:dyDescent="0.2">
      <c r="W1204" s="144"/>
      <c r="X1204" s="113" t="str">
        <f t="shared" si="45"/>
        <v>1w</v>
      </c>
      <c r="Y1204" s="106">
        <f>_xll.qlCalendarAdvance(Calendar,Y1203,X1204,"f",FALSE)</f>
        <v>47633</v>
      </c>
      <c r="Z1204" s="108">
        <f>_xll.qlCalendarAdvance(Calendar,Y1204,0&amp;"D")</f>
        <v>47633</v>
      </c>
      <c r="AA1204" s="109">
        <v>1.6192208416647702E-2</v>
      </c>
      <c r="AB1204" s="143">
        <f t="shared" si="46"/>
        <v>-7.9936057773011271E-14</v>
      </c>
      <c r="AC1204" s="236" t="e">
        <v>#N/A</v>
      </c>
      <c r="AD1204" s="236">
        <v>1.6192208416727638E-2</v>
      </c>
    </row>
    <row r="1205" spans="23:30" x14ac:dyDescent="0.2">
      <c r="W1205" s="144"/>
      <c r="X1205" s="113" t="str">
        <f t="shared" si="45"/>
        <v>1w</v>
      </c>
      <c r="Y1205" s="106">
        <f>_xll.qlCalendarAdvance(Calendar,Y1204,X1205,"f",FALSE)</f>
        <v>47640</v>
      </c>
      <c r="Z1205" s="108">
        <f>_xll.qlCalendarAdvance(Calendar,Y1205,0&amp;"D")</f>
        <v>47640</v>
      </c>
      <c r="AA1205" s="109">
        <v>1.6189902245473675E-2</v>
      </c>
      <c r="AB1205" s="143">
        <f t="shared" si="46"/>
        <v>0</v>
      </c>
      <c r="AC1205" s="236" t="e">
        <v>#N/A</v>
      </c>
      <c r="AD1205" s="236">
        <v>1.6189902245473675E-2</v>
      </c>
    </row>
    <row r="1206" spans="23:30" x14ac:dyDescent="0.2">
      <c r="W1206" s="144"/>
      <c r="X1206" s="113" t="str">
        <f t="shared" si="45"/>
        <v>1w</v>
      </c>
      <c r="Y1206" s="106">
        <f>_xll.qlCalendarAdvance(Calendar,Y1205,X1206,"f",FALSE)</f>
        <v>47647</v>
      </c>
      <c r="Z1206" s="108">
        <f>_xll.qlCalendarAdvance(Calendar,Y1206,0&amp;"D")</f>
        <v>47647</v>
      </c>
      <c r="AA1206" s="109">
        <v>1.6187562021618973E-2</v>
      </c>
      <c r="AB1206" s="143">
        <f t="shared" si="46"/>
        <v>0</v>
      </c>
      <c r="AC1206" s="236" t="e">
        <v>#N/A</v>
      </c>
      <c r="AD1206" s="236">
        <v>1.6187562021618973E-2</v>
      </c>
    </row>
    <row r="1207" spans="23:30" x14ac:dyDescent="0.2">
      <c r="W1207" s="144"/>
      <c r="X1207" s="113" t="str">
        <f t="shared" si="45"/>
        <v>1w</v>
      </c>
      <c r="Y1207" s="106">
        <f>_xll.qlCalendarAdvance(Calendar,Y1206,X1207,"f",FALSE)</f>
        <v>47654</v>
      </c>
      <c r="Z1207" s="108">
        <f>_xll.qlCalendarAdvance(Calendar,Y1207,0&amp;"D")</f>
        <v>47654</v>
      </c>
      <c r="AA1207" s="109">
        <v>1.6185190431734497E-2</v>
      </c>
      <c r="AB1207" s="143">
        <f t="shared" si="46"/>
        <v>0</v>
      </c>
      <c r="AC1207" s="236" t="e">
        <v>#N/A</v>
      </c>
      <c r="AD1207" s="236">
        <v>1.6185190431734497E-2</v>
      </c>
    </row>
    <row r="1208" spans="23:30" x14ac:dyDescent="0.2">
      <c r="W1208" s="144"/>
      <c r="X1208" s="113" t="str">
        <f t="shared" si="45"/>
        <v>1w</v>
      </c>
      <c r="Y1208" s="106">
        <f>_xll.qlCalendarAdvance(Calendar,Y1207,X1208,"f",FALSE)</f>
        <v>47661</v>
      </c>
      <c r="Z1208" s="108">
        <f>_xll.qlCalendarAdvance(Calendar,Y1208,0&amp;"D")</f>
        <v>47661</v>
      </c>
      <c r="AA1208" s="109">
        <v>1.6182787475740312E-2</v>
      </c>
      <c r="AB1208" s="143">
        <f t="shared" si="46"/>
        <v>0</v>
      </c>
      <c r="AC1208" s="236" t="e">
        <v>#N/A</v>
      </c>
      <c r="AD1208" s="236">
        <v>1.6182787475740312E-2</v>
      </c>
    </row>
    <row r="1209" spans="23:30" x14ac:dyDescent="0.2">
      <c r="W1209" s="144"/>
      <c r="X1209" s="113" t="str">
        <f t="shared" si="45"/>
        <v>1w</v>
      </c>
      <c r="Y1209" s="106">
        <f>_xll.qlCalendarAdvance(Calendar,Y1208,X1209,"f",FALSE)</f>
        <v>47668</v>
      </c>
      <c r="Z1209" s="108">
        <f>_xll.qlCalendarAdvance(Calendar,Y1209,0&amp;"D")</f>
        <v>47668</v>
      </c>
      <c r="AA1209" s="109">
        <v>1.618035315379629E-2</v>
      </c>
      <c r="AB1209" s="143">
        <f t="shared" si="46"/>
        <v>0</v>
      </c>
      <c r="AC1209" s="236" t="e">
        <v>#N/A</v>
      </c>
      <c r="AD1209" s="236">
        <v>1.618035315379629E-2</v>
      </c>
    </row>
    <row r="1210" spans="23:30" x14ac:dyDescent="0.2">
      <c r="W1210" s="144"/>
      <c r="X1210" s="113" t="str">
        <f t="shared" si="45"/>
        <v>1w</v>
      </c>
      <c r="Y1210" s="106">
        <f>_xll.qlCalendarAdvance(Calendar,Y1209,X1210,"f",FALSE)</f>
        <v>47675</v>
      </c>
      <c r="Z1210" s="108">
        <f>_xll.qlCalendarAdvance(Calendar,Y1210,0&amp;"D")</f>
        <v>47675</v>
      </c>
      <c r="AA1210" s="109">
        <v>1.6177887465822494E-2</v>
      </c>
      <c r="AB1210" s="143">
        <f t="shared" si="46"/>
        <v>0</v>
      </c>
      <c r="AC1210" s="236" t="e">
        <v>#N/A</v>
      </c>
      <c r="AD1210" s="236">
        <v>1.6177887465822494E-2</v>
      </c>
    </row>
    <row r="1211" spans="23:30" x14ac:dyDescent="0.2">
      <c r="W1211" s="144"/>
      <c r="X1211" s="113" t="str">
        <f t="shared" si="45"/>
        <v>1w</v>
      </c>
      <c r="Y1211" s="106">
        <f>_xll.qlCalendarAdvance(Calendar,Y1210,X1211,"f",FALSE)</f>
        <v>47682</v>
      </c>
      <c r="Z1211" s="108">
        <f>_xll.qlCalendarAdvance(Calendar,Y1211,0&amp;"D")</f>
        <v>47682</v>
      </c>
      <c r="AA1211" s="109">
        <v>1.6175390411818924E-2</v>
      </c>
      <c r="AB1211" s="143">
        <f t="shared" si="46"/>
        <v>0</v>
      </c>
      <c r="AC1211" s="236" t="e">
        <v>#N/A</v>
      </c>
      <c r="AD1211" s="236">
        <v>1.6175390411818924E-2</v>
      </c>
    </row>
    <row r="1212" spans="23:30" x14ac:dyDescent="0.2">
      <c r="W1212" s="144"/>
      <c r="X1212" s="113" t="str">
        <f t="shared" si="45"/>
        <v>1w</v>
      </c>
      <c r="Y1212" s="106">
        <f>_xll.qlCalendarAdvance(Calendar,Y1211,X1212,"f",FALSE)</f>
        <v>47689</v>
      </c>
      <c r="Z1212" s="108">
        <f>_xll.qlCalendarAdvance(Calendar,Y1212,0&amp;"D")</f>
        <v>47689</v>
      </c>
      <c r="AA1212" s="109">
        <v>1.6172861991785581E-2</v>
      </c>
      <c r="AB1212" s="143">
        <f t="shared" si="46"/>
        <v>0</v>
      </c>
      <c r="AC1212" s="236" t="e">
        <v>#N/A</v>
      </c>
      <c r="AD1212" s="236">
        <v>1.6172861991785581E-2</v>
      </c>
    </row>
    <row r="1213" spans="23:30" x14ac:dyDescent="0.2">
      <c r="W1213" s="144"/>
      <c r="X1213" s="113" t="str">
        <f t="shared" si="45"/>
        <v>1w</v>
      </c>
      <c r="Y1213" s="106">
        <f>_xll.qlCalendarAdvance(Calendar,Y1212,X1213,"f",FALSE)</f>
        <v>47696</v>
      </c>
      <c r="Z1213" s="108">
        <f>_xll.qlCalendarAdvance(Calendar,Y1213,0&amp;"D")</f>
        <v>47696</v>
      </c>
      <c r="AA1213" s="109">
        <v>1.6170302205722464E-2</v>
      </c>
      <c r="AB1213" s="143">
        <f t="shared" si="46"/>
        <v>7.9936057773011271E-14</v>
      </c>
      <c r="AC1213" s="236" t="e">
        <v>#N/A</v>
      </c>
      <c r="AD1213" s="236">
        <v>1.6170302205642528E-2</v>
      </c>
    </row>
    <row r="1214" spans="23:30" x14ac:dyDescent="0.2">
      <c r="W1214" s="144"/>
      <c r="X1214" s="113" t="str">
        <f t="shared" si="45"/>
        <v>1w</v>
      </c>
      <c r="Y1214" s="106">
        <f>_xll.qlCalendarAdvance(Calendar,Y1213,X1214,"f",FALSE)</f>
        <v>47703</v>
      </c>
      <c r="Z1214" s="108">
        <f>_xll.qlCalendarAdvance(Calendar,Y1214,0&amp;"D")</f>
        <v>47703</v>
      </c>
      <c r="AA1214" s="109">
        <v>1.6167711053629574E-2</v>
      </c>
      <c r="AB1214" s="143">
        <f t="shared" si="46"/>
        <v>7.9936057773011271E-14</v>
      </c>
      <c r="AC1214" s="236" t="e">
        <v>#N/A</v>
      </c>
      <c r="AD1214" s="236">
        <v>1.6167711053549638E-2</v>
      </c>
    </row>
    <row r="1215" spans="23:30" x14ac:dyDescent="0.2">
      <c r="W1215" s="144"/>
      <c r="X1215" s="113" t="str">
        <f t="shared" si="45"/>
        <v>1w</v>
      </c>
      <c r="Y1215" s="106">
        <f>_xll.qlCalendarAdvance(Calendar,Y1214,X1215,"f",FALSE)</f>
        <v>47710</v>
      </c>
      <c r="Z1215" s="108">
        <f>_xll.qlCalendarAdvance(Calendar,Y1215,0&amp;"D")</f>
        <v>47710</v>
      </c>
      <c r="AA1215" s="109">
        <v>1.6165088535586847E-2</v>
      </c>
      <c r="AB1215" s="143">
        <f t="shared" si="46"/>
        <v>0</v>
      </c>
      <c r="AC1215" s="236" t="e">
        <v>#N/A</v>
      </c>
      <c r="AD1215" s="236">
        <v>1.6165088535586847E-2</v>
      </c>
    </row>
    <row r="1216" spans="23:30" x14ac:dyDescent="0.2">
      <c r="W1216" s="144"/>
      <c r="X1216" s="113" t="str">
        <f t="shared" si="45"/>
        <v>1w</v>
      </c>
      <c r="Y1216" s="106">
        <f>_xll.qlCalendarAdvance(Calendar,Y1215,X1216,"f",FALSE)</f>
        <v>47717</v>
      </c>
      <c r="Z1216" s="108">
        <f>_xll.qlCalendarAdvance(Calendar,Y1216,0&amp;"D")</f>
        <v>47717</v>
      </c>
      <c r="AA1216" s="109">
        <v>1.616243465143441E-2</v>
      </c>
      <c r="AB1216" s="143">
        <f t="shared" si="46"/>
        <v>7.9936057773011271E-14</v>
      </c>
      <c r="AC1216" s="236" t="e">
        <v>#N/A</v>
      </c>
      <c r="AD1216" s="236">
        <v>1.6162434651354474E-2</v>
      </c>
    </row>
    <row r="1217" spans="23:30" x14ac:dyDescent="0.2">
      <c r="W1217" s="144"/>
      <c r="X1217" s="113" t="str">
        <f t="shared" si="45"/>
        <v>1w</v>
      </c>
      <c r="Y1217" s="106">
        <f>_xll.qlCalendarAdvance(Calendar,Y1216,X1217,"f",FALSE)</f>
        <v>47724</v>
      </c>
      <c r="Z1217" s="108">
        <f>_xll.qlCalendarAdvance(Calendar,Y1217,0&amp;"D")</f>
        <v>47724</v>
      </c>
      <c r="AA1217" s="109">
        <v>1.6159749401172263E-2</v>
      </c>
      <c r="AB1217" s="143">
        <f t="shared" si="46"/>
        <v>-7.9936057773011271E-14</v>
      </c>
      <c r="AC1217" s="236" t="e">
        <v>#N/A</v>
      </c>
      <c r="AD1217" s="236">
        <v>1.6159749401252199E-2</v>
      </c>
    </row>
    <row r="1218" spans="23:30" x14ac:dyDescent="0.2">
      <c r="W1218" s="144"/>
      <c r="X1218" s="113" t="str">
        <f t="shared" si="45"/>
        <v>1w</v>
      </c>
      <c r="Y1218" s="106">
        <f>_xll.qlCalendarAdvance(Calendar,Y1217,X1218,"f",FALSE)</f>
        <v>47731</v>
      </c>
      <c r="Z1218" s="108">
        <f>_xll.qlCalendarAdvance(Calendar,Y1218,0&amp;"D")</f>
        <v>47731</v>
      </c>
      <c r="AA1218" s="109">
        <v>1.6157032785040215E-2</v>
      </c>
      <c r="AB1218" s="143">
        <f t="shared" si="46"/>
        <v>0</v>
      </c>
      <c r="AC1218" s="236" t="e">
        <v>#N/A</v>
      </c>
      <c r="AD1218" s="236">
        <v>1.6157032785040215E-2</v>
      </c>
    </row>
    <row r="1219" spans="23:30" x14ac:dyDescent="0.2">
      <c r="W1219" s="144"/>
      <c r="X1219" s="113" t="str">
        <f t="shared" si="45"/>
        <v>1w</v>
      </c>
      <c r="Y1219" s="106">
        <f>_xll.qlCalendarAdvance(Calendar,Y1218,X1219,"f",FALSE)</f>
        <v>47738</v>
      </c>
      <c r="Z1219" s="108">
        <f>_xll.qlCalendarAdvance(Calendar,Y1219,0&amp;"D")</f>
        <v>47738</v>
      </c>
      <c r="AA1219" s="109">
        <v>1.6154284802878394E-2</v>
      </c>
      <c r="AB1219" s="143">
        <f t="shared" si="46"/>
        <v>0</v>
      </c>
      <c r="AC1219" s="236" t="e">
        <v>#N/A</v>
      </c>
      <c r="AD1219" s="236">
        <v>1.6154284802878394E-2</v>
      </c>
    </row>
    <row r="1220" spans="23:30" x14ac:dyDescent="0.2">
      <c r="W1220" s="144"/>
      <c r="X1220" s="113" t="str">
        <f t="shared" si="45"/>
        <v>1w</v>
      </c>
      <c r="Y1220" s="106">
        <f>_xll.qlCalendarAdvance(Calendar,Y1219,X1220,"f",FALSE)</f>
        <v>47745</v>
      </c>
      <c r="Z1220" s="108">
        <f>_xll.qlCalendarAdvance(Calendar,Y1220,0&amp;"D")</f>
        <v>47745</v>
      </c>
      <c r="AA1220" s="109">
        <v>1.6151505454686799E-2</v>
      </c>
      <c r="AB1220" s="143">
        <f t="shared" si="46"/>
        <v>7.9936057773011271E-14</v>
      </c>
      <c r="AC1220" s="236" t="e">
        <v>#N/A</v>
      </c>
      <c r="AD1220" s="236">
        <v>1.6151505454606863E-2</v>
      </c>
    </row>
    <row r="1221" spans="23:30" x14ac:dyDescent="0.2">
      <c r="W1221" s="144"/>
      <c r="X1221" s="113" t="str">
        <f t="shared" si="45"/>
        <v>1w</v>
      </c>
      <c r="Y1221" s="106">
        <f>_xll.qlCalendarAdvance(Calendar,Y1220,X1221,"f",FALSE)</f>
        <v>47752</v>
      </c>
      <c r="Z1221" s="108">
        <f>_xll.qlCalendarAdvance(Calendar,Y1221,0&amp;"D")</f>
        <v>47752</v>
      </c>
      <c r="AA1221" s="109">
        <v>1.6148694740385494E-2</v>
      </c>
      <c r="AB1221" s="143">
        <f t="shared" si="46"/>
        <v>0</v>
      </c>
      <c r="AC1221" s="236" t="e">
        <v>#N/A</v>
      </c>
      <c r="AD1221" s="236">
        <v>1.6148694740385494E-2</v>
      </c>
    </row>
    <row r="1222" spans="23:30" x14ac:dyDescent="0.2">
      <c r="W1222" s="144"/>
      <c r="X1222" s="113" t="str">
        <f t="shared" si="45"/>
        <v>1w</v>
      </c>
      <c r="Y1222" s="106">
        <f>_xll.qlCalendarAdvance(Calendar,Y1221,X1222,"f",FALSE)</f>
        <v>47759</v>
      </c>
      <c r="Z1222" s="108">
        <f>_xll.qlCalendarAdvance(Calendar,Y1222,0&amp;"D")</f>
        <v>47759</v>
      </c>
      <c r="AA1222" s="109">
        <v>1.6145852660134352E-2</v>
      </c>
      <c r="AB1222" s="143">
        <f t="shared" si="46"/>
        <v>0</v>
      </c>
      <c r="AC1222" s="236" t="e">
        <v>#N/A</v>
      </c>
      <c r="AD1222" s="236">
        <v>1.6145852660134352E-2</v>
      </c>
    </row>
    <row r="1223" spans="23:30" x14ac:dyDescent="0.2">
      <c r="W1223" s="144"/>
      <c r="X1223" s="113" t="str">
        <f t="shared" si="45"/>
        <v>1w</v>
      </c>
      <c r="Y1223" s="106">
        <f>_xll.qlCalendarAdvance(Calendar,Y1222,X1223,"f",FALSE)</f>
        <v>47766</v>
      </c>
      <c r="Z1223" s="108">
        <f>_xll.qlCalendarAdvance(Calendar,Y1223,0&amp;"D")</f>
        <v>47766</v>
      </c>
      <c r="AA1223" s="109">
        <v>1.6142979213933373E-2</v>
      </c>
      <c r="AB1223" s="143">
        <f t="shared" si="46"/>
        <v>7.9936057773011271E-14</v>
      </c>
      <c r="AC1223" s="236" t="e">
        <v>#N/A</v>
      </c>
      <c r="AD1223" s="236">
        <v>1.6142979213853437E-2</v>
      </c>
    </row>
    <row r="1224" spans="23:30" x14ac:dyDescent="0.2">
      <c r="W1224" s="144"/>
      <c r="X1224" s="113" t="str">
        <f t="shared" si="45"/>
        <v>1w</v>
      </c>
      <c r="Y1224" s="106">
        <f>_xll.qlCalendarAdvance(Calendar,Y1223,X1224,"f",FALSE)</f>
        <v>47773</v>
      </c>
      <c r="Z1224" s="108">
        <f>_xll.qlCalendarAdvance(Calendar,Y1224,0&amp;"D")</f>
        <v>47773</v>
      </c>
      <c r="AA1224" s="109">
        <v>1.6140074401622684E-2</v>
      </c>
      <c r="AB1224" s="143">
        <f t="shared" si="46"/>
        <v>0</v>
      </c>
      <c r="AC1224" s="236" t="e">
        <v>#N/A</v>
      </c>
      <c r="AD1224" s="236">
        <v>1.6140074401622684E-2</v>
      </c>
    </row>
    <row r="1225" spans="23:30" x14ac:dyDescent="0.2">
      <c r="W1225" s="144"/>
      <c r="X1225" s="113" t="str">
        <f t="shared" si="45"/>
        <v>1w</v>
      </c>
      <c r="Y1225" s="106">
        <f>_xll.qlCalendarAdvance(Calendar,Y1224,X1225,"f",FALSE)</f>
        <v>47780</v>
      </c>
      <c r="Z1225" s="108">
        <f>_xll.qlCalendarAdvance(Calendar,Y1225,0&amp;"D")</f>
        <v>47780</v>
      </c>
      <c r="AA1225" s="109">
        <v>1.6137138223202285E-2</v>
      </c>
      <c r="AB1225" s="143">
        <f t="shared" si="46"/>
        <v>-7.9936057773011271E-14</v>
      </c>
      <c r="AC1225" s="236" t="e">
        <v>#N/A</v>
      </c>
      <c r="AD1225" s="236">
        <v>1.6137138223282221E-2</v>
      </c>
    </row>
    <row r="1226" spans="23:30" x14ac:dyDescent="0.2">
      <c r="W1226" s="144"/>
      <c r="X1226" s="113" t="str">
        <f t="shared" si="45"/>
        <v>1w</v>
      </c>
      <c r="Y1226" s="106">
        <f>_xll.qlCalendarAdvance(Calendar,Y1225,X1226,"f",FALSE)</f>
        <v>47787</v>
      </c>
      <c r="Z1226" s="108">
        <f>_xll.qlCalendarAdvance(Calendar,Y1226,0&amp;"D")</f>
        <v>47787</v>
      </c>
      <c r="AA1226" s="109">
        <v>1.6134170678911985E-2</v>
      </c>
      <c r="AB1226" s="143">
        <f t="shared" si="46"/>
        <v>-7.9936057773011271E-14</v>
      </c>
      <c r="AC1226" s="236" t="e">
        <v>#N/A</v>
      </c>
      <c r="AD1226" s="236">
        <v>1.6134170678991921E-2</v>
      </c>
    </row>
    <row r="1227" spans="23:30" x14ac:dyDescent="0.2">
      <c r="W1227" s="144"/>
      <c r="X1227" s="113" t="str">
        <f t="shared" si="45"/>
        <v>1w</v>
      </c>
      <c r="Y1227" s="106">
        <f>_xll.qlCalendarAdvance(Calendar,Y1226,X1227,"f",FALSE)</f>
        <v>47794</v>
      </c>
      <c r="Z1227" s="108">
        <f>_xll.qlCalendarAdvance(Calendar,Y1227,0&amp;"D")</f>
        <v>47794</v>
      </c>
      <c r="AA1227" s="109">
        <v>1.6131171768671848E-2</v>
      </c>
      <c r="AB1227" s="143">
        <f t="shared" si="46"/>
        <v>0</v>
      </c>
      <c r="AC1227" s="236" t="e">
        <v>#N/A</v>
      </c>
      <c r="AD1227" s="236">
        <v>1.6131171768671848E-2</v>
      </c>
    </row>
    <row r="1228" spans="23:30" x14ac:dyDescent="0.2">
      <c r="W1228" s="144"/>
      <c r="X1228" s="113" t="str">
        <f t="shared" si="45"/>
        <v>1w</v>
      </c>
      <c r="Y1228" s="106">
        <f>_xll.qlCalendarAdvance(Calendar,Y1227,X1228,"f",FALSE)</f>
        <v>47801</v>
      </c>
      <c r="Z1228" s="108">
        <f>_xll.qlCalendarAdvance(Calendar,Y1228,0&amp;"D")</f>
        <v>47801</v>
      </c>
      <c r="AA1228" s="109">
        <v>1.6128141492242065E-2</v>
      </c>
      <c r="AB1228" s="143">
        <f t="shared" si="46"/>
        <v>-7.9936057773011271E-14</v>
      </c>
      <c r="AC1228" s="236" t="e">
        <v>#N/A</v>
      </c>
      <c r="AD1228" s="236">
        <v>1.6128141492322001E-2</v>
      </c>
    </row>
    <row r="1229" spans="23:30" x14ac:dyDescent="0.2">
      <c r="W1229" s="144"/>
      <c r="X1229" s="113" t="str">
        <f t="shared" ref="X1229:X1292" si="47">X1228</f>
        <v>1w</v>
      </c>
      <c r="Y1229" s="106">
        <f>_xll.qlCalendarAdvance(Calendar,Y1228,X1229,"f",FALSE)</f>
        <v>47808</v>
      </c>
      <c r="Z1229" s="108">
        <f>_xll.qlCalendarAdvance(Calendar,Y1229,0&amp;"D")</f>
        <v>47808</v>
      </c>
      <c r="AA1229" s="109">
        <v>1.6125079849942381E-2</v>
      </c>
      <c r="AB1229" s="143">
        <f t="shared" si="46"/>
        <v>7.9936057773011271E-14</v>
      </c>
      <c r="AC1229" s="236" t="e">
        <v>#N/A</v>
      </c>
      <c r="AD1229" s="236">
        <v>1.6125079849862445E-2</v>
      </c>
    </row>
    <row r="1230" spans="23:30" x14ac:dyDescent="0.2">
      <c r="W1230" s="144"/>
      <c r="X1230" s="113" t="str">
        <f t="shared" si="47"/>
        <v>1w</v>
      </c>
      <c r="Y1230" s="106">
        <f>_xll.qlCalendarAdvance(Calendar,Y1229,X1230,"f",FALSE)</f>
        <v>47815</v>
      </c>
      <c r="Z1230" s="108">
        <f>_xll.qlCalendarAdvance(Calendar,Y1230,0&amp;"D")</f>
        <v>47815</v>
      </c>
      <c r="AA1230" s="109">
        <v>1.6121986841612923E-2</v>
      </c>
      <c r="AB1230" s="143">
        <f t="shared" si="46"/>
        <v>7.9936057773011271E-14</v>
      </c>
      <c r="AC1230" s="236" t="e">
        <v>#N/A</v>
      </c>
      <c r="AD1230" s="236">
        <v>1.6121986841532987E-2</v>
      </c>
    </row>
    <row r="1231" spans="23:30" x14ac:dyDescent="0.2">
      <c r="W1231" s="144"/>
      <c r="X1231" s="113" t="str">
        <f t="shared" si="47"/>
        <v>1w</v>
      </c>
      <c r="Y1231" s="106">
        <f>_xll.qlCalendarAdvance(Calendar,Y1230,X1231,"f",FALSE)</f>
        <v>47822</v>
      </c>
      <c r="Z1231" s="108">
        <f>_xll.qlCalendarAdvance(Calendar,Y1231,0&amp;"D")</f>
        <v>47822</v>
      </c>
      <c r="AA1231" s="109">
        <v>1.6118862467253692E-2</v>
      </c>
      <c r="AB1231" s="143">
        <f t="shared" si="46"/>
        <v>7.9936057773011271E-14</v>
      </c>
      <c r="AC1231" s="236" t="e">
        <v>#N/A</v>
      </c>
      <c r="AD1231" s="236">
        <v>1.6118862467173756E-2</v>
      </c>
    </row>
    <row r="1232" spans="23:30" x14ac:dyDescent="0.2">
      <c r="W1232" s="144"/>
      <c r="X1232" s="113" t="str">
        <f t="shared" si="47"/>
        <v>1w</v>
      </c>
      <c r="Y1232" s="106">
        <f>_xll.qlCalendarAdvance(Calendar,Y1231,X1232,"f",FALSE)</f>
        <v>47829</v>
      </c>
      <c r="Z1232" s="108">
        <f>_xll.qlCalendarAdvance(Calendar,Y1232,0&amp;"D")</f>
        <v>47829</v>
      </c>
      <c r="AA1232" s="109">
        <v>1.6115706726784751E-2</v>
      </c>
      <c r="AB1232" s="143">
        <f t="shared" si="46"/>
        <v>-7.9936057773011271E-14</v>
      </c>
      <c r="AC1232" s="236" t="e">
        <v>#N/A</v>
      </c>
      <c r="AD1232" s="236">
        <v>1.6115706726864687E-2</v>
      </c>
    </row>
    <row r="1233" spans="23:30" x14ac:dyDescent="0.2">
      <c r="W1233" s="144"/>
      <c r="X1233" s="113" t="str">
        <f t="shared" si="47"/>
        <v>1w</v>
      </c>
      <c r="Y1233" s="106">
        <f>_xll.qlCalendarAdvance(Calendar,Y1232,X1233,"f",FALSE)</f>
        <v>47836</v>
      </c>
      <c r="Z1233" s="108">
        <f>_xll.qlCalendarAdvance(Calendar,Y1233,0&amp;"D")</f>
        <v>47836</v>
      </c>
      <c r="AA1233" s="109">
        <v>1.6112519620365973E-2</v>
      </c>
      <c r="AB1233" s="143">
        <f t="shared" si="46"/>
        <v>0</v>
      </c>
      <c r="AC1233" s="236" t="e">
        <v>#N/A</v>
      </c>
      <c r="AD1233" s="236">
        <v>1.6112519620365973E-2</v>
      </c>
    </row>
    <row r="1234" spans="23:30" x14ac:dyDescent="0.2">
      <c r="W1234" s="144"/>
      <c r="X1234" s="113" t="str">
        <f t="shared" si="47"/>
        <v>1w</v>
      </c>
      <c r="Y1234" s="106">
        <f>_xll.qlCalendarAdvance(Calendar,Y1233,X1234,"f",FALSE)</f>
        <v>47844</v>
      </c>
      <c r="Z1234" s="108">
        <f>_xll.qlCalendarAdvance(Calendar,Y1234,0&amp;"D")</f>
        <v>47844</v>
      </c>
      <c r="AA1234" s="109">
        <v>1.6109096397807221E-2</v>
      </c>
      <c r="AB1234" s="143">
        <f t="shared" si="46"/>
        <v>0</v>
      </c>
      <c r="AC1234" s="236" t="e">
        <v>#N/A</v>
      </c>
      <c r="AD1234" s="236">
        <v>1.6109096397807221E-2</v>
      </c>
    </row>
    <row r="1235" spans="23:30" x14ac:dyDescent="0.2">
      <c r="W1235" s="144"/>
      <c r="X1235" s="113" t="str">
        <f t="shared" si="47"/>
        <v>1w</v>
      </c>
      <c r="Y1235" s="106">
        <f>_xll.qlCalendarAdvance(Calendar,Y1234,X1235,"f",FALSE)</f>
        <v>47851</v>
      </c>
      <c r="Z1235" s="108">
        <f>_xll.qlCalendarAdvance(Calendar,Y1235,0&amp;"D")</f>
        <v>47851</v>
      </c>
      <c r="AA1235" s="109">
        <v>1.6105837306064075E-2</v>
      </c>
      <c r="AB1235" s="143">
        <f t="shared" si="46"/>
        <v>0</v>
      </c>
      <c r="AC1235" s="236" t="e">
        <v>#N/A</v>
      </c>
      <c r="AD1235" s="236">
        <v>1.6105837306064075E-2</v>
      </c>
    </row>
    <row r="1236" spans="23:30" x14ac:dyDescent="0.2">
      <c r="W1236" s="144"/>
      <c r="X1236" s="113" t="str">
        <f t="shared" si="47"/>
        <v>1w</v>
      </c>
      <c r="Y1236" s="106">
        <f>_xll.qlCalendarAdvance(Calendar,Y1235,X1236,"f",FALSE)</f>
        <v>47858</v>
      </c>
      <c r="Z1236" s="108">
        <f>_xll.qlCalendarAdvance(Calendar,Y1236,0&amp;"D")</f>
        <v>47858</v>
      </c>
      <c r="AA1236" s="109">
        <v>1.6102546845546684E-2</v>
      </c>
      <c r="AB1236" s="143">
        <f t="shared" si="46"/>
        <v>0</v>
      </c>
      <c r="AC1236" s="236" t="e">
        <v>#N/A</v>
      </c>
      <c r="AD1236" s="236">
        <v>1.6102546845546684E-2</v>
      </c>
    </row>
    <row r="1237" spans="23:30" x14ac:dyDescent="0.2">
      <c r="W1237" s="144"/>
      <c r="X1237" s="113" t="str">
        <f t="shared" si="47"/>
        <v>1w</v>
      </c>
      <c r="Y1237" s="106">
        <f>_xll.qlCalendarAdvance(Calendar,Y1236,X1237,"f",FALSE)</f>
        <v>47865</v>
      </c>
      <c r="Z1237" s="108">
        <f>_xll.qlCalendarAdvance(Calendar,Y1237,0&amp;"D")</f>
        <v>47865</v>
      </c>
      <c r="AA1237" s="109">
        <v>1.6099225016281693E-2</v>
      </c>
      <c r="AB1237" s="143">
        <f t="shared" ref="AB1237:AB1300" si="48">AA1237-AD1237</f>
        <v>0</v>
      </c>
      <c r="AC1237" s="236" t="e">
        <v>#N/A</v>
      </c>
      <c r="AD1237" s="236">
        <v>1.6099225016281693E-2</v>
      </c>
    </row>
    <row r="1238" spans="23:30" x14ac:dyDescent="0.2">
      <c r="W1238" s="144"/>
      <c r="X1238" s="113" t="str">
        <f t="shared" si="47"/>
        <v>1w</v>
      </c>
      <c r="Y1238" s="106">
        <f>_xll.qlCalendarAdvance(Calendar,Y1237,X1238,"f",FALSE)</f>
        <v>47872</v>
      </c>
      <c r="Z1238" s="108">
        <f>_xll.qlCalendarAdvance(Calendar,Y1238,0&amp;"D")</f>
        <v>47872</v>
      </c>
      <c r="AA1238" s="109">
        <v>1.6095871818269103E-2</v>
      </c>
      <c r="AB1238" s="143">
        <f t="shared" si="48"/>
        <v>0</v>
      </c>
      <c r="AC1238" s="236" t="e">
        <v>#N/A</v>
      </c>
      <c r="AD1238" s="236">
        <v>1.6095871818269103E-2</v>
      </c>
    </row>
    <row r="1239" spans="23:30" x14ac:dyDescent="0.2">
      <c r="W1239" s="144"/>
      <c r="X1239" s="113" t="str">
        <f t="shared" si="47"/>
        <v>1w</v>
      </c>
      <c r="Y1239" s="106">
        <f>_xll.qlCalendarAdvance(Calendar,Y1238,X1239,"f",FALSE)</f>
        <v>47879</v>
      </c>
      <c r="Z1239" s="108">
        <f>_xll.qlCalendarAdvance(Calendar,Y1239,0&amp;"D")</f>
        <v>47879</v>
      </c>
      <c r="AA1239" s="109">
        <v>1.6092487251535559E-2</v>
      </c>
      <c r="AB1239" s="143">
        <f t="shared" si="48"/>
        <v>0</v>
      </c>
      <c r="AC1239" s="236" t="e">
        <v>#N/A</v>
      </c>
      <c r="AD1239" s="236">
        <v>1.6092487251535559E-2</v>
      </c>
    </row>
    <row r="1240" spans="23:30" x14ac:dyDescent="0.2">
      <c r="W1240" s="144"/>
      <c r="X1240" s="113" t="str">
        <f t="shared" si="47"/>
        <v>1w</v>
      </c>
      <c r="Y1240" s="106">
        <f>_xll.qlCalendarAdvance(Calendar,Y1239,X1240,"f",FALSE)</f>
        <v>47886</v>
      </c>
      <c r="Z1240" s="108">
        <f>_xll.qlCalendarAdvance(Calendar,Y1240,0&amp;"D")</f>
        <v>47886</v>
      </c>
      <c r="AA1240" s="109">
        <v>1.6089071316054415E-2</v>
      </c>
      <c r="AB1240" s="143">
        <f t="shared" si="48"/>
        <v>0</v>
      </c>
      <c r="AC1240" s="236" t="e">
        <v>#N/A</v>
      </c>
      <c r="AD1240" s="236">
        <v>1.6089071316054415E-2</v>
      </c>
    </row>
    <row r="1241" spans="23:30" x14ac:dyDescent="0.2">
      <c r="W1241" s="144"/>
      <c r="X1241" s="113" t="str">
        <f t="shared" si="47"/>
        <v>1w</v>
      </c>
      <c r="Y1241" s="106">
        <f>_xll.qlCalendarAdvance(Calendar,Y1240,X1241,"f",FALSE)</f>
        <v>47893</v>
      </c>
      <c r="Z1241" s="108">
        <f>_xll.qlCalendarAdvance(Calendar,Y1241,0&amp;"D")</f>
        <v>47893</v>
      </c>
      <c r="AA1241" s="109">
        <v>1.6085624011825672E-2</v>
      </c>
      <c r="AB1241" s="143">
        <f t="shared" si="48"/>
        <v>0</v>
      </c>
      <c r="AC1241" s="236" t="e">
        <v>#N/A</v>
      </c>
      <c r="AD1241" s="236">
        <v>1.6085624011825672E-2</v>
      </c>
    </row>
    <row r="1242" spans="23:30" x14ac:dyDescent="0.2">
      <c r="W1242" s="144"/>
      <c r="X1242" s="113" t="str">
        <f t="shared" si="47"/>
        <v>1w</v>
      </c>
      <c r="Y1242" s="106">
        <f>_xll.qlCalendarAdvance(Calendar,Y1241,X1242,"f",FALSE)</f>
        <v>47900</v>
      </c>
      <c r="Z1242" s="108">
        <f>_xll.qlCalendarAdvance(Calendar,Y1242,0&amp;"D")</f>
        <v>47900</v>
      </c>
      <c r="AA1242" s="109">
        <v>1.6082145338822684E-2</v>
      </c>
      <c r="AB1242" s="143">
        <f t="shared" si="48"/>
        <v>0</v>
      </c>
      <c r="AC1242" s="236" t="e">
        <v>#N/A</v>
      </c>
      <c r="AD1242" s="236">
        <v>1.6082145338822684E-2</v>
      </c>
    </row>
    <row r="1243" spans="23:30" x14ac:dyDescent="0.2">
      <c r="W1243" s="144"/>
      <c r="X1243" s="113" t="str">
        <f t="shared" si="47"/>
        <v>1w</v>
      </c>
      <c r="Y1243" s="106">
        <f>_xll.qlCalendarAdvance(Calendar,Y1242,X1243,"f",FALSE)</f>
        <v>47907</v>
      </c>
      <c r="Z1243" s="108">
        <f>_xll.qlCalendarAdvance(Calendar,Y1243,0&amp;"D")</f>
        <v>47907</v>
      </c>
      <c r="AA1243" s="109">
        <v>1.6078635297152033E-2</v>
      </c>
      <c r="AB1243" s="143">
        <f t="shared" si="48"/>
        <v>0</v>
      </c>
      <c r="AC1243" s="236" t="e">
        <v>#N/A</v>
      </c>
      <c r="AD1243" s="236">
        <v>1.6078635297152033E-2</v>
      </c>
    </row>
    <row r="1244" spans="23:30" x14ac:dyDescent="0.2">
      <c r="W1244" s="144"/>
      <c r="X1244" s="113" t="str">
        <f t="shared" si="47"/>
        <v>1w</v>
      </c>
      <c r="Y1244" s="106">
        <f>_xll.qlCalendarAdvance(Calendar,Y1243,X1244,"f",FALSE)</f>
        <v>47914</v>
      </c>
      <c r="Z1244" s="108">
        <f>_xll.qlCalendarAdvance(Calendar,Y1244,0&amp;"D")</f>
        <v>47914</v>
      </c>
      <c r="AA1244" s="109">
        <v>1.6075093886680492E-2</v>
      </c>
      <c r="AB1244" s="143">
        <f t="shared" si="48"/>
        <v>0</v>
      </c>
      <c r="AC1244" s="236" t="e">
        <v>#N/A</v>
      </c>
      <c r="AD1244" s="236">
        <v>1.6075093886680492E-2</v>
      </c>
    </row>
    <row r="1245" spans="23:30" x14ac:dyDescent="0.2">
      <c r="W1245" s="144"/>
      <c r="X1245" s="113" t="str">
        <f t="shared" si="47"/>
        <v>1w</v>
      </c>
      <c r="Y1245" s="106">
        <f>_xll.qlCalendarAdvance(Calendar,Y1244,X1245,"f",FALSE)</f>
        <v>47921</v>
      </c>
      <c r="Z1245" s="108">
        <f>_xll.qlCalendarAdvance(Calendar,Y1245,0&amp;"D")</f>
        <v>47921</v>
      </c>
      <c r="AA1245" s="109">
        <v>1.6071521107514641E-2</v>
      </c>
      <c r="AB1245" s="143">
        <f t="shared" si="48"/>
        <v>0</v>
      </c>
      <c r="AC1245" s="236" t="e">
        <v>#N/A</v>
      </c>
      <c r="AD1245" s="236">
        <v>1.6071521107514641E-2</v>
      </c>
    </row>
    <row r="1246" spans="23:30" x14ac:dyDescent="0.2">
      <c r="W1246" s="144"/>
      <c r="X1246" s="113" t="str">
        <f t="shared" si="47"/>
        <v>1w</v>
      </c>
      <c r="Y1246" s="106">
        <f>_xll.qlCalendarAdvance(Calendar,Y1245,X1246,"f",FALSE)</f>
        <v>47928</v>
      </c>
      <c r="Z1246" s="108">
        <f>_xll.qlCalendarAdvance(Calendar,Y1246,0&amp;"D")</f>
        <v>47928</v>
      </c>
      <c r="AA1246" s="109">
        <v>1.6067916959601192E-2</v>
      </c>
      <c r="AB1246" s="143">
        <f t="shared" si="48"/>
        <v>-2.6645352591003757E-14</v>
      </c>
      <c r="AC1246" s="236" t="e">
        <v>#N/A</v>
      </c>
      <c r="AD1246" s="236">
        <v>1.6067916959627837E-2</v>
      </c>
    </row>
    <row r="1247" spans="23:30" x14ac:dyDescent="0.2">
      <c r="W1247" s="144"/>
      <c r="X1247" s="113" t="str">
        <f t="shared" si="47"/>
        <v>1w</v>
      </c>
      <c r="Y1247" s="106">
        <f>_xll.qlCalendarAdvance(Calendar,Y1246,X1247,"f",FALSE)</f>
        <v>47935</v>
      </c>
      <c r="Z1247" s="108">
        <f>_xll.qlCalendarAdvance(Calendar,Y1247,0&amp;"D")</f>
        <v>47935</v>
      </c>
      <c r="AA1247" s="109">
        <v>1.6064281442993433E-2</v>
      </c>
      <c r="AB1247" s="143">
        <f t="shared" si="48"/>
        <v>0</v>
      </c>
      <c r="AC1247" s="236" t="e">
        <v>#N/A</v>
      </c>
      <c r="AD1247" s="236">
        <v>1.6064281442993433E-2</v>
      </c>
    </row>
    <row r="1248" spans="23:30" x14ac:dyDescent="0.2">
      <c r="W1248" s="144"/>
      <c r="X1248" s="113" t="str">
        <f t="shared" si="47"/>
        <v>1w</v>
      </c>
      <c r="Y1248" s="106">
        <f>_xll.qlCalendarAdvance(Calendar,Y1247,X1248,"f",FALSE)</f>
        <v>47942</v>
      </c>
      <c r="Z1248" s="108">
        <f>_xll.qlCalendarAdvance(Calendar,Y1248,0&amp;"D")</f>
        <v>47942</v>
      </c>
      <c r="AA1248" s="109">
        <v>1.6060614557638075E-2</v>
      </c>
      <c r="AB1248" s="143">
        <f t="shared" si="48"/>
        <v>0</v>
      </c>
      <c r="AC1248" s="236" t="e">
        <v>#N/A</v>
      </c>
      <c r="AD1248" s="236">
        <v>1.6060614557638075E-2</v>
      </c>
    </row>
    <row r="1249" spans="23:30" x14ac:dyDescent="0.2">
      <c r="W1249" s="144"/>
      <c r="X1249" s="113" t="str">
        <f t="shared" si="47"/>
        <v>1w</v>
      </c>
      <c r="Y1249" s="106">
        <f>_xll.qlCalendarAdvance(Calendar,Y1248,X1249,"f",FALSE)</f>
        <v>47953</v>
      </c>
      <c r="Z1249" s="108">
        <f>_xll.qlCalendarAdvance(Calendar,Y1249,0&amp;"D")</f>
        <v>47953</v>
      </c>
      <c r="AA1249" s="109">
        <v>1.6054605964415103E-2</v>
      </c>
      <c r="AB1249" s="143">
        <f t="shared" si="48"/>
        <v>0</v>
      </c>
      <c r="AC1249" s="236" t="e">
        <v>#N/A</v>
      </c>
      <c r="AD1249" s="236">
        <v>1.6054605964415103E-2</v>
      </c>
    </row>
    <row r="1250" spans="23:30" x14ac:dyDescent="0.2">
      <c r="W1250" s="144"/>
      <c r="X1250" s="113" t="str">
        <f t="shared" si="47"/>
        <v>1w</v>
      </c>
      <c r="Y1250" s="106">
        <f>_xll.qlCalendarAdvance(Calendar,Y1249,X1250,"f",FALSE)</f>
        <v>47960</v>
      </c>
      <c r="Z1250" s="108">
        <f>_xll.qlCalendarAdvance(Calendar,Y1250,0&amp;"D")</f>
        <v>47960</v>
      </c>
      <c r="AA1250" s="109">
        <v>1.6050863231651391E-2</v>
      </c>
      <c r="AB1250" s="143">
        <f t="shared" si="48"/>
        <v>0</v>
      </c>
      <c r="AC1250" s="236" t="e">
        <v>#N/A</v>
      </c>
      <c r="AD1250" s="236">
        <v>1.6050863231651391E-2</v>
      </c>
    </row>
    <row r="1251" spans="23:30" x14ac:dyDescent="0.2">
      <c r="W1251" s="144"/>
      <c r="X1251" s="113" t="str">
        <f t="shared" si="47"/>
        <v>1w</v>
      </c>
      <c r="Y1251" s="106">
        <f>_xll.qlCalendarAdvance(Calendar,Y1250,X1251,"f",FALSE)</f>
        <v>47967</v>
      </c>
      <c r="Z1251" s="108">
        <f>_xll.qlCalendarAdvance(Calendar,Y1251,0&amp;"D")</f>
        <v>47967</v>
      </c>
      <c r="AA1251" s="109">
        <v>1.6047089132937842E-2</v>
      </c>
      <c r="AB1251" s="143">
        <f t="shared" si="48"/>
        <v>0</v>
      </c>
      <c r="AC1251" s="236" t="e">
        <v>#N/A</v>
      </c>
      <c r="AD1251" s="236">
        <v>1.6047089132937842E-2</v>
      </c>
    </row>
    <row r="1252" spans="23:30" x14ac:dyDescent="0.2">
      <c r="W1252" s="144"/>
      <c r="X1252" s="113" t="str">
        <f t="shared" si="47"/>
        <v>1w</v>
      </c>
      <c r="Y1252" s="106">
        <f>_xll.qlCalendarAdvance(Calendar,Y1251,X1252,"f",FALSE)</f>
        <v>47974</v>
      </c>
      <c r="Z1252" s="108">
        <f>_xll.qlCalendarAdvance(Calendar,Y1252,0&amp;"D")</f>
        <v>47974</v>
      </c>
      <c r="AA1252" s="109">
        <v>1.6043283668354391E-2</v>
      </c>
      <c r="AB1252" s="143">
        <f t="shared" si="48"/>
        <v>7.9936057773011271E-14</v>
      </c>
      <c r="AC1252" s="236" t="e">
        <v>#N/A</v>
      </c>
      <c r="AD1252" s="236">
        <v>1.6043283668274455E-2</v>
      </c>
    </row>
    <row r="1253" spans="23:30" x14ac:dyDescent="0.2">
      <c r="W1253" s="144"/>
      <c r="X1253" s="113" t="str">
        <f t="shared" si="47"/>
        <v>1w</v>
      </c>
      <c r="Y1253" s="106">
        <f>_xll.qlCalendarAdvance(Calendar,Y1252,X1253,"f",FALSE)</f>
        <v>47981</v>
      </c>
      <c r="Z1253" s="108">
        <f>_xll.qlCalendarAdvance(Calendar,Y1253,0&amp;"D")</f>
        <v>47981</v>
      </c>
      <c r="AA1253" s="109">
        <v>1.6039446837581295E-2</v>
      </c>
      <c r="AB1253" s="143">
        <f t="shared" si="48"/>
        <v>0</v>
      </c>
      <c r="AC1253" s="236" t="e">
        <v>#N/A</v>
      </c>
      <c r="AD1253" s="236">
        <v>1.6039446837581295E-2</v>
      </c>
    </row>
    <row r="1254" spans="23:30" x14ac:dyDescent="0.2">
      <c r="W1254" s="144"/>
      <c r="X1254" s="113" t="str">
        <f t="shared" si="47"/>
        <v>1w</v>
      </c>
      <c r="Y1254" s="106">
        <f>_xll.qlCalendarAdvance(Calendar,Y1253,X1254,"f",FALSE)</f>
        <v>47988</v>
      </c>
      <c r="Z1254" s="108">
        <f>_xll.qlCalendarAdvance(Calendar,Y1254,0&amp;"D")</f>
        <v>47988</v>
      </c>
      <c r="AA1254" s="109">
        <v>1.6035578640938297E-2</v>
      </c>
      <c r="AB1254" s="143">
        <f t="shared" si="48"/>
        <v>0</v>
      </c>
      <c r="AC1254" s="236" t="e">
        <v>#N/A</v>
      </c>
      <c r="AD1254" s="236">
        <v>1.6035578640938297E-2</v>
      </c>
    </row>
    <row r="1255" spans="23:30" x14ac:dyDescent="0.2">
      <c r="W1255" s="144"/>
      <c r="X1255" s="113" t="str">
        <f t="shared" si="47"/>
        <v>1w</v>
      </c>
      <c r="Y1255" s="106">
        <f>_xll.qlCalendarAdvance(Calendar,Y1254,X1255,"f",FALSE)</f>
        <v>47995</v>
      </c>
      <c r="Z1255" s="108">
        <f>_xll.qlCalendarAdvance(Calendar,Y1255,0&amp;"D")</f>
        <v>47995</v>
      </c>
      <c r="AA1255" s="109">
        <v>1.603167907818559E-2</v>
      </c>
      <c r="AB1255" s="143">
        <f t="shared" si="48"/>
        <v>0</v>
      </c>
      <c r="AC1255" s="236" t="e">
        <v>#N/A</v>
      </c>
      <c r="AD1255" s="236">
        <v>1.603167907818559E-2</v>
      </c>
    </row>
    <row r="1256" spans="23:30" x14ac:dyDescent="0.2">
      <c r="W1256" s="144"/>
      <c r="X1256" s="113" t="str">
        <f t="shared" si="47"/>
        <v>1w</v>
      </c>
      <c r="Y1256" s="106">
        <f>_xll.qlCalendarAdvance(Calendar,Y1255,X1256,"f",FALSE)</f>
        <v>48002</v>
      </c>
      <c r="Z1256" s="108">
        <f>_xll.qlCalendarAdvance(Calendar,Y1256,0&amp;"D")</f>
        <v>48002</v>
      </c>
      <c r="AA1256" s="109">
        <v>1.6027748149562981E-2</v>
      </c>
      <c r="AB1256" s="143">
        <f t="shared" si="48"/>
        <v>0</v>
      </c>
      <c r="AC1256" s="236" t="e">
        <v>#N/A</v>
      </c>
      <c r="AD1256" s="236">
        <v>1.6027748149562981E-2</v>
      </c>
    </row>
    <row r="1257" spans="23:30" x14ac:dyDescent="0.2">
      <c r="W1257" s="144"/>
      <c r="X1257" s="113" t="str">
        <f t="shared" si="47"/>
        <v>1w</v>
      </c>
      <c r="Y1257" s="106">
        <f>_xll.qlCalendarAdvance(Calendar,Y1256,X1257,"f",FALSE)</f>
        <v>48009</v>
      </c>
      <c r="Z1257" s="108">
        <f>_xll.qlCalendarAdvance(Calendar,Y1257,0&amp;"D")</f>
        <v>48009</v>
      </c>
      <c r="AA1257" s="109">
        <v>1.6023785854910599E-2</v>
      </c>
      <c r="AB1257" s="143">
        <f t="shared" si="48"/>
        <v>0</v>
      </c>
      <c r="AC1257" s="236" t="e">
        <v>#N/A</v>
      </c>
      <c r="AD1257" s="236">
        <v>1.6023785854910599E-2</v>
      </c>
    </row>
    <row r="1258" spans="23:30" x14ac:dyDescent="0.2">
      <c r="W1258" s="144"/>
      <c r="X1258" s="113" t="str">
        <f t="shared" si="47"/>
        <v>1w</v>
      </c>
      <c r="Y1258" s="106">
        <f>_xll.qlCalendarAdvance(Calendar,Y1257,X1258,"f",FALSE)</f>
        <v>48016</v>
      </c>
      <c r="Z1258" s="108">
        <f>_xll.qlCalendarAdvance(Calendar,Y1258,0&amp;"D")</f>
        <v>48016</v>
      </c>
      <c r="AA1258" s="109">
        <v>1.6019792194228444E-2</v>
      </c>
      <c r="AB1258" s="143">
        <f t="shared" si="48"/>
        <v>0</v>
      </c>
      <c r="AC1258" s="236" t="e">
        <v>#N/A</v>
      </c>
      <c r="AD1258" s="236">
        <v>1.6019792194228444E-2</v>
      </c>
    </row>
    <row r="1259" spans="23:30" x14ac:dyDescent="0.2">
      <c r="W1259" s="144"/>
      <c r="X1259" s="113" t="str">
        <f t="shared" si="47"/>
        <v>1w</v>
      </c>
      <c r="Y1259" s="106">
        <f>_xll.qlCalendarAdvance(Calendar,Y1258,X1259,"f",FALSE)</f>
        <v>48023</v>
      </c>
      <c r="Z1259" s="108">
        <f>_xll.qlCalendarAdvance(Calendar,Y1259,0&amp;"D")</f>
        <v>48023</v>
      </c>
      <c r="AA1259" s="109">
        <v>1.6015767167676387E-2</v>
      </c>
      <c r="AB1259" s="143">
        <f t="shared" si="48"/>
        <v>7.9936057773011271E-14</v>
      </c>
      <c r="AC1259" s="236" t="e">
        <v>#N/A</v>
      </c>
      <c r="AD1259" s="236">
        <v>1.6015767167596451E-2</v>
      </c>
    </row>
    <row r="1260" spans="23:30" x14ac:dyDescent="0.2">
      <c r="W1260" s="144"/>
      <c r="X1260" s="113" t="str">
        <f t="shared" si="47"/>
        <v>1w</v>
      </c>
      <c r="Y1260" s="106">
        <f>_xll.qlCalendarAdvance(Calendar,Y1259,X1260,"f",FALSE)</f>
        <v>48030</v>
      </c>
      <c r="Z1260" s="108">
        <f>_xll.qlCalendarAdvance(Calendar,Y1260,0&amp;"D")</f>
        <v>48030</v>
      </c>
      <c r="AA1260" s="109">
        <v>1.601171077501462E-2</v>
      </c>
      <c r="AB1260" s="143">
        <f t="shared" si="48"/>
        <v>0</v>
      </c>
      <c r="AC1260" s="236" t="e">
        <v>#N/A</v>
      </c>
      <c r="AD1260" s="236">
        <v>1.601171077501462E-2</v>
      </c>
    </row>
    <row r="1261" spans="23:30" x14ac:dyDescent="0.2">
      <c r="W1261" s="144"/>
      <c r="X1261" s="113" t="str">
        <f t="shared" si="47"/>
        <v>1w</v>
      </c>
      <c r="Y1261" s="106">
        <f>_xll.qlCalendarAdvance(Calendar,Y1260,X1261,"f",FALSE)</f>
        <v>48037</v>
      </c>
      <c r="Z1261" s="108">
        <f>_xll.qlCalendarAdvance(Calendar,Y1261,0&amp;"D")</f>
        <v>48037</v>
      </c>
      <c r="AA1261" s="109">
        <v>1.6007623016562889E-2</v>
      </c>
      <c r="AB1261" s="143">
        <f t="shared" si="48"/>
        <v>7.9936057773011271E-14</v>
      </c>
      <c r="AC1261" s="236" t="e">
        <v>#N/A</v>
      </c>
      <c r="AD1261" s="236">
        <v>1.6007623016482952E-2</v>
      </c>
    </row>
    <row r="1262" spans="23:30" x14ac:dyDescent="0.2">
      <c r="W1262" s="144"/>
      <c r="X1262" s="113" t="str">
        <f t="shared" si="47"/>
        <v>1w</v>
      </c>
      <c r="Y1262" s="106">
        <f>_xll.qlCalendarAdvance(Calendar,Y1261,X1262,"f",FALSE)</f>
        <v>48044</v>
      </c>
      <c r="Z1262" s="108">
        <f>_xll.qlCalendarAdvance(Calendar,Y1262,0&amp;"D")</f>
        <v>48044</v>
      </c>
      <c r="AA1262" s="109">
        <v>1.6003503891841575E-2</v>
      </c>
      <c r="AB1262" s="143">
        <f t="shared" si="48"/>
        <v>0</v>
      </c>
      <c r="AC1262" s="236" t="e">
        <v>#N/A</v>
      </c>
      <c r="AD1262" s="236">
        <v>1.6003503891841575E-2</v>
      </c>
    </row>
    <row r="1263" spans="23:30" x14ac:dyDescent="0.2">
      <c r="W1263" s="144"/>
      <c r="X1263" s="113" t="str">
        <f t="shared" si="47"/>
        <v>1w</v>
      </c>
      <c r="Y1263" s="106">
        <f>_xll.qlCalendarAdvance(Calendar,Y1262,X1263,"f",FALSE)</f>
        <v>48051</v>
      </c>
      <c r="Z1263" s="108">
        <f>_xll.qlCalendarAdvance(Calendar,Y1263,0&amp;"D")</f>
        <v>48051</v>
      </c>
      <c r="AA1263" s="109">
        <v>1.5999353401330296E-2</v>
      </c>
      <c r="AB1263" s="143">
        <f t="shared" si="48"/>
        <v>0</v>
      </c>
      <c r="AC1263" s="236" t="e">
        <v>#N/A</v>
      </c>
      <c r="AD1263" s="236">
        <v>1.5999353401330296E-2</v>
      </c>
    </row>
    <row r="1264" spans="23:30" x14ac:dyDescent="0.2">
      <c r="W1264" s="144"/>
      <c r="X1264" s="113" t="str">
        <f t="shared" si="47"/>
        <v>1w</v>
      </c>
      <c r="Y1264" s="106">
        <f>_xll.qlCalendarAdvance(Calendar,Y1263,X1264,"f",FALSE)</f>
        <v>48058</v>
      </c>
      <c r="Z1264" s="108">
        <f>_xll.qlCalendarAdvance(Calendar,Y1264,0&amp;"D")</f>
        <v>48058</v>
      </c>
      <c r="AA1264" s="109">
        <v>1.5995171544789244E-2</v>
      </c>
      <c r="AB1264" s="143">
        <f t="shared" si="48"/>
        <v>0</v>
      </c>
      <c r="AC1264" s="236" t="e">
        <v>#N/A</v>
      </c>
      <c r="AD1264" s="236">
        <v>1.5995171544789244E-2</v>
      </c>
    </row>
    <row r="1265" spans="23:30" x14ac:dyDescent="0.2">
      <c r="W1265" s="144"/>
      <c r="X1265" s="113" t="str">
        <f t="shared" si="47"/>
        <v>1w</v>
      </c>
      <c r="Y1265" s="106">
        <f>_xll.qlCalendarAdvance(Calendar,Y1264,X1265,"f",FALSE)</f>
        <v>48065</v>
      </c>
      <c r="Z1265" s="108">
        <f>_xll.qlCalendarAdvance(Calendar,Y1265,0&amp;"D")</f>
        <v>48065</v>
      </c>
      <c r="AA1265" s="109">
        <v>1.599095832237829E-2</v>
      </c>
      <c r="AB1265" s="143">
        <f t="shared" si="48"/>
        <v>0</v>
      </c>
      <c r="AC1265" s="236" t="e">
        <v>#N/A</v>
      </c>
      <c r="AD1265" s="236">
        <v>1.599095832237829E-2</v>
      </c>
    </row>
    <row r="1266" spans="23:30" x14ac:dyDescent="0.2">
      <c r="W1266" s="144"/>
      <c r="X1266" s="113" t="str">
        <f t="shared" si="47"/>
        <v>1w</v>
      </c>
      <c r="Y1266" s="106">
        <f>_xll.qlCalendarAdvance(Calendar,Y1265,X1266,"f",FALSE)</f>
        <v>48072</v>
      </c>
      <c r="Z1266" s="108">
        <f>_xll.qlCalendarAdvance(Calendar,Y1266,0&amp;"D")</f>
        <v>48072</v>
      </c>
      <c r="AA1266" s="109">
        <v>1.5986713733777691E-2</v>
      </c>
      <c r="AB1266" s="143">
        <f t="shared" si="48"/>
        <v>0</v>
      </c>
      <c r="AC1266" s="236" t="e">
        <v>#N/A</v>
      </c>
      <c r="AD1266" s="236">
        <v>1.5986713733777691E-2</v>
      </c>
    </row>
    <row r="1267" spans="23:30" x14ac:dyDescent="0.2">
      <c r="W1267" s="144"/>
      <c r="X1267" s="113" t="str">
        <f t="shared" si="47"/>
        <v>1w</v>
      </c>
      <c r="Y1267" s="106">
        <f>_xll.qlCalendarAdvance(Calendar,Y1266,X1267,"f",FALSE)</f>
        <v>48079</v>
      </c>
      <c r="Z1267" s="108">
        <f>_xll.qlCalendarAdvance(Calendar,Y1267,0&amp;"D")</f>
        <v>48079</v>
      </c>
      <c r="AA1267" s="109">
        <v>1.5982437779387126E-2</v>
      </c>
      <c r="AB1267" s="143">
        <f t="shared" si="48"/>
        <v>0</v>
      </c>
      <c r="AC1267" s="236" t="e">
        <v>#N/A</v>
      </c>
      <c r="AD1267" s="236">
        <v>1.5982437779387126E-2</v>
      </c>
    </row>
    <row r="1268" spans="23:30" x14ac:dyDescent="0.2">
      <c r="W1268" s="144"/>
      <c r="X1268" s="113" t="str">
        <f t="shared" si="47"/>
        <v>1w</v>
      </c>
      <c r="Y1268" s="106">
        <f>_xll.qlCalendarAdvance(Calendar,Y1267,X1268,"f",FALSE)</f>
        <v>48086</v>
      </c>
      <c r="Z1268" s="108">
        <f>_xll.qlCalendarAdvance(Calendar,Y1268,0&amp;"D")</f>
        <v>48086</v>
      </c>
      <c r="AA1268" s="109">
        <v>1.5978130458966788E-2</v>
      </c>
      <c r="AB1268" s="143">
        <f t="shared" si="48"/>
        <v>0</v>
      </c>
      <c r="AC1268" s="236" t="e">
        <v>#N/A</v>
      </c>
      <c r="AD1268" s="236">
        <v>1.5978130458966788E-2</v>
      </c>
    </row>
    <row r="1269" spans="23:30" x14ac:dyDescent="0.2">
      <c r="W1269" s="144"/>
      <c r="X1269" s="113" t="str">
        <f t="shared" si="47"/>
        <v>1w</v>
      </c>
      <c r="Y1269" s="106">
        <f>_xll.qlCalendarAdvance(Calendar,Y1268,X1269,"f",FALSE)</f>
        <v>48093</v>
      </c>
      <c r="Z1269" s="108">
        <f>_xll.qlCalendarAdvance(Calendar,Y1269,0&amp;"D")</f>
        <v>48093</v>
      </c>
      <c r="AA1269" s="109">
        <v>1.5973791772516677E-2</v>
      </c>
      <c r="AB1269" s="143">
        <f t="shared" si="48"/>
        <v>0</v>
      </c>
      <c r="AC1269" s="236" t="e">
        <v>#N/A</v>
      </c>
      <c r="AD1269" s="236">
        <v>1.5973791772516677E-2</v>
      </c>
    </row>
    <row r="1270" spans="23:30" x14ac:dyDescent="0.2">
      <c r="W1270" s="144"/>
      <c r="X1270" s="113" t="str">
        <f t="shared" si="47"/>
        <v>1w</v>
      </c>
      <c r="Y1270" s="106">
        <f>_xll.qlCalendarAdvance(Calendar,Y1269,X1270,"f",FALSE)</f>
        <v>48100</v>
      </c>
      <c r="Z1270" s="108">
        <f>_xll.qlCalendarAdvance(Calendar,Y1270,0&amp;"D")</f>
        <v>48100</v>
      </c>
      <c r="AA1270" s="109">
        <v>1.5969421720036792E-2</v>
      </c>
      <c r="AB1270" s="143">
        <f t="shared" si="48"/>
        <v>-7.9936057773011271E-14</v>
      </c>
      <c r="AC1270" s="236" t="e">
        <v>#N/A</v>
      </c>
      <c r="AD1270" s="236">
        <v>1.5969421720116728E-2</v>
      </c>
    </row>
    <row r="1271" spans="23:30" x14ac:dyDescent="0.2">
      <c r="W1271" s="144"/>
      <c r="X1271" s="113" t="str">
        <f t="shared" si="47"/>
        <v>1w</v>
      </c>
      <c r="Y1271" s="106">
        <f>_xll.qlCalendarAdvance(Calendar,Y1270,X1271,"f",FALSE)</f>
        <v>48107</v>
      </c>
      <c r="Z1271" s="108">
        <f>_xll.qlCalendarAdvance(Calendar,Y1271,0&amp;"D")</f>
        <v>48107</v>
      </c>
      <c r="AA1271" s="109">
        <v>1.5965020301766941E-2</v>
      </c>
      <c r="AB1271" s="143">
        <f t="shared" si="48"/>
        <v>0</v>
      </c>
      <c r="AC1271" s="236" t="e">
        <v>#N/A</v>
      </c>
      <c r="AD1271" s="236">
        <v>1.5965020301766941E-2</v>
      </c>
    </row>
    <row r="1272" spans="23:30" x14ac:dyDescent="0.2">
      <c r="W1272" s="144"/>
      <c r="X1272" s="113" t="str">
        <f t="shared" si="47"/>
        <v>1w</v>
      </c>
      <c r="Y1272" s="106">
        <f>_xll.qlCalendarAdvance(Calendar,Y1271,X1272,"f",FALSE)</f>
        <v>48114</v>
      </c>
      <c r="Z1272" s="108">
        <f>_xll.qlCalendarAdvance(Calendar,Y1272,0&amp;"D")</f>
        <v>48114</v>
      </c>
      <c r="AA1272" s="109">
        <v>1.5960587517467317E-2</v>
      </c>
      <c r="AB1272" s="143">
        <f t="shared" si="48"/>
        <v>0</v>
      </c>
      <c r="AC1272" s="236" t="e">
        <v>#N/A</v>
      </c>
      <c r="AD1272" s="236">
        <v>1.5960587517467317E-2</v>
      </c>
    </row>
    <row r="1273" spans="23:30" x14ac:dyDescent="0.2">
      <c r="W1273" s="144"/>
      <c r="X1273" s="113" t="str">
        <f t="shared" si="47"/>
        <v>1w</v>
      </c>
      <c r="Y1273" s="106">
        <f>_xll.qlCalendarAdvance(Calendar,Y1272,X1273,"f",FALSE)</f>
        <v>48121</v>
      </c>
      <c r="Z1273" s="108">
        <f>_xll.qlCalendarAdvance(Calendar,Y1273,0&amp;"D")</f>
        <v>48121</v>
      </c>
      <c r="AA1273" s="109">
        <v>1.5956123367217856E-2</v>
      </c>
      <c r="AB1273" s="143">
        <f t="shared" si="48"/>
        <v>7.9936057773011271E-14</v>
      </c>
      <c r="AC1273" s="236" t="e">
        <v>#N/A</v>
      </c>
      <c r="AD1273" s="236">
        <v>1.595612336713792E-2</v>
      </c>
    </row>
    <row r="1274" spans="23:30" x14ac:dyDescent="0.2">
      <c r="W1274" s="144"/>
      <c r="X1274" s="113" t="str">
        <f t="shared" si="47"/>
        <v>1w</v>
      </c>
      <c r="Y1274" s="106">
        <f>_xll.qlCalendarAdvance(Calendar,Y1273,X1274,"f",FALSE)</f>
        <v>48128</v>
      </c>
      <c r="Z1274" s="108">
        <f>_xll.qlCalendarAdvance(Calendar,Y1274,0&amp;"D")</f>
        <v>48128</v>
      </c>
      <c r="AA1274" s="109">
        <v>1.5951627850858685E-2</v>
      </c>
      <c r="AB1274" s="143">
        <f t="shared" si="48"/>
        <v>0</v>
      </c>
      <c r="AC1274" s="236" t="e">
        <v>#N/A</v>
      </c>
      <c r="AD1274" s="236">
        <v>1.5951627850858685E-2</v>
      </c>
    </row>
    <row r="1275" spans="23:30" x14ac:dyDescent="0.2">
      <c r="W1275" s="144"/>
      <c r="X1275" s="113" t="str">
        <f t="shared" si="47"/>
        <v>1w</v>
      </c>
      <c r="Y1275" s="106">
        <f>_xll.qlCalendarAdvance(Calendar,Y1274,X1275,"f",FALSE)</f>
        <v>48135</v>
      </c>
      <c r="Z1275" s="108">
        <f>_xll.qlCalendarAdvance(Calendar,Y1275,0&amp;"D")</f>
        <v>48135</v>
      </c>
      <c r="AA1275" s="109">
        <v>1.5947100968629613E-2</v>
      </c>
      <c r="AB1275" s="143">
        <f t="shared" si="48"/>
        <v>0</v>
      </c>
      <c r="AC1275" s="236" t="e">
        <v>#N/A</v>
      </c>
      <c r="AD1275" s="236">
        <v>1.5947100968629613E-2</v>
      </c>
    </row>
    <row r="1276" spans="23:30" x14ac:dyDescent="0.2">
      <c r="W1276" s="144"/>
      <c r="X1276" s="113" t="str">
        <f t="shared" si="47"/>
        <v>1w</v>
      </c>
      <c r="Y1276" s="106">
        <f>_xll.qlCalendarAdvance(Calendar,Y1275,X1276,"f",FALSE)</f>
        <v>48142</v>
      </c>
      <c r="Z1276" s="108">
        <f>_xll.qlCalendarAdvance(Calendar,Y1276,0&amp;"D")</f>
        <v>48142</v>
      </c>
      <c r="AA1276" s="109">
        <v>1.5942542720450703E-2</v>
      </c>
      <c r="AB1276" s="143">
        <f t="shared" si="48"/>
        <v>0</v>
      </c>
      <c r="AC1276" s="236" t="e">
        <v>#N/A</v>
      </c>
      <c r="AD1276" s="236">
        <v>1.5942542720450703E-2</v>
      </c>
    </row>
    <row r="1277" spans="23:30" x14ac:dyDescent="0.2">
      <c r="W1277" s="144"/>
      <c r="X1277" s="113" t="str">
        <f t="shared" si="47"/>
        <v>1w</v>
      </c>
      <c r="Y1277" s="106">
        <f>_xll.qlCalendarAdvance(Calendar,Y1276,X1277,"f",FALSE)</f>
        <v>48149</v>
      </c>
      <c r="Z1277" s="108">
        <f>_xll.qlCalendarAdvance(Calendar,Y1277,0&amp;"D")</f>
        <v>48149</v>
      </c>
      <c r="AA1277" s="109">
        <v>1.5937953106321956E-2</v>
      </c>
      <c r="AB1277" s="143">
        <f t="shared" si="48"/>
        <v>0</v>
      </c>
      <c r="AC1277" s="236" t="e">
        <v>#N/A</v>
      </c>
      <c r="AD1277" s="236">
        <v>1.5937953106321956E-2</v>
      </c>
    </row>
    <row r="1278" spans="23:30" x14ac:dyDescent="0.2">
      <c r="W1278" s="144"/>
      <c r="X1278" s="113" t="str">
        <f t="shared" si="47"/>
        <v>1w</v>
      </c>
      <c r="Y1278" s="106">
        <f>_xll.qlCalendarAdvance(Calendar,Y1277,X1278,"f",FALSE)</f>
        <v>48156</v>
      </c>
      <c r="Z1278" s="108">
        <f>_xll.qlCalendarAdvance(Calendar,Y1278,0&amp;"D")</f>
        <v>48156</v>
      </c>
      <c r="AA1278" s="109">
        <v>1.5933332126163435E-2</v>
      </c>
      <c r="AB1278" s="143">
        <f t="shared" si="48"/>
        <v>0</v>
      </c>
      <c r="AC1278" s="236" t="e">
        <v>#N/A</v>
      </c>
      <c r="AD1278" s="236">
        <v>1.5933332126163435E-2</v>
      </c>
    </row>
    <row r="1279" spans="23:30" x14ac:dyDescent="0.2">
      <c r="W1279" s="144"/>
      <c r="X1279" s="113" t="str">
        <f t="shared" si="47"/>
        <v>1w</v>
      </c>
      <c r="Y1279" s="106">
        <f>_xll.qlCalendarAdvance(Calendar,Y1278,X1279,"f",FALSE)</f>
        <v>48163</v>
      </c>
      <c r="Z1279" s="108">
        <f>_xll.qlCalendarAdvance(Calendar,Y1279,0&amp;"D")</f>
        <v>48163</v>
      </c>
      <c r="AA1279" s="109">
        <v>1.5928679780055077E-2</v>
      </c>
      <c r="AB1279" s="143">
        <f t="shared" si="48"/>
        <v>0</v>
      </c>
      <c r="AC1279" s="236" t="e">
        <v>#N/A</v>
      </c>
      <c r="AD1279" s="236">
        <v>1.5928679780055077E-2</v>
      </c>
    </row>
    <row r="1280" spans="23:30" x14ac:dyDescent="0.2">
      <c r="W1280" s="144"/>
      <c r="X1280" s="113" t="str">
        <f t="shared" si="47"/>
        <v>1w</v>
      </c>
      <c r="Y1280" s="106">
        <f>_xll.qlCalendarAdvance(Calendar,Y1279,X1280,"f",FALSE)</f>
        <v>48170</v>
      </c>
      <c r="Z1280" s="108">
        <f>_xll.qlCalendarAdvance(Calendar,Y1280,0&amp;"D")</f>
        <v>48170</v>
      </c>
      <c r="AA1280" s="109">
        <v>1.5923996068076818E-2</v>
      </c>
      <c r="AB1280" s="143">
        <f t="shared" si="48"/>
        <v>0</v>
      </c>
      <c r="AC1280" s="236" t="e">
        <v>#N/A</v>
      </c>
      <c r="AD1280" s="236">
        <v>1.5923996068076818E-2</v>
      </c>
    </row>
    <row r="1281" spans="23:30" x14ac:dyDescent="0.2">
      <c r="W1281" s="144"/>
      <c r="X1281" s="113" t="str">
        <f t="shared" si="47"/>
        <v>1w</v>
      </c>
      <c r="Y1281" s="106">
        <f>_xll.qlCalendarAdvance(Calendar,Y1280,X1281,"f",FALSE)</f>
        <v>48177</v>
      </c>
      <c r="Z1281" s="108">
        <f>_xll.qlCalendarAdvance(Calendar,Y1281,0&amp;"D")</f>
        <v>48177</v>
      </c>
      <c r="AA1281" s="109">
        <v>1.5919280990068785E-2</v>
      </c>
      <c r="AB1281" s="143">
        <f t="shared" si="48"/>
        <v>0</v>
      </c>
      <c r="AC1281" s="236" t="e">
        <v>#N/A</v>
      </c>
      <c r="AD1281" s="236">
        <v>1.5919280990068785E-2</v>
      </c>
    </row>
    <row r="1282" spans="23:30" x14ac:dyDescent="0.2">
      <c r="W1282" s="144"/>
      <c r="X1282" s="113" t="str">
        <f t="shared" si="47"/>
        <v>1w</v>
      </c>
      <c r="Y1282" s="106">
        <f>_xll.qlCalendarAdvance(Calendar,Y1281,X1282,"f",FALSE)</f>
        <v>48184</v>
      </c>
      <c r="Z1282" s="108">
        <f>_xll.qlCalendarAdvance(Calendar,Y1282,0&amp;"D")</f>
        <v>48184</v>
      </c>
      <c r="AA1282" s="109">
        <v>1.5914534546110914E-2</v>
      </c>
      <c r="AB1282" s="143">
        <f t="shared" si="48"/>
        <v>0</v>
      </c>
      <c r="AC1282" s="236" t="e">
        <v>#N/A</v>
      </c>
      <c r="AD1282" s="236">
        <v>1.5914534546110914E-2</v>
      </c>
    </row>
    <row r="1283" spans="23:30" x14ac:dyDescent="0.2">
      <c r="W1283" s="144"/>
      <c r="X1283" s="113" t="str">
        <f t="shared" si="47"/>
        <v>1w</v>
      </c>
      <c r="Y1283" s="106">
        <f>_xll.qlCalendarAdvance(Calendar,Y1282,X1283,"f",FALSE)</f>
        <v>48191</v>
      </c>
      <c r="Z1283" s="108">
        <f>_xll.qlCalendarAdvance(Calendar,Y1283,0&amp;"D")</f>
        <v>48191</v>
      </c>
      <c r="AA1283" s="109">
        <v>1.5909756736123271E-2</v>
      </c>
      <c r="AB1283" s="143">
        <f t="shared" si="48"/>
        <v>-7.9936057773011271E-14</v>
      </c>
      <c r="AC1283" s="236" t="e">
        <v>#N/A</v>
      </c>
      <c r="AD1283" s="236">
        <v>1.5909756736203207E-2</v>
      </c>
    </row>
    <row r="1284" spans="23:30" x14ac:dyDescent="0.2">
      <c r="W1284" s="144"/>
      <c r="X1284" s="113" t="str">
        <f t="shared" si="47"/>
        <v>1w</v>
      </c>
      <c r="Y1284" s="106">
        <f>_xll.qlCalendarAdvance(Calendar,Y1283,X1284,"f",FALSE)</f>
        <v>48198</v>
      </c>
      <c r="Z1284" s="108">
        <f>_xll.qlCalendarAdvance(Calendar,Y1284,0&amp;"D")</f>
        <v>48198</v>
      </c>
      <c r="AA1284" s="109">
        <v>1.5904947560345661E-2</v>
      </c>
      <c r="AB1284" s="143">
        <f t="shared" si="48"/>
        <v>0</v>
      </c>
      <c r="AC1284" s="236" t="e">
        <v>#N/A</v>
      </c>
      <c r="AD1284" s="236">
        <v>1.5904947560345661E-2</v>
      </c>
    </row>
    <row r="1285" spans="23:30" x14ac:dyDescent="0.2">
      <c r="W1285" s="144"/>
      <c r="X1285" s="113" t="str">
        <f t="shared" si="47"/>
        <v>1w</v>
      </c>
      <c r="Y1285" s="106">
        <f>_xll.qlCalendarAdvance(Calendar,Y1284,X1285,"f",FALSE)</f>
        <v>48205</v>
      </c>
      <c r="Z1285" s="108">
        <f>_xll.qlCalendarAdvance(Calendar,Y1285,0&amp;"D")</f>
        <v>48205</v>
      </c>
      <c r="AA1285" s="109">
        <v>1.5900107018458343E-2</v>
      </c>
      <c r="AB1285" s="143">
        <f t="shared" si="48"/>
        <v>0</v>
      </c>
      <c r="AC1285" s="236" t="e">
        <v>#N/A</v>
      </c>
      <c r="AD1285" s="236">
        <v>1.5900107018458343E-2</v>
      </c>
    </row>
    <row r="1286" spans="23:30" x14ac:dyDescent="0.2">
      <c r="W1286" s="144"/>
      <c r="X1286" s="113" t="str">
        <f t="shared" si="47"/>
        <v>1w</v>
      </c>
      <c r="Y1286" s="106">
        <f>_xll.qlCalendarAdvance(Calendar,Y1285,X1286,"f",FALSE)</f>
        <v>48212</v>
      </c>
      <c r="Z1286" s="108">
        <f>_xll.qlCalendarAdvance(Calendar,Y1286,0&amp;"D")</f>
        <v>48212</v>
      </c>
      <c r="AA1286" s="109">
        <v>1.5895235110701122E-2</v>
      </c>
      <c r="AB1286" s="143">
        <f t="shared" si="48"/>
        <v>0</v>
      </c>
      <c r="AC1286" s="236" t="e">
        <v>#N/A</v>
      </c>
      <c r="AD1286" s="236">
        <v>1.5895235110701122E-2</v>
      </c>
    </row>
    <row r="1287" spans="23:30" x14ac:dyDescent="0.2">
      <c r="W1287" s="144"/>
      <c r="X1287" s="113" t="str">
        <f t="shared" si="47"/>
        <v>1w</v>
      </c>
      <c r="Y1287" s="106">
        <f>_xll.qlCalendarAdvance(Calendar,Y1286,X1287,"f",FALSE)</f>
        <v>48219</v>
      </c>
      <c r="Z1287" s="108">
        <f>_xll.qlCalendarAdvance(Calendar,Y1287,0&amp;"D")</f>
        <v>48219</v>
      </c>
      <c r="AA1287" s="109">
        <v>1.5890331836994065E-2</v>
      </c>
      <c r="AB1287" s="143">
        <f t="shared" si="48"/>
        <v>0</v>
      </c>
      <c r="AC1287" s="236" t="e">
        <v>#N/A</v>
      </c>
      <c r="AD1287" s="236">
        <v>1.5890331836994065E-2</v>
      </c>
    </row>
    <row r="1288" spans="23:30" x14ac:dyDescent="0.2">
      <c r="W1288" s="144"/>
      <c r="X1288" s="113" t="str">
        <f t="shared" si="47"/>
        <v>1w</v>
      </c>
      <c r="Y1288" s="106">
        <f>_xll.qlCalendarAdvance(Calendar,Y1287,X1288,"f",FALSE)</f>
        <v>48226</v>
      </c>
      <c r="Z1288" s="108">
        <f>_xll.qlCalendarAdvance(Calendar,Y1288,0&amp;"D")</f>
        <v>48226</v>
      </c>
      <c r="AA1288" s="109">
        <v>1.5885397197177298E-2</v>
      </c>
      <c r="AB1288" s="143">
        <f t="shared" si="48"/>
        <v>0</v>
      </c>
      <c r="AC1288" s="236" t="e">
        <v>#N/A</v>
      </c>
      <c r="AD1288" s="236">
        <v>1.5885397197177298E-2</v>
      </c>
    </row>
    <row r="1289" spans="23:30" x14ac:dyDescent="0.2">
      <c r="W1289" s="144"/>
      <c r="X1289" s="113" t="str">
        <f t="shared" si="47"/>
        <v>1w</v>
      </c>
      <c r="Y1289" s="106">
        <f>_xll.qlCalendarAdvance(Calendar,Y1288,X1289,"f",FALSE)</f>
        <v>48233</v>
      </c>
      <c r="Z1289" s="108">
        <f>_xll.qlCalendarAdvance(Calendar,Y1289,0&amp;"D")</f>
        <v>48233</v>
      </c>
      <c r="AA1289" s="109">
        <v>1.5880431191650501E-2</v>
      </c>
      <c r="AB1289" s="143">
        <f t="shared" si="48"/>
        <v>0</v>
      </c>
      <c r="AC1289" s="236" t="e">
        <v>#N/A</v>
      </c>
      <c r="AD1289" s="236">
        <v>1.5880431191650501E-2</v>
      </c>
    </row>
    <row r="1290" spans="23:30" x14ac:dyDescent="0.2">
      <c r="W1290" s="144"/>
      <c r="X1290" s="113" t="str">
        <f t="shared" si="47"/>
        <v>1w</v>
      </c>
      <c r="Y1290" s="106">
        <f>_xll.qlCalendarAdvance(Calendar,Y1289,X1290,"f",FALSE)</f>
        <v>48240</v>
      </c>
      <c r="Z1290" s="108">
        <f>_xll.qlCalendarAdvance(Calendar,Y1290,0&amp;"D")</f>
        <v>48240</v>
      </c>
      <c r="AA1290" s="109">
        <v>1.5875433820013996E-2</v>
      </c>
      <c r="AB1290" s="143">
        <f t="shared" si="48"/>
        <v>0</v>
      </c>
      <c r="AC1290" s="236" t="e">
        <v>#N/A</v>
      </c>
      <c r="AD1290" s="236">
        <v>1.5875433820013996E-2</v>
      </c>
    </row>
    <row r="1291" spans="23:30" x14ac:dyDescent="0.2">
      <c r="W1291" s="144"/>
      <c r="X1291" s="113" t="str">
        <f t="shared" si="47"/>
        <v>1w</v>
      </c>
      <c r="Y1291" s="106">
        <f>_xll.qlCalendarAdvance(Calendar,Y1290,X1291,"f",FALSE)</f>
        <v>48247</v>
      </c>
      <c r="Z1291" s="108">
        <f>_xll.qlCalendarAdvance(Calendar,Y1291,0&amp;"D")</f>
        <v>48247</v>
      </c>
      <c r="AA1291" s="109">
        <v>1.5870405082507588E-2</v>
      </c>
      <c r="AB1291" s="143">
        <f t="shared" si="48"/>
        <v>0</v>
      </c>
      <c r="AC1291" s="236" t="e">
        <v>#N/A</v>
      </c>
      <c r="AD1291" s="236">
        <v>1.5870405082507588E-2</v>
      </c>
    </row>
    <row r="1292" spans="23:30" x14ac:dyDescent="0.2">
      <c r="W1292" s="144"/>
      <c r="X1292" s="113" t="str">
        <f t="shared" si="47"/>
        <v>1w</v>
      </c>
      <c r="Y1292" s="106">
        <f>_xll.qlCalendarAdvance(Calendar,Y1291,X1292,"f",FALSE)</f>
        <v>48254</v>
      </c>
      <c r="Z1292" s="108">
        <f>_xll.qlCalendarAdvance(Calendar,Y1292,0&amp;"D")</f>
        <v>48254</v>
      </c>
      <c r="AA1292" s="109">
        <v>1.5865344979051343E-2</v>
      </c>
      <c r="AB1292" s="143">
        <f t="shared" si="48"/>
        <v>0</v>
      </c>
      <c r="AC1292" s="236" t="e">
        <v>#N/A</v>
      </c>
      <c r="AD1292" s="236">
        <v>1.5865344979051343E-2</v>
      </c>
    </row>
    <row r="1293" spans="23:30" x14ac:dyDescent="0.2">
      <c r="W1293" s="144"/>
      <c r="X1293" s="113" t="str">
        <f t="shared" ref="X1293:X1356" si="49">X1292</f>
        <v>1w</v>
      </c>
      <c r="Y1293" s="106">
        <f>_xll.qlCalendarAdvance(Calendar,Y1292,X1293,"f",FALSE)</f>
        <v>48261</v>
      </c>
      <c r="Z1293" s="108">
        <f>_xll.qlCalendarAdvance(Calendar,Y1293,0&amp;"D")</f>
        <v>48261</v>
      </c>
      <c r="AA1293" s="109">
        <v>1.5860253509565325E-2</v>
      </c>
      <c r="AB1293" s="143">
        <f t="shared" si="48"/>
        <v>0</v>
      </c>
      <c r="AC1293" s="236" t="e">
        <v>#N/A</v>
      </c>
      <c r="AD1293" s="236">
        <v>1.5860253509565325E-2</v>
      </c>
    </row>
    <row r="1294" spans="23:30" x14ac:dyDescent="0.2">
      <c r="W1294" s="144"/>
      <c r="X1294" s="113" t="str">
        <f t="shared" si="49"/>
        <v>1w</v>
      </c>
      <c r="Y1294" s="106">
        <f>_xll.qlCalendarAdvance(Calendar,Y1293,X1294,"f",FALSE)</f>
        <v>48268</v>
      </c>
      <c r="Z1294" s="108">
        <f>_xll.qlCalendarAdvance(Calendar,Y1294,0&amp;"D")</f>
        <v>48268</v>
      </c>
      <c r="AA1294" s="109">
        <v>1.5855130674289342E-2</v>
      </c>
      <c r="AB1294" s="143">
        <f t="shared" si="48"/>
        <v>0</v>
      </c>
      <c r="AC1294" s="236" t="e">
        <v>#N/A</v>
      </c>
      <c r="AD1294" s="236">
        <v>1.5855130674289342E-2</v>
      </c>
    </row>
    <row r="1295" spans="23:30" x14ac:dyDescent="0.2">
      <c r="W1295" s="144"/>
      <c r="X1295" s="113" t="str">
        <f t="shared" si="49"/>
        <v>1w</v>
      </c>
      <c r="Y1295" s="106">
        <f>_xll.qlCalendarAdvance(Calendar,Y1294,X1295,"f",FALSE)</f>
        <v>48275</v>
      </c>
      <c r="Z1295" s="108">
        <f>_xll.qlCalendarAdvance(Calendar,Y1295,0&amp;"D")</f>
        <v>48275</v>
      </c>
      <c r="AA1295" s="109">
        <v>1.5849976472983585E-2</v>
      </c>
      <c r="AB1295" s="143">
        <f t="shared" si="48"/>
        <v>0</v>
      </c>
      <c r="AC1295" s="236" t="e">
        <v>#N/A</v>
      </c>
      <c r="AD1295" s="236">
        <v>1.5849976472983585E-2</v>
      </c>
    </row>
    <row r="1296" spans="23:30" x14ac:dyDescent="0.2">
      <c r="W1296" s="144"/>
      <c r="X1296" s="113" t="str">
        <f t="shared" si="49"/>
        <v>1w</v>
      </c>
      <c r="Y1296" s="106">
        <f>_xll.qlCalendarAdvance(Calendar,Y1295,X1296,"f",FALSE)</f>
        <v>48282</v>
      </c>
      <c r="Z1296" s="108">
        <f>_xll.qlCalendarAdvance(Calendar,Y1296,0&amp;"D")</f>
        <v>48282</v>
      </c>
      <c r="AA1296" s="109">
        <v>1.584479090572799E-2</v>
      </c>
      <c r="AB1296" s="143">
        <f t="shared" si="48"/>
        <v>0</v>
      </c>
      <c r="AC1296" s="236" t="e">
        <v>#N/A</v>
      </c>
      <c r="AD1296" s="236">
        <v>1.584479090572799E-2</v>
      </c>
    </row>
    <row r="1297" spans="23:30" x14ac:dyDescent="0.2">
      <c r="W1297" s="144"/>
      <c r="X1297" s="113" t="str">
        <f t="shared" si="49"/>
        <v>1w</v>
      </c>
      <c r="Y1297" s="106">
        <f>_xll.qlCalendarAdvance(Calendar,Y1296,X1297,"f",FALSE)</f>
        <v>48289</v>
      </c>
      <c r="Z1297" s="108">
        <f>_xll.qlCalendarAdvance(Calendar,Y1297,0&amp;"D")</f>
        <v>48289</v>
      </c>
      <c r="AA1297" s="109">
        <v>1.5839573972442622E-2</v>
      </c>
      <c r="AB1297" s="143">
        <f t="shared" si="48"/>
        <v>-7.9936057773011271E-14</v>
      </c>
      <c r="AC1297" s="236" t="e">
        <v>#N/A</v>
      </c>
      <c r="AD1297" s="236">
        <v>1.5839573972522558E-2</v>
      </c>
    </row>
    <row r="1298" spans="23:30" x14ac:dyDescent="0.2">
      <c r="W1298" s="144"/>
      <c r="X1298" s="113" t="str">
        <f t="shared" si="49"/>
        <v>1w</v>
      </c>
      <c r="Y1298" s="106">
        <f>_xll.qlCalendarAdvance(Calendar,Y1297,X1298,"f",FALSE)</f>
        <v>48296</v>
      </c>
      <c r="Z1298" s="108">
        <f>_xll.qlCalendarAdvance(Calendar,Y1298,0&amp;"D")</f>
        <v>48296</v>
      </c>
      <c r="AA1298" s="109">
        <v>1.5834325673447225E-2</v>
      </c>
      <c r="AB1298" s="143">
        <f t="shared" si="48"/>
        <v>0</v>
      </c>
      <c r="AC1298" s="236" t="e">
        <v>#N/A</v>
      </c>
      <c r="AD1298" s="236">
        <v>1.5834325673447225E-2</v>
      </c>
    </row>
    <row r="1299" spans="23:30" x14ac:dyDescent="0.2">
      <c r="W1299" s="144"/>
      <c r="X1299" s="113" t="str">
        <f t="shared" si="49"/>
        <v>1w</v>
      </c>
      <c r="Y1299" s="106">
        <f>_xll.qlCalendarAdvance(Calendar,Y1298,X1299,"f",FALSE)</f>
        <v>48303</v>
      </c>
      <c r="Z1299" s="108">
        <f>_xll.qlCalendarAdvance(Calendar,Y1299,0&amp;"D")</f>
        <v>48303</v>
      </c>
      <c r="AA1299" s="109">
        <v>1.5829046008342118E-2</v>
      </c>
      <c r="AB1299" s="143">
        <f t="shared" si="48"/>
        <v>0</v>
      </c>
      <c r="AC1299" s="236" t="e">
        <v>#N/A</v>
      </c>
      <c r="AD1299" s="236">
        <v>1.5829046008342118E-2</v>
      </c>
    </row>
    <row r="1300" spans="23:30" x14ac:dyDescent="0.2">
      <c r="W1300" s="144"/>
      <c r="X1300" s="113" t="str">
        <f t="shared" si="49"/>
        <v>1w</v>
      </c>
      <c r="Y1300" s="106">
        <f>_xll.qlCalendarAdvance(Calendar,Y1299,X1300,"f",FALSE)</f>
        <v>48310</v>
      </c>
      <c r="Z1300" s="108">
        <f>_xll.qlCalendarAdvance(Calendar,Y1300,0&amp;"D")</f>
        <v>48310</v>
      </c>
      <c r="AA1300" s="109">
        <v>1.582373497736711E-2</v>
      </c>
      <c r="AB1300" s="143">
        <f t="shared" si="48"/>
        <v>7.9936057773011271E-14</v>
      </c>
      <c r="AC1300" s="236" t="e">
        <v>#N/A</v>
      </c>
      <c r="AD1300" s="236">
        <v>1.5823734977287174E-2</v>
      </c>
    </row>
    <row r="1301" spans="23:30" x14ac:dyDescent="0.2">
      <c r="W1301" s="144"/>
      <c r="X1301" s="113" t="str">
        <f t="shared" si="49"/>
        <v>1w</v>
      </c>
      <c r="Y1301" s="106">
        <f>_xll.qlCalendarAdvance(Calendar,Y1300,X1301,"f",FALSE)</f>
        <v>48317</v>
      </c>
      <c r="Z1301" s="108">
        <f>_xll.qlCalendarAdvance(Calendar,Y1301,0&amp;"D")</f>
        <v>48317</v>
      </c>
      <c r="AA1301" s="109">
        <v>1.5818392580362328E-2</v>
      </c>
      <c r="AB1301" s="143">
        <f t="shared" ref="AB1301:AB1364" si="50">AA1301-AD1301</f>
        <v>0</v>
      </c>
      <c r="AC1301" s="236" t="e">
        <v>#N/A</v>
      </c>
      <c r="AD1301" s="236">
        <v>1.5818392580362328E-2</v>
      </c>
    </row>
    <row r="1302" spans="23:30" x14ac:dyDescent="0.2">
      <c r="W1302" s="144"/>
      <c r="X1302" s="113" t="str">
        <f t="shared" si="49"/>
        <v>1w</v>
      </c>
      <c r="Y1302" s="106">
        <f>_xll.qlCalendarAdvance(Calendar,Y1301,X1302,"f",FALSE)</f>
        <v>48324</v>
      </c>
      <c r="Z1302" s="108">
        <f>_xll.qlCalendarAdvance(Calendar,Y1302,0&amp;"D")</f>
        <v>48324</v>
      </c>
      <c r="AA1302" s="109">
        <v>1.5813018817487645E-2</v>
      </c>
      <c r="AB1302" s="143">
        <f t="shared" si="50"/>
        <v>0</v>
      </c>
      <c r="AC1302" s="236" t="e">
        <v>#N/A</v>
      </c>
      <c r="AD1302" s="236">
        <v>1.5813018817487645E-2</v>
      </c>
    </row>
    <row r="1303" spans="23:30" x14ac:dyDescent="0.2">
      <c r="W1303" s="144"/>
      <c r="X1303" s="113" t="str">
        <f t="shared" si="49"/>
        <v>1w</v>
      </c>
      <c r="Y1303" s="106">
        <f>_xll.qlCalendarAdvance(Calendar,Y1302,X1303,"f",FALSE)</f>
        <v>48331</v>
      </c>
      <c r="Z1303" s="108">
        <f>_xll.qlCalendarAdvance(Calendar,Y1303,0&amp;"D")</f>
        <v>48331</v>
      </c>
      <c r="AA1303" s="109">
        <v>1.5807613688743061E-2</v>
      </c>
      <c r="AB1303" s="143">
        <f t="shared" si="50"/>
        <v>0</v>
      </c>
      <c r="AC1303" s="236" t="e">
        <v>#N/A</v>
      </c>
      <c r="AD1303" s="236">
        <v>1.5807613688743061E-2</v>
      </c>
    </row>
    <row r="1304" spans="23:30" x14ac:dyDescent="0.2">
      <c r="W1304" s="144"/>
      <c r="X1304" s="113" t="str">
        <f t="shared" si="49"/>
        <v>1w</v>
      </c>
      <c r="Y1304" s="106">
        <f>_xll.qlCalendarAdvance(Calendar,Y1303,X1304,"f",FALSE)</f>
        <v>48338</v>
      </c>
      <c r="Z1304" s="108">
        <f>_xll.qlCalendarAdvance(Calendar,Y1304,0&amp;"D")</f>
        <v>48338</v>
      </c>
      <c r="AA1304" s="109">
        <v>1.5802177194048639E-2</v>
      </c>
      <c r="AB1304" s="143">
        <f t="shared" si="50"/>
        <v>0</v>
      </c>
      <c r="AC1304" s="236" t="e">
        <v>#N/A</v>
      </c>
      <c r="AD1304" s="236">
        <v>1.5802177194048639E-2</v>
      </c>
    </row>
    <row r="1305" spans="23:30" x14ac:dyDescent="0.2">
      <c r="W1305" s="144"/>
      <c r="X1305" s="113" t="str">
        <f t="shared" si="49"/>
        <v>1w</v>
      </c>
      <c r="Y1305" s="106">
        <f>_xll.qlCalendarAdvance(Calendar,Y1304,X1305,"f",FALSE)</f>
        <v>48345</v>
      </c>
      <c r="Z1305" s="108">
        <f>_xll.qlCalendarAdvance(Calendar,Y1305,0&amp;"D")</f>
        <v>48345</v>
      </c>
      <c r="AA1305" s="109">
        <v>1.579670933340438E-2</v>
      </c>
      <c r="AB1305" s="143">
        <f t="shared" si="50"/>
        <v>0</v>
      </c>
      <c r="AC1305" s="236" t="e">
        <v>#N/A</v>
      </c>
      <c r="AD1305" s="236">
        <v>1.579670933340438E-2</v>
      </c>
    </row>
    <row r="1306" spans="23:30" x14ac:dyDescent="0.2">
      <c r="W1306" s="144"/>
      <c r="X1306" s="113" t="str">
        <f t="shared" si="49"/>
        <v>1w</v>
      </c>
      <c r="Y1306" s="106">
        <f>_xll.qlCalendarAdvance(Calendar,Y1305,X1306,"f",FALSE)</f>
        <v>48352</v>
      </c>
      <c r="Z1306" s="108">
        <f>_xll.qlCalendarAdvance(Calendar,Y1306,0&amp;"D")</f>
        <v>48352</v>
      </c>
      <c r="AA1306" s="109">
        <v>1.5791210106730347E-2</v>
      </c>
      <c r="AB1306" s="143">
        <f t="shared" si="50"/>
        <v>0</v>
      </c>
      <c r="AC1306" s="236" t="e">
        <v>#N/A</v>
      </c>
      <c r="AD1306" s="236">
        <v>1.5791210106730347E-2</v>
      </c>
    </row>
    <row r="1307" spans="23:30" x14ac:dyDescent="0.2">
      <c r="W1307" s="144"/>
      <c r="X1307" s="113" t="str">
        <f t="shared" si="49"/>
        <v>1w</v>
      </c>
      <c r="Y1307" s="106">
        <f>_xll.qlCalendarAdvance(Calendar,Y1306,X1307,"f",FALSE)</f>
        <v>48359</v>
      </c>
      <c r="Z1307" s="108">
        <f>_xll.qlCalendarAdvance(Calendar,Y1307,0&amp;"D")</f>
        <v>48359</v>
      </c>
      <c r="AA1307" s="109">
        <v>1.5785679514346285E-2</v>
      </c>
      <c r="AB1307" s="143">
        <f t="shared" si="50"/>
        <v>0</v>
      </c>
      <c r="AC1307" s="236" t="e">
        <v>#N/A</v>
      </c>
      <c r="AD1307" s="236">
        <v>1.5785679514346285E-2</v>
      </c>
    </row>
    <row r="1308" spans="23:30" x14ac:dyDescent="0.2">
      <c r="W1308" s="144"/>
      <c r="X1308" s="113" t="str">
        <f t="shared" si="49"/>
        <v>1w</v>
      </c>
      <c r="Y1308" s="106">
        <f>_xll.qlCalendarAdvance(Calendar,Y1307,X1308,"f",FALSE)</f>
        <v>48366</v>
      </c>
      <c r="Z1308" s="108">
        <f>_xll.qlCalendarAdvance(Calendar,Y1308,0&amp;"D")</f>
        <v>48366</v>
      </c>
      <c r="AA1308" s="109">
        <v>1.5780117555852513E-2</v>
      </c>
      <c r="AB1308" s="143">
        <f t="shared" si="50"/>
        <v>0</v>
      </c>
      <c r="AC1308" s="236" t="e">
        <v>#N/A</v>
      </c>
      <c r="AD1308" s="236">
        <v>1.5780117555852513E-2</v>
      </c>
    </row>
    <row r="1309" spans="23:30" x14ac:dyDescent="0.2">
      <c r="W1309" s="144"/>
      <c r="X1309" s="113" t="str">
        <f t="shared" si="49"/>
        <v>1w</v>
      </c>
      <c r="Y1309" s="106">
        <f>_xll.qlCalendarAdvance(Calendar,Y1308,X1309,"f",FALSE)</f>
        <v>48373</v>
      </c>
      <c r="Z1309" s="108">
        <f>_xll.qlCalendarAdvance(Calendar,Y1309,0&amp;"D")</f>
        <v>48373</v>
      </c>
      <c r="AA1309" s="109">
        <v>1.577452423148884E-2</v>
      </c>
      <c r="AB1309" s="143">
        <f t="shared" si="50"/>
        <v>0</v>
      </c>
      <c r="AC1309" s="236" t="e">
        <v>#N/A</v>
      </c>
      <c r="AD1309" s="236">
        <v>1.577452423148884E-2</v>
      </c>
    </row>
    <row r="1310" spans="23:30" x14ac:dyDescent="0.2">
      <c r="W1310" s="144"/>
      <c r="X1310" s="113" t="str">
        <f t="shared" si="49"/>
        <v>1w</v>
      </c>
      <c r="Y1310" s="106">
        <f>_xll.qlCalendarAdvance(Calendar,Y1309,X1310,"f",FALSE)</f>
        <v>48380</v>
      </c>
      <c r="Z1310" s="108">
        <f>_xll.qlCalendarAdvance(Calendar,Y1310,0&amp;"D")</f>
        <v>48380</v>
      </c>
      <c r="AA1310" s="109">
        <v>1.5768899541335202E-2</v>
      </c>
      <c r="AB1310" s="143">
        <f t="shared" si="50"/>
        <v>7.9936057773011271E-14</v>
      </c>
      <c r="AC1310" s="236" t="e">
        <v>#N/A</v>
      </c>
      <c r="AD1310" s="236">
        <v>1.5768899541255266E-2</v>
      </c>
    </row>
    <row r="1311" spans="23:30" x14ac:dyDescent="0.2">
      <c r="W1311" s="144"/>
      <c r="X1311" s="113" t="str">
        <f t="shared" si="49"/>
        <v>1w</v>
      </c>
      <c r="Y1311" s="106">
        <f>_xll.qlCalendarAdvance(Calendar,Y1310,X1311,"f",FALSE)</f>
        <v>48387</v>
      </c>
      <c r="Z1311" s="108">
        <f>_xll.qlCalendarAdvance(Calendar,Y1311,0&amp;"D")</f>
        <v>48387</v>
      </c>
      <c r="AA1311" s="109">
        <v>1.5763243484991918E-2</v>
      </c>
      <c r="AB1311" s="143">
        <f t="shared" si="50"/>
        <v>0</v>
      </c>
      <c r="AC1311" s="236" t="e">
        <v>#N/A</v>
      </c>
      <c r="AD1311" s="236">
        <v>1.5763243484991918E-2</v>
      </c>
    </row>
    <row r="1312" spans="23:30" x14ac:dyDescent="0.2">
      <c r="W1312" s="144"/>
      <c r="X1312" s="113" t="str">
        <f t="shared" si="49"/>
        <v>1w</v>
      </c>
      <c r="Y1312" s="106">
        <f>_xll.qlCalendarAdvance(Calendar,Y1311,X1312,"f",FALSE)</f>
        <v>48394</v>
      </c>
      <c r="Z1312" s="108">
        <f>_xll.qlCalendarAdvance(Calendar,Y1312,0&amp;"D")</f>
        <v>48394</v>
      </c>
      <c r="AA1312" s="109">
        <v>1.5757556062938605E-2</v>
      </c>
      <c r="AB1312" s="143">
        <f t="shared" si="50"/>
        <v>0</v>
      </c>
      <c r="AC1312" s="236" t="e">
        <v>#N/A</v>
      </c>
      <c r="AD1312" s="236">
        <v>1.5757556062938605E-2</v>
      </c>
    </row>
    <row r="1313" spans="23:30" x14ac:dyDescent="0.2">
      <c r="W1313" s="144"/>
      <c r="X1313" s="113" t="str">
        <f t="shared" si="49"/>
        <v>1w</v>
      </c>
      <c r="Y1313" s="106">
        <f>_xll.qlCalendarAdvance(Calendar,Y1312,X1313,"f",FALSE)</f>
        <v>48401</v>
      </c>
      <c r="Z1313" s="108">
        <f>_xll.qlCalendarAdvance(Calendar,Y1313,0&amp;"D")</f>
        <v>48401</v>
      </c>
      <c r="AA1313" s="109">
        <v>1.5751837274935454E-2</v>
      </c>
      <c r="AB1313" s="143">
        <f t="shared" si="50"/>
        <v>-7.9936057773011271E-14</v>
      </c>
      <c r="AC1313" s="236" t="e">
        <v>#N/A</v>
      </c>
      <c r="AD1313" s="236">
        <v>1.575183727501539E-2</v>
      </c>
    </row>
    <row r="1314" spans="23:30" x14ac:dyDescent="0.2">
      <c r="W1314" s="144"/>
      <c r="X1314" s="113" t="str">
        <f t="shared" si="49"/>
        <v>1w</v>
      </c>
      <c r="Y1314" s="106">
        <f>_xll.qlCalendarAdvance(Calendar,Y1313,X1314,"f",FALSE)</f>
        <v>48408</v>
      </c>
      <c r="Z1314" s="108">
        <f>_xll.qlCalendarAdvance(Calendar,Y1314,0&amp;"D")</f>
        <v>48408</v>
      </c>
      <c r="AA1314" s="109">
        <v>1.5746087120982466E-2</v>
      </c>
      <c r="AB1314" s="143">
        <f t="shared" si="50"/>
        <v>0</v>
      </c>
      <c r="AC1314" s="236" t="e">
        <v>#N/A</v>
      </c>
      <c r="AD1314" s="236">
        <v>1.5746087120982466E-2</v>
      </c>
    </row>
    <row r="1315" spans="23:30" x14ac:dyDescent="0.2">
      <c r="W1315" s="144"/>
      <c r="X1315" s="113" t="str">
        <f t="shared" si="49"/>
        <v>1w</v>
      </c>
      <c r="Y1315" s="106">
        <f>_xll.qlCalendarAdvance(Calendar,Y1314,X1315,"f",FALSE)</f>
        <v>48415</v>
      </c>
      <c r="Z1315" s="108">
        <f>_xll.qlCalendarAdvance(Calendar,Y1315,0&amp;"D")</f>
        <v>48415</v>
      </c>
      <c r="AA1315" s="109">
        <v>1.574030560107964E-2</v>
      </c>
      <c r="AB1315" s="143">
        <f t="shared" si="50"/>
        <v>0</v>
      </c>
      <c r="AC1315" s="236" t="e">
        <v>#N/A</v>
      </c>
      <c r="AD1315" s="236">
        <v>1.574030560107964E-2</v>
      </c>
    </row>
    <row r="1316" spans="23:30" x14ac:dyDescent="0.2">
      <c r="W1316" s="144"/>
      <c r="X1316" s="113" t="str">
        <f t="shared" si="49"/>
        <v>1w</v>
      </c>
      <c r="Y1316" s="106">
        <f>_xll.qlCalendarAdvance(Calendar,Y1315,X1316,"f",FALSE)</f>
        <v>48422</v>
      </c>
      <c r="Z1316" s="108">
        <f>_xll.qlCalendarAdvance(Calendar,Y1316,0&amp;"D")</f>
        <v>48422</v>
      </c>
      <c r="AA1316" s="109">
        <v>1.573449271538685E-2</v>
      </c>
      <c r="AB1316" s="143">
        <f t="shared" si="50"/>
        <v>0</v>
      </c>
      <c r="AC1316" s="236" t="e">
        <v>#N/A</v>
      </c>
      <c r="AD1316" s="236">
        <v>1.573449271538685E-2</v>
      </c>
    </row>
    <row r="1317" spans="23:30" x14ac:dyDescent="0.2">
      <c r="W1317" s="144"/>
      <c r="X1317" s="113" t="str">
        <f t="shared" si="49"/>
        <v>1w</v>
      </c>
      <c r="Y1317" s="106">
        <f>_xll.qlCalendarAdvance(Calendar,Y1316,X1317,"f",FALSE)</f>
        <v>48429</v>
      </c>
      <c r="Z1317" s="108">
        <f>_xll.qlCalendarAdvance(Calendar,Y1317,0&amp;"D")</f>
        <v>48429</v>
      </c>
      <c r="AA1317" s="109">
        <v>1.5728648463664285E-2</v>
      </c>
      <c r="AB1317" s="143">
        <f t="shared" si="50"/>
        <v>-7.9936057773011271E-14</v>
      </c>
      <c r="AC1317" s="236" t="e">
        <v>#N/A</v>
      </c>
      <c r="AD1317" s="236">
        <v>1.5728648463744221E-2</v>
      </c>
    </row>
    <row r="1318" spans="23:30" x14ac:dyDescent="0.2">
      <c r="W1318" s="144"/>
      <c r="X1318" s="113" t="str">
        <f t="shared" si="49"/>
        <v>1w</v>
      </c>
      <c r="Y1318" s="106">
        <f>_xll.qlCalendarAdvance(Calendar,Y1317,X1318,"f",FALSE)</f>
        <v>48436</v>
      </c>
      <c r="Z1318" s="108">
        <f>_xll.qlCalendarAdvance(Calendar,Y1318,0&amp;"D")</f>
        <v>48436</v>
      </c>
      <c r="AA1318" s="109">
        <v>1.572277284607182E-2</v>
      </c>
      <c r="AB1318" s="143">
        <f t="shared" si="50"/>
        <v>-7.9936057773011271E-14</v>
      </c>
      <c r="AC1318" s="236" t="e">
        <v>#N/A</v>
      </c>
      <c r="AD1318" s="236">
        <v>1.5722772846151756E-2</v>
      </c>
    </row>
    <row r="1319" spans="23:30" x14ac:dyDescent="0.2">
      <c r="W1319" s="144"/>
      <c r="X1319" s="113" t="str">
        <f t="shared" si="49"/>
        <v>1w</v>
      </c>
      <c r="Y1319" s="106">
        <f>_xll.qlCalendarAdvance(Calendar,Y1318,X1319,"f",FALSE)</f>
        <v>48443</v>
      </c>
      <c r="Z1319" s="108">
        <f>_xll.qlCalendarAdvance(Calendar,Y1319,0&amp;"D")</f>
        <v>48443</v>
      </c>
      <c r="AA1319" s="109">
        <v>1.5716865862609453E-2</v>
      </c>
      <c r="AB1319" s="143">
        <f t="shared" si="50"/>
        <v>0</v>
      </c>
      <c r="AC1319" s="236" t="e">
        <v>#N/A</v>
      </c>
      <c r="AD1319" s="236">
        <v>1.5716865862609453E-2</v>
      </c>
    </row>
    <row r="1320" spans="23:30" x14ac:dyDescent="0.2">
      <c r="W1320" s="144"/>
      <c r="X1320" s="113" t="str">
        <f t="shared" si="49"/>
        <v>1w</v>
      </c>
      <c r="Y1320" s="106">
        <f>_xll.qlCalendarAdvance(Calendar,Y1319,X1320,"f",FALSE)</f>
        <v>48450</v>
      </c>
      <c r="Z1320" s="108">
        <f>_xll.qlCalendarAdvance(Calendar,Y1320,0&amp;"D")</f>
        <v>48450</v>
      </c>
      <c r="AA1320" s="109">
        <v>1.5710927513277184E-2</v>
      </c>
      <c r="AB1320" s="143">
        <f t="shared" si="50"/>
        <v>0</v>
      </c>
      <c r="AC1320" s="236" t="e">
        <v>#N/A</v>
      </c>
      <c r="AD1320" s="236">
        <v>1.5710927513277184E-2</v>
      </c>
    </row>
    <row r="1321" spans="23:30" x14ac:dyDescent="0.2">
      <c r="W1321" s="144"/>
      <c r="X1321" s="113" t="str">
        <f t="shared" si="49"/>
        <v>1w</v>
      </c>
      <c r="Y1321" s="106">
        <f>_xll.qlCalendarAdvance(Calendar,Y1320,X1321,"f",FALSE)</f>
        <v>48457</v>
      </c>
      <c r="Z1321" s="108">
        <f>_xll.qlCalendarAdvance(Calendar,Y1321,0&amp;"D")</f>
        <v>48457</v>
      </c>
      <c r="AA1321" s="109">
        <v>1.5704957797995078E-2</v>
      </c>
      <c r="AB1321" s="143">
        <f t="shared" si="50"/>
        <v>0</v>
      </c>
      <c r="AC1321" s="236" t="e">
        <v>#N/A</v>
      </c>
      <c r="AD1321" s="236">
        <v>1.5704957797995078E-2</v>
      </c>
    </row>
    <row r="1322" spans="23:30" x14ac:dyDescent="0.2">
      <c r="W1322" s="144"/>
      <c r="X1322" s="113" t="str">
        <f t="shared" si="49"/>
        <v>1w</v>
      </c>
      <c r="Y1322" s="106">
        <f>_xll.qlCalendarAdvance(Calendar,Y1321,X1322,"f",FALSE)</f>
        <v>48464</v>
      </c>
      <c r="Z1322" s="108">
        <f>_xll.qlCalendarAdvance(Calendar,Y1322,0&amp;"D")</f>
        <v>48464</v>
      </c>
      <c r="AA1322" s="109">
        <v>1.5698956716763135E-2</v>
      </c>
      <c r="AB1322" s="143">
        <f t="shared" si="50"/>
        <v>0</v>
      </c>
      <c r="AC1322" s="236" t="e">
        <v>#N/A</v>
      </c>
      <c r="AD1322" s="236">
        <v>1.5698956716763135E-2</v>
      </c>
    </row>
    <row r="1323" spans="23:30" x14ac:dyDescent="0.2">
      <c r="W1323" s="144"/>
      <c r="X1323" s="113" t="str">
        <f t="shared" si="49"/>
        <v>1w</v>
      </c>
      <c r="Y1323" s="106">
        <f>_xll.qlCalendarAdvance(Calendar,Y1322,X1323,"f",FALSE)</f>
        <v>48471</v>
      </c>
      <c r="Z1323" s="108">
        <f>_xll.qlCalendarAdvance(Calendar,Y1323,0&amp;"D")</f>
        <v>48471</v>
      </c>
      <c r="AA1323" s="109">
        <v>1.569292426966129E-2</v>
      </c>
      <c r="AB1323" s="143">
        <f t="shared" si="50"/>
        <v>0</v>
      </c>
      <c r="AC1323" s="236" t="e">
        <v>#N/A</v>
      </c>
      <c r="AD1323" s="236">
        <v>1.569292426966129E-2</v>
      </c>
    </row>
    <row r="1324" spans="23:30" x14ac:dyDescent="0.2">
      <c r="W1324" s="144"/>
      <c r="X1324" s="113" t="str">
        <f t="shared" si="49"/>
        <v>1w</v>
      </c>
      <c r="Y1324" s="106">
        <f>_xll.qlCalendarAdvance(Calendar,Y1323,X1324,"f",FALSE)</f>
        <v>48478</v>
      </c>
      <c r="Z1324" s="108">
        <f>_xll.qlCalendarAdvance(Calendar,Y1324,0&amp;"D")</f>
        <v>48478</v>
      </c>
      <c r="AA1324" s="109">
        <v>1.568686045676948E-2</v>
      </c>
      <c r="AB1324" s="143">
        <f t="shared" si="50"/>
        <v>7.9936057773011271E-14</v>
      </c>
      <c r="AC1324" s="236" t="e">
        <v>#N/A</v>
      </c>
      <c r="AD1324" s="236">
        <v>1.5686860456689544E-2</v>
      </c>
    </row>
    <row r="1325" spans="23:30" x14ac:dyDescent="0.2">
      <c r="W1325" s="144"/>
      <c r="X1325" s="113" t="str">
        <f t="shared" si="49"/>
        <v>1w</v>
      </c>
      <c r="Y1325" s="106">
        <f>_xll.qlCalendarAdvance(Calendar,Y1324,X1325,"f",FALSE)</f>
        <v>48485</v>
      </c>
      <c r="Z1325" s="108">
        <f>_xll.qlCalendarAdvance(Calendar,Y1325,0&amp;"D")</f>
        <v>48485</v>
      </c>
      <c r="AA1325" s="109">
        <v>1.5680765277767961E-2</v>
      </c>
      <c r="AB1325" s="143">
        <f t="shared" si="50"/>
        <v>0</v>
      </c>
      <c r="AC1325" s="236" t="e">
        <v>#N/A</v>
      </c>
      <c r="AD1325" s="236">
        <v>1.5680765277767961E-2</v>
      </c>
    </row>
    <row r="1326" spans="23:30" x14ac:dyDescent="0.2">
      <c r="W1326" s="144"/>
      <c r="X1326" s="113" t="str">
        <f t="shared" si="49"/>
        <v>1w</v>
      </c>
      <c r="Y1326" s="106">
        <f>_xll.qlCalendarAdvance(Calendar,Y1325,X1326,"f",FALSE)</f>
        <v>48492</v>
      </c>
      <c r="Z1326" s="108">
        <f>_xll.qlCalendarAdvance(Calendar,Y1326,0&amp;"D")</f>
        <v>48492</v>
      </c>
      <c r="AA1326" s="109">
        <v>1.5674638733056412E-2</v>
      </c>
      <c r="AB1326" s="143">
        <f t="shared" si="50"/>
        <v>0</v>
      </c>
      <c r="AC1326" s="236" t="e">
        <v>#N/A</v>
      </c>
      <c r="AD1326" s="236">
        <v>1.5674638733056412E-2</v>
      </c>
    </row>
    <row r="1327" spans="23:30" x14ac:dyDescent="0.2">
      <c r="W1327" s="144"/>
      <c r="X1327" s="113" t="str">
        <f t="shared" si="49"/>
        <v>1w</v>
      </c>
      <c r="Y1327" s="106">
        <f>_xll.qlCalendarAdvance(Calendar,Y1326,X1327,"f",FALSE)</f>
        <v>48499</v>
      </c>
      <c r="Z1327" s="108">
        <f>_xll.qlCalendarAdvance(Calendar,Y1327,0&amp;"D")</f>
        <v>48499</v>
      </c>
      <c r="AA1327" s="109">
        <v>1.566848082231509E-2</v>
      </c>
      <c r="AB1327" s="143">
        <f t="shared" si="50"/>
        <v>0</v>
      </c>
      <c r="AC1327" s="236" t="e">
        <v>#N/A</v>
      </c>
      <c r="AD1327" s="236">
        <v>1.566848082231509E-2</v>
      </c>
    </row>
    <row r="1328" spans="23:30" x14ac:dyDescent="0.2">
      <c r="W1328" s="144"/>
      <c r="X1328" s="113" t="str">
        <f t="shared" si="49"/>
        <v>1w</v>
      </c>
      <c r="Y1328" s="106">
        <f>_xll.qlCalendarAdvance(Calendar,Y1327,X1328,"f",FALSE)</f>
        <v>48506</v>
      </c>
      <c r="Z1328" s="108">
        <f>_xll.qlCalendarAdvance(Calendar,Y1328,0&amp;"D")</f>
        <v>48506</v>
      </c>
      <c r="AA1328" s="109">
        <v>1.5662291545783802E-2</v>
      </c>
      <c r="AB1328" s="143">
        <f t="shared" si="50"/>
        <v>7.9936057773011271E-14</v>
      </c>
      <c r="AC1328" s="236" t="e">
        <v>#N/A</v>
      </c>
      <c r="AD1328" s="236">
        <v>1.5662291545703866E-2</v>
      </c>
    </row>
    <row r="1329" spans="23:30" x14ac:dyDescent="0.2">
      <c r="W1329" s="144"/>
      <c r="X1329" s="113" t="str">
        <f t="shared" si="49"/>
        <v>1w</v>
      </c>
      <c r="Y1329" s="106">
        <f>_xll.qlCalendarAdvance(Calendar,Y1328,X1329,"f",FALSE)</f>
        <v>48513</v>
      </c>
      <c r="Z1329" s="108">
        <f>_xll.qlCalendarAdvance(Calendar,Y1329,0&amp;"D")</f>
        <v>48513</v>
      </c>
      <c r="AA1329" s="109">
        <v>1.5656070903302677E-2</v>
      </c>
      <c r="AB1329" s="143">
        <f t="shared" si="50"/>
        <v>0</v>
      </c>
      <c r="AC1329" s="236" t="e">
        <v>#N/A</v>
      </c>
      <c r="AD1329" s="236">
        <v>1.5656070903302677E-2</v>
      </c>
    </row>
    <row r="1330" spans="23:30" x14ac:dyDescent="0.2">
      <c r="W1330" s="144"/>
      <c r="X1330" s="113" t="str">
        <f t="shared" si="49"/>
        <v>1w</v>
      </c>
      <c r="Y1330" s="106">
        <f>_xll.qlCalendarAdvance(Calendar,Y1329,X1330,"f",FALSE)</f>
        <v>48520</v>
      </c>
      <c r="Z1330" s="108">
        <f>_xll.qlCalendarAdvance(Calendar,Y1330,0&amp;"D")</f>
        <v>48520</v>
      </c>
      <c r="AA1330" s="109">
        <v>1.5649818894871714E-2</v>
      </c>
      <c r="AB1330" s="143">
        <f t="shared" si="50"/>
        <v>0</v>
      </c>
      <c r="AC1330" s="236" t="e">
        <v>#N/A</v>
      </c>
      <c r="AD1330" s="236">
        <v>1.5649818894871714E-2</v>
      </c>
    </row>
    <row r="1331" spans="23:30" x14ac:dyDescent="0.2">
      <c r="W1331" s="144"/>
      <c r="X1331" s="113" t="str">
        <f t="shared" si="49"/>
        <v>1w</v>
      </c>
      <c r="Y1331" s="106">
        <f>_xll.qlCalendarAdvance(Calendar,Y1330,X1331,"f",FALSE)</f>
        <v>48527</v>
      </c>
      <c r="Z1331" s="108">
        <f>_xll.qlCalendarAdvance(Calendar,Y1331,0&amp;"D")</f>
        <v>48527</v>
      </c>
      <c r="AA1331" s="109">
        <v>1.5643535520650786E-2</v>
      </c>
      <c r="AB1331" s="143">
        <f t="shared" si="50"/>
        <v>0</v>
      </c>
      <c r="AC1331" s="236" t="e">
        <v>#N/A</v>
      </c>
      <c r="AD1331" s="236">
        <v>1.5643535520650786E-2</v>
      </c>
    </row>
    <row r="1332" spans="23:30" x14ac:dyDescent="0.2">
      <c r="W1332" s="144"/>
      <c r="X1332" s="113" t="str">
        <f t="shared" si="49"/>
        <v>1w</v>
      </c>
      <c r="Y1332" s="106">
        <f>_xll.qlCalendarAdvance(Calendar,Y1331,X1332,"f",FALSE)</f>
        <v>48534</v>
      </c>
      <c r="Z1332" s="108">
        <f>_xll.qlCalendarAdvance(Calendar,Y1332,0&amp;"D")</f>
        <v>48534</v>
      </c>
      <c r="AA1332" s="109">
        <v>1.5637220780480021E-2</v>
      </c>
      <c r="AB1332" s="143">
        <f t="shared" si="50"/>
        <v>0</v>
      </c>
      <c r="AC1332" s="236" t="e">
        <v>#N/A</v>
      </c>
      <c r="AD1332" s="236">
        <v>1.5637220780480021E-2</v>
      </c>
    </row>
    <row r="1333" spans="23:30" x14ac:dyDescent="0.2">
      <c r="W1333" s="144"/>
      <c r="X1333" s="113" t="str">
        <f t="shared" si="49"/>
        <v>1w</v>
      </c>
      <c r="Y1333" s="106">
        <f>_xll.qlCalendarAdvance(Calendar,Y1332,X1333,"f",FALSE)</f>
        <v>48541</v>
      </c>
      <c r="Z1333" s="108">
        <f>_xll.qlCalendarAdvance(Calendar,Y1333,0&amp;"D")</f>
        <v>48541</v>
      </c>
      <c r="AA1333" s="109">
        <v>1.5630874674359418E-2</v>
      </c>
      <c r="AB1333" s="143">
        <f t="shared" si="50"/>
        <v>0</v>
      </c>
      <c r="AC1333" s="236" t="e">
        <v>#N/A</v>
      </c>
      <c r="AD1333" s="236">
        <v>1.5630874674359418E-2</v>
      </c>
    </row>
    <row r="1334" spans="23:30" x14ac:dyDescent="0.2">
      <c r="W1334" s="144"/>
      <c r="X1334" s="113" t="str">
        <f t="shared" si="49"/>
        <v>1w</v>
      </c>
      <c r="Y1334" s="106">
        <f>_xll.qlCalendarAdvance(Calendar,Y1333,X1334,"f",FALSE)</f>
        <v>48548</v>
      </c>
      <c r="Z1334" s="108">
        <f>_xll.qlCalendarAdvance(Calendar,Y1334,0&amp;"D")</f>
        <v>48548</v>
      </c>
      <c r="AA1334" s="109">
        <v>1.5624497202528786E-2</v>
      </c>
      <c r="AB1334" s="143">
        <f t="shared" si="50"/>
        <v>-7.9936057773011271E-14</v>
      </c>
      <c r="AC1334" s="236" t="e">
        <v>#N/A</v>
      </c>
      <c r="AD1334" s="236">
        <v>1.5624497202608723E-2</v>
      </c>
    </row>
    <row r="1335" spans="23:30" x14ac:dyDescent="0.2">
      <c r="W1335" s="144"/>
      <c r="X1335" s="113" t="str">
        <f t="shared" si="49"/>
        <v>1w</v>
      </c>
      <c r="Y1335" s="106">
        <f>_xll.qlCalendarAdvance(Calendar,Y1334,X1335,"f",FALSE)</f>
        <v>48555</v>
      </c>
      <c r="Z1335" s="108">
        <f>_xll.qlCalendarAdvance(Calendar,Y1335,0&amp;"D")</f>
        <v>48555</v>
      </c>
      <c r="AA1335" s="109">
        <v>1.5618088364748317E-2</v>
      </c>
      <c r="AB1335" s="143">
        <f t="shared" si="50"/>
        <v>0</v>
      </c>
      <c r="AC1335" s="236" t="e">
        <v>#N/A</v>
      </c>
      <c r="AD1335" s="236">
        <v>1.5618088364748317E-2</v>
      </c>
    </row>
    <row r="1336" spans="23:30" x14ac:dyDescent="0.2">
      <c r="W1336" s="144"/>
      <c r="X1336" s="113" t="str">
        <f t="shared" si="49"/>
        <v>1w</v>
      </c>
      <c r="Y1336" s="106">
        <f>_xll.qlCalendarAdvance(Calendar,Y1335,X1336,"f",FALSE)</f>
        <v>48562</v>
      </c>
      <c r="Z1336" s="108">
        <f>_xll.qlCalendarAdvance(Calendar,Y1336,0&amp;"D")</f>
        <v>48562</v>
      </c>
      <c r="AA1336" s="109">
        <v>1.5611648161097946E-2</v>
      </c>
      <c r="AB1336" s="143">
        <f t="shared" si="50"/>
        <v>0</v>
      </c>
      <c r="AC1336" s="236" t="e">
        <v>#N/A</v>
      </c>
      <c r="AD1336" s="236">
        <v>1.5611648161097946E-2</v>
      </c>
    </row>
    <row r="1337" spans="23:30" x14ac:dyDescent="0.2">
      <c r="W1337" s="144"/>
      <c r="X1337" s="113" t="str">
        <f t="shared" si="49"/>
        <v>1w</v>
      </c>
      <c r="Y1337" s="106">
        <f>_xll.qlCalendarAdvance(Calendar,Y1336,X1337,"f",FALSE)</f>
        <v>48569</v>
      </c>
      <c r="Z1337" s="108">
        <f>_xll.qlCalendarAdvance(Calendar,Y1337,0&amp;"D")</f>
        <v>48569</v>
      </c>
      <c r="AA1337" s="109">
        <v>1.5605176591577674E-2</v>
      </c>
      <c r="AB1337" s="143">
        <f t="shared" si="50"/>
        <v>0</v>
      </c>
      <c r="AC1337" s="236" t="e">
        <v>#N/A</v>
      </c>
      <c r="AD1337" s="236">
        <v>1.5605176591577674E-2</v>
      </c>
    </row>
    <row r="1338" spans="23:30" x14ac:dyDescent="0.2">
      <c r="W1338" s="144"/>
      <c r="X1338" s="113" t="str">
        <f t="shared" si="49"/>
        <v>1w</v>
      </c>
      <c r="Y1338" s="106">
        <f>_xll.qlCalendarAdvance(Calendar,Y1337,X1338,"f",FALSE)</f>
        <v>48576</v>
      </c>
      <c r="Z1338" s="108">
        <f>_xll.qlCalendarAdvance(Calendar,Y1338,0&amp;"D")</f>
        <v>48576</v>
      </c>
      <c r="AA1338" s="109">
        <v>1.5598673656107565E-2</v>
      </c>
      <c r="AB1338" s="143">
        <f t="shared" si="50"/>
        <v>0</v>
      </c>
      <c r="AC1338" s="236" t="e">
        <v>#N/A</v>
      </c>
      <c r="AD1338" s="236">
        <v>1.5598673656107565E-2</v>
      </c>
    </row>
    <row r="1339" spans="23:30" x14ac:dyDescent="0.2">
      <c r="W1339" s="144"/>
      <c r="X1339" s="113" t="str">
        <f t="shared" si="49"/>
        <v>1w</v>
      </c>
      <c r="Y1339" s="106">
        <f>_xll.qlCalendarAdvance(Calendar,Y1338,X1339,"f",FALSE)</f>
        <v>48583</v>
      </c>
      <c r="Z1339" s="108">
        <f>_xll.qlCalendarAdvance(Calendar,Y1339,0&amp;"D")</f>
        <v>48583</v>
      </c>
      <c r="AA1339" s="109">
        <v>1.5592139354927426E-2</v>
      </c>
      <c r="AB1339" s="143">
        <f t="shared" si="50"/>
        <v>0</v>
      </c>
      <c r="AC1339" s="236" t="e">
        <v>#N/A</v>
      </c>
      <c r="AD1339" s="236">
        <v>1.5592139354927426E-2</v>
      </c>
    </row>
    <row r="1340" spans="23:30" x14ac:dyDescent="0.2">
      <c r="W1340" s="144"/>
      <c r="X1340" s="113" t="str">
        <f t="shared" si="49"/>
        <v>1w</v>
      </c>
      <c r="Y1340" s="106">
        <f>_xll.qlCalendarAdvance(Calendar,Y1339,X1340,"f",FALSE)</f>
        <v>48590</v>
      </c>
      <c r="Z1340" s="108">
        <f>_xll.qlCalendarAdvance(Calendar,Y1340,0&amp;"D")</f>
        <v>48590</v>
      </c>
      <c r="AA1340" s="109">
        <v>1.5585573687637577E-2</v>
      </c>
      <c r="AB1340" s="143">
        <f t="shared" si="50"/>
        <v>-7.9936057773011271E-14</v>
      </c>
      <c r="AC1340" s="236" t="e">
        <v>#N/A</v>
      </c>
      <c r="AD1340" s="236">
        <v>1.5585573687717513E-2</v>
      </c>
    </row>
    <row r="1341" spans="23:30" x14ac:dyDescent="0.2">
      <c r="W1341" s="144"/>
      <c r="X1341" s="113" t="str">
        <f t="shared" si="49"/>
        <v>1w</v>
      </c>
      <c r="Y1341" s="106">
        <f>_xll.qlCalendarAdvance(Calendar,Y1340,X1341,"f",FALSE)</f>
        <v>48597</v>
      </c>
      <c r="Z1341" s="108">
        <f>_xll.qlCalendarAdvance(Calendar,Y1341,0&amp;"D")</f>
        <v>48597</v>
      </c>
      <c r="AA1341" s="109">
        <v>1.5578976654717636E-2</v>
      </c>
      <c r="AB1341" s="143">
        <f t="shared" si="50"/>
        <v>7.9936057773011271E-14</v>
      </c>
      <c r="AC1341" s="236" t="e">
        <v>#N/A</v>
      </c>
      <c r="AD1341" s="236">
        <v>1.55789766546377E-2</v>
      </c>
    </row>
    <row r="1342" spans="23:30" x14ac:dyDescent="0.2">
      <c r="W1342" s="144"/>
      <c r="X1342" s="113" t="str">
        <f t="shared" si="49"/>
        <v>1w</v>
      </c>
      <c r="Y1342" s="106">
        <f>_xll.qlCalendarAdvance(Calendar,Y1341,X1342,"f",FALSE)</f>
        <v>48604</v>
      </c>
      <c r="Z1342" s="108">
        <f>_xll.qlCalendarAdvance(Calendar,Y1342,0&amp;"D")</f>
        <v>48604</v>
      </c>
      <c r="AA1342" s="109">
        <v>1.557234825576792E-2</v>
      </c>
      <c r="AB1342" s="143">
        <f t="shared" si="50"/>
        <v>0</v>
      </c>
      <c r="AC1342" s="236" t="e">
        <v>#N/A</v>
      </c>
      <c r="AD1342" s="236">
        <v>1.557234825576792E-2</v>
      </c>
    </row>
    <row r="1343" spans="23:30" x14ac:dyDescent="0.2">
      <c r="W1343" s="144"/>
      <c r="X1343" s="113" t="str">
        <f t="shared" si="49"/>
        <v>1w</v>
      </c>
      <c r="Y1343" s="106">
        <f>_xll.qlCalendarAdvance(Calendar,Y1342,X1343,"f",FALSE)</f>
        <v>48611</v>
      </c>
      <c r="Z1343" s="108">
        <f>_xll.qlCalendarAdvance(Calendar,Y1343,0&amp;"D")</f>
        <v>48611</v>
      </c>
      <c r="AA1343" s="109">
        <v>1.5565688490868368E-2</v>
      </c>
      <c r="AB1343" s="143">
        <f t="shared" si="50"/>
        <v>-7.9936057773011271E-14</v>
      </c>
      <c r="AC1343" s="236" t="e">
        <v>#N/A</v>
      </c>
      <c r="AD1343" s="236">
        <v>1.5565688490948304E-2</v>
      </c>
    </row>
    <row r="1344" spans="23:30" x14ac:dyDescent="0.2">
      <c r="W1344" s="144"/>
      <c r="X1344" s="113" t="str">
        <f t="shared" si="49"/>
        <v>1w</v>
      </c>
      <c r="Y1344" s="106">
        <f>_xll.qlCalendarAdvance(Calendar,Y1343,X1344,"f",FALSE)</f>
        <v>48618</v>
      </c>
      <c r="Z1344" s="108">
        <f>_xll.qlCalendarAdvance(Calendar,Y1344,0&amp;"D")</f>
        <v>48618</v>
      </c>
      <c r="AA1344" s="109">
        <v>1.5558997360418658E-2</v>
      </c>
      <c r="AB1344" s="143">
        <f t="shared" si="50"/>
        <v>7.9936057773011271E-14</v>
      </c>
      <c r="AC1344" s="236" t="e">
        <v>#N/A</v>
      </c>
      <c r="AD1344" s="236">
        <v>1.5558997360338722E-2</v>
      </c>
    </row>
    <row r="1345" spans="23:30" x14ac:dyDescent="0.2">
      <c r="W1345" s="144"/>
      <c r="X1345" s="113" t="str">
        <f t="shared" si="49"/>
        <v>1w</v>
      </c>
      <c r="Y1345" s="106">
        <f>_xll.qlCalendarAdvance(Calendar,Y1344,X1345,"f",FALSE)</f>
        <v>48625</v>
      </c>
      <c r="Z1345" s="108">
        <f>_xll.qlCalendarAdvance(Calendar,Y1345,0&amp;"D")</f>
        <v>48625</v>
      </c>
      <c r="AA1345" s="109">
        <v>1.5552274863859239E-2</v>
      </c>
      <c r="AB1345" s="143">
        <f t="shared" si="50"/>
        <v>7.9936057773011271E-14</v>
      </c>
      <c r="AC1345" s="236" t="e">
        <v>#N/A</v>
      </c>
      <c r="AD1345" s="236">
        <v>1.5552274863779303E-2</v>
      </c>
    </row>
    <row r="1346" spans="23:30" x14ac:dyDescent="0.2">
      <c r="W1346" s="144"/>
      <c r="X1346" s="113" t="str">
        <f t="shared" si="49"/>
        <v>1w</v>
      </c>
      <c r="Y1346" s="106">
        <f>_xll.qlCalendarAdvance(Calendar,Y1345,X1346,"f",FALSE)</f>
        <v>48632</v>
      </c>
      <c r="Z1346" s="108">
        <f>_xll.qlCalendarAdvance(Calendar,Y1346,0&amp;"D")</f>
        <v>48632</v>
      </c>
      <c r="AA1346" s="109">
        <v>1.5545521001429918E-2</v>
      </c>
      <c r="AB1346" s="143">
        <f t="shared" si="50"/>
        <v>0</v>
      </c>
      <c r="AC1346" s="236" t="e">
        <v>#N/A</v>
      </c>
      <c r="AD1346" s="236">
        <v>1.5545521001429918E-2</v>
      </c>
    </row>
    <row r="1347" spans="23:30" x14ac:dyDescent="0.2">
      <c r="W1347" s="144"/>
      <c r="X1347" s="113" t="str">
        <f t="shared" si="49"/>
        <v>1w</v>
      </c>
      <c r="Y1347" s="106">
        <f>_xll.qlCalendarAdvance(Calendar,Y1346,X1347,"f",FALSE)</f>
        <v>48639</v>
      </c>
      <c r="Z1347" s="108">
        <f>_xll.qlCalendarAdvance(Calendar,Y1347,0&amp;"D")</f>
        <v>48639</v>
      </c>
      <c r="AA1347" s="109">
        <v>1.5538735773210632E-2</v>
      </c>
      <c r="AB1347" s="143">
        <f t="shared" si="50"/>
        <v>0</v>
      </c>
      <c r="AC1347" s="236" t="e">
        <v>#N/A</v>
      </c>
      <c r="AD1347" s="236">
        <v>1.5538735773210632E-2</v>
      </c>
    </row>
    <row r="1348" spans="23:30" x14ac:dyDescent="0.2">
      <c r="W1348" s="144"/>
      <c r="X1348" s="113" t="str">
        <f t="shared" si="49"/>
        <v>1w</v>
      </c>
      <c r="Y1348" s="106">
        <f>_xll.qlCalendarAdvance(Calendar,Y1347,X1348,"f",FALSE)</f>
        <v>48646</v>
      </c>
      <c r="Z1348" s="108">
        <f>_xll.qlCalendarAdvance(Calendar,Y1348,0&amp;"D")</f>
        <v>48646</v>
      </c>
      <c r="AA1348" s="109">
        <v>1.5531919179121445E-2</v>
      </c>
      <c r="AB1348" s="143">
        <f t="shared" si="50"/>
        <v>0</v>
      </c>
      <c r="AC1348" s="236" t="e">
        <v>#N/A</v>
      </c>
      <c r="AD1348" s="236">
        <v>1.5531919179121445E-2</v>
      </c>
    </row>
    <row r="1349" spans="23:30" x14ac:dyDescent="0.2">
      <c r="W1349" s="144"/>
      <c r="X1349" s="113" t="str">
        <f t="shared" si="49"/>
        <v>1w</v>
      </c>
      <c r="Y1349" s="106">
        <f>_xll.qlCalendarAdvance(Calendar,Y1348,X1349,"f",FALSE)</f>
        <v>48653</v>
      </c>
      <c r="Z1349" s="108">
        <f>_xll.qlCalendarAdvance(Calendar,Y1349,0&amp;"D")</f>
        <v>48653</v>
      </c>
      <c r="AA1349" s="109">
        <v>1.5525071219242292E-2</v>
      </c>
      <c r="AB1349" s="143">
        <f t="shared" si="50"/>
        <v>7.9936057773011271E-14</v>
      </c>
      <c r="AC1349" s="236" t="e">
        <v>#N/A</v>
      </c>
      <c r="AD1349" s="236">
        <v>1.5525071219162356E-2</v>
      </c>
    </row>
    <row r="1350" spans="23:30" x14ac:dyDescent="0.2">
      <c r="W1350" s="144"/>
      <c r="X1350" s="113" t="str">
        <f t="shared" si="49"/>
        <v>1w</v>
      </c>
      <c r="Y1350" s="106">
        <f>_xll.qlCalendarAdvance(Calendar,Y1349,X1350,"f",FALSE)</f>
        <v>48660</v>
      </c>
      <c r="Z1350" s="108">
        <f>_xll.qlCalendarAdvance(Calendar,Y1350,0&amp;"D")</f>
        <v>48660</v>
      </c>
      <c r="AA1350" s="109">
        <v>1.5518191893333366E-2</v>
      </c>
      <c r="AB1350" s="143">
        <f t="shared" si="50"/>
        <v>0</v>
      </c>
      <c r="AC1350" s="236" t="e">
        <v>#N/A</v>
      </c>
      <c r="AD1350" s="236">
        <v>1.5518191893333366E-2</v>
      </c>
    </row>
    <row r="1351" spans="23:30" x14ac:dyDescent="0.2">
      <c r="W1351" s="144"/>
      <c r="X1351" s="113" t="str">
        <f t="shared" si="49"/>
        <v>1w</v>
      </c>
      <c r="Y1351" s="106">
        <f>_xll.qlCalendarAdvance(Calendar,Y1350,X1351,"f",FALSE)</f>
        <v>48667</v>
      </c>
      <c r="Z1351" s="108">
        <f>_xll.qlCalendarAdvance(Calendar,Y1351,0&amp;"D")</f>
        <v>48667</v>
      </c>
      <c r="AA1351" s="109">
        <v>1.5511281201714411E-2</v>
      </c>
      <c r="AB1351" s="143">
        <f t="shared" si="50"/>
        <v>0</v>
      </c>
      <c r="AC1351" s="236" t="e">
        <v>#N/A</v>
      </c>
      <c r="AD1351" s="236">
        <v>1.5511281201714411E-2</v>
      </c>
    </row>
    <row r="1352" spans="23:30" x14ac:dyDescent="0.2">
      <c r="W1352" s="144"/>
      <c r="X1352" s="113" t="str">
        <f t="shared" si="49"/>
        <v>1w</v>
      </c>
      <c r="Y1352" s="106">
        <f>_xll.qlCalendarAdvance(Calendar,Y1351,X1352,"f",FALSE)</f>
        <v>48674</v>
      </c>
      <c r="Z1352" s="108">
        <f>_xll.qlCalendarAdvance(Calendar,Y1352,0&amp;"D")</f>
        <v>48674</v>
      </c>
      <c r="AA1352" s="109">
        <v>1.5504339144225554E-2</v>
      </c>
      <c r="AB1352" s="143">
        <f t="shared" si="50"/>
        <v>-7.9936057773011271E-14</v>
      </c>
      <c r="AC1352" s="236" t="e">
        <v>#N/A</v>
      </c>
      <c r="AD1352" s="236">
        <v>1.550433914430549E-2</v>
      </c>
    </row>
    <row r="1353" spans="23:30" x14ac:dyDescent="0.2">
      <c r="W1353" s="144"/>
      <c r="X1353" s="113" t="str">
        <f t="shared" si="49"/>
        <v>1w</v>
      </c>
      <c r="Y1353" s="106">
        <f>_xll.qlCalendarAdvance(Calendar,Y1352,X1353,"f",FALSE)</f>
        <v>48681</v>
      </c>
      <c r="Z1353" s="108">
        <f>_xll.qlCalendarAdvance(Calendar,Y1353,0&amp;"D")</f>
        <v>48681</v>
      </c>
      <c r="AA1353" s="109">
        <v>1.5497365720866796E-2</v>
      </c>
      <c r="AB1353" s="143">
        <f t="shared" si="50"/>
        <v>0</v>
      </c>
      <c r="AC1353" s="236" t="e">
        <v>#N/A</v>
      </c>
      <c r="AD1353" s="236">
        <v>1.5497365720866796E-2</v>
      </c>
    </row>
    <row r="1354" spans="23:30" x14ac:dyDescent="0.2">
      <c r="W1354" s="144"/>
      <c r="X1354" s="113" t="str">
        <f t="shared" si="49"/>
        <v>1w</v>
      </c>
      <c r="Y1354" s="106">
        <f>_xll.qlCalendarAdvance(Calendar,Y1353,X1354,"f",FALSE)</f>
        <v>48688</v>
      </c>
      <c r="Z1354" s="108">
        <f>_xll.qlCalendarAdvance(Calendar,Y1354,0&amp;"D")</f>
        <v>48688</v>
      </c>
      <c r="AA1354" s="109">
        <v>1.5490360931718072E-2</v>
      </c>
      <c r="AB1354" s="143">
        <f t="shared" si="50"/>
        <v>0</v>
      </c>
      <c r="AC1354" s="236" t="e">
        <v>#N/A</v>
      </c>
      <c r="AD1354" s="236">
        <v>1.5490360931718072E-2</v>
      </c>
    </row>
    <row r="1355" spans="23:30" x14ac:dyDescent="0.2">
      <c r="W1355" s="144"/>
      <c r="X1355" s="113" t="str">
        <f t="shared" si="49"/>
        <v>1w</v>
      </c>
      <c r="Y1355" s="106">
        <f>_xll.qlCalendarAdvance(Calendar,Y1354,X1355,"f",FALSE)</f>
        <v>48695</v>
      </c>
      <c r="Z1355" s="108">
        <f>_xll.qlCalendarAdvance(Calendar,Y1355,0&amp;"D")</f>
        <v>48695</v>
      </c>
      <c r="AA1355" s="109">
        <v>1.5483324776619511E-2</v>
      </c>
      <c r="AB1355" s="143">
        <f t="shared" si="50"/>
        <v>0</v>
      </c>
      <c r="AC1355" s="236" t="e">
        <v>#N/A</v>
      </c>
      <c r="AD1355" s="236">
        <v>1.5483324776619511E-2</v>
      </c>
    </row>
    <row r="1356" spans="23:30" x14ac:dyDescent="0.2">
      <c r="W1356" s="144"/>
      <c r="X1356" s="113" t="str">
        <f t="shared" si="49"/>
        <v>1w</v>
      </c>
      <c r="Y1356" s="106">
        <f>_xll.qlCalendarAdvance(Calendar,Y1355,X1356,"f",FALSE)</f>
        <v>48702</v>
      </c>
      <c r="Z1356" s="108">
        <f>_xll.qlCalendarAdvance(Calendar,Y1356,0&amp;"D")</f>
        <v>48702</v>
      </c>
      <c r="AA1356" s="109">
        <v>1.5476257255651049E-2</v>
      </c>
      <c r="AB1356" s="143">
        <f t="shared" si="50"/>
        <v>0</v>
      </c>
      <c r="AC1356" s="236" t="e">
        <v>#N/A</v>
      </c>
      <c r="AD1356" s="236">
        <v>1.5476257255651049E-2</v>
      </c>
    </row>
    <row r="1357" spans="23:30" x14ac:dyDescent="0.2">
      <c r="W1357" s="144"/>
      <c r="X1357" s="113" t="str">
        <f t="shared" ref="X1357:X1420" si="51">X1356</f>
        <v>1w</v>
      </c>
      <c r="Y1357" s="106">
        <f>_xll.qlCalendarAdvance(Calendar,Y1356,X1357,"f",FALSE)</f>
        <v>48709</v>
      </c>
      <c r="Z1357" s="108">
        <f>_xll.qlCalendarAdvance(Calendar,Y1357,0&amp;"D")</f>
        <v>48709</v>
      </c>
      <c r="AA1357" s="109">
        <v>1.5469158368892622E-2</v>
      </c>
      <c r="AB1357" s="143">
        <f t="shared" si="50"/>
        <v>-7.9936057773011271E-14</v>
      </c>
      <c r="AC1357" s="236" t="e">
        <v>#N/A</v>
      </c>
      <c r="AD1357" s="236">
        <v>1.5469158368972558E-2</v>
      </c>
    </row>
    <row r="1358" spans="23:30" x14ac:dyDescent="0.2">
      <c r="W1358" s="144"/>
      <c r="X1358" s="113" t="str">
        <f t="shared" si="51"/>
        <v>1w</v>
      </c>
      <c r="Y1358" s="106">
        <f>_xll.qlCalendarAdvance(Calendar,Y1357,X1358,"f",FALSE)</f>
        <v>48716</v>
      </c>
      <c r="Z1358" s="108">
        <f>_xll.qlCalendarAdvance(Calendar,Y1358,0&amp;"D")</f>
        <v>48716</v>
      </c>
      <c r="AA1358" s="109">
        <v>1.5462028116344229E-2</v>
      </c>
      <c r="AB1358" s="143">
        <f t="shared" si="50"/>
        <v>0</v>
      </c>
      <c r="AC1358" s="236" t="e">
        <v>#N/A</v>
      </c>
      <c r="AD1358" s="236">
        <v>1.5462028116344229E-2</v>
      </c>
    </row>
    <row r="1359" spans="23:30" x14ac:dyDescent="0.2">
      <c r="W1359" s="144"/>
      <c r="X1359" s="113" t="str">
        <f t="shared" si="51"/>
        <v>1w</v>
      </c>
      <c r="Y1359" s="106">
        <f>_xll.qlCalendarAdvance(Calendar,Y1358,X1359,"f",FALSE)</f>
        <v>48723</v>
      </c>
      <c r="Z1359" s="108">
        <f>_xll.qlCalendarAdvance(Calendar,Y1359,0&amp;"D")</f>
        <v>48723</v>
      </c>
      <c r="AA1359" s="109">
        <v>1.545486649800587E-2</v>
      </c>
      <c r="AB1359" s="143">
        <f t="shared" si="50"/>
        <v>7.9936057773011271E-14</v>
      </c>
      <c r="AC1359" s="236" t="e">
        <v>#N/A</v>
      </c>
      <c r="AD1359" s="236">
        <v>1.5454866497925934E-2</v>
      </c>
    </row>
    <row r="1360" spans="23:30" x14ac:dyDescent="0.2">
      <c r="W1360" s="144"/>
      <c r="X1360" s="113" t="str">
        <f t="shared" si="51"/>
        <v>1w</v>
      </c>
      <c r="Y1360" s="106">
        <f>_xll.qlCalendarAdvance(Calendar,Y1359,X1360,"f",FALSE)</f>
        <v>48730</v>
      </c>
      <c r="Z1360" s="108">
        <f>_xll.qlCalendarAdvance(Calendar,Y1360,0&amp;"D")</f>
        <v>48730</v>
      </c>
      <c r="AA1360" s="109">
        <v>1.5447673513797611E-2</v>
      </c>
      <c r="AB1360" s="143">
        <f t="shared" si="50"/>
        <v>7.9936057773011271E-14</v>
      </c>
      <c r="AC1360" s="236" t="e">
        <v>#N/A</v>
      </c>
      <c r="AD1360" s="236">
        <v>1.5447673513717675E-2</v>
      </c>
    </row>
    <row r="1361" spans="23:30" x14ac:dyDescent="0.2">
      <c r="W1361" s="144"/>
      <c r="X1361" s="113" t="str">
        <f t="shared" si="51"/>
        <v>1w</v>
      </c>
      <c r="Y1361" s="106">
        <f>_xll.qlCalendarAdvance(Calendar,Y1360,X1361,"f",FALSE)</f>
        <v>48737</v>
      </c>
      <c r="Z1361" s="108">
        <f>_xll.qlCalendarAdvance(Calendar,Y1361,0&amp;"D")</f>
        <v>48737</v>
      </c>
      <c r="AA1361" s="109">
        <v>1.5440449163639514E-2</v>
      </c>
      <c r="AB1361" s="143">
        <f t="shared" si="50"/>
        <v>0</v>
      </c>
      <c r="AC1361" s="236" t="e">
        <v>#N/A</v>
      </c>
      <c r="AD1361" s="236">
        <v>1.5440449163639514E-2</v>
      </c>
    </row>
    <row r="1362" spans="23:30" x14ac:dyDescent="0.2">
      <c r="W1362" s="144"/>
      <c r="X1362" s="113" t="str">
        <f t="shared" si="51"/>
        <v>1w</v>
      </c>
      <c r="Y1362" s="106">
        <f>_xll.qlCalendarAdvance(Calendar,Y1361,X1362,"f",FALSE)</f>
        <v>48744</v>
      </c>
      <c r="Z1362" s="108">
        <f>_xll.qlCalendarAdvance(Calendar,Y1362,0&amp;"D")</f>
        <v>48744</v>
      </c>
      <c r="AA1362" s="109">
        <v>1.5433193447771387E-2</v>
      </c>
      <c r="AB1362" s="143">
        <f t="shared" si="50"/>
        <v>0</v>
      </c>
      <c r="AC1362" s="236" t="e">
        <v>#N/A</v>
      </c>
      <c r="AD1362" s="236">
        <v>1.5433193447771387E-2</v>
      </c>
    </row>
    <row r="1363" spans="23:30" x14ac:dyDescent="0.2">
      <c r="W1363" s="144"/>
      <c r="X1363" s="113" t="str">
        <f t="shared" si="51"/>
        <v>1w</v>
      </c>
      <c r="Y1363" s="106">
        <f>_xll.qlCalendarAdvance(Calendar,Y1362,X1363,"f",FALSE)</f>
        <v>48751</v>
      </c>
      <c r="Z1363" s="108">
        <f>_xll.qlCalendarAdvance(Calendar,Y1363,0&amp;"D")</f>
        <v>48751</v>
      </c>
      <c r="AA1363" s="109">
        <v>1.5425906365953423E-2</v>
      </c>
      <c r="AB1363" s="143">
        <f t="shared" si="50"/>
        <v>0</v>
      </c>
      <c r="AC1363" s="236" t="e">
        <v>#N/A</v>
      </c>
      <c r="AD1363" s="236">
        <v>1.5425906365953423E-2</v>
      </c>
    </row>
    <row r="1364" spans="23:30" x14ac:dyDescent="0.2">
      <c r="W1364" s="144"/>
      <c r="X1364" s="113" t="str">
        <f t="shared" si="51"/>
        <v>1w</v>
      </c>
      <c r="Y1364" s="106">
        <f>_xll.qlCalendarAdvance(Calendar,Y1363,X1364,"f",FALSE)</f>
        <v>48758</v>
      </c>
      <c r="Z1364" s="108">
        <f>_xll.qlCalendarAdvance(Calendar,Y1364,0&amp;"D")</f>
        <v>48758</v>
      </c>
      <c r="AA1364" s="109">
        <v>1.541858791842543E-2</v>
      </c>
      <c r="AB1364" s="143">
        <f t="shared" si="50"/>
        <v>0</v>
      </c>
      <c r="AC1364" s="236" t="e">
        <v>#N/A</v>
      </c>
      <c r="AD1364" s="236">
        <v>1.541858791842543E-2</v>
      </c>
    </row>
    <row r="1365" spans="23:30" x14ac:dyDescent="0.2">
      <c r="W1365" s="144"/>
      <c r="X1365" s="113" t="str">
        <f t="shared" si="51"/>
        <v>1w</v>
      </c>
      <c r="Y1365" s="106">
        <f>_xll.qlCalendarAdvance(Calendar,Y1364,X1365,"f",FALSE)</f>
        <v>48765</v>
      </c>
      <c r="Z1365" s="108">
        <f>_xll.qlCalendarAdvance(Calendar,Y1365,0&amp;"D")</f>
        <v>48765</v>
      </c>
      <c r="AA1365" s="109">
        <v>1.54112381049476E-2</v>
      </c>
      <c r="AB1365" s="143">
        <f t="shared" ref="AB1365:AB1428" si="52">AA1365-AD1365</f>
        <v>0</v>
      </c>
      <c r="AC1365" s="236" t="e">
        <v>#N/A</v>
      </c>
      <c r="AD1365" s="236">
        <v>1.54112381049476E-2</v>
      </c>
    </row>
    <row r="1366" spans="23:30" x14ac:dyDescent="0.2">
      <c r="W1366" s="144"/>
      <c r="X1366" s="113" t="str">
        <f t="shared" si="51"/>
        <v>1w</v>
      </c>
      <c r="Y1366" s="106">
        <f>_xll.qlCalendarAdvance(Calendar,Y1365,X1366,"f",FALSE)</f>
        <v>48772</v>
      </c>
      <c r="Z1366" s="108">
        <f>_xll.qlCalendarAdvance(Calendar,Y1366,0&amp;"D")</f>
        <v>48772</v>
      </c>
      <c r="AA1366" s="109">
        <v>1.540385692575974E-2</v>
      </c>
      <c r="AB1366" s="143">
        <f t="shared" si="52"/>
        <v>0</v>
      </c>
      <c r="AC1366" s="236" t="e">
        <v>#N/A</v>
      </c>
      <c r="AD1366" s="236">
        <v>1.540385692575974E-2</v>
      </c>
    </row>
    <row r="1367" spans="23:30" x14ac:dyDescent="0.2">
      <c r="W1367" s="144"/>
      <c r="X1367" s="113" t="str">
        <f t="shared" si="51"/>
        <v>1w</v>
      </c>
      <c r="Y1367" s="106">
        <f>_xll.qlCalendarAdvance(Calendar,Y1366,X1367,"f",FALSE)</f>
        <v>48779</v>
      </c>
      <c r="Z1367" s="108">
        <f>_xll.qlCalendarAdvance(Calendar,Y1367,0&amp;"D")</f>
        <v>48779</v>
      </c>
      <c r="AA1367" s="109">
        <v>1.5396444380701979E-2</v>
      </c>
      <c r="AB1367" s="143">
        <f t="shared" si="52"/>
        <v>0</v>
      </c>
      <c r="AC1367" s="236" t="e">
        <v>#N/A</v>
      </c>
      <c r="AD1367" s="236">
        <v>1.5396444380701979E-2</v>
      </c>
    </row>
    <row r="1368" spans="23:30" x14ac:dyDescent="0.2">
      <c r="W1368" s="144"/>
      <c r="X1368" s="113" t="str">
        <f t="shared" si="51"/>
        <v>1w</v>
      </c>
      <c r="Y1368" s="106">
        <f>_xll.qlCalendarAdvance(Calendar,Y1367,X1368,"f",FALSE)</f>
        <v>48786</v>
      </c>
      <c r="Z1368" s="108">
        <f>_xll.qlCalendarAdvance(Calendar,Y1368,0&amp;"D")</f>
        <v>48786</v>
      </c>
      <c r="AA1368" s="109">
        <v>1.5389000469774317E-2</v>
      </c>
      <c r="AB1368" s="143">
        <f t="shared" si="52"/>
        <v>0</v>
      </c>
      <c r="AC1368" s="236" t="e">
        <v>#N/A</v>
      </c>
      <c r="AD1368" s="236">
        <v>1.5389000469774317E-2</v>
      </c>
    </row>
    <row r="1369" spans="23:30" x14ac:dyDescent="0.2">
      <c r="W1369" s="144"/>
      <c r="X1369" s="113" t="str">
        <f t="shared" si="51"/>
        <v>1w</v>
      </c>
      <c r="Y1369" s="106">
        <f>_xll.qlCalendarAdvance(Calendar,Y1368,X1369,"f",FALSE)</f>
        <v>48793</v>
      </c>
      <c r="Z1369" s="108">
        <f>_xll.qlCalendarAdvance(Calendar,Y1369,0&amp;"D")</f>
        <v>48793</v>
      </c>
      <c r="AA1369" s="109">
        <v>1.5381525193056689E-2</v>
      </c>
      <c r="AB1369" s="143">
        <f t="shared" si="52"/>
        <v>0</v>
      </c>
      <c r="AC1369" s="236" t="e">
        <v>#N/A</v>
      </c>
      <c r="AD1369" s="236">
        <v>1.5381525193056689E-2</v>
      </c>
    </row>
    <row r="1370" spans="23:30" x14ac:dyDescent="0.2">
      <c r="W1370" s="144"/>
      <c r="X1370" s="113" t="str">
        <f t="shared" si="51"/>
        <v>1w</v>
      </c>
      <c r="Y1370" s="106">
        <f>_xll.qlCalendarAdvance(Calendar,Y1369,X1370,"f",FALSE)</f>
        <v>48800</v>
      </c>
      <c r="Z1370" s="108">
        <f>_xll.qlCalendarAdvance(Calendar,Y1370,0&amp;"D")</f>
        <v>48800</v>
      </c>
      <c r="AA1370" s="109">
        <v>1.5374018550549096E-2</v>
      </c>
      <c r="AB1370" s="143">
        <f t="shared" si="52"/>
        <v>0</v>
      </c>
      <c r="AC1370" s="236" t="e">
        <v>#N/A</v>
      </c>
      <c r="AD1370" s="236">
        <v>1.5374018550549096E-2</v>
      </c>
    </row>
    <row r="1371" spans="23:30" x14ac:dyDescent="0.2">
      <c r="W1371" s="144"/>
      <c r="X1371" s="113" t="str">
        <f t="shared" si="51"/>
        <v>1w</v>
      </c>
      <c r="Y1371" s="106">
        <f>_xll.qlCalendarAdvance(Calendar,Y1370,X1371,"f",FALSE)</f>
        <v>48807</v>
      </c>
      <c r="Z1371" s="108">
        <f>_xll.qlCalendarAdvance(Calendar,Y1371,0&amp;"D")</f>
        <v>48807</v>
      </c>
      <c r="AA1371" s="109">
        <v>1.5366480542251537E-2</v>
      </c>
      <c r="AB1371" s="143">
        <f t="shared" si="52"/>
        <v>7.9936057773011271E-14</v>
      </c>
      <c r="AC1371" s="236" t="e">
        <v>#N/A</v>
      </c>
      <c r="AD1371" s="236">
        <v>1.5366480542171601E-2</v>
      </c>
    </row>
    <row r="1372" spans="23:30" x14ac:dyDescent="0.2">
      <c r="W1372" s="144"/>
      <c r="X1372" s="113" t="str">
        <f t="shared" si="51"/>
        <v>1w</v>
      </c>
      <c r="Y1372" s="106">
        <f>_xll.qlCalendarAdvance(Calendar,Y1371,X1372,"f",FALSE)</f>
        <v>48814</v>
      </c>
      <c r="Z1372" s="108">
        <f>_xll.qlCalendarAdvance(Calendar,Y1372,0&amp;"D")</f>
        <v>48814</v>
      </c>
      <c r="AA1372" s="109">
        <v>1.5358911168164013E-2</v>
      </c>
      <c r="AB1372" s="143">
        <f t="shared" si="52"/>
        <v>7.9936057773011271E-14</v>
      </c>
      <c r="AC1372" s="236" t="e">
        <v>#N/A</v>
      </c>
      <c r="AD1372" s="236">
        <v>1.5358911168084077E-2</v>
      </c>
    </row>
    <row r="1373" spans="23:30" x14ac:dyDescent="0.2">
      <c r="W1373" s="144"/>
      <c r="X1373" s="113" t="str">
        <f t="shared" si="51"/>
        <v>1w</v>
      </c>
      <c r="Y1373" s="106">
        <f>_xll.qlCalendarAdvance(Calendar,Y1372,X1373,"f",FALSE)</f>
        <v>48821</v>
      </c>
      <c r="Z1373" s="108">
        <f>_xll.qlCalendarAdvance(Calendar,Y1373,0&amp;"D")</f>
        <v>48821</v>
      </c>
      <c r="AA1373" s="109">
        <v>1.5351310428126652E-2</v>
      </c>
      <c r="AB1373" s="143">
        <f t="shared" si="52"/>
        <v>7.9936057773011271E-14</v>
      </c>
      <c r="AC1373" s="236" t="e">
        <v>#N/A</v>
      </c>
      <c r="AD1373" s="236">
        <v>1.5351310428046716E-2</v>
      </c>
    </row>
    <row r="1374" spans="23:30" x14ac:dyDescent="0.2">
      <c r="W1374" s="144"/>
      <c r="X1374" s="113" t="str">
        <f t="shared" si="51"/>
        <v>1w</v>
      </c>
      <c r="Y1374" s="106">
        <f>_xll.qlCalendarAdvance(Calendar,Y1373,X1374,"f",FALSE)</f>
        <v>48828</v>
      </c>
      <c r="Z1374" s="108">
        <f>_xll.qlCalendarAdvance(Calendar,Y1374,0&amp;"D")</f>
        <v>48828</v>
      </c>
      <c r="AA1374" s="109">
        <v>1.5343678322299326E-2</v>
      </c>
      <c r="AB1374" s="143">
        <f t="shared" si="52"/>
        <v>-7.9936057773011271E-14</v>
      </c>
      <c r="AC1374" s="236" t="e">
        <v>#N/A</v>
      </c>
      <c r="AD1374" s="236">
        <v>1.5343678322379262E-2</v>
      </c>
    </row>
    <row r="1375" spans="23:30" x14ac:dyDescent="0.2">
      <c r="W1375" s="144"/>
      <c r="X1375" s="113" t="str">
        <f t="shared" si="51"/>
        <v>1w</v>
      </c>
      <c r="Y1375" s="106">
        <f>_xll.qlCalendarAdvance(Calendar,Y1374,X1375,"f",FALSE)</f>
        <v>48835</v>
      </c>
      <c r="Z1375" s="108">
        <f>_xll.qlCalendarAdvance(Calendar,Y1375,0&amp;"D")</f>
        <v>48835</v>
      </c>
      <c r="AA1375" s="109">
        <v>1.533601485076197E-2</v>
      </c>
      <c r="AB1375" s="143">
        <f t="shared" si="52"/>
        <v>0</v>
      </c>
      <c r="AC1375" s="236" t="e">
        <v>#N/A</v>
      </c>
      <c r="AD1375" s="236">
        <v>1.533601485076197E-2</v>
      </c>
    </row>
    <row r="1376" spans="23:30" x14ac:dyDescent="0.2">
      <c r="W1376" s="144"/>
      <c r="X1376" s="113" t="str">
        <f t="shared" si="51"/>
        <v>1w</v>
      </c>
      <c r="Y1376" s="106">
        <f>_xll.qlCalendarAdvance(Calendar,Y1375,X1376,"f",FALSE)</f>
        <v>48842</v>
      </c>
      <c r="Z1376" s="108">
        <f>_xll.qlCalendarAdvance(Calendar,Y1376,0&amp;"D")</f>
        <v>48842</v>
      </c>
      <c r="AA1376" s="109">
        <v>1.5328320013274777E-2</v>
      </c>
      <c r="AB1376" s="143">
        <f t="shared" si="52"/>
        <v>-7.9936057773011271E-14</v>
      </c>
      <c r="AC1376" s="236" t="e">
        <v>#N/A</v>
      </c>
      <c r="AD1376" s="236">
        <v>1.5328320013354713E-2</v>
      </c>
    </row>
    <row r="1377" spans="23:30" x14ac:dyDescent="0.2">
      <c r="W1377" s="144"/>
      <c r="X1377" s="113" t="str">
        <f t="shared" si="51"/>
        <v>1w</v>
      </c>
      <c r="Y1377" s="106">
        <f>_xll.qlCalendarAdvance(Calendar,Y1376,X1377,"f",FALSE)</f>
        <v>48849</v>
      </c>
      <c r="Z1377" s="108">
        <f>_xll.qlCalendarAdvance(Calendar,Y1377,0&amp;"D")</f>
        <v>48849</v>
      </c>
      <c r="AA1377" s="109">
        <v>1.5320593810237426E-2</v>
      </c>
      <c r="AB1377" s="143">
        <f t="shared" si="52"/>
        <v>7.9936057773011271E-14</v>
      </c>
      <c r="AC1377" s="236" t="e">
        <v>#N/A</v>
      </c>
      <c r="AD1377" s="236">
        <v>1.532059381015749E-2</v>
      </c>
    </row>
    <row r="1378" spans="23:30" x14ac:dyDescent="0.2">
      <c r="W1378" s="144"/>
      <c r="X1378" s="113" t="str">
        <f t="shared" si="51"/>
        <v>1w</v>
      </c>
      <c r="Y1378" s="106">
        <f>_xll.qlCalendarAdvance(Calendar,Y1377,X1378,"f",FALSE)</f>
        <v>48856</v>
      </c>
      <c r="Z1378" s="108">
        <f>_xll.qlCalendarAdvance(Calendar,Y1378,0&amp;"D")</f>
        <v>48856</v>
      </c>
      <c r="AA1378" s="109">
        <v>1.5312836241170302E-2</v>
      </c>
      <c r="AB1378" s="143">
        <f t="shared" si="52"/>
        <v>0</v>
      </c>
      <c r="AC1378" s="236" t="e">
        <v>#N/A</v>
      </c>
      <c r="AD1378" s="236">
        <v>1.5312836241170302E-2</v>
      </c>
    </row>
    <row r="1379" spans="23:30" x14ac:dyDescent="0.2">
      <c r="W1379" s="144"/>
      <c r="X1379" s="113" t="str">
        <f t="shared" si="51"/>
        <v>1w</v>
      </c>
      <c r="Y1379" s="106">
        <f>_xll.qlCalendarAdvance(Calendar,Y1378,X1379,"f",FALSE)</f>
        <v>48863</v>
      </c>
      <c r="Z1379" s="108">
        <f>_xll.qlCalendarAdvance(Calendar,Y1379,0&amp;"D")</f>
        <v>48863</v>
      </c>
      <c r="AA1379" s="109">
        <v>1.5305047306313213E-2</v>
      </c>
      <c r="AB1379" s="143">
        <f t="shared" si="52"/>
        <v>0</v>
      </c>
      <c r="AC1379" s="236" t="e">
        <v>#N/A</v>
      </c>
      <c r="AD1379" s="236">
        <v>1.5305047306313213E-2</v>
      </c>
    </row>
    <row r="1380" spans="23:30" x14ac:dyDescent="0.2">
      <c r="W1380" s="144"/>
      <c r="X1380" s="113" t="str">
        <f t="shared" si="51"/>
        <v>1w</v>
      </c>
      <c r="Y1380" s="106">
        <f>_xll.qlCalendarAdvance(Calendar,Y1379,X1380,"f",FALSE)</f>
        <v>48870</v>
      </c>
      <c r="Z1380" s="108">
        <f>_xll.qlCalendarAdvance(Calendar,Y1380,0&amp;"D")</f>
        <v>48870</v>
      </c>
      <c r="AA1380" s="109">
        <v>1.5297227005826031E-2</v>
      </c>
      <c r="AB1380" s="143">
        <f t="shared" si="52"/>
        <v>0</v>
      </c>
      <c r="AC1380" s="236" t="e">
        <v>#N/A</v>
      </c>
      <c r="AD1380" s="236">
        <v>1.5297227005826031E-2</v>
      </c>
    </row>
    <row r="1381" spans="23:30" x14ac:dyDescent="0.2">
      <c r="W1381" s="144"/>
      <c r="X1381" s="113" t="str">
        <f t="shared" si="51"/>
        <v>1w</v>
      </c>
      <c r="Y1381" s="106">
        <f>_xll.qlCalendarAdvance(Calendar,Y1380,X1381,"f",FALSE)</f>
        <v>48877</v>
      </c>
      <c r="Z1381" s="108">
        <f>_xll.qlCalendarAdvance(Calendar,Y1381,0&amp;"D")</f>
        <v>48877</v>
      </c>
      <c r="AA1381" s="109">
        <v>1.5289375339468947E-2</v>
      </c>
      <c r="AB1381" s="143">
        <f t="shared" si="52"/>
        <v>7.9936057773011271E-14</v>
      </c>
      <c r="AC1381" s="236" t="e">
        <v>#N/A</v>
      </c>
      <c r="AD1381" s="236">
        <v>1.5289375339389011E-2</v>
      </c>
    </row>
    <row r="1382" spans="23:30" x14ac:dyDescent="0.2">
      <c r="W1382" s="144"/>
      <c r="X1382" s="113" t="str">
        <f t="shared" si="51"/>
        <v>1w</v>
      </c>
      <c r="Y1382" s="106">
        <f>_xll.qlCalendarAdvance(Calendar,Y1381,X1382,"f",FALSE)</f>
        <v>48884</v>
      </c>
      <c r="Z1382" s="108">
        <f>_xll.qlCalendarAdvance(Calendar,Y1382,0&amp;"D")</f>
        <v>48884</v>
      </c>
      <c r="AA1382" s="109">
        <v>1.5281492307241962E-2</v>
      </c>
      <c r="AB1382" s="143">
        <f t="shared" si="52"/>
        <v>0</v>
      </c>
      <c r="AC1382" s="236" t="e">
        <v>#N/A</v>
      </c>
      <c r="AD1382" s="236">
        <v>1.5281492307241962E-2</v>
      </c>
    </row>
    <row r="1383" spans="23:30" x14ac:dyDescent="0.2">
      <c r="W1383" s="144"/>
      <c r="X1383" s="113" t="str">
        <f t="shared" si="51"/>
        <v>1w</v>
      </c>
      <c r="Y1383" s="106">
        <f>_xll.qlCalendarAdvance(Calendar,Y1382,X1383,"f",FALSE)</f>
        <v>48891</v>
      </c>
      <c r="Z1383" s="108">
        <f>_xll.qlCalendarAdvance(Calendar,Y1383,0&amp;"D")</f>
        <v>48891</v>
      </c>
      <c r="AA1383" s="109">
        <v>1.5273577909304947E-2</v>
      </c>
      <c r="AB1383" s="143">
        <f t="shared" si="52"/>
        <v>0</v>
      </c>
      <c r="AC1383" s="236" t="e">
        <v>#N/A</v>
      </c>
      <c r="AD1383" s="236">
        <v>1.5273577909304947E-2</v>
      </c>
    </row>
    <row r="1384" spans="23:30" x14ac:dyDescent="0.2">
      <c r="W1384" s="144"/>
      <c r="X1384" s="113" t="str">
        <f t="shared" si="51"/>
        <v>1w</v>
      </c>
      <c r="Y1384" s="106">
        <f>_xll.qlCalendarAdvance(Calendar,Y1383,X1384,"f",FALSE)</f>
        <v>48898</v>
      </c>
      <c r="Z1384" s="108">
        <f>_xll.qlCalendarAdvance(Calendar,Y1384,0&amp;"D")</f>
        <v>48898</v>
      </c>
      <c r="AA1384" s="109">
        <v>1.5265632145498031E-2</v>
      </c>
      <c r="AB1384" s="143">
        <f t="shared" si="52"/>
        <v>0</v>
      </c>
      <c r="AC1384" s="236" t="e">
        <v>#N/A</v>
      </c>
      <c r="AD1384" s="236">
        <v>1.5265632145498031E-2</v>
      </c>
    </row>
    <row r="1385" spans="23:30" x14ac:dyDescent="0.2">
      <c r="W1385" s="144"/>
      <c r="X1385" s="113" t="str">
        <f t="shared" si="51"/>
        <v>1w</v>
      </c>
      <c r="Y1385" s="106">
        <f>_xll.qlCalendarAdvance(Calendar,Y1384,X1385,"f",FALSE)</f>
        <v>48905</v>
      </c>
      <c r="Z1385" s="108">
        <f>_xll.qlCalendarAdvance(Calendar,Y1385,0&amp;"D")</f>
        <v>48905</v>
      </c>
      <c r="AA1385" s="109">
        <v>1.5257655015981086E-2</v>
      </c>
      <c r="AB1385" s="143">
        <f t="shared" si="52"/>
        <v>7.9936057773011271E-14</v>
      </c>
      <c r="AC1385" s="236" t="e">
        <v>#N/A</v>
      </c>
      <c r="AD1385" s="236">
        <v>1.525765501590115E-2</v>
      </c>
    </row>
    <row r="1386" spans="23:30" x14ac:dyDescent="0.2">
      <c r="W1386" s="144"/>
      <c r="X1386" s="113" t="str">
        <f t="shared" si="51"/>
        <v>1w</v>
      </c>
      <c r="Y1386" s="106">
        <f>_xll.qlCalendarAdvance(Calendar,Y1385,X1386,"f",FALSE)</f>
        <v>48912</v>
      </c>
      <c r="Z1386" s="108">
        <f>_xll.qlCalendarAdvance(Calendar,Y1386,0&amp;"D")</f>
        <v>48912</v>
      </c>
      <c r="AA1386" s="109">
        <v>1.5249646520514304E-2</v>
      </c>
      <c r="AB1386" s="143">
        <f t="shared" si="52"/>
        <v>0</v>
      </c>
      <c r="AC1386" s="236" t="e">
        <v>#N/A</v>
      </c>
      <c r="AD1386" s="236">
        <v>1.5249646520514304E-2</v>
      </c>
    </row>
    <row r="1387" spans="23:30" x14ac:dyDescent="0.2">
      <c r="W1387" s="144"/>
      <c r="X1387" s="113" t="str">
        <f t="shared" si="51"/>
        <v>1w</v>
      </c>
      <c r="Y1387" s="106">
        <f>_xll.qlCalendarAdvance(Calendar,Y1386,X1387,"f",FALSE)</f>
        <v>48919</v>
      </c>
      <c r="Z1387" s="108">
        <f>_xll.qlCalendarAdvance(Calendar,Y1387,0&amp;"D")</f>
        <v>48919</v>
      </c>
      <c r="AA1387" s="109">
        <v>1.5241606659497364E-2</v>
      </c>
      <c r="AB1387" s="143">
        <f t="shared" si="52"/>
        <v>0</v>
      </c>
      <c r="AC1387" s="236" t="e">
        <v>#N/A</v>
      </c>
      <c r="AD1387" s="236">
        <v>1.5241606659497364E-2</v>
      </c>
    </row>
    <row r="1388" spans="23:30" x14ac:dyDescent="0.2">
      <c r="W1388" s="144"/>
      <c r="X1388" s="113" t="str">
        <f t="shared" si="51"/>
        <v>1w</v>
      </c>
      <c r="Y1388" s="106">
        <f>_xll.qlCalendarAdvance(Calendar,Y1387,X1388,"f",FALSE)</f>
        <v>48926</v>
      </c>
      <c r="Z1388" s="108">
        <f>_xll.qlCalendarAdvance(Calendar,Y1388,0&amp;"D")</f>
        <v>48926</v>
      </c>
      <c r="AA1388" s="109">
        <v>1.5233535432610523E-2</v>
      </c>
      <c r="AB1388" s="143">
        <f t="shared" si="52"/>
        <v>0</v>
      </c>
      <c r="AC1388" s="236" t="e">
        <v>#N/A</v>
      </c>
      <c r="AD1388" s="236">
        <v>1.5233535432610523E-2</v>
      </c>
    </row>
    <row r="1389" spans="23:30" x14ac:dyDescent="0.2">
      <c r="W1389" s="144"/>
      <c r="X1389" s="113" t="str">
        <f t="shared" si="51"/>
        <v>1w</v>
      </c>
      <c r="Y1389" s="106">
        <f>_xll.qlCalendarAdvance(Calendar,Y1388,X1389,"f",FALSE)</f>
        <v>48933</v>
      </c>
      <c r="Z1389" s="108">
        <f>_xll.qlCalendarAdvance(Calendar,Y1389,0&amp;"D")</f>
        <v>48933</v>
      </c>
      <c r="AA1389" s="109">
        <v>1.5225432839853781E-2</v>
      </c>
      <c r="AB1389" s="143">
        <f t="shared" si="52"/>
        <v>0</v>
      </c>
      <c r="AC1389" s="236" t="e">
        <v>#N/A</v>
      </c>
      <c r="AD1389" s="236">
        <v>1.5225432839853781E-2</v>
      </c>
    </row>
    <row r="1390" spans="23:30" x14ac:dyDescent="0.2">
      <c r="W1390" s="144"/>
      <c r="X1390" s="113" t="str">
        <f t="shared" si="51"/>
        <v>1w</v>
      </c>
      <c r="Y1390" s="106">
        <f>_xll.qlCalendarAdvance(Calendar,Y1389,X1390,"f",FALSE)</f>
        <v>48940</v>
      </c>
      <c r="Z1390" s="108">
        <f>_xll.qlCalendarAdvance(Calendar,Y1390,0&amp;"D")</f>
        <v>48940</v>
      </c>
      <c r="AA1390" s="109">
        <v>1.5217298881387009E-2</v>
      </c>
      <c r="AB1390" s="143">
        <f t="shared" si="52"/>
        <v>0</v>
      </c>
      <c r="AC1390" s="236" t="e">
        <v>#N/A</v>
      </c>
      <c r="AD1390" s="236">
        <v>1.5217298881387009E-2</v>
      </c>
    </row>
    <row r="1391" spans="23:30" x14ac:dyDescent="0.2">
      <c r="W1391" s="144"/>
      <c r="X1391" s="113" t="str">
        <f t="shared" si="51"/>
        <v>1w</v>
      </c>
      <c r="Y1391" s="106">
        <f>_xll.qlCalendarAdvance(Calendar,Y1390,X1391,"f",FALSE)</f>
        <v>48947</v>
      </c>
      <c r="Z1391" s="108">
        <f>_xll.qlCalendarAdvance(Calendar,Y1391,0&amp;"D")</f>
        <v>48947</v>
      </c>
      <c r="AA1391" s="109">
        <v>1.5209133557130272E-2</v>
      </c>
      <c r="AB1391" s="143">
        <f t="shared" si="52"/>
        <v>-7.9936057773011271E-14</v>
      </c>
      <c r="AC1391" s="236" t="e">
        <v>#N/A</v>
      </c>
      <c r="AD1391" s="236">
        <v>1.5209133557210208E-2</v>
      </c>
    </row>
    <row r="1392" spans="23:30" x14ac:dyDescent="0.2">
      <c r="W1392" s="144"/>
      <c r="X1392" s="113" t="str">
        <f t="shared" si="51"/>
        <v>1w</v>
      </c>
      <c r="Y1392" s="106">
        <f>_xll.qlCalendarAdvance(Calendar,Y1391,X1392,"f",FALSE)</f>
        <v>48954</v>
      </c>
      <c r="Z1392" s="108">
        <f>_xll.qlCalendarAdvance(Calendar,Y1392,0&amp;"D")</f>
        <v>48954</v>
      </c>
      <c r="AA1392" s="109">
        <v>1.5200936867243442E-2</v>
      </c>
      <c r="AB1392" s="143">
        <f t="shared" si="52"/>
        <v>7.9936057773011271E-14</v>
      </c>
      <c r="AC1392" s="236" t="e">
        <v>#N/A</v>
      </c>
      <c r="AD1392" s="236">
        <v>1.5200936867163506E-2</v>
      </c>
    </row>
    <row r="1393" spans="23:30" x14ac:dyDescent="0.2">
      <c r="W1393" s="144"/>
      <c r="X1393" s="113" t="str">
        <f t="shared" si="51"/>
        <v>1w</v>
      </c>
      <c r="Y1393" s="106">
        <f>_xll.qlCalendarAdvance(Calendar,Y1392,X1393,"f",FALSE)</f>
        <v>48961</v>
      </c>
      <c r="Z1393" s="108">
        <f>_xll.qlCalendarAdvance(Calendar,Y1393,0&amp;"D")</f>
        <v>48961</v>
      </c>
      <c r="AA1393" s="109">
        <v>1.5192708811406774E-2</v>
      </c>
      <c r="AB1393" s="143">
        <f t="shared" si="52"/>
        <v>0</v>
      </c>
      <c r="AC1393" s="236" t="e">
        <v>#N/A</v>
      </c>
      <c r="AD1393" s="236">
        <v>1.5192708811406774E-2</v>
      </c>
    </row>
    <row r="1394" spans="23:30" x14ac:dyDescent="0.2">
      <c r="W1394" s="144"/>
      <c r="X1394" s="113" t="str">
        <f t="shared" si="51"/>
        <v>1w</v>
      </c>
      <c r="Y1394" s="106">
        <f>_xll.qlCalendarAdvance(Calendar,Y1393,X1394,"f",FALSE)</f>
        <v>48968</v>
      </c>
      <c r="Z1394" s="108">
        <f>_xll.qlCalendarAdvance(Calendar,Y1394,0&amp;"D")</f>
        <v>48968</v>
      </c>
      <c r="AA1394" s="109">
        <v>1.5184449389860077E-2</v>
      </c>
      <c r="AB1394" s="143">
        <f t="shared" si="52"/>
        <v>0</v>
      </c>
      <c r="AC1394" s="236" t="e">
        <v>#N/A</v>
      </c>
      <c r="AD1394" s="236">
        <v>1.5184449389860077E-2</v>
      </c>
    </row>
    <row r="1395" spans="23:30" x14ac:dyDescent="0.2">
      <c r="W1395" s="144"/>
      <c r="X1395" s="113" t="str">
        <f t="shared" si="51"/>
        <v>1w</v>
      </c>
      <c r="Y1395" s="106">
        <f>_xll.qlCalendarAdvance(Calendar,Y1394,X1395,"f",FALSE)</f>
        <v>48975</v>
      </c>
      <c r="Z1395" s="108">
        <f>_xll.qlCalendarAdvance(Calendar,Y1395,0&amp;"D")</f>
        <v>48975</v>
      </c>
      <c r="AA1395" s="109">
        <v>1.5176158602523415E-2</v>
      </c>
      <c r="AB1395" s="143">
        <f t="shared" si="52"/>
        <v>0</v>
      </c>
      <c r="AC1395" s="236" t="e">
        <v>#N/A</v>
      </c>
      <c r="AD1395" s="236">
        <v>1.5176158602523415E-2</v>
      </c>
    </row>
    <row r="1396" spans="23:30" x14ac:dyDescent="0.2">
      <c r="W1396" s="144"/>
      <c r="X1396" s="113" t="str">
        <f t="shared" si="51"/>
        <v>1w</v>
      </c>
      <c r="Y1396" s="106">
        <f>_xll.qlCalendarAdvance(Calendar,Y1395,X1396,"f",FALSE)</f>
        <v>48982</v>
      </c>
      <c r="Z1396" s="108">
        <f>_xll.qlCalendarAdvance(Calendar,Y1396,0&amp;"D")</f>
        <v>48982</v>
      </c>
      <c r="AA1396" s="109">
        <v>1.5167836449476724E-2</v>
      </c>
      <c r="AB1396" s="143">
        <f t="shared" si="52"/>
        <v>0</v>
      </c>
      <c r="AC1396" s="236" t="e">
        <v>#N/A</v>
      </c>
      <c r="AD1396" s="236">
        <v>1.5167836449476724E-2</v>
      </c>
    </row>
    <row r="1397" spans="23:30" x14ac:dyDescent="0.2">
      <c r="W1397" s="144"/>
      <c r="X1397" s="113" t="str">
        <f t="shared" si="51"/>
        <v>1w</v>
      </c>
      <c r="Y1397" s="106">
        <f>_xll.qlCalendarAdvance(Calendar,Y1396,X1397,"f",FALSE)</f>
        <v>48989</v>
      </c>
      <c r="Z1397" s="108">
        <f>_xll.qlCalendarAdvance(Calendar,Y1397,0&amp;"D")</f>
        <v>48989</v>
      </c>
      <c r="AA1397" s="109">
        <v>1.5159482930720003E-2</v>
      </c>
      <c r="AB1397" s="143">
        <f t="shared" si="52"/>
        <v>0</v>
      </c>
      <c r="AC1397" s="236" t="e">
        <v>#N/A</v>
      </c>
      <c r="AD1397" s="236">
        <v>1.5159482930720003E-2</v>
      </c>
    </row>
    <row r="1398" spans="23:30" x14ac:dyDescent="0.2">
      <c r="W1398" s="144"/>
      <c r="X1398" s="113" t="str">
        <f t="shared" si="51"/>
        <v>1w</v>
      </c>
      <c r="Y1398" s="106">
        <f>_xll.qlCalendarAdvance(Calendar,Y1397,X1398,"f",FALSE)</f>
        <v>48996</v>
      </c>
      <c r="Z1398" s="108">
        <f>_xll.qlCalendarAdvance(Calendar,Y1398,0&amp;"D")</f>
        <v>48996</v>
      </c>
      <c r="AA1398" s="109">
        <v>1.5151098046013445E-2</v>
      </c>
      <c r="AB1398" s="143">
        <f t="shared" si="52"/>
        <v>0</v>
      </c>
      <c r="AC1398" s="236" t="e">
        <v>#N/A</v>
      </c>
      <c r="AD1398" s="236">
        <v>1.5151098046013445E-2</v>
      </c>
    </row>
    <row r="1399" spans="23:30" x14ac:dyDescent="0.2">
      <c r="W1399" s="144"/>
      <c r="X1399" s="113" t="str">
        <f t="shared" si="51"/>
        <v>1w</v>
      </c>
      <c r="Y1399" s="106">
        <f>_xll.qlCalendarAdvance(Calendar,Y1398,X1399,"f",FALSE)</f>
        <v>49003</v>
      </c>
      <c r="Z1399" s="108">
        <f>_xll.qlCalendarAdvance(Calendar,Y1399,0&amp;"D")</f>
        <v>49003</v>
      </c>
      <c r="AA1399" s="109">
        <v>1.5142681795676793E-2</v>
      </c>
      <c r="AB1399" s="143">
        <f t="shared" si="52"/>
        <v>-7.9936057773011271E-14</v>
      </c>
      <c r="AC1399" s="236" t="e">
        <v>#N/A</v>
      </c>
      <c r="AD1399" s="236">
        <v>1.5142681795756729E-2</v>
      </c>
    </row>
    <row r="1400" spans="23:30" x14ac:dyDescent="0.2">
      <c r="W1400" s="144"/>
      <c r="X1400" s="113" t="str">
        <f t="shared" si="51"/>
        <v>1w</v>
      </c>
      <c r="Y1400" s="106">
        <f>_xll.qlCalendarAdvance(Calendar,Y1399,X1400,"f",FALSE)</f>
        <v>49010</v>
      </c>
      <c r="Z1400" s="108">
        <f>_xll.qlCalendarAdvance(Calendar,Y1400,0&amp;"D")</f>
        <v>49010</v>
      </c>
      <c r="AA1400" s="109">
        <v>1.5134234179550177E-2</v>
      </c>
      <c r="AB1400" s="143">
        <f t="shared" si="52"/>
        <v>0</v>
      </c>
      <c r="AC1400" s="236" t="e">
        <v>#N/A</v>
      </c>
      <c r="AD1400" s="236">
        <v>1.5134234179550177E-2</v>
      </c>
    </row>
    <row r="1401" spans="23:30" x14ac:dyDescent="0.2">
      <c r="W1401" s="144"/>
      <c r="X1401" s="113" t="str">
        <f t="shared" si="51"/>
        <v>1w</v>
      </c>
      <c r="Y1401" s="106">
        <f>_xll.qlCalendarAdvance(Calendar,Y1400,X1401,"f",FALSE)</f>
        <v>49017</v>
      </c>
      <c r="Z1401" s="108">
        <f>_xll.qlCalendarAdvance(Calendar,Y1401,0&amp;"D")</f>
        <v>49017</v>
      </c>
      <c r="AA1401" s="109">
        <v>1.5125755197713531E-2</v>
      </c>
      <c r="AB1401" s="143">
        <f t="shared" si="52"/>
        <v>0</v>
      </c>
      <c r="AC1401" s="236" t="e">
        <v>#N/A</v>
      </c>
      <c r="AD1401" s="236">
        <v>1.5125755197713531E-2</v>
      </c>
    </row>
    <row r="1402" spans="23:30" x14ac:dyDescent="0.2">
      <c r="W1402" s="144"/>
      <c r="X1402" s="113" t="str">
        <f t="shared" si="51"/>
        <v>1w</v>
      </c>
      <c r="Y1402" s="106">
        <f>_xll.qlCalendarAdvance(Calendar,Y1401,X1402,"f",FALSE)</f>
        <v>49024</v>
      </c>
      <c r="Z1402" s="108">
        <f>_xll.qlCalendarAdvance(Calendar,Y1402,0&amp;"D")</f>
        <v>49024</v>
      </c>
      <c r="AA1402" s="109">
        <v>1.5117244850086919E-2</v>
      </c>
      <c r="AB1402" s="143">
        <f t="shared" si="52"/>
        <v>0</v>
      </c>
      <c r="AC1402" s="236" t="e">
        <v>#N/A</v>
      </c>
      <c r="AD1402" s="236">
        <v>1.5117244850086919E-2</v>
      </c>
    </row>
    <row r="1403" spans="23:30" x14ac:dyDescent="0.2">
      <c r="W1403" s="144"/>
      <c r="X1403" s="113" t="str">
        <f t="shared" si="51"/>
        <v>1w</v>
      </c>
      <c r="Y1403" s="106">
        <f>_xll.qlCalendarAdvance(Calendar,Y1402,X1403,"f",FALSE)</f>
        <v>49031</v>
      </c>
      <c r="Z1403" s="108">
        <f>_xll.qlCalendarAdvance(Calendar,Y1403,0&amp;"D")</f>
        <v>49031</v>
      </c>
      <c r="AA1403" s="109">
        <v>1.5108703136670343E-2</v>
      </c>
      <c r="AB1403" s="143">
        <f t="shared" si="52"/>
        <v>-7.9936057773011271E-14</v>
      </c>
      <c r="AC1403" s="236" t="e">
        <v>#N/A</v>
      </c>
      <c r="AD1403" s="236">
        <v>1.5108703136750279E-2</v>
      </c>
    </row>
    <row r="1404" spans="23:30" x14ac:dyDescent="0.2">
      <c r="W1404" s="144"/>
      <c r="X1404" s="113" t="str">
        <f t="shared" si="51"/>
        <v>1w</v>
      </c>
      <c r="Y1404" s="106">
        <f>_xll.qlCalendarAdvance(Calendar,Y1403,X1404,"f",FALSE)</f>
        <v>49038</v>
      </c>
      <c r="Z1404" s="108">
        <f>_xll.qlCalendarAdvance(Calendar,Y1404,0&amp;"D")</f>
        <v>49038</v>
      </c>
      <c r="AA1404" s="109">
        <v>1.5100130057543737E-2</v>
      </c>
      <c r="AB1404" s="143">
        <f t="shared" si="52"/>
        <v>-7.9936057773011271E-14</v>
      </c>
      <c r="AC1404" s="236" t="e">
        <v>#N/A</v>
      </c>
      <c r="AD1404" s="236">
        <v>1.5100130057623673E-2</v>
      </c>
    </row>
    <row r="1405" spans="23:30" x14ac:dyDescent="0.2">
      <c r="W1405" s="144"/>
      <c r="X1405" s="113" t="str">
        <f t="shared" si="51"/>
        <v>1w</v>
      </c>
      <c r="Y1405" s="106">
        <f>_xll.qlCalendarAdvance(Calendar,Y1404,X1405,"f",FALSE)</f>
        <v>49045</v>
      </c>
      <c r="Z1405" s="108">
        <f>_xll.qlCalendarAdvance(Calendar,Y1405,0&amp;"D")</f>
        <v>49045</v>
      </c>
      <c r="AA1405" s="109">
        <v>1.5091525612787038E-2</v>
      </c>
      <c r="AB1405" s="143">
        <f t="shared" si="52"/>
        <v>7.9936057773011271E-14</v>
      </c>
      <c r="AC1405" s="236" t="e">
        <v>#N/A</v>
      </c>
      <c r="AD1405" s="236">
        <v>1.5091525612707102E-2</v>
      </c>
    </row>
    <row r="1406" spans="23:30" x14ac:dyDescent="0.2">
      <c r="W1406" s="144"/>
      <c r="X1406" s="113" t="str">
        <f t="shared" si="51"/>
        <v>1w</v>
      </c>
      <c r="Y1406" s="106">
        <f>_xll.qlCalendarAdvance(Calendar,Y1405,X1406,"f",FALSE)</f>
        <v>49052</v>
      </c>
      <c r="Z1406" s="108">
        <f>_xll.qlCalendarAdvance(Calendar,Y1406,0&amp;"D")</f>
        <v>49052</v>
      </c>
      <c r="AA1406" s="109">
        <v>1.5082889802160437E-2</v>
      </c>
      <c r="AB1406" s="143">
        <f t="shared" si="52"/>
        <v>0</v>
      </c>
      <c r="AC1406" s="236" t="e">
        <v>#N/A</v>
      </c>
      <c r="AD1406" s="236">
        <v>1.5082889802160437E-2</v>
      </c>
    </row>
    <row r="1407" spans="23:30" x14ac:dyDescent="0.2">
      <c r="W1407" s="144"/>
      <c r="X1407" s="113" t="str">
        <f t="shared" si="51"/>
        <v>1w</v>
      </c>
      <c r="Y1407" s="106">
        <f>_xll.qlCalendarAdvance(Calendar,Y1406,X1407,"f",FALSE)</f>
        <v>49059</v>
      </c>
      <c r="Z1407" s="108">
        <f>_xll.qlCalendarAdvance(Calendar,Y1407,0&amp;"D")</f>
        <v>49059</v>
      </c>
      <c r="AA1407" s="109">
        <v>1.5074222625823808E-2</v>
      </c>
      <c r="AB1407" s="143">
        <f t="shared" si="52"/>
        <v>0</v>
      </c>
      <c r="AC1407" s="236" t="e">
        <v>#N/A</v>
      </c>
      <c r="AD1407" s="236">
        <v>1.5074222625823808E-2</v>
      </c>
    </row>
    <row r="1408" spans="23:30" x14ac:dyDescent="0.2">
      <c r="W1408" s="144"/>
      <c r="X1408" s="113" t="str">
        <f t="shared" si="51"/>
        <v>1w</v>
      </c>
      <c r="Y1408" s="106">
        <f>_xll.qlCalendarAdvance(Calendar,Y1407,X1408,"f",FALSE)</f>
        <v>49066</v>
      </c>
      <c r="Z1408" s="108">
        <f>_xll.qlCalendarAdvance(Calendar,Y1408,0&amp;"D")</f>
        <v>49066</v>
      </c>
      <c r="AA1408" s="109">
        <v>1.5065524083777149E-2</v>
      </c>
      <c r="AB1408" s="143">
        <f t="shared" si="52"/>
        <v>0</v>
      </c>
      <c r="AC1408" s="236" t="e">
        <v>#N/A</v>
      </c>
      <c r="AD1408" s="236">
        <v>1.5065524083777149E-2</v>
      </c>
    </row>
    <row r="1409" spans="23:30" x14ac:dyDescent="0.2">
      <c r="W1409" s="144"/>
      <c r="X1409" s="113" t="str">
        <f t="shared" si="51"/>
        <v>1w</v>
      </c>
      <c r="Y1409" s="106">
        <f>_xll.qlCalendarAdvance(Calendar,Y1408,X1409,"f",FALSE)</f>
        <v>49073</v>
      </c>
      <c r="Z1409" s="108">
        <f>_xll.qlCalendarAdvance(Calendar,Y1409,0&amp;"D")</f>
        <v>49073</v>
      </c>
      <c r="AA1409" s="109">
        <v>1.5056794175940524E-2</v>
      </c>
      <c r="AB1409" s="143">
        <f t="shared" si="52"/>
        <v>0</v>
      </c>
      <c r="AC1409" s="236" t="e">
        <v>#N/A</v>
      </c>
      <c r="AD1409" s="236">
        <v>1.5056794175940524E-2</v>
      </c>
    </row>
    <row r="1410" spans="23:30" x14ac:dyDescent="0.2">
      <c r="W1410" s="144"/>
      <c r="X1410" s="113" t="str">
        <f t="shared" si="51"/>
        <v>1w</v>
      </c>
      <c r="Y1410" s="106">
        <f>_xll.qlCalendarAdvance(Calendar,Y1409,X1410,"f",FALSE)</f>
        <v>49080</v>
      </c>
      <c r="Z1410" s="108">
        <f>_xll.qlCalendarAdvance(Calendar,Y1410,0&amp;"D")</f>
        <v>49080</v>
      </c>
      <c r="AA1410" s="109">
        <v>1.5048032902393871E-2</v>
      </c>
      <c r="AB1410" s="143">
        <f t="shared" si="52"/>
        <v>0</v>
      </c>
      <c r="AC1410" s="236" t="e">
        <v>#N/A</v>
      </c>
      <c r="AD1410" s="236">
        <v>1.5048032902393871E-2</v>
      </c>
    </row>
    <row r="1411" spans="23:30" x14ac:dyDescent="0.2">
      <c r="W1411" s="144"/>
      <c r="X1411" s="113" t="str">
        <f t="shared" si="51"/>
        <v>1w</v>
      </c>
      <c r="Y1411" s="106">
        <f>_xll.qlCalendarAdvance(Calendar,Y1410,X1411,"f",FALSE)</f>
        <v>49087</v>
      </c>
      <c r="Z1411" s="108">
        <f>_xll.qlCalendarAdvance(Calendar,Y1411,0&amp;"D")</f>
        <v>49087</v>
      </c>
      <c r="AA1411" s="109">
        <v>1.5039240262977316E-2</v>
      </c>
      <c r="AB1411" s="143">
        <f t="shared" si="52"/>
        <v>-7.9936057773011271E-14</v>
      </c>
      <c r="AC1411" s="236" t="e">
        <v>#N/A</v>
      </c>
      <c r="AD1411" s="236">
        <v>1.5039240263057252E-2</v>
      </c>
    </row>
    <row r="1412" spans="23:30" x14ac:dyDescent="0.2">
      <c r="W1412" s="144"/>
      <c r="X1412" s="113" t="str">
        <f t="shared" si="51"/>
        <v>1w</v>
      </c>
      <c r="Y1412" s="106">
        <f>_xll.qlCalendarAdvance(Calendar,Y1411,X1412,"f",FALSE)</f>
        <v>49094</v>
      </c>
      <c r="Z1412" s="108">
        <f>_xll.qlCalendarAdvance(Calendar,Y1412,0&amp;"D")</f>
        <v>49094</v>
      </c>
      <c r="AA1412" s="109">
        <v>1.5030416258170476E-2</v>
      </c>
      <c r="AB1412" s="143">
        <f t="shared" si="52"/>
        <v>7.9936057773011271E-14</v>
      </c>
      <c r="AC1412" s="236" t="e">
        <v>#N/A</v>
      </c>
      <c r="AD1412" s="236">
        <v>1.503041625809054E-2</v>
      </c>
    </row>
    <row r="1413" spans="23:30" x14ac:dyDescent="0.2">
      <c r="W1413" s="144"/>
      <c r="X1413" s="113" t="str">
        <f t="shared" si="51"/>
        <v>1w</v>
      </c>
      <c r="Y1413" s="106">
        <f>_xll.qlCalendarAdvance(Calendar,Y1412,X1413,"f",FALSE)</f>
        <v>49101</v>
      </c>
      <c r="Z1413" s="108">
        <f>_xll.qlCalendarAdvance(Calendar,Y1413,0&amp;"D")</f>
        <v>49101</v>
      </c>
      <c r="AA1413" s="109">
        <v>1.5021560887413798E-2</v>
      </c>
      <c r="AB1413" s="143">
        <f t="shared" si="52"/>
        <v>0</v>
      </c>
      <c r="AC1413" s="236" t="e">
        <v>#N/A</v>
      </c>
      <c r="AD1413" s="236">
        <v>1.5021560887413798E-2</v>
      </c>
    </row>
    <row r="1414" spans="23:30" x14ac:dyDescent="0.2">
      <c r="W1414" s="144"/>
      <c r="X1414" s="113" t="str">
        <f t="shared" si="51"/>
        <v>1w</v>
      </c>
      <c r="Y1414" s="106">
        <f>_xll.qlCalendarAdvance(Calendar,Y1413,X1414,"f",FALSE)</f>
        <v>49108</v>
      </c>
      <c r="Z1414" s="108">
        <f>_xll.qlCalendarAdvance(Calendar,Y1414,0&amp;"D")</f>
        <v>49108</v>
      </c>
      <c r="AA1414" s="109">
        <v>1.5012674150867156E-2</v>
      </c>
      <c r="AB1414" s="143">
        <f t="shared" si="52"/>
        <v>0</v>
      </c>
      <c r="AC1414" s="236" t="e">
        <v>#N/A</v>
      </c>
      <c r="AD1414" s="236">
        <v>1.5012674150867156E-2</v>
      </c>
    </row>
    <row r="1415" spans="23:30" x14ac:dyDescent="0.2">
      <c r="W1415" s="144"/>
      <c r="X1415" s="113" t="str">
        <f t="shared" si="51"/>
        <v>1w</v>
      </c>
      <c r="Y1415" s="106">
        <f>_xll.qlCalendarAdvance(Calendar,Y1414,X1415,"f",FALSE)</f>
        <v>49115</v>
      </c>
      <c r="Z1415" s="108">
        <f>_xll.qlCalendarAdvance(Calendar,Y1415,0&amp;"D")</f>
        <v>49115</v>
      </c>
      <c r="AA1415" s="109">
        <v>1.5003756048770356E-2</v>
      </c>
      <c r="AB1415" s="143">
        <f t="shared" si="52"/>
        <v>0</v>
      </c>
      <c r="AC1415" s="236" t="e">
        <v>#N/A</v>
      </c>
      <c r="AD1415" s="236">
        <v>1.5003756048770356E-2</v>
      </c>
    </row>
    <row r="1416" spans="23:30" x14ac:dyDescent="0.2">
      <c r="W1416" s="144"/>
      <c r="X1416" s="113" t="str">
        <f t="shared" si="51"/>
        <v>1w</v>
      </c>
      <c r="Y1416" s="106">
        <f>_xll.qlCalendarAdvance(Calendar,Y1415,X1416,"f",FALSE)</f>
        <v>49122</v>
      </c>
      <c r="Z1416" s="108">
        <f>_xll.qlCalendarAdvance(Calendar,Y1416,0&amp;"D")</f>
        <v>49122</v>
      </c>
      <c r="AA1416" s="109">
        <v>1.4994806580883591E-2</v>
      </c>
      <c r="AB1416" s="143">
        <f t="shared" si="52"/>
        <v>0</v>
      </c>
      <c r="AC1416" s="236" t="e">
        <v>#N/A</v>
      </c>
      <c r="AD1416" s="236">
        <v>1.4994806580883591E-2</v>
      </c>
    </row>
    <row r="1417" spans="23:30" x14ac:dyDescent="0.2">
      <c r="W1417" s="144"/>
      <c r="X1417" s="113" t="str">
        <f t="shared" si="51"/>
        <v>1w</v>
      </c>
      <c r="Y1417" s="106">
        <f>_xll.qlCalendarAdvance(Calendar,Y1416,X1417,"f",FALSE)</f>
        <v>49129</v>
      </c>
      <c r="Z1417" s="108">
        <f>_xll.qlCalendarAdvance(Calendar,Y1417,0&amp;"D")</f>
        <v>49129</v>
      </c>
      <c r="AA1417" s="109">
        <v>1.498582574720686E-2</v>
      </c>
      <c r="AB1417" s="143">
        <f t="shared" si="52"/>
        <v>0</v>
      </c>
      <c r="AC1417" s="236" t="e">
        <v>#N/A</v>
      </c>
      <c r="AD1417" s="236">
        <v>1.498582574720686E-2</v>
      </c>
    </row>
    <row r="1418" spans="23:30" x14ac:dyDescent="0.2">
      <c r="W1418" s="144"/>
      <c r="X1418" s="113" t="str">
        <f t="shared" si="51"/>
        <v>1w</v>
      </c>
      <c r="Y1418" s="106">
        <f>_xll.qlCalendarAdvance(Calendar,Y1417,X1418,"f",FALSE)</f>
        <v>49136</v>
      </c>
      <c r="Z1418" s="108">
        <f>_xll.qlCalendarAdvance(Calendar,Y1418,0&amp;"D")</f>
        <v>49136</v>
      </c>
      <c r="AA1418" s="109">
        <v>1.4976813547900036E-2</v>
      </c>
      <c r="AB1418" s="143">
        <f t="shared" si="52"/>
        <v>0</v>
      </c>
      <c r="AC1418" s="236" t="e">
        <v>#N/A</v>
      </c>
      <c r="AD1418" s="236">
        <v>1.4976813547900036E-2</v>
      </c>
    </row>
    <row r="1419" spans="23:30" x14ac:dyDescent="0.2">
      <c r="W1419" s="144"/>
      <c r="X1419" s="113" t="str">
        <f t="shared" si="51"/>
        <v>1w</v>
      </c>
      <c r="Y1419" s="106">
        <f>_xll.qlCalendarAdvance(Calendar,Y1418,X1419,"f",FALSE)</f>
        <v>49143</v>
      </c>
      <c r="Z1419" s="108">
        <f>_xll.qlCalendarAdvance(Calendar,Y1419,0&amp;"D")</f>
        <v>49143</v>
      </c>
      <c r="AA1419" s="109">
        <v>1.4967769982963119E-2</v>
      </c>
      <c r="AB1419" s="143">
        <f t="shared" si="52"/>
        <v>7.9936057773011271E-14</v>
      </c>
      <c r="AC1419" s="236" t="e">
        <v>#N/A</v>
      </c>
      <c r="AD1419" s="236">
        <v>1.4967769982883183E-2</v>
      </c>
    </row>
    <row r="1420" spans="23:30" x14ac:dyDescent="0.2">
      <c r="W1420" s="144"/>
      <c r="X1420" s="113" t="str">
        <f t="shared" si="51"/>
        <v>1w</v>
      </c>
      <c r="Y1420" s="106">
        <f>_xll.qlCalendarAdvance(Calendar,Y1419,X1420,"f",FALSE)</f>
        <v>49150</v>
      </c>
      <c r="Z1420" s="108">
        <f>_xll.qlCalendarAdvance(Calendar,Y1420,0&amp;"D")</f>
        <v>49150</v>
      </c>
      <c r="AA1420" s="109">
        <v>1.4958695052156301E-2</v>
      </c>
      <c r="AB1420" s="143">
        <f t="shared" si="52"/>
        <v>0</v>
      </c>
      <c r="AC1420" s="236" t="e">
        <v>#N/A</v>
      </c>
      <c r="AD1420" s="236">
        <v>1.4958695052156301E-2</v>
      </c>
    </row>
    <row r="1421" spans="23:30" x14ac:dyDescent="0.2">
      <c r="W1421" s="144"/>
      <c r="X1421" s="113" t="str">
        <f t="shared" ref="X1421:X1484" si="53">X1420</f>
        <v>1w</v>
      </c>
      <c r="Y1421" s="106">
        <f>_xll.qlCalendarAdvance(Calendar,Y1420,X1421,"f",FALSE)</f>
        <v>49157</v>
      </c>
      <c r="Z1421" s="108">
        <f>_xll.qlCalendarAdvance(Calendar,Y1421,0&amp;"D")</f>
        <v>49157</v>
      </c>
      <c r="AA1421" s="109">
        <v>1.4949588755639454E-2</v>
      </c>
      <c r="AB1421" s="143">
        <f t="shared" si="52"/>
        <v>0</v>
      </c>
      <c r="AC1421" s="236" t="e">
        <v>#N/A</v>
      </c>
      <c r="AD1421" s="236">
        <v>1.4949588755639454E-2</v>
      </c>
    </row>
    <row r="1422" spans="23:30" x14ac:dyDescent="0.2">
      <c r="W1422" s="144"/>
      <c r="X1422" s="113" t="str">
        <f t="shared" si="53"/>
        <v>1w</v>
      </c>
      <c r="Y1422" s="106">
        <f>_xll.qlCalendarAdvance(Calendar,Y1421,X1422,"f",FALSE)</f>
        <v>49164</v>
      </c>
      <c r="Z1422" s="108">
        <f>_xll.qlCalendarAdvance(Calendar,Y1422,0&amp;"D")</f>
        <v>49164</v>
      </c>
      <c r="AA1422" s="109">
        <v>1.4940451093492513E-2</v>
      </c>
      <c r="AB1422" s="143">
        <f t="shared" si="52"/>
        <v>0</v>
      </c>
      <c r="AC1422" s="236" t="e">
        <v>#N/A</v>
      </c>
      <c r="AD1422" s="236">
        <v>1.4940451093492513E-2</v>
      </c>
    </row>
    <row r="1423" spans="23:30" x14ac:dyDescent="0.2">
      <c r="W1423" s="144"/>
      <c r="X1423" s="113" t="str">
        <f t="shared" si="53"/>
        <v>1w</v>
      </c>
      <c r="Y1423" s="106">
        <f>_xll.qlCalendarAdvance(Calendar,Y1422,X1423,"f",FALSE)</f>
        <v>49171</v>
      </c>
      <c r="Z1423" s="108">
        <f>_xll.qlCalendarAdvance(Calendar,Y1423,0&amp;"D")</f>
        <v>49171</v>
      </c>
      <c r="AA1423" s="109">
        <v>1.4931282065635543E-2</v>
      </c>
      <c r="AB1423" s="143">
        <f t="shared" si="52"/>
        <v>0</v>
      </c>
      <c r="AC1423" s="236" t="e">
        <v>#N/A</v>
      </c>
      <c r="AD1423" s="236">
        <v>1.4931282065635543E-2</v>
      </c>
    </row>
    <row r="1424" spans="23:30" x14ac:dyDescent="0.2">
      <c r="W1424" s="144"/>
      <c r="X1424" s="113" t="str">
        <f t="shared" si="53"/>
        <v>1w</v>
      </c>
      <c r="Y1424" s="106">
        <f>_xll.qlCalendarAdvance(Calendar,Y1423,X1424,"f",FALSE)</f>
        <v>49178</v>
      </c>
      <c r="Z1424" s="108">
        <f>_xll.qlCalendarAdvance(Calendar,Y1424,0&amp;"D")</f>
        <v>49178</v>
      </c>
      <c r="AA1424" s="109">
        <v>1.4922081672068543E-2</v>
      </c>
      <c r="AB1424" s="143">
        <f t="shared" si="52"/>
        <v>-7.9936057773011271E-14</v>
      </c>
      <c r="AC1424" s="236" t="e">
        <v>#N/A</v>
      </c>
      <c r="AD1424" s="236">
        <v>1.4922081672148479E-2</v>
      </c>
    </row>
    <row r="1425" spans="23:30" x14ac:dyDescent="0.2">
      <c r="W1425" s="144"/>
      <c r="X1425" s="113" t="str">
        <f t="shared" si="53"/>
        <v>1w</v>
      </c>
      <c r="Y1425" s="106">
        <f>_xll.qlCalendarAdvance(Calendar,Y1424,X1425,"f",FALSE)</f>
        <v>49185</v>
      </c>
      <c r="Z1425" s="108">
        <f>_xll.qlCalendarAdvance(Calendar,Y1425,0&amp;"D")</f>
        <v>49185</v>
      </c>
      <c r="AA1425" s="109">
        <v>1.4912849912791515E-2</v>
      </c>
      <c r="AB1425" s="143">
        <f t="shared" si="52"/>
        <v>0</v>
      </c>
      <c r="AC1425" s="236" t="e">
        <v>#N/A</v>
      </c>
      <c r="AD1425" s="236">
        <v>1.4912849912791515E-2</v>
      </c>
    </row>
    <row r="1426" spans="23:30" x14ac:dyDescent="0.2">
      <c r="W1426" s="144"/>
      <c r="X1426" s="113" t="str">
        <f t="shared" si="53"/>
        <v>1w</v>
      </c>
      <c r="Y1426" s="106">
        <f>_xll.qlCalendarAdvance(Calendar,Y1425,X1426,"f",FALSE)</f>
        <v>49192</v>
      </c>
      <c r="Z1426" s="108">
        <f>_xll.qlCalendarAdvance(Calendar,Y1426,0&amp;"D")</f>
        <v>49192</v>
      </c>
      <c r="AA1426" s="109">
        <v>1.4903586787964329E-2</v>
      </c>
      <c r="AB1426" s="143">
        <f t="shared" si="52"/>
        <v>0</v>
      </c>
      <c r="AC1426" s="236" t="e">
        <v>#N/A</v>
      </c>
      <c r="AD1426" s="236">
        <v>1.4903586787964329E-2</v>
      </c>
    </row>
    <row r="1427" spans="23:30" x14ac:dyDescent="0.2">
      <c r="W1427" s="144"/>
      <c r="X1427" s="113" t="str">
        <f t="shared" si="53"/>
        <v>1w</v>
      </c>
      <c r="Y1427" s="106">
        <f>_xll.qlCalendarAdvance(Calendar,Y1426,X1427,"f",FALSE)</f>
        <v>49199</v>
      </c>
      <c r="Z1427" s="108">
        <f>_xll.qlCalendarAdvance(Calendar,Y1427,0&amp;"D")</f>
        <v>49199</v>
      </c>
      <c r="AA1427" s="109">
        <v>1.4894292297187306E-2</v>
      </c>
      <c r="AB1427" s="143">
        <f t="shared" si="52"/>
        <v>0</v>
      </c>
      <c r="AC1427" s="236" t="e">
        <v>#N/A</v>
      </c>
      <c r="AD1427" s="236">
        <v>1.4894292297187306E-2</v>
      </c>
    </row>
    <row r="1428" spans="23:30" x14ac:dyDescent="0.2">
      <c r="W1428" s="144"/>
      <c r="X1428" s="113" t="str">
        <f t="shared" si="53"/>
        <v>1w</v>
      </c>
      <c r="Y1428" s="106">
        <f>_xll.qlCalendarAdvance(Calendar,Y1427,X1428,"f",FALSE)</f>
        <v>49206</v>
      </c>
      <c r="Z1428" s="108">
        <f>_xll.qlCalendarAdvance(Calendar,Y1428,0&amp;"D")</f>
        <v>49206</v>
      </c>
      <c r="AA1428" s="109">
        <v>1.4884966440940062E-2</v>
      </c>
      <c r="AB1428" s="143">
        <f t="shared" si="52"/>
        <v>0</v>
      </c>
      <c r="AC1428" s="236" t="e">
        <v>#N/A</v>
      </c>
      <c r="AD1428" s="236">
        <v>1.4884966440940062E-2</v>
      </c>
    </row>
    <row r="1429" spans="23:30" x14ac:dyDescent="0.2">
      <c r="W1429" s="144"/>
      <c r="X1429" s="113" t="str">
        <f t="shared" si="53"/>
        <v>1w</v>
      </c>
      <c r="Y1429" s="106">
        <f>_xll.qlCalendarAdvance(Calendar,Y1428,X1429,"f",FALSE)</f>
        <v>49213</v>
      </c>
      <c r="Z1429" s="108">
        <f>_xll.qlCalendarAdvance(Calendar,Y1429,0&amp;"D")</f>
        <v>49213</v>
      </c>
      <c r="AA1429" s="109">
        <v>1.4875609218822916E-2</v>
      </c>
      <c r="AB1429" s="143">
        <f t="shared" ref="AB1429:AB1492" si="54">AA1429-AD1429</f>
        <v>0</v>
      </c>
      <c r="AC1429" s="236" t="e">
        <v>#N/A</v>
      </c>
      <c r="AD1429" s="236">
        <v>1.4875609218822916E-2</v>
      </c>
    </row>
    <row r="1430" spans="23:30" x14ac:dyDescent="0.2">
      <c r="W1430" s="144"/>
      <c r="X1430" s="113" t="str">
        <f t="shared" si="53"/>
        <v>1w</v>
      </c>
      <c r="Y1430" s="106">
        <f>_xll.qlCalendarAdvance(Calendar,Y1429,X1430,"f",FALSE)</f>
        <v>49220</v>
      </c>
      <c r="Z1430" s="108">
        <f>_xll.qlCalendarAdvance(Calendar,Y1430,0&amp;"D")</f>
        <v>49220</v>
      </c>
      <c r="AA1430" s="109">
        <v>1.4866220631075677E-2</v>
      </c>
      <c r="AB1430" s="143">
        <f t="shared" si="54"/>
        <v>0</v>
      </c>
      <c r="AC1430" s="236" t="e">
        <v>#N/A</v>
      </c>
      <c r="AD1430" s="236">
        <v>1.4866220631075677E-2</v>
      </c>
    </row>
    <row r="1431" spans="23:30" x14ac:dyDescent="0.2">
      <c r="W1431" s="144"/>
      <c r="X1431" s="113" t="str">
        <f t="shared" si="53"/>
        <v>1w</v>
      </c>
      <c r="Y1431" s="106">
        <f>_xll.qlCalendarAdvance(Calendar,Y1430,X1431,"f",FALSE)</f>
        <v>49227</v>
      </c>
      <c r="Z1431" s="108">
        <f>_xll.qlCalendarAdvance(Calendar,Y1431,0&amp;"D")</f>
        <v>49227</v>
      </c>
      <c r="AA1431" s="109">
        <v>1.4856800677778281E-2</v>
      </c>
      <c r="AB1431" s="143">
        <f t="shared" si="54"/>
        <v>7.9936057773011271E-14</v>
      </c>
      <c r="AC1431" s="236" t="e">
        <v>#N/A</v>
      </c>
      <c r="AD1431" s="236">
        <v>1.4856800677698345E-2</v>
      </c>
    </row>
    <row r="1432" spans="23:30" x14ac:dyDescent="0.2">
      <c r="W1432" s="144"/>
      <c r="X1432" s="113" t="str">
        <f t="shared" si="53"/>
        <v>1w</v>
      </c>
      <c r="Y1432" s="106">
        <f>_xll.qlCalendarAdvance(Calendar,Y1431,X1432,"f",FALSE)</f>
        <v>49234</v>
      </c>
      <c r="Z1432" s="108">
        <f>_xll.qlCalendarAdvance(Calendar,Y1432,0&amp;"D")</f>
        <v>49234</v>
      </c>
      <c r="AA1432" s="109">
        <v>1.4847349358610984E-2</v>
      </c>
      <c r="AB1432" s="143">
        <f t="shared" si="54"/>
        <v>0</v>
      </c>
      <c r="AC1432" s="236" t="e">
        <v>#N/A</v>
      </c>
      <c r="AD1432" s="236">
        <v>1.4847349358610984E-2</v>
      </c>
    </row>
    <row r="1433" spans="23:30" x14ac:dyDescent="0.2">
      <c r="W1433" s="144"/>
      <c r="X1433" s="113" t="str">
        <f t="shared" si="53"/>
        <v>1w</v>
      </c>
      <c r="Y1433" s="106">
        <f>_xll.qlCalendarAdvance(Calendar,Y1432,X1433,"f",FALSE)</f>
        <v>49241</v>
      </c>
      <c r="Z1433" s="108">
        <f>_xll.qlCalendarAdvance(Calendar,Y1433,0&amp;"D")</f>
        <v>49241</v>
      </c>
      <c r="AA1433" s="109">
        <v>1.4837866673813593E-2</v>
      </c>
      <c r="AB1433" s="143">
        <f t="shared" si="54"/>
        <v>-7.9936057773011271E-14</v>
      </c>
      <c r="AC1433" s="236" t="e">
        <v>#N/A</v>
      </c>
      <c r="AD1433" s="236">
        <v>1.4837866673893529E-2</v>
      </c>
    </row>
    <row r="1434" spans="23:30" x14ac:dyDescent="0.2">
      <c r="W1434" s="144"/>
      <c r="X1434" s="113" t="str">
        <f t="shared" si="53"/>
        <v>1w</v>
      </c>
      <c r="Y1434" s="106">
        <f>_xll.qlCalendarAdvance(Calendar,Y1433,X1434,"f",FALSE)</f>
        <v>49248</v>
      </c>
      <c r="Z1434" s="108">
        <f>_xll.qlCalendarAdvance(Calendar,Y1434,0&amp;"D")</f>
        <v>49248</v>
      </c>
      <c r="AA1434" s="109">
        <v>1.4828352623466046E-2</v>
      </c>
      <c r="AB1434" s="143">
        <f t="shared" si="54"/>
        <v>0</v>
      </c>
      <c r="AC1434" s="236" t="e">
        <v>#N/A</v>
      </c>
      <c r="AD1434" s="236">
        <v>1.4828352623466046E-2</v>
      </c>
    </row>
    <row r="1435" spans="23:30" x14ac:dyDescent="0.2">
      <c r="W1435" s="144"/>
      <c r="X1435" s="113" t="str">
        <f t="shared" si="53"/>
        <v>1w</v>
      </c>
      <c r="Y1435" s="106">
        <f>_xll.qlCalendarAdvance(Calendar,Y1434,X1435,"f",FALSE)</f>
        <v>49255</v>
      </c>
      <c r="Z1435" s="108">
        <f>_xll.qlCalendarAdvance(Calendar,Y1435,0&amp;"D")</f>
        <v>49255</v>
      </c>
      <c r="AA1435" s="109">
        <v>1.4818807207328533E-2</v>
      </c>
      <c r="AB1435" s="143">
        <f t="shared" si="54"/>
        <v>-7.9936057773011271E-14</v>
      </c>
      <c r="AC1435" s="236" t="e">
        <v>#N/A</v>
      </c>
      <c r="AD1435" s="236">
        <v>1.4818807207408469E-2</v>
      </c>
    </row>
    <row r="1436" spans="23:30" x14ac:dyDescent="0.2">
      <c r="W1436" s="144"/>
      <c r="X1436" s="113" t="str">
        <f t="shared" si="53"/>
        <v>1w</v>
      </c>
      <c r="Y1436" s="106">
        <f>_xll.qlCalendarAdvance(Calendar,Y1435,X1436,"f",FALSE)</f>
        <v>49262</v>
      </c>
      <c r="Z1436" s="108">
        <f>_xll.qlCalendarAdvance(Calendar,Y1436,0&amp;"D")</f>
        <v>49262</v>
      </c>
      <c r="AA1436" s="109">
        <v>1.4809230425560926E-2</v>
      </c>
      <c r="AB1436" s="143">
        <f t="shared" si="54"/>
        <v>0</v>
      </c>
      <c r="AC1436" s="236" t="e">
        <v>#N/A</v>
      </c>
      <c r="AD1436" s="236">
        <v>1.4809230425560926E-2</v>
      </c>
    </row>
    <row r="1437" spans="23:30" x14ac:dyDescent="0.2">
      <c r="W1437" s="144"/>
      <c r="X1437" s="113" t="str">
        <f t="shared" si="53"/>
        <v>1w</v>
      </c>
      <c r="Y1437" s="106">
        <f>_xll.qlCalendarAdvance(Calendar,Y1436,X1437,"f",FALSE)</f>
        <v>49269</v>
      </c>
      <c r="Z1437" s="108">
        <f>_xll.qlCalendarAdvance(Calendar,Y1437,0&amp;"D")</f>
        <v>49269</v>
      </c>
      <c r="AA1437" s="109">
        <v>1.4799622278163227E-2</v>
      </c>
      <c r="AB1437" s="143">
        <f t="shared" si="54"/>
        <v>-7.9936057773011271E-14</v>
      </c>
      <c r="AC1437" s="236" t="e">
        <v>#N/A</v>
      </c>
      <c r="AD1437" s="236">
        <v>1.4799622278243163E-2</v>
      </c>
    </row>
    <row r="1438" spans="23:30" x14ac:dyDescent="0.2">
      <c r="W1438" s="144"/>
      <c r="X1438" s="113" t="str">
        <f t="shared" si="53"/>
        <v>1w</v>
      </c>
      <c r="Y1438" s="106">
        <f>_xll.qlCalendarAdvance(Calendar,Y1437,X1438,"f",FALSE)</f>
        <v>49276</v>
      </c>
      <c r="Z1438" s="108">
        <f>_xll.qlCalendarAdvance(Calendar,Y1438,0&amp;"D")</f>
        <v>49276</v>
      </c>
      <c r="AA1438" s="109">
        <v>1.4789982765055498E-2</v>
      </c>
      <c r="AB1438" s="143">
        <f t="shared" si="54"/>
        <v>7.9936057773011271E-14</v>
      </c>
      <c r="AC1438" s="236" t="e">
        <v>#N/A</v>
      </c>
      <c r="AD1438" s="236">
        <v>1.4789982764975562E-2</v>
      </c>
    </row>
    <row r="1439" spans="23:30" x14ac:dyDescent="0.2">
      <c r="W1439" s="144"/>
      <c r="X1439" s="113" t="str">
        <f t="shared" si="53"/>
        <v>1w</v>
      </c>
      <c r="Y1439" s="106">
        <f>_xll.qlCalendarAdvance(Calendar,Y1438,X1439,"f",FALSE)</f>
        <v>49283</v>
      </c>
      <c r="Z1439" s="108">
        <f>_xll.qlCalendarAdvance(Calendar,Y1439,0&amp;"D")</f>
        <v>49283</v>
      </c>
      <c r="AA1439" s="109">
        <v>1.4780311886317676E-2</v>
      </c>
      <c r="AB1439" s="143">
        <f t="shared" si="54"/>
        <v>0</v>
      </c>
      <c r="AC1439" s="236" t="e">
        <v>#N/A</v>
      </c>
      <c r="AD1439" s="236">
        <v>1.4780311886317676E-2</v>
      </c>
    </row>
    <row r="1440" spans="23:30" x14ac:dyDescent="0.2">
      <c r="W1440" s="144"/>
      <c r="X1440" s="113" t="str">
        <f t="shared" si="53"/>
        <v>1w</v>
      </c>
      <c r="Y1440" s="106">
        <f>_xll.qlCalendarAdvance(Calendar,Y1439,X1440,"f",FALSE)</f>
        <v>49290</v>
      </c>
      <c r="Z1440" s="108">
        <f>_xll.qlCalendarAdvance(Calendar,Y1440,0&amp;"D")</f>
        <v>49290</v>
      </c>
      <c r="AA1440" s="109">
        <v>1.4770609641869825E-2</v>
      </c>
      <c r="AB1440" s="143">
        <f t="shared" si="54"/>
        <v>0</v>
      </c>
      <c r="AC1440" s="236" t="e">
        <v>#N/A</v>
      </c>
      <c r="AD1440" s="236">
        <v>1.4770609641869825E-2</v>
      </c>
    </row>
    <row r="1441" spans="23:30" x14ac:dyDescent="0.2">
      <c r="W1441" s="144"/>
      <c r="X1441" s="113" t="str">
        <f t="shared" si="53"/>
        <v>1w</v>
      </c>
      <c r="Y1441" s="106">
        <f>_xll.qlCalendarAdvance(Calendar,Y1440,X1441,"f",FALSE)</f>
        <v>49297</v>
      </c>
      <c r="Z1441" s="108">
        <f>_xll.qlCalendarAdvance(Calendar,Y1441,0&amp;"D")</f>
        <v>49297</v>
      </c>
      <c r="AA1441" s="109">
        <v>1.4760876031711945E-2</v>
      </c>
      <c r="AB1441" s="143">
        <f t="shared" si="54"/>
        <v>0</v>
      </c>
      <c r="AC1441" s="236" t="e">
        <v>#N/A</v>
      </c>
      <c r="AD1441" s="236">
        <v>1.4760876031711945E-2</v>
      </c>
    </row>
    <row r="1442" spans="23:30" x14ac:dyDescent="0.2">
      <c r="W1442" s="144"/>
      <c r="X1442" s="113" t="str">
        <f t="shared" si="53"/>
        <v>1w</v>
      </c>
      <c r="Y1442" s="106">
        <f>_xll.qlCalendarAdvance(Calendar,Y1441,X1442,"f",FALSE)</f>
        <v>49305</v>
      </c>
      <c r="Z1442" s="108">
        <f>_xll.qlCalendarAdvance(Calendar,Y1442,0&amp;"D")</f>
        <v>49305</v>
      </c>
      <c r="AA1442" s="109">
        <v>1.474971349905374E-2</v>
      </c>
      <c r="AB1442" s="143">
        <f t="shared" si="54"/>
        <v>7.9936057773011271E-14</v>
      </c>
      <c r="AC1442" s="236" t="e">
        <v>#N/A</v>
      </c>
      <c r="AD1442" s="236">
        <v>1.4749713498973804E-2</v>
      </c>
    </row>
    <row r="1443" spans="23:30" x14ac:dyDescent="0.2">
      <c r="W1443" s="144"/>
      <c r="X1443" s="113" t="str">
        <f t="shared" si="53"/>
        <v>1w</v>
      </c>
      <c r="Y1443" s="106">
        <f>_xll.qlCalendarAdvance(Calendar,Y1442,X1443,"f",FALSE)</f>
        <v>49312</v>
      </c>
      <c r="Z1443" s="108">
        <f>_xll.qlCalendarAdvance(Calendar,Y1443,0&amp;"D")</f>
        <v>49312</v>
      </c>
      <c r="AA1443" s="109">
        <v>1.4739912676819955E-2</v>
      </c>
      <c r="AB1443" s="143">
        <f t="shared" si="54"/>
        <v>0</v>
      </c>
      <c r="AC1443" s="236" t="e">
        <v>#N/A</v>
      </c>
      <c r="AD1443" s="236">
        <v>1.4739912676819955E-2</v>
      </c>
    </row>
    <row r="1444" spans="23:30" x14ac:dyDescent="0.2">
      <c r="W1444" s="144"/>
      <c r="X1444" s="113" t="str">
        <f t="shared" si="53"/>
        <v>1w</v>
      </c>
      <c r="Y1444" s="106">
        <f>_xll.qlCalendarAdvance(Calendar,Y1443,X1444,"f",FALSE)</f>
        <v>49319</v>
      </c>
      <c r="Z1444" s="108">
        <f>_xll.qlCalendarAdvance(Calendar,Y1444,0&amp;"D")</f>
        <v>49319</v>
      </c>
      <c r="AA1444" s="109">
        <v>1.4730080488956077E-2</v>
      </c>
      <c r="AB1444" s="143">
        <f t="shared" si="54"/>
        <v>0</v>
      </c>
      <c r="AC1444" s="236" t="e">
        <v>#N/A</v>
      </c>
      <c r="AD1444" s="236">
        <v>1.4730080488956077E-2</v>
      </c>
    </row>
    <row r="1445" spans="23:30" x14ac:dyDescent="0.2">
      <c r="W1445" s="144"/>
      <c r="X1445" s="113" t="str">
        <f t="shared" si="53"/>
        <v>1w</v>
      </c>
      <c r="Y1445" s="106">
        <f>_xll.qlCalendarAdvance(Calendar,Y1444,X1445,"f",FALSE)</f>
        <v>49326</v>
      </c>
      <c r="Z1445" s="108">
        <f>_xll.qlCalendarAdvance(Calendar,Y1445,0&amp;"D")</f>
        <v>49326</v>
      </c>
      <c r="AA1445" s="109">
        <v>1.4720216935382169E-2</v>
      </c>
      <c r="AB1445" s="143">
        <f t="shared" si="54"/>
        <v>0</v>
      </c>
      <c r="AC1445" s="236" t="e">
        <v>#N/A</v>
      </c>
      <c r="AD1445" s="236">
        <v>1.4720216935382169E-2</v>
      </c>
    </row>
    <row r="1446" spans="23:30" x14ac:dyDescent="0.2">
      <c r="W1446" s="144"/>
      <c r="X1446" s="113" t="str">
        <f t="shared" si="53"/>
        <v>1w</v>
      </c>
      <c r="Y1446" s="106">
        <f>_xll.qlCalendarAdvance(Calendar,Y1445,X1446,"f",FALSE)</f>
        <v>49333</v>
      </c>
      <c r="Z1446" s="108">
        <f>_xll.qlCalendarAdvance(Calendar,Y1446,0&amp;"D")</f>
        <v>49333</v>
      </c>
      <c r="AA1446" s="109">
        <v>1.471032201633804E-2</v>
      </c>
      <c r="AB1446" s="143">
        <f t="shared" si="54"/>
        <v>0</v>
      </c>
      <c r="AC1446" s="236" t="e">
        <v>#N/A</v>
      </c>
      <c r="AD1446" s="236">
        <v>1.471032201633804E-2</v>
      </c>
    </row>
    <row r="1447" spans="23:30" x14ac:dyDescent="0.2">
      <c r="W1447" s="144"/>
      <c r="X1447" s="113" t="str">
        <f t="shared" si="53"/>
        <v>1w</v>
      </c>
      <c r="Y1447" s="106">
        <f>_xll.qlCalendarAdvance(Calendar,Y1446,X1447,"f",FALSE)</f>
        <v>49340</v>
      </c>
      <c r="Z1447" s="108">
        <f>_xll.qlCalendarAdvance(Calendar,Y1447,0&amp;"D")</f>
        <v>49340</v>
      </c>
      <c r="AA1447" s="109">
        <v>1.4700395731503946E-2</v>
      </c>
      <c r="AB1447" s="143">
        <f t="shared" si="54"/>
        <v>7.9936057773011271E-14</v>
      </c>
      <c r="AC1447" s="236" t="e">
        <v>#N/A</v>
      </c>
      <c r="AD1447" s="236">
        <v>1.470039573142401E-2</v>
      </c>
    </row>
    <row r="1448" spans="23:30" x14ac:dyDescent="0.2">
      <c r="W1448" s="144"/>
      <c r="X1448" s="113" t="str">
        <f t="shared" si="53"/>
        <v>1w</v>
      </c>
      <c r="Y1448" s="106">
        <f>_xll.qlCalendarAdvance(Calendar,Y1447,X1448,"f",FALSE)</f>
        <v>49347</v>
      </c>
      <c r="Z1448" s="108">
        <f>_xll.qlCalendarAdvance(Calendar,Y1448,0&amp;"D")</f>
        <v>49347</v>
      </c>
      <c r="AA1448" s="109">
        <v>1.4690438081039758E-2</v>
      </c>
      <c r="AB1448" s="143">
        <f t="shared" si="54"/>
        <v>0</v>
      </c>
      <c r="AC1448" s="236" t="e">
        <v>#N/A</v>
      </c>
      <c r="AD1448" s="236">
        <v>1.4690438081039758E-2</v>
      </c>
    </row>
    <row r="1449" spans="23:30" x14ac:dyDescent="0.2">
      <c r="W1449" s="144"/>
      <c r="X1449" s="113" t="str">
        <f t="shared" si="53"/>
        <v>1w</v>
      </c>
      <c r="Y1449" s="106">
        <f>_xll.qlCalendarAdvance(Calendar,Y1448,X1449,"f",FALSE)</f>
        <v>49354</v>
      </c>
      <c r="Z1449" s="108">
        <f>_xll.qlCalendarAdvance(Calendar,Y1449,0&amp;"D")</f>
        <v>49354</v>
      </c>
      <c r="AA1449" s="109">
        <v>1.4680449064865542E-2</v>
      </c>
      <c r="AB1449" s="143">
        <f t="shared" si="54"/>
        <v>-7.9936057773011271E-14</v>
      </c>
      <c r="AC1449" s="236" t="e">
        <v>#N/A</v>
      </c>
      <c r="AD1449" s="236">
        <v>1.4680449064945478E-2</v>
      </c>
    </row>
    <row r="1450" spans="23:30" x14ac:dyDescent="0.2">
      <c r="W1450" s="144"/>
      <c r="X1450" s="113" t="str">
        <f t="shared" si="53"/>
        <v>1w</v>
      </c>
      <c r="Y1450" s="106">
        <f>_xll.qlCalendarAdvance(Calendar,Y1449,X1450,"f",FALSE)</f>
        <v>49361</v>
      </c>
      <c r="Z1450" s="108">
        <f>_xll.qlCalendarAdvance(Calendar,Y1450,0&amp;"D")</f>
        <v>49361</v>
      </c>
      <c r="AA1450" s="109">
        <v>1.467042868330104E-2</v>
      </c>
      <c r="AB1450" s="143">
        <f t="shared" si="54"/>
        <v>7.9936057773011271E-14</v>
      </c>
      <c r="AC1450" s="236" t="e">
        <v>#N/A</v>
      </c>
      <c r="AD1450" s="236">
        <v>1.4670428683221104E-2</v>
      </c>
    </row>
    <row r="1451" spans="23:30" x14ac:dyDescent="0.2">
      <c r="W1451" s="144"/>
      <c r="X1451" s="113" t="str">
        <f t="shared" si="53"/>
        <v>1w</v>
      </c>
      <c r="Y1451" s="106">
        <f>_xll.qlCalendarAdvance(Calendar,Y1450,X1451,"f",FALSE)</f>
        <v>49368</v>
      </c>
      <c r="Z1451" s="108">
        <f>_xll.qlCalendarAdvance(Calendar,Y1451,0&amp;"D")</f>
        <v>49368</v>
      </c>
      <c r="AA1451" s="109">
        <v>1.4660376935946573E-2</v>
      </c>
      <c r="AB1451" s="143">
        <f t="shared" si="54"/>
        <v>0</v>
      </c>
      <c r="AC1451" s="236" t="e">
        <v>#N/A</v>
      </c>
      <c r="AD1451" s="236">
        <v>1.4660376935946573E-2</v>
      </c>
    </row>
    <row r="1452" spans="23:30" x14ac:dyDescent="0.2">
      <c r="W1452" s="144"/>
      <c r="X1452" s="113" t="str">
        <f t="shared" si="53"/>
        <v>1w</v>
      </c>
      <c r="Y1452" s="106">
        <f>_xll.qlCalendarAdvance(Calendar,Y1451,X1452,"f",FALSE)</f>
        <v>49375</v>
      </c>
      <c r="Z1452" s="108">
        <f>_xll.qlCalendarAdvance(Calendar,Y1452,0&amp;"D")</f>
        <v>49375</v>
      </c>
      <c r="AA1452" s="109">
        <v>1.4650293822962013E-2</v>
      </c>
      <c r="AB1452" s="143">
        <f t="shared" si="54"/>
        <v>0</v>
      </c>
      <c r="AC1452" s="236" t="e">
        <v>#N/A</v>
      </c>
      <c r="AD1452" s="236">
        <v>1.4650293822962013E-2</v>
      </c>
    </row>
    <row r="1453" spans="23:30" x14ac:dyDescent="0.2">
      <c r="W1453" s="144"/>
      <c r="X1453" s="113" t="str">
        <f t="shared" si="53"/>
        <v>1w</v>
      </c>
      <c r="Y1453" s="106">
        <f>_xll.qlCalendarAdvance(Calendar,Y1452,X1453,"f",FALSE)</f>
        <v>49382</v>
      </c>
      <c r="Z1453" s="108">
        <f>_xll.qlCalendarAdvance(Calendar,Y1453,0&amp;"D")</f>
        <v>49382</v>
      </c>
      <c r="AA1453" s="109">
        <v>1.4640179344427295E-2</v>
      </c>
      <c r="AB1453" s="143">
        <f t="shared" si="54"/>
        <v>0</v>
      </c>
      <c r="AC1453" s="236" t="e">
        <v>#N/A</v>
      </c>
      <c r="AD1453" s="236">
        <v>1.4640179344427295E-2</v>
      </c>
    </row>
    <row r="1454" spans="23:30" x14ac:dyDescent="0.2">
      <c r="W1454" s="144"/>
      <c r="X1454" s="113" t="str">
        <f t="shared" si="53"/>
        <v>1w</v>
      </c>
      <c r="Y1454" s="106">
        <f>_xll.qlCalendarAdvance(Calendar,Y1453,X1454,"f",FALSE)</f>
        <v>49389</v>
      </c>
      <c r="Z1454" s="108">
        <f>_xll.qlCalendarAdvance(Calendar,Y1454,0&amp;"D")</f>
        <v>49389</v>
      </c>
      <c r="AA1454" s="109">
        <v>1.4630033500182549E-2</v>
      </c>
      <c r="AB1454" s="143">
        <f t="shared" si="54"/>
        <v>0</v>
      </c>
      <c r="AC1454" s="236" t="e">
        <v>#N/A</v>
      </c>
      <c r="AD1454" s="236">
        <v>1.4630033500182549E-2</v>
      </c>
    </row>
    <row r="1455" spans="23:30" x14ac:dyDescent="0.2">
      <c r="W1455" s="144"/>
      <c r="X1455" s="113" t="str">
        <f t="shared" si="53"/>
        <v>1w</v>
      </c>
      <c r="Y1455" s="106">
        <f>_xll.qlCalendarAdvance(Calendar,Y1454,X1455,"f",FALSE)</f>
        <v>49396</v>
      </c>
      <c r="Z1455" s="108">
        <f>_xll.qlCalendarAdvance(Calendar,Y1455,0&amp;"D")</f>
        <v>49396</v>
      </c>
      <c r="AA1455" s="109">
        <v>1.4619856290227773E-2</v>
      </c>
      <c r="AB1455" s="143">
        <f t="shared" si="54"/>
        <v>0</v>
      </c>
      <c r="AC1455" s="236" t="e">
        <v>#N/A</v>
      </c>
      <c r="AD1455" s="236">
        <v>1.4619856290227773E-2</v>
      </c>
    </row>
    <row r="1456" spans="23:30" x14ac:dyDescent="0.2">
      <c r="W1456" s="144"/>
      <c r="X1456" s="113" t="str">
        <f t="shared" si="53"/>
        <v>1w</v>
      </c>
      <c r="Y1456" s="106">
        <f>_xll.qlCalendarAdvance(Calendar,Y1455,X1456,"f",FALSE)</f>
        <v>49403</v>
      </c>
      <c r="Z1456" s="108">
        <f>_xll.qlCalendarAdvance(Calendar,Y1456,0&amp;"D")</f>
        <v>49403</v>
      </c>
      <c r="AA1456" s="109">
        <v>1.4609647714802776E-2</v>
      </c>
      <c r="AB1456" s="143">
        <f t="shared" si="54"/>
        <v>0</v>
      </c>
      <c r="AC1456" s="236" t="e">
        <v>#N/A</v>
      </c>
      <c r="AD1456" s="236">
        <v>1.4609647714802776E-2</v>
      </c>
    </row>
    <row r="1457" spans="23:30" x14ac:dyDescent="0.2">
      <c r="W1457" s="144"/>
      <c r="X1457" s="113" t="str">
        <f t="shared" si="53"/>
        <v>1w</v>
      </c>
      <c r="Y1457" s="106">
        <f>_xll.qlCalendarAdvance(Calendar,Y1456,X1457,"f",FALSE)</f>
        <v>49410</v>
      </c>
      <c r="Z1457" s="108">
        <f>_xll.qlCalendarAdvance(Calendar,Y1457,0&amp;"D")</f>
        <v>49410</v>
      </c>
      <c r="AA1457" s="109">
        <v>1.4599407773747686E-2</v>
      </c>
      <c r="AB1457" s="143">
        <f t="shared" si="54"/>
        <v>0</v>
      </c>
      <c r="AC1457" s="236" t="e">
        <v>#N/A</v>
      </c>
      <c r="AD1457" s="236">
        <v>1.4599407773747686E-2</v>
      </c>
    </row>
    <row r="1458" spans="23:30" x14ac:dyDescent="0.2">
      <c r="W1458" s="144"/>
      <c r="X1458" s="113" t="str">
        <f t="shared" si="53"/>
        <v>1w</v>
      </c>
      <c r="Y1458" s="106">
        <f>_xll.qlCalendarAdvance(Calendar,Y1457,X1458,"f",FALSE)</f>
        <v>49417</v>
      </c>
      <c r="Z1458" s="108">
        <f>_xll.qlCalendarAdvance(Calendar,Y1458,0&amp;"D")</f>
        <v>49417</v>
      </c>
      <c r="AA1458" s="109">
        <v>1.4589136467062502E-2</v>
      </c>
      <c r="AB1458" s="143">
        <f t="shared" si="54"/>
        <v>0</v>
      </c>
      <c r="AC1458" s="236" t="e">
        <v>#N/A</v>
      </c>
      <c r="AD1458" s="236">
        <v>1.4589136467062502E-2</v>
      </c>
    </row>
    <row r="1459" spans="23:30" x14ac:dyDescent="0.2">
      <c r="W1459" s="144"/>
      <c r="X1459" s="113" t="str">
        <f t="shared" si="53"/>
        <v>1w</v>
      </c>
      <c r="Y1459" s="106">
        <f>_xll.qlCalendarAdvance(Calendar,Y1458,X1459,"f",FALSE)</f>
        <v>49424</v>
      </c>
      <c r="Z1459" s="108">
        <f>_xll.qlCalendarAdvance(Calendar,Y1459,0&amp;"D")</f>
        <v>49424</v>
      </c>
      <c r="AA1459" s="109">
        <v>1.4578833794747226E-2</v>
      </c>
      <c r="AB1459" s="143">
        <f t="shared" si="54"/>
        <v>-7.9936057773011271E-14</v>
      </c>
      <c r="AC1459" s="236" t="e">
        <v>#N/A</v>
      </c>
      <c r="AD1459" s="236">
        <v>1.4578833794827162E-2</v>
      </c>
    </row>
    <row r="1460" spans="23:30" x14ac:dyDescent="0.2">
      <c r="W1460" s="144"/>
      <c r="X1460" s="113" t="str">
        <f t="shared" si="53"/>
        <v>1w</v>
      </c>
      <c r="Y1460" s="106">
        <f>_xll.qlCalendarAdvance(Calendar,Y1459,X1460,"f",FALSE)</f>
        <v>49431</v>
      </c>
      <c r="Z1460" s="108">
        <f>_xll.qlCalendarAdvance(Calendar,Y1460,0&amp;"D")</f>
        <v>49431</v>
      </c>
      <c r="AA1460" s="109">
        <v>1.4568499756881792E-2</v>
      </c>
      <c r="AB1460" s="143">
        <f t="shared" si="54"/>
        <v>7.9936057773011271E-14</v>
      </c>
      <c r="AC1460" s="236" t="e">
        <v>#N/A</v>
      </c>
      <c r="AD1460" s="236">
        <v>1.4568499756801856E-2</v>
      </c>
    </row>
    <row r="1461" spans="23:30" x14ac:dyDescent="0.2">
      <c r="W1461" s="144"/>
      <c r="X1461" s="113" t="str">
        <f t="shared" si="53"/>
        <v>1w</v>
      </c>
      <c r="Y1461" s="106">
        <f>_xll.qlCalendarAdvance(Calendar,Y1460,X1461,"f",FALSE)</f>
        <v>49438</v>
      </c>
      <c r="Z1461" s="108">
        <f>_xll.qlCalendarAdvance(Calendar,Y1461,0&amp;"D")</f>
        <v>49438</v>
      </c>
      <c r="AA1461" s="109">
        <v>1.4558134353306329E-2</v>
      </c>
      <c r="AB1461" s="143">
        <f t="shared" si="54"/>
        <v>0</v>
      </c>
      <c r="AC1461" s="236" t="e">
        <v>#N/A</v>
      </c>
      <c r="AD1461" s="236">
        <v>1.4558134353306329E-2</v>
      </c>
    </row>
    <row r="1462" spans="23:30" x14ac:dyDescent="0.2">
      <c r="W1462" s="144"/>
      <c r="X1462" s="113" t="str">
        <f t="shared" si="53"/>
        <v>1w</v>
      </c>
      <c r="Y1462" s="106">
        <f>_xll.qlCalendarAdvance(Calendar,Y1461,X1462,"f",FALSE)</f>
        <v>49445</v>
      </c>
      <c r="Z1462" s="108">
        <f>_xll.qlCalendarAdvance(Calendar,Y1462,0&amp;"D")</f>
        <v>49445</v>
      </c>
      <c r="AA1462" s="109">
        <v>1.4547737584260645E-2</v>
      </c>
      <c r="AB1462" s="143">
        <f t="shared" si="54"/>
        <v>0</v>
      </c>
      <c r="AC1462" s="236" t="e">
        <v>#N/A</v>
      </c>
      <c r="AD1462" s="236">
        <v>1.4547737584260645E-2</v>
      </c>
    </row>
    <row r="1463" spans="23:30" x14ac:dyDescent="0.2">
      <c r="W1463" s="144"/>
      <c r="X1463" s="113" t="str">
        <f t="shared" si="53"/>
        <v>1w</v>
      </c>
      <c r="Y1463" s="106">
        <f>_xll.qlCalendarAdvance(Calendar,Y1462,X1463,"f",FALSE)</f>
        <v>49452</v>
      </c>
      <c r="Z1463" s="108">
        <f>_xll.qlCalendarAdvance(Calendar,Y1463,0&amp;"D")</f>
        <v>49452</v>
      </c>
      <c r="AA1463" s="109">
        <v>1.4537309449584868E-2</v>
      </c>
      <c r="AB1463" s="143">
        <f t="shared" si="54"/>
        <v>7.9936057773011271E-14</v>
      </c>
      <c r="AC1463" s="236" t="e">
        <v>#N/A</v>
      </c>
      <c r="AD1463" s="236">
        <v>1.4537309449504932E-2</v>
      </c>
    </row>
    <row r="1464" spans="23:30" x14ac:dyDescent="0.2">
      <c r="W1464" s="144"/>
      <c r="X1464" s="113" t="str">
        <f t="shared" si="53"/>
        <v>1w</v>
      </c>
      <c r="Y1464" s="106">
        <f>_xll.qlCalendarAdvance(Calendar,Y1463,X1464,"f",FALSE)</f>
        <v>49459</v>
      </c>
      <c r="Z1464" s="108">
        <f>_xll.qlCalendarAdvance(Calendar,Y1464,0&amp;"D")</f>
        <v>49459</v>
      </c>
      <c r="AA1464" s="109">
        <v>1.4526849949199061E-2</v>
      </c>
      <c r="AB1464" s="143">
        <f t="shared" si="54"/>
        <v>0</v>
      </c>
      <c r="AC1464" s="236" t="e">
        <v>#N/A</v>
      </c>
      <c r="AD1464" s="236">
        <v>1.4526849949199061E-2</v>
      </c>
    </row>
    <row r="1465" spans="23:30" x14ac:dyDescent="0.2">
      <c r="W1465" s="144"/>
      <c r="X1465" s="113" t="str">
        <f t="shared" si="53"/>
        <v>1w</v>
      </c>
      <c r="Y1465" s="106">
        <f>_xll.qlCalendarAdvance(Calendar,Y1464,X1465,"f",FALSE)</f>
        <v>49466</v>
      </c>
      <c r="Z1465" s="108">
        <f>_xll.qlCalendarAdvance(Calendar,Y1465,0&amp;"D")</f>
        <v>49466</v>
      </c>
      <c r="AA1465" s="109">
        <v>1.4516381975671067E-2</v>
      </c>
      <c r="AB1465" s="143">
        <f t="shared" si="54"/>
        <v>7.9936057773011271E-14</v>
      </c>
      <c r="AC1465" s="236" t="e">
        <v>#N/A</v>
      </c>
      <c r="AD1465" s="236">
        <v>1.4516381975591131E-2</v>
      </c>
    </row>
    <row r="1466" spans="23:30" x14ac:dyDescent="0.2">
      <c r="W1466" s="144"/>
      <c r="X1466" s="113" t="str">
        <f t="shared" si="53"/>
        <v>1w</v>
      </c>
      <c r="Y1466" s="106">
        <f>_xll.qlCalendarAdvance(Calendar,Y1465,X1466,"f",FALSE)</f>
        <v>49473</v>
      </c>
      <c r="Z1466" s="108">
        <f>_xll.qlCalendarAdvance(Calendar,Y1466,0&amp;"D")</f>
        <v>49473</v>
      </c>
      <c r="AA1466" s="109">
        <v>1.4505954835239976E-2</v>
      </c>
      <c r="AB1466" s="143">
        <f t="shared" si="54"/>
        <v>0</v>
      </c>
      <c r="AC1466" s="236" t="e">
        <v>#N/A</v>
      </c>
      <c r="AD1466" s="236">
        <v>1.4505954835239976E-2</v>
      </c>
    </row>
    <row r="1467" spans="23:30" x14ac:dyDescent="0.2">
      <c r="W1467" s="144"/>
      <c r="X1467" s="113" t="str">
        <f t="shared" si="53"/>
        <v>1w</v>
      </c>
      <c r="Y1467" s="106">
        <f>_xll.qlCalendarAdvance(Calendar,Y1466,X1467,"f",FALSE)</f>
        <v>49480</v>
      </c>
      <c r="Z1467" s="108">
        <f>_xll.qlCalendarAdvance(Calendar,Y1467,0&amp;"D")</f>
        <v>49480</v>
      </c>
      <c r="AA1467" s="109">
        <v>1.449557028913695E-2</v>
      </c>
      <c r="AB1467" s="143">
        <f t="shared" si="54"/>
        <v>0</v>
      </c>
      <c r="AC1467" s="236" t="e">
        <v>#N/A</v>
      </c>
      <c r="AD1467" s="236">
        <v>1.449557028913695E-2</v>
      </c>
    </row>
    <row r="1468" spans="23:30" x14ac:dyDescent="0.2">
      <c r="W1468" s="144"/>
      <c r="X1468" s="113" t="str">
        <f t="shared" si="53"/>
        <v>1w</v>
      </c>
      <c r="Y1468" s="106">
        <f>_xll.qlCalendarAdvance(Calendar,Y1467,X1468,"f",FALSE)</f>
        <v>49487</v>
      </c>
      <c r="Z1468" s="108">
        <f>_xll.qlCalendarAdvance(Calendar,Y1468,0&amp;"D")</f>
        <v>49487</v>
      </c>
      <c r="AA1468" s="109">
        <v>1.4485228337202116E-2</v>
      </c>
      <c r="AB1468" s="143">
        <f t="shared" si="54"/>
        <v>7.9936057773011271E-14</v>
      </c>
      <c r="AC1468" s="236" t="e">
        <v>#N/A</v>
      </c>
      <c r="AD1468" s="236">
        <v>1.448522833712218E-2</v>
      </c>
    </row>
    <row r="1469" spans="23:30" x14ac:dyDescent="0.2">
      <c r="W1469" s="144"/>
      <c r="X1469" s="113" t="str">
        <f t="shared" si="53"/>
        <v>1w</v>
      </c>
      <c r="Y1469" s="106">
        <f>_xll.qlCalendarAdvance(Calendar,Y1468,X1469,"f",FALSE)</f>
        <v>49494</v>
      </c>
      <c r="Z1469" s="108">
        <f>_xll.qlCalendarAdvance(Calendar,Y1469,0&amp;"D")</f>
        <v>49494</v>
      </c>
      <c r="AA1469" s="109">
        <v>1.4474928979435475E-2</v>
      </c>
      <c r="AB1469" s="143">
        <f t="shared" si="54"/>
        <v>0</v>
      </c>
      <c r="AC1469" s="236" t="e">
        <v>#N/A</v>
      </c>
      <c r="AD1469" s="236">
        <v>1.4474928979435475E-2</v>
      </c>
    </row>
    <row r="1470" spans="23:30" x14ac:dyDescent="0.2">
      <c r="W1470" s="144"/>
      <c r="X1470" s="113" t="str">
        <f t="shared" si="53"/>
        <v>1w</v>
      </c>
      <c r="Y1470" s="106">
        <f>_xll.qlCalendarAdvance(Calendar,Y1469,X1470,"f",FALSE)</f>
        <v>49501</v>
      </c>
      <c r="Z1470" s="108">
        <f>_xll.qlCalendarAdvance(Calendar,Y1470,0&amp;"D")</f>
        <v>49501</v>
      </c>
      <c r="AA1470" s="109">
        <v>1.4464672215757091E-2</v>
      </c>
      <c r="AB1470" s="143">
        <f t="shared" si="54"/>
        <v>-7.9936057773011271E-14</v>
      </c>
      <c r="AC1470" s="236" t="e">
        <v>#N/A</v>
      </c>
      <c r="AD1470" s="236">
        <v>1.4464672215837027E-2</v>
      </c>
    </row>
    <row r="1471" spans="23:30" x14ac:dyDescent="0.2">
      <c r="W1471" s="144"/>
      <c r="X1471" s="113" t="str">
        <f t="shared" si="53"/>
        <v>1w</v>
      </c>
      <c r="Y1471" s="106">
        <f>_xll.qlCalendarAdvance(Calendar,Y1470,X1471,"f",FALSE)</f>
        <v>49508</v>
      </c>
      <c r="Z1471" s="108">
        <f>_xll.qlCalendarAdvance(Calendar,Y1471,0&amp;"D")</f>
        <v>49508</v>
      </c>
      <c r="AA1471" s="109">
        <v>1.4454458046326835E-2</v>
      </c>
      <c r="AB1471" s="143">
        <f t="shared" si="54"/>
        <v>0</v>
      </c>
      <c r="AC1471" s="236" t="e">
        <v>#N/A</v>
      </c>
      <c r="AD1471" s="236">
        <v>1.4454458046326835E-2</v>
      </c>
    </row>
    <row r="1472" spans="23:30" x14ac:dyDescent="0.2">
      <c r="W1472" s="144"/>
      <c r="X1472" s="113" t="str">
        <f t="shared" si="53"/>
        <v>1w</v>
      </c>
      <c r="Y1472" s="106">
        <f>_xll.qlCalendarAdvance(Calendar,Y1471,X1472,"f",FALSE)</f>
        <v>49515</v>
      </c>
      <c r="Z1472" s="108">
        <f>_xll.qlCalendarAdvance(Calendar,Y1472,0&amp;"D")</f>
        <v>49515</v>
      </c>
      <c r="AA1472" s="109">
        <v>1.4444286470984835E-2</v>
      </c>
      <c r="AB1472" s="143">
        <f t="shared" si="54"/>
        <v>-7.9936057773011271E-14</v>
      </c>
      <c r="AC1472" s="236" t="e">
        <v>#N/A</v>
      </c>
      <c r="AD1472" s="236">
        <v>1.4444286471064771E-2</v>
      </c>
    </row>
    <row r="1473" spans="23:30" x14ac:dyDescent="0.2">
      <c r="W1473" s="144"/>
      <c r="X1473" s="113" t="str">
        <f t="shared" si="53"/>
        <v>1w</v>
      </c>
      <c r="Y1473" s="106">
        <f>_xll.qlCalendarAdvance(Calendar,Y1472,X1473,"f",FALSE)</f>
        <v>49522</v>
      </c>
      <c r="Z1473" s="108">
        <f>_xll.qlCalendarAdvance(Calendar,Y1473,0&amp;"D")</f>
        <v>49522</v>
      </c>
      <c r="AA1473" s="109">
        <v>1.4434157490050836E-2</v>
      </c>
      <c r="AB1473" s="143">
        <f t="shared" si="54"/>
        <v>0</v>
      </c>
      <c r="AC1473" s="236" t="e">
        <v>#N/A</v>
      </c>
      <c r="AD1473" s="236">
        <v>1.4434157490050836E-2</v>
      </c>
    </row>
    <row r="1474" spans="23:30" x14ac:dyDescent="0.2">
      <c r="W1474" s="144"/>
      <c r="X1474" s="113" t="str">
        <f t="shared" si="53"/>
        <v>1w</v>
      </c>
      <c r="Y1474" s="106">
        <f>_xll.qlCalendarAdvance(Calendar,Y1473,X1474,"f",FALSE)</f>
        <v>49529</v>
      </c>
      <c r="Z1474" s="108">
        <f>_xll.qlCalendarAdvance(Calendar,Y1474,0&amp;"D")</f>
        <v>49529</v>
      </c>
      <c r="AA1474" s="109">
        <v>1.4424071103125158E-2</v>
      </c>
      <c r="AB1474" s="143">
        <f t="shared" si="54"/>
        <v>0</v>
      </c>
      <c r="AC1474" s="236" t="e">
        <v>#N/A</v>
      </c>
      <c r="AD1474" s="236">
        <v>1.4424071103125158E-2</v>
      </c>
    </row>
    <row r="1475" spans="23:30" x14ac:dyDescent="0.2">
      <c r="W1475" s="144"/>
      <c r="X1475" s="113" t="str">
        <f t="shared" si="53"/>
        <v>1w</v>
      </c>
      <c r="Y1475" s="106">
        <f>_xll.qlCalendarAdvance(Calendar,Y1474,X1475,"f",FALSE)</f>
        <v>49536</v>
      </c>
      <c r="Z1475" s="108">
        <f>_xll.qlCalendarAdvance(Calendar,Y1475,0&amp;"D")</f>
        <v>49536</v>
      </c>
      <c r="AA1475" s="109">
        <v>1.4414027310287736E-2</v>
      </c>
      <c r="AB1475" s="143">
        <f t="shared" si="54"/>
        <v>0</v>
      </c>
      <c r="AC1475" s="236" t="e">
        <v>#N/A</v>
      </c>
      <c r="AD1475" s="236">
        <v>1.4414027310287736E-2</v>
      </c>
    </row>
    <row r="1476" spans="23:30" x14ac:dyDescent="0.2">
      <c r="W1476" s="144"/>
      <c r="X1476" s="113" t="str">
        <f t="shared" si="53"/>
        <v>1w</v>
      </c>
      <c r="Y1476" s="106">
        <f>_xll.qlCalendarAdvance(Calendar,Y1475,X1476,"f",FALSE)</f>
        <v>49543</v>
      </c>
      <c r="Z1476" s="108">
        <f>_xll.qlCalendarAdvance(Calendar,Y1476,0&amp;"D")</f>
        <v>49543</v>
      </c>
      <c r="AA1476" s="109">
        <v>1.4404026111698442E-2</v>
      </c>
      <c r="AB1476" s="143">
        <f t="shared" si="54"/>
        <v>0</v>
      </c>
      <c r="AC1476" s="236" t="e">
        <v>#N/A</v>
      </c>
      <c r="AD1476" s="236">
        <v>1.4404026111698442E-2</v>
      </c>
    </row>
    <row r="1477" spans="23:30" x14ac:dyDescent="0.2">
      <c r="W1477" s="144"/>
      <c r="X1477" s="113" t="str">
        <f t="shared" si="53"/>
        <v>1w</v>
      </c>
      <c r="Y1477" s="106">
        <f>_xll.qlCalendarAdvance(Calendar,Y1476,X1477,"f",FALSE)</f>
        <v>49550</v>
      </c>
      <c r="Z1477" s="108">
        <f>_xll.qlCalendarAdvance(Calendar,Y1477,0&amp;"D")</f>
        <v>49550</v>
      </c>
      <c r="AA1477" s="109">
        <v>1.4394067507277342E-2</v>
      </c>
      <c r="AB1477" s="143">
        <f t="shared" si="54"/>
        <v>7.9936057773011271E-14</v>
      </c>
      <c r="AC1477" s="236" t="e">
        <v>#N/A</v>
      </c>
      <c r="AD1477" s="236">
        <v>1.4394067507197406E-2</v>
      </c>
    </row>
    <row r="1478" spans="23:30" x14ac:dyDescent="0.2">
      <c r="W1478" s="144"/>
      <c r="X1478" s="113" t="str">
        <f t="shared" si="53"/>
        <v>1w</v>
      </c>
      <c r="Y1478" s="106">
        <f>_xll.qlCalendarAdvance(Calendar,Y1477,X1478,"f",FALSE)</f>
        <v>49557</v>
      </c>
      <c r="Z1478" s="108">
        <f>_xll.qlCalendarAdvance(Calendar,Y1478,0&amp;"D")</f>
        <v>49557</v>
      </c>
      <c r="AA1478" s="109">
        <v>1.4384151497104369E-2</v>
      </c>
      <c r="AB1478" s="143">
        <f t="shared" si="54"/>
        <v>7.9936057773011271E-14</v>
      </c>
      <c r="AC1478" s="236" t="e">
        <v>#N/A</v>
      </c>
      <c r="AD1478" s="236">
        <v>1.4384151497024433E-2</v>
      </c>
    </row>
    <row r="1479" spans="23:30" x14ac:dyDescent="0.2">
      <c r="W1479" s="144"/>
      <c r="X1479" s="113" t="str">
        <f t="shared" si="53"/>
        <v>1w</v>
      </c>
      <c r="Y1479" s="106">
        <f>_xll.qlCalendarAdvance(Calendar,Y1478,X1479,"f",FALSE)</f>
        <v>49564</v>
      </c>
      <c r="Z1479" s="108">
        <f>_xll.qlCalendarAdvance(Calendar,Y1479,0&amp;"D")</f>
        <v>49564</v>
      </c>
      <c r="AA1479" s="109">
        <v>1.4374278080859781E-2</v>
      </c>
      <c r="AB1479" s="143">
        <f t="shared" si="54"/>
        <v>0</v>
      </c>
      <c r="AC1479" s="236" t="e">
        <v>#N/A</v>
      </c>
      <c r="AD1479" s="236">
        <v>1.4374278080859781E-2</v>
      </c>
    </row>
    <row r="1480" spans="23:30" x14ac:dyDescent="0.2">
      <c r="W1480" s="144"/>
      <c r="X1480" s="113" t="str">
        <f t="shared" si="53"/>
        <v>1w</v>
      </c>
      <c r="Y1480" s="106">
        <f>_xll.qlCalendarAdvance(Calendar,Y1479,X1480,"f",FALSE)</f>
        <v>49571</v>
      </c>
      <c r="Z1480" s="108">
        <f>_xll.qlCalendarAdvance(Calendar,Y1480,0&amp;"D")</f>
        <v>49571</v>
      </c>
      <c r="AA1480" s="109">
        <v>1.4364447258783386E-2</v>
      </c>
      <c r="AB1480" s="143">
        <f t="shared" si="54"/>
        <v>0</v>
      </c>
      <c r="AC1480" s="236" t="e">
        <v>#N/A</v>
      </c>
      <c r="AD1480" s="236">
        <v>1.4364447258783386E-2</v>
      </c>
    </row>
    <row r="1481" spans="23:30" x14ac:dyDescent="0.2">
      <c r="W1481" s="144"/>
      <c r="X1481" s="113" t="str">
        <f t="shared" si="53"/>
        <v>1w</v>
      </c>
      <c r="Y1481" s="106">
        <f>_xll.qlCalendarAdvance(Calendar,Y1480,X1481,"f",FALSE)</f>
        <v>49578</v>
      </c>
      <c r="Z1481" s="108">
        <f>_xll.qlCalendarAdvance(Calendar,Y1481,0&amp;"D")</f>
        <v>49578</v>
      </c>
      <c r="AA1481" s="109">
        <v>1.4354659030955119E-2</v>
      </c>
      <c r="AB1481" s="143">
        <f t="shared" si="54"/>
        <v>0</v>
      </c>
      <c r="AC1481" s="236" t="e">
        <v>#N/A</v>
      </c>
      <c r="AD1481" s="236">
        <v>1.4354659030955119E-2</v>
      </c>
    </row>
    <row r="1482" spans="23:30" x14ac:dyDescent="0.2">
      <c r="W1482" s="144"/>
      <c r="X1482" s="113" t="str">
        <f t="shared" si="53"/>
        <v>1w</v>
      </c>
      <c r="Y1482" s="106">
        <f>_xll.qlCalendarAdvance(Calendar,Y1481,X1482,"f",FALSE)</f>
        <v>49585</v>
      </c>
      <c r="Z1482" s="108">
        <f>_xll.qlCalendarAdvance(Calendar,Y1482,0&amp;"D")</f>
        <v>49585</v>
      </c>
      <c r="AA1482" s="109">
        <v>1.4344913397215109E-2</v>
      </c>
      <c r="AB1482" s="143">
        <f t="shared" si="54"/>
        <v>0</v>
      </c>
      <c r="AC1482" s="236" t="e">
        <v>#N/A</v>
      </c>
      <c r="AD1482" s="236">
        <v>1.4344913397215109E-2</v>
      </c>
    </row>
    <row r="1483" spans="23:30" x14ac:dyDescent="0.2">
      <c r="W1483" s="144"/>
      <c r="X1483" s="113" t="str">
        <f t="shared" si="53"/>
        <v>1w</v>
      </c>
      <c r="Y1483" s="106">
        <f>_xll.qlCalendarAdvance(Calendar,Y1482,X1483,"f",FALSE)</f>
        <v>49592</v>
      </c>
      <c r="Z1483" s="108">
        <f>_xll.qlCalendarAdvance(Calendar,Y1483,0&amp;"D")</f>
        <v>49592</v>
      </c>
      <c r="AA1483" s="109">
        <v>1.4335210357563355E-2</v>
      </c>
      <c r="AB1483" s="143">
        <f t="shared" si="54"/>
        <v>0</v>
      </c>
      <c r="AC1483" s="236" t="e">
        <v>#N/A</v>
      </c>
      <c r="AD1483" s="236">
        <v>1.4335210357563355E-2</v>
      </c>
    </row>
    <row r="1484" spans="23:30" x14ac:dyDescent="0.2">
      <c r="W1484" s="144"/>
      <c r="X1484" s="113" t="str">
        <f t="shared" si="53"/>
        <v>1w</v>
      </c>
      <c r="Y1484" s="106">
        <f>_xll.qlCalendarAdvance(Calendar,Y1483,X1484,"f",FALSE)</f>
        <v>49599</v>
      </c>
      <c r="Z1484" s="108">
        <f>_xll.qlCalendarAdvance(Calendar,Y1484,0&amp;"D")</f>
        <v>49599</v>
      </c>
      <c r="AA1484" s="109">
        <v>1.432554991215973E-2</v>
      </c>
      <c r="AB1484" s="143">
        <f t="shared" si="54"/>
        <v>0</v>
      </c>
      <c r="AC1484" s="236" t="e">
        <v>#N/A</v>
      </c>
      <c r="AD1484" s="236">
        <v>1.432554991215973E-2</v>
      </c>
    </row>
    <row r="1485" spans="23:30" x14ac:dyDescent="0.2">
      <c r="W1485" s="144"/>
      <c r="X1485" s="113" t="str">
        <f t="shared" ref="X1485:X1548" si="55">X1484</f>
        <v>1w</v>
      </c>
      <c r="Y1485" s="106">
        <f>_xll.qlCalendarAdvance(Calendar,Y1484,X1485,"f",FALSE)</f>
        <v>49606</v>
      </c>
      <c r="Z1485" s="108">
        <f>_xll.qlCalendarAdvance(Calendar,Y1485,0&amp;"D")</f>
        <v>49606</v>
      </c>
      <c r="AA1485" s="109">
        <v>1.4315932060924297E-2</v>
      </c>
      <c r="AB1485" s="143">
        <f t="shared" si="54"/>
        <v>0</v>
      </c>
      <c r="AC1485" s="236" t="e">
        <v>#N/A</v>
      </c>
      <c r="AD1485" s="236">
        <v>1.4315932060924297E-2</v>
      </c>
    </row>
    <row r="1486" spans="23:30" x14ac:dyDescent="0.2">
      <c r="W1486" s="144"/>
      <c r="X1486" s="113" t="str">
        <f t="shared" si="55"/>
        <v>1w</v>
      </c>
      <c r="Y1486" s="106">
        <f>_xll.qlCalendarAdvance(Calendar,Y1485,X1486,"f",FALSE)</f>
        <v>49613</v>
      </c>
      <c r="Z1486" s="108">
        <f>_xll.qlCalendarAdvance(Calendar,Y1486,0&amp;"D")</f>
        <v>49613</v>
      </c>
      <c r="AA1486" s="109">
        <v>1.4306356803617248E-2</v>
      </c>
      <c r="AB1486" s="143">
        <f t="shared" si="54"/>
        <v>0</v>
      </c>
      <c r="AC1486" s="236" t="e">
        <v>#N/A</v>
      </c>
      <c r="AD1486" s="236">
        <v>1.4306356803617248E-2</v>
      </c>
    </row>
    <row r="1487" spans="23:30" x14ac:dyDescent="0.2">
      <c r="W1487" s="144"/>
      <c r="X1487" s="113" t="str">
        <f t="shared" si="55"/>
        <v>1w</v>
      </c>
      <c r="Y1487" s="106">
        <f>_xll.qlCalendarAdvance(Calendar,Y1486,X1487,"f",FALSE)</f>
        <v>49620</v>
      </c>
      <c r="Z1487" s="108">
        <f>_xll.qlCalendarAdvance(Calendar,Y1487,0&amp;"D")</f>
        <v>49620</v>
      </c>
      <c r="AA1487" s="109">
        <v>1.4296824140558329E-2</v>
      </c>
      <c r="AB1487" s="143">
        <f t="shared" si="54"/>
        <v>7.9936057773011271E-14</v>
      </c>
      <c r="AC1487" s="236" t="e">
        <v>#N/A</v>
      </c>
      <c r="AD1487" s="236">
        <v>1.4296824140478392E-2</v>
      </c>
    </row>
    <row r="1488" spans="23:30" x14ac:dyDescent="0.2">
      <c r="W1488" s="144"/>
      <c r="X1488" s="113" t="str">
        <f t="shared" si="55"/>
        <v>1w</v>
      </c>
      <c r="Y1488" s="106">
        <f>_xll.qlCalendarAdvance(Calendar,Y1487,X1488,"f",FALSE)</f>
        <v>49627</v>
      </c>
      <c r="Z1488" s="108">
        <f>_xll.qlCalendarAdvance(Calendar,Y1488,0&amp;"D")</f>
        <v>49627</v>
      </c>
      <c r="AA1488" s="109">
        <v>1.4287334071507729E-2</v>
      </c>
      <c r="AB1488" s="143">
        <f t="shared" si="54"/>
        <v>0</v>
      </c>
      <c r="AC1488" s="236" t="e">
        <v>#N/A</v>
      </c>
      <c r="AD1488" s="236">
        <v>1.4287334071507729E-2</v>
      </c>
    </row>
    <row r="1489" spans="23:30" x14ac:dyDescent="0.2">
      <c r="W1489" s="144"/>
      <c r="X1489" s="113" t="str">
        <f t="shared" si="55"/>
        <v>1w</v>
      </c>
      <c r="Y1489" s="106">
        <f>_xll.qlCalendarAdvance(Calendar,Y1488,X1489,"f",FALSE)</f>
        <v>49634</v>
      </c>
      <c r="Z1489" s="108">
        <f>_xll.qlCalendarAdvance(Calendar,Y1489,0&amp;"D")</f>
        <v>49634</v>
      </c>
      <c r="AA1489" s="109">
        <v>1.4277886596705258E-2</v>
      </c>
      <c r="AB1489" s="143">
        <f t="shared" si="54"/>
        <v>-7.9936057773011271E-14</v>
      </c>
      <c r="AC1489" s="236" t="e">
        <v>#N/A</v>
      </c>
      <c r="AD1489" s="236">
        <v>1.4277886596785194E-2</v>
      </c>
    </row>
    <row r="1490" spans="23:30" x14ac:dyDescent="0.2">
      <c r="W1490" s="144"/>
      <c r="X1490" s="113" t="str">
        <f t="shared" si="55"/>
        <v>1w</v>
      </c>
      <c r="Y1490" s="106">
        <f>_xll.qlCalendarAdvance(Calendar,Y1489,X1490,"f",FALSE)</f>
        <v>49641</v>
      </c>
      <c r="Z1490" s="108">
        <f>_xll.qlCalendarAdvance(Calendar,Y1490,0&amp;"D")</f>
        <v>49641</v>
      </c>
      <c r="AA1490" s="109">
        <v>1.4268481715911108E-2</v>
      </c>
      <c r="AB1490" s="143">
        <f t="shared" si="54"/>
        <v>0</v>
      </c>
      <c r="AC1490" s="236" t="e">
        <v>#N/A</v>
      </c>
      <c r="AD1490" s="236">
        <v>1.4268481715911108E-2</v>
      </c>
    </row>
    <row r="1491" spans="23:30" x14ac:dyDescent="0.2">
      <c r="W1491" s="144"/>
      <c r="X1491" s="113" t="str">
        <f t="shared" si="55"/>
        <v>1w</v>
      </c>
      <c r="Y1491" s="106">
        <f>_xll.qlCalendarAdvance(Calendar,Y1490,X1491,"f",FALSE)</f>
        <v>49648</v>
      </c>
      <c r="Z1491" s="108">
        <f>_xll.qlCalendarAdvance(Calendar,Y1491,0&amp;"D")</f>
        <v>49648</v>
      </c>
      <c r="AA1491" s="109">
        <v>1.425911942928515E-2</v>
      </c>
      <c r="AB1491" s="143">
        <f t="shared" si="54"/>
        <v>0</v>
      </c>
      <c r="AC1491" s="236" t="e">
        <v>#N/A</v>
      </c>
      <c r="AD1491" s="236">
        <v>1.425911942928515E-2</v>
      </c>
    </row>
    <row r="1492" spans="23:30" x14ac:dyDescent="0.2">
      <c r="W1492" s="144"/>
      <c r="X1492" s="113" t="str">
        <f t="shared" si="55"/>
        <v>1w</v>
      </c>
      <c r="Y1492" s="106">
        <f>_xll.qlCalendarAdvance(Calendar,Y1491,X1492,"f",FALSE)</f>
        <v>49655</v>
      </c>
      <c r="Z1492" s="108">
        <f>_xll.qlCalendarAdvance(Calendar,Y1492,0&amp;"D")</f>
        <v>49655</v>
      </c>
      <c r="AA1492" s="109">
        <v>1.4249799736667512E-2</v>
      </c>
      <c r="AB1492" s="143">
        <f t="shared" si="54"/>
        <v>0</v>
      </c>
      <c r="AC1492" s="236" t="e">
        <v>#N/A</v>
      </c>
      <c r="AD1492" s="236">
        <v>1.4249799736667512E-2</v>
      </c>
    </row>
    <row r="1493" spans="23:30" x14ac:dyDescent="0.2">
      <c r="W1493" s="144"/>
      <c r="X1493" s="113" t="str">
        <f t="shared" si="55"/>
        <v>1w</v>
      </c>
      <c r="Y1493" s="106">
        <f>_xll.qlCalendarAdvance(Calendar,Y1492,X1493,"f",FALSE)</f>
        <v>49662</v>
      </c>
      <c r="Z1493" s="108">
        <f>_xll.qlCalendarAdvance(Calendar,Y1493,0&amp;"D")</f>
        <v>49662</v>
      </c>
      <c r="AA1493" s="109">
        <v>1.4240522638218067E-2</v>
      </c>
      <c r="AB1493" s="143">
        <f t="shared" ref="AB1493:AB1556" si="56">AA1493-AD1493</f>
        <v>0</v>
      </c>
      <c r="AC1493" s="236" t="e">
        <v>#N/A</v>
      </c>
      <c r="AD1493" s="236">
        <v>1.4240522638218067E-2</v>
      </c>
    </row>
    <row r="1494" spans="23:30" x14ac:dyDescent="0.2">
      <c r="W1494" s="144"/>
      <c r="X1494" s="113" t="str">
        <f t="shared" si="55"/>
        <v>1w</v>
      </c>
      <c r="Y1494" s="106">
        <f>_xll.qlCalendarAdvance(Calendar,Y1493,X1494,"f",FALSE)</f>
        <v>49670</v>
      </c>
      <c r="Z1494" s="108">
        <f>_xll.qlCalendarAdvance(Calendar,Y1494,0&amp;"D")</f>
        <v>49670</v>
      </c>
      <c r="AA1494" s="109">
        <v>1.422997239617807E-2</v>
      </c>
      <c r="AB1494" s="143">
        <f t="shared" si="56"/>
        <v>7.9936057773011271E-14</v>
      </c>
      <c r="AC1494" s="236" t="e">
        <v>#N/A</v>
      </c>
      <c r="AD1494" s="236">
        <v>1.4229972396098134E-2</v>
      </c>
    </row>
    <row r="1495" spans="23:30" x14ac:dyDescent="0.2">
      <c r="W1495" s="144"/>
      <c r="X1495" s="113" t="str">
        <f t="shared" si="55"/>
        <v>1w</v>
      </c>
      <c r="Y1495" s="106">
        <f>_xll.qlCalendarAdvance(Calendar,Y1494,X1495,"f",FALSE)</f>
        <v>49677</v>
      </c>
      <c r="Z1495" s="108">
        <f>_xll.qlCalendarAdvance(Calendar,Y1495,0&amp;"D")</f>
        <v>49677</v>
      </c>
      <c r="AA1495" s="109">
        <v>1.4220786570717792E-2</v>
      </c>
      <c r="AB1495" s="143">
        <f t="shared" si="56"/>
        <v>0</v>
      </c>
      <c r="AC1495" s="236" t="e">
        <v>#N/A</v>
      </c>
      <c r="AD1495" s="236">
        <v>1.4220786570717792E-2</v>
      </c>
    </row>
    <row r="1496" spans="23:30" x14ac:dyDescent="0.2">
      <c r="W1496" s="144"/>
      <c r="X1496" s="113" t="str">
        <f t="shared" si="55"/>
        <v>1w</v>
      </c>
      <c r="Y1496" s="106">
        <f>_xll.qlCalendarAdvance(Calendar,Y1495,X1496,"f",FALSE)</f>
        <v>49684</v>
      </c>
      <c r="Z1496" s="108">
        <f>_xll.qlCalendarAdvance(Calendar,Y1496,0&amp;"D")</f>
        <v>49684</v>
      </c>
      <c r="AA1496" s="109">
        <v>1.4211643339425706E-2</v>
      </c>
      <c r="AB1496" s="143">
        <f t="shared" si="56"/>
        <v>0</v>
      </c>
      <c r="AC1496" s="236" t="e">
        <v>#N/A</v>
      </c>
      <c r="AD1496" s="236">
        <v>1.4211643339425706E-2</v>
      </c>
    </row>
    <row r="1497" spans="23:30" x14ac:dyDescent="0.2">
      <c r="W1497" s="144"/>
      <c r="X1497" s="113" t="str">
        <f t="shared" si="55"/>
        <v>1w</v>
      </c>
      <c r="Y1497" s="106">
        <f>_xll.qlCalendarAdvance(Calendar,Y1496,X1497,"f",FALSE)</f>
        <v>49691</v>
      </c>
      <c r="Z1497" s="108">
        <f>_xll.qlCalendarAdvance(Calendar,Y1497,0&amp;"D")</f>
        <v>49691</v>
      </c>
      <c r="AA1497" s="109">
        <v>1.4202542702221876E-2</v>
      </c>
      <c r="AB1497" s="143">
        <f t="shared" si="56"/>
        <v>0</v>
      </c>
      <c r="AC1497" s="236" t="e">
        <v>#N/A</v>
      </c>
      <c r="AD1497" s="236">
        <v>1.4202542702221876E-2</v>
      </c>
    </row>
    <row r="1498" spans="23:30" x14ac:dyDescent="0.2">
      <c r="W1498" s="144"/>
      <c r="X1498" s="113" t="str">
        <f t="shared" si="55"/>
        <v>1w</v>
      </c>
      <c r="Y1498" s="106">
        <f>_xll.qlCalendarAdvance(Calendar,Y1497,X1498,"f",FALSE)</f>
        <v>49698</v>
      </c>
      <c r="Z1498" s="108">
        <f>_xll.qlCalendarAdvance(Calendar,Y1498,0&amp;"D")</f>
        <v>49698</v>
      </c>
      <c r="AA1498" s="109">
        <v>1.4193484659106304E-2</v>
      </c>
      <c r="AB1498" s="143">
        <f t="shared" si="56"/>
        <v>-7.9936057773011271E-14</v>
      </c>
      <c r="AC1498" s="236" t="e">
        <v>#N/A</v>
      </c>
      <c r="AD1498" s="236">
        <v>1.419348465918624E-2</v>
      </c>
    </row>
    <row r="1499" spans="23:30" x14ac:dyDescent="0.2">
      <c r="W1499" s="144"/>
      <c r="X1499" s="113" t="str">
        <f t="shared" si="55"/>
        <v>1w</v>
      </c>
      <c r="Y1499" s="106">
        <f>_xll.qlCalendarAdvance(Calendar,Y1498,X1499,"f",FALSE)</f>
        <v>49705</v>
      </c>
      <c r="Z1499" s="108">
        <f>_xll.qlCalendarAdvance(Calendar,Y1499,0&amp;"D")</f>
        <v>49705</v>
      </c>
      <c r="AA1499" s="109">
        <v>1.4184469210078987E-2</v>
      </c>
      <c r="AB1499" s="143">
        <f t="shared" si="56"/>
        <v>0</v>
      </c>
      <c r="AC1499" s="236" t="e">
        <v>#N/A</v>
      </c>
      <c r="AD1499" s="236">
        <v>1.4184469210078987E-2</v>
      </c>
    </row>
    <row r="1500" spans="23:30" x14ac:dyDescent="0.2">
      <c r="W1500" s="144"/>
      <c r="X1500" s="113" t="str">
        <f t="shared" si="55"/>
        <v>1w</v>
      </c>
      <c r="Y1500" s="106">
        <f>_xll.qlCalendarAdvance(Calendar,Y1499,X1500,"f",FALSE)</f>
        <v>49712</v>
      </c>
      <c r="Z1500" s="108">
        <f>_xll.qlCalendarAdvance(Calendar,Y1500,0&amp;"D")</f>
        <v>49712</v>
      </c>
      <c r="AA1500" s="109">
        <v>1.4175496355059991E-2</v>
      </c>
      <c r="AB1500" s="143">
        <f t="shared" si="56"/>
        <v>0</v>
      </c>
      <c r="AC1500" s="236" t="e">
        <v>#N/A</v>
      </c>
      <c r="AD1500" s="236">
        <v>1.4175496355059991E-2</v>
      </c>
    </row>
    <row r="1501" spans="23:30" x14ac:dyDescent="0.2">
      <c r="W1501" s="144"/>
      <c r="X1501" s="113" t="str">
        <f t="shared" si="55"/>
        <v>1w</v>
      </c>
      <c r="Y1501" s="106">
        <f>_xll.qlCalendarAdvance(Calendar,Y1500,X1501,"f",FALSE)</f>
        <v>49719</v>
      </c>
      <c r="Z1501" s="108">
        <f>_xll.qlCalendarAdvance(Calendar,Y1501,0&amp;"D")</f>
        <v>49719</v>
      </c>
      <c r="AA1501" s="109">
        <v>1.4166566094289124E-2</v>
      </c>
      <c r="AB1501" s="143">
        <f t="shared" si="56"/>
        <v>0</v>
      </c>
      <c r="AC1501" s="236" t="e">
        <v>#N/A</v>
      </c>
      <c r="AD1501" s="236">
        <v>1.4166566094289124E-2</v>
      </c>
    </row>
    <row r="1502" spans="23:30" x14ac:dyDescent="0.2">
      <c r="W1502" s="144"/>
      <c r="X1502" s="113" t="str">
        <f t="shared" si="55"/>
        <v>1w</v>
      </c>
      <c r="Y1502" s="106">
        <f>_xll.qlCalendarAdvance(Calendar,Y1501,X1502,"f",FALSE)</f>
        <v>49726</v>
      </c>
      <c r="Z1502" s="108">
        <f>_xll.qlCalendarAdvance(Calendar,Y1502,0&amp;"D")</f>
        <v>49726</v>
      </c>
      <c r="AA1502" s="109">
        <v>1.4157678427366704E-2</v>
      </c>
      <c r="AB1502" s="143">
        <f t="shared" si="56"/>
        <v>0</v>
      </c>
      <c r="AC1502" s="236" t="e">
        <v>#N/A</v>
      </c>
      <c r="AD1502" s="236">
        <v>1.4157678427366704E-2</v>
      </c>
    </row>
    <row r="1503" spans="23:30" x14ac:dyDescent="0.2">
      <c r="W1503" s="144"/>
      <c r="X1503" s="113" t="str">
        <f t="shared" si="55"/>
        <v>1w</v>
      </c>
      <c r="Y1503" s="106">
        <f>_xll.qlCalendarAdvance(Calendar,Y1502,X1503,"f",FALSE)</f>
        <v>49733</v>
      </c>
      <c r="Z1503" s="108">
        <f>_xll.qlCalendarAdvance(Calendar,Y1503,0&amp;"D")</f>
        <v>49733</v>
      </c>
      <c r="AA1503" s="109">
        <v>1.4148833354612478E-2</v>
      </c>
      <c r="AB1503" s="143">
        <f t="shared" si="56"/>
        <v>-7.9936057773011271E-14</v>
      </c>
      <c r="AC1503" s="236" t="e">
        <v>#N/A</v>
      </c>
      <c r="AD1503" s="236">
        <v>1.4148833354692414E-2</v>
      </c>
    </row>
    <row r="1504" spans="23:30" x14ac:dyDescent="0.2">
      <c r="W1504" s="144"/>
      <c r="X1504" s="113" t="str">
        <f t="shared" si="55"/>
        <v>1w</v>
      </c>
      <c r="Y1504" s="106">
        <f>_xll.qlCalendarAdvance(Calendar,Y1503,X1504,"f",FALSE)</f>
        <v>49740</v>
      </c>
      <c r="Z1504" s="108">
        <f>_xll.qlCalendarAdvance(Calendar,Y1504,0&amp;"D")</f>
        <v>49740</v>
      </c>
      <c r="AA1504" s="109">
        <v>1.4140030875946508E-2</v>
      </c>
      <c r="AB1504" s="143">
        <f t="shared" si="56"/>
        <v>0</v>
      </c>
      <c r="AC1504" s="236" t="e">
        <v>#N/A</v>
      </c>
      <c r="AD1504" s="236">
        <v>1.4140030875946508E-2</v>
      </c>
    </row>
    <row r="1505" spans="23:30" x14ac:dyDescent="0.2">
      <c r="W1505" s="144"/>
      <c r="X1505" s="113" t="str">
        <f t="shared" si="55"/>
        <v>1w</v>
      </c>
      <c r="Y1505" s="106">
        <f>_xll.qlCalendarAdvance(Calendar,Y1504,X1505,"f",FALSE)</f>
        <v>49747</v>
      </c>
      <c r="Z1505" s="108">
        <f>_xll.qlCalendarAdvance(Calendar,Y1505,0&amp;"D")</f>
        <v>49747</v>
      </c>
      <c r="AA1505" s="109">
        <v>1.4131270991368794E-2</v>
      </c>
      <c r="AB1505" s="143">
        <f t="shared" si="56"/>
        <v>0</v>
      </c>
      <c r="AC1505" s="236" t="e">
        <v>#N/A</v>
      </c>
      <c r="AD1505" s="236">
        <v>1.4131270991368794E-2</v>
      </c>
    </row>
    <row r="1506" spans="23:30" x14ac:dyDescent="0.2">
      <c r="W1506" s="144"/>
      <c r="X1506" s="113" t="str">
        <f t="shared" si="55"/>
        <v>1w</v>
      </c>
      <c r="Y1506" s="106">
        <f>_xll.qlCalendarAdvance(Calendar,Y1505,X1506,"f",FALSE)</f>
        <v>49754</v>
      </c>
      <c r="Z1506" s="108">
        <f>_xll.qlCalendarAdvance(Calendar,Y1506,0&amp;"D")</f>
        <v>49754</v>
      </c>
      <c r="AA1506" s="109">
        <v>1.4122553700799401E-2</v>
      </c>
      <c r="AB1506" s="143">
        <f t="shared" si="56"/>
        <v>0</v>
      </c>
      <c r="AC1506" s="236" t="e">
        <v>#N/A</v>
      </c>
      <c r="AD1506" s="236">
        <v>1.4122553700799401E-2</v>
      </c>
    </row>
    <row r="1507" spans="23:30" x14ac:dyDescent="0.2">
      <c r="W1507" s="144"/>
      <c r="X1507" s="113" t="str">
        <f t="shared" si="55"/>
        <v>1w</v>
      </c>
      <c r="Y1507" s="106">
        <f>_xll.qlCalendarAdvance(Calendar,Y1506,X1507,"f",FALSE)</f>
        <v>49761</v>
      </c>
      <c r="Z1507" s="108">
        <f>_xll.qlCalendarAdvance(Calendar,Y1507,0&amp;"D")</f>
        <v>49761</v>
      </c>
      <c r="AA1507" s="109">
        <v>1.4113879004238328E-2</v>
      </c>
      <c r="AB1507" s="143">
        <f t="shared" si="56"/>
        <v>0</v>
      </c>
      <c r="AC1507" s="236" t="e">
        <v>#N/A</v>
      </c>
      <c r="AD1507" s="236">
        <v>1.4113879004238328E-2</v>
      </c>
    </row>
    <row r="1508" spans="23:30" x14ac:dyDescent="0.2">
      <c r="W1508" s="144"/>
      <c r="X1508" s="113" t="str">
        <f t="shared" si="55"/>
        <v>1w</v>
      </c>
      <c r="Y1508" s="106">
        <f>_xll.qlCalendarAdvance(Calendar,Y1507,X1508,"f",FALSE)</f>
        <v>49768</v>
      </c>
      <c r="Z1508" s="108">
        <f>_xll.qlCalendarAdvance(Calendar,Y1508,0&amp;"D")</f>
        <v>49768</v>
      </c>
      <c r="AA1508" s="109">
        <v>1.4105246901845447E-2</v>
      </c>
      <c r="AB1508" s="143">
        <f t="shared" si="56"/>
        <v>7.9936057773011271E-14</v>
      </c>
      <c r="AC1508" s="236" t="e">
        <v>#N/A</v>
      </c>
      <c r="AD1508" s="236">
        <v>1.4105246901765511E-2</v>
      </c>
    </row>
    <row r="1509" spans="23:30" x14ac:dyDescent="0.2">
      <c r="W1509" s="144"/>
      <c r="X1509" s="113" t="str">
        <f t="shared" si="55"/>
        <v>1w</v>
      </c>
      <c r="Y1509" s="106">
        <f>_xll.qlCalendarAdvance(Calendar,Y1508,X1509,"f",FALSE)</f>
        <v>49775</v>
      </c>
      <c r="Z1509" s="108">
        <f>_xll.qlCalendarAdvance(Calendar,Y1509,0&amp;"D")</f>
        <v>49775</v>
      </c>
      <c r="AA1509" s="109">
        <v>1.4095315577346668E-2</v>
      </c>
      <c r="AB1509" s="143">
        <f t="shared" si="56"/>
        <v>0</v>
      </c>
      <c r="AC1509" s="236" t="e">
        <v>#N/A</v>
      </c>
      <c r="AD1509" s="236">
        <v>1.4095315577346668E-2</v>
      </c>
    </row>
    <row r="1510" spans="23:30" x14ac:dyDescent="0.2">
      <c r="W1510" s="144"/>
      <c r="X1510" s="113" t="str">
        <f t="shared" si="55"/>
        <v>1w</v>
      </c>
      <c r="Y1510" s="106">
        <f>_xll.qlCalendarAdvance(Calendar,Y1509,X1510,"f",FALSE)</f>
        <v>49782</v>
      </c>
      <c r="Z1510" s="108">
        <f>_xll.qlCalendarAdvance(Calendar,Y1510,0&amp;"D")</f>
        <v>49782</v>
      </c>
      <c r="AA1510" s="109">
        <v>1.4088110479004712E-2</v>
      </c>
      <c r="AB1510" s="143">
        <f t="shared" si="56"/>
        <v>0</v>
      </c>
      <c r="AC1510" s="236" t="e">
        <v>#N/A</v>
      </c>
      <c r="AD1510" s="236">
        <v>1.4088110479004712E-2</v>
      </c>
    </row>
    <row r="1511" spans="23:30" x14ac:dyDescent="0.2">
      <c r="W1511" s="144"/>
      <c r="X1511" s="113" t="str">
        <f t="shared" si="55"/>
        <v>1w</v>
      </c>
      <c r="Y1511" s="106">
        <f>_xll.qlCalendarAdvance(Calendar,Y1510,X1511,"f",FALSE)</f>
        <v>49789</v>
      </c>
      <c r="Z1511" s="108">
        <f>_xll.qlCalendarAdvance(Calendar,Y1511,0&amp;"D")</f>
        <v>49789</v>
      </c>
      <c r="AA1511" s="109">
        <v>1.4079606158636793E-2</v>
      </c>
      <c r="AB1511" s="143">
        <f t="shared" si="56"/>
        <v>-7.9936057773011271E-14</v>
      </c>
      <c r="AC1511" s="236" t="e">
        <v>#N/A</v>
      </c>
      <c r="AD1511" s="236">
        <v>1.4079606158716729E-2</v>
      </c>
    </row>
    <row r="1512" spans="23:30" x14ac:dyDescent="0.2">
      <c r="W1512" s="144"/>
      <c r="X1512" s="113" t="str">
        <f t="shared" si="55"/>
        <v>1w</v>
      </c>
      <c r="Y1512" s="106">
        <f>_xll.qlCalendarAdvance(Calendar,Y1511,X1512,"f",FALSE)</f>
        <v>49797</v>
      </c>
      <c r="Z1512" s="108">
        <f>_xll.qlCalendarAdvance(Calendar,Y1512,0&amp;"D")</f>
        <v>49797</v>
      </c>
      <c r="AA1512" s="109">
        <v>1.4069284720212849E-2</v>
      </c>
      <c r="AB1512" s="143">
        <f t="shared" si="56"/>
        <v>0</v>
      </c>
      <c r="AC1512" s="236" t="e">
        <v>#N/A</v>
      </c>
      <c r="AD1512" s="236">
        <v>1.4069284720212849E-2</v>
      </c>
    </row>
    <row r="1513" spans="23:30" x14ac:dyDescent="0.2">
      <c r="W1513" s="144"/>
      <c r="X1513" s="113" t="str">
        <f t="shared" si="55"/>
        <v>1w</v>
      </c>
      <c r="Y1513" s="106">
        <f>_xll.qlCalendarAdvance(Calendar,Y1512,X1513,"f",FALSE)</f>
        <v>49804</v>
      </c>
      <c r="Z1513" s="108">
        <f>_xll.qlCalendarAdvance(Calendar,Y1513,0&amp;"D")</f>
        <v>49804</v>
      </c>
      <c r="AA1513" s="109">
        <v>1.4060877100758873E-2</v>
      </c>
      <c r="AB1513" s="143">
        <f t="shared" si="56"/>
        <v>0</v>
      </c>
      <c r="AC1513" s="236" t="e">
        <v>#N/A</v>
      </c>
      <c r="AD1513" s="236">
        <v>1.4060877100758873E-2</v>
      </c>
    </row>
    <row r="1514" spans="23:30" x14ac:dyDescent="0.2">
      <c r="W1514" s="144"/>
      <c r="X1514" s="113" t="str">
        <f t="shared" si="55"/>
        <v>1w</v>
      </c>
      <c r="Y1514" s="106">
        <f>_xll.qlCalendarAdvance(Calendar,Y1513,X1514,"f",FALSE)</f>
        <v>49811</v>
      </c>
      <c r="Z1514" s="108">
        <f>_xll.qlCalendarAdvance(Calendar,Y1514,0&amp;"D")</f>
        <v>49811</v>
      </c>
      <c r="AA1514" s="109">
        <v>1.4052512079096857E-2</v>
      </c>
      <c r="AB1514" s="143">
        <f t="shared" si="56"/>
        <v>0</v>
      </c>
      <c r="AC1514" s="236" t="e">
        <v>#N/A</v>
      </c>
      <c r="AD1514" s="236">
        <v>1.4052512079096857E-2</v>
      </c>
    </row>
    <row r="1515" spans="23:30" x14ac:dyDescent="0.2">
      <c r="W1515" s="144"/>
      <c r="X1515" s="113" t="str">
        <f t="shared" si="55"/>
        <v>1w</v>
      </c>
      <c r="Y1515" s="106">
        <f>_xll.qlCalendarAdvance(Calendar,Y1514,X1515,"f",FALSE)</f>
        <v>49818</v>
      </c>
      <c r="Z1515" s="108">
        <f>_xll.qlCalendarAdvance(Calendar,Y1515,0&amp;"D")</f>
        <v>49818</v>
      </c>
      <c r="AA1515" s="109">
        <v>1.4044189655146866E-2</v>
      </c>
      <c r="AB1515" s="143">
        <f t="shared" si="56"/>
        <v>0</v>
      </c>
      <c r="AC1515" s="236" t="e">
        <v>#N/A</v>
      </c>
      <c r="AD1515" s="236">
        <v>1.4044189655146866E-2</v>
      </c>
    </row>
    <row r="1516" spans="23:30" x14ac:dyDescent="0.2">
      <c r="W1516" s="144"/>
      <c r="X1516" s="113" t="str">
        <f t="shared" si="55"/>
        <v>1w</v>
      </c>
      <c r="Y1516" s="106">
        <f>_xll.qlCalendarAdvance(Calendar,Y1515,X1516,"f",FALSE)</f>
        <v>49825</v>
      </c>
      <c r="Z1516" s="108">
        <f>_xll.qlCalendarAdvance(Calendar,Y1516,0&amp;"D")</f>
        <v>49825</v>
      </c>
      <c r="AA1516" s="109">
        <v>1.403590982896219E-2</v>
      </c>
      <c r="AB1516" s="143">
        <f t="shared" si="56"/>
        <v>2.6645352591003757E-14</v>
      </c>
      <c r="AC1516" s="236" t="e">
        <v>#N/A</v>
      </c>
      <c r="AD1516" s="236">
        <v>1.4035909828935544E-2</v>
      </c>
    </row>
    <row r="1517" spans="23:30" x14ac:dyDescent="0.2">
      <c r="W1517" s="144"/>
      <c r="X1517" s="113" t="str">
        <f t="shared" si="55"/>
        <v>1w</v>
      </c>
      <c r="Y1517" s="106">
        <f>_xll.qlCalendarAdvance(Calendar,Y1516,X1517,"f",FALSE)</f>
        <v>49832</v>
      </c>
      <c r="Z1517" s="108">
        <f>_xll.qlCalendarAdvance(Calendar,Y1517,0&amp;"D")</f>
        <v>49832</v>
      </c>
      <c r="AA1517" s="109">
        <v>1.4027672600462893E-2</v>
      </c>
      <c r="AB1517" s="143">
        <f t="shared" si="56"/>
        <v>-2.6645352591003757E-14</v>
      </c>
      <c r="AC1517" s="236" t="e">
        <v>#N/A</v>
      </c>
      <c r="AD1517" s="236">
        <v>1.4027672600489538E-2</v>
      </c>
    </row>
    <row r="1518" spans="23:30" x14ac:dyDescent="0.2">
      <c r="W1518" s="144"/>
      <c r="X1518" s="113" t="str">
        <f t="shared" si="55"/>
        <v>1w</v>
      </c>
      <c r="Y1518" s="106">
        <f>_xll.qlCalendarAdvance(Calendar,Y1517,X1518,"f",FALSE)</f>
        <v>49839</v>
      </c>
      <c r="Z1518" s="108">
        <f>_xll.qlCalendarAdvance(Calendar,Y1518,0&amp;"D")</f>
        <v>49839</v>
      </c>
      <c r="AA1518" s="109">
        <v>1.4019477969702265E-2</v>
      </c>
      <c r="AB1518" s="143">
        <f t="shared" si="56"/>
        <v>0</v>
      </c>
      <c r="AC1518" s="236" t="e">
        <v>#N/A</v>
      </c>
      <c r="AD1518" s="236">
        <v>1.4019477969702265E-2</v>
      </c>
    </row>
    <row r="1519" spans="23:30" x14ac:dyDescent="0.2">
      <c r="W1519" s="144"/>
      <c r="X1519" s="113" t="str">
        <f t="shared" si="55"/>
        <v>1w</v>
      </c>
      <c r="Y1519" s="106">
        <f>_xll.qlCalendarAdvance(Calendar,Y1518,X1519,"f",FALSE)</f>
        <v>49846</v>
      </c>
      <c r="Z1519" s="108">
        <f>_xll.qlCalendarAdvance(Calendar,Y1519,0&amp;"D")</f>
        <v>49846</v>
      </c>
      <c r="AA1519" s="109">
        <v>1.4011325936653662E-2</v>
      </c>
      <c r="AB1519" s="143">
        <f t="shared" si="56"/>
        <v>0</v>
      </c>
      <c r="AC1519" s="236" t="e">
        <v>#N/A</v>
      </c>
      <c r="AD1519" s="236">
        <v>1.4011325936653662E-2</v>
      </c>
    </row>
    <row r="1520" spans="23:30" x14ac:dyDescent="0.2">
      <c r="W1520" s="144"/>
      <c r="X1520" s="113" t="str">
        <f t="shared" si="55"/>
        <v>1w</v>
      </c>
      <c r="Y1520" s="106">
        <f>_xll.qlCalendarAdvance(Calendar,Y1519,X1520,"f",FALSE)</f>
        <v>49853</v>
      </c>
      <c r="Z1520" s="108">
        <f>_xll.qlCalendarAdvance(Calendar,Y1520,0&amp;"D")</f>
        <v>49853</v>
      </c>
      <c r="AA1520" s="109">
        <v>1.4003216501263793E-2</v>
      </c>
      <c r="AB1520" s="143">
        <f t="shared" si="56"/>
        <v>0</v>
      </c>
      <c r="AC1520" s="236" t="e">
        <v>#N/A</v>
      </c>
      <c r="AD1520" s="236">
        <v>1.4003216501263793E-2</v>
      </c>
    </row>
    <row r="1521" spans="23:30" x14ac:dyDescent="0.2">
      <c r="W1521" s="144"/>
      <c r="X1521" s="113" t="str">
        <f t="shared" si="55"/>
        <v>1w</v>
      </c>
      <c r="Y1521" s="106">
        <f>_xll.qlCalendarAdvance(Calendar,Y1520,X1521,"f",FALSE)</f>
        <v>49860</v>
      </c>
      <c r="Z1521" s="108">
        <f>_xll.qlCalendarAdvance(Calendar,Y1521,0&amp;"D")</f>
        <v>49860</v>
      </c>
      <c r="AA1521" s="109">
        <v>1.3995149663585948E-2</v>
      </c>
      <c r="AB1521" s="143">
        <f t="shared" si="56"/>
        <v>0</v>
      </c>
      <c r="AC1521" s="236" t="e">
        <v>#N/A</v>
      </c>
      <c r="AD1521" s="236">
        <v>1.3995149663585948E-2</v>
      </c>
    </row>
    <row r="1522" spans="23:30" x14ac:dyDescent="0.2">
      <c r="W1522" s="144"/>
      <c r="X1522" s="113" t="str">
        <f t="shared" si="55"/>
        <v>1w</v>
      </c>
      <c r="Y1522" s="106">
        <f>_xll.qlCalendarAdvance(Calendar,Y1521,X1522,"f",FALSE)</f>
        <v>49867</v>
      </c>
      <c r="Z1522" s="108">
        <f>_xll.qlCalendarAdvance(Calendar,Y1522,0&amp;"D")</f>
        <v>49867</v>
      </c>
      <c r="AA1522" s="109">
        <v>1.3987125423620128E-2</v>
      </c>
      <c r="AB1522" s="143">
        <f t="shared" si="56"/>
        <v>2.6645352591003757E-14</v>
      </c>
      <c r="AC1522" s="236" t="e">
        <v>#N/A</v>
      </c>
      <c r="AD1522" s="236">
        <v>1.3987125423593483E-2</v>
      </c>
    </row>
    <row r="1523" spans="23:30" x14ac:dyDescent="0.2">
      <c r="W1523" s="144"/>
      <c r="X1523" s="113" t="str">
        <f t="shared" si="55"/>
        <v>1w</v>
      </c>
      <c r="Y1523" s="106">
        <f>_xll.qlCalendarAdvance(Calendar,Y1522,X1523,"f",FALSE)</f>
        <v>49874</v>
      </c>
      <c r="Z1523" s="108">
        <f>_xll.qlCalendarAdvance(Calendar,Y1523,0&amp;"D")</f>
        <v>49874</v>
      </c>
      <c r="AA1523" s="109">
        <v>1.3979143781286396E-2</v>
      </c>
      <c r="AB1523" s="143">
        <f t="shared" si="56"/>
        <v>2.6645352591003757E-14</v>
      </c>
      <c r="AC1523" s="236" t="e">
        <v>#N/A</v>
      </c>
      <c r="AD1523" s="236">
        <v>1.3979143781259751E-2</v>
      </c>
    </row>
    <row r="1524" spans="23:30" x14ac:dyDescent="0.2">
      <c r="W1524" s="144"/>
      <c r="X1524" s="113" t="str">
        <f t="shared" si="55"/>
        <v>1w</v>
      </c>
      <c r="Y1524" s="106">
        <f>_xll.qlCalendarAdvance(Calendar,Y1523,X1524,"f",FALSE)</f>
        <v>49881</v>
      </c>
      <c r="Z1524" s="108">
        <f>_xll.qlCalendarAdvance(Calendar,Y1524,0&amp;"D")</f>
        <v>49881</v>
      </c>
      <c r="AA1524" s="109">
        <v>1.3971204736611398E-2</v>
      </c>
      <c r="AB1524" s="143">
        <f t="shared" si="56"/>
        <v>0</v>
      </c>
      <c r="AC1524" s="236" t="e">
        <v>#N/A</v>
      </c>
      <c r="AD1524" s="236">
        <v>1.3971204736611398E-2</v>
      </c>
    </row>
    <row r="1525" spans="23:30" x14ac:dyDescent="0.2">
      <c r="W1525" s="144"/>
      <c r="X1525" s="113" t="str">
        <f t="shared" si="55"/>
        <v>1w</v>
      </c>
      <c r="Y1525" s="106">
        <f>_xll.qlCalendarAdvance(Calendar,Y1524,X1525,"f",FALSE)</f>
        <v>49888</v>
      </c>
      <c r="Z1525" s="108">
        <f>_xll.qlCalendarAdvance(Calendar,Y1525,0&amp;"D")</f>
        <v>49888</v>
      </c>
      <c r="AA1525" s="109">
        <v>1.3963308289621779E-2</v>
      </c>
      <c r="AB1525" s="143">
        <f t="shared" si="56"/>
        <v>0</v>
      </c>
      <c r="AC1525" s="236" t="e">
        <v>#N/A</v>
      </c>
      <c r="AD1525" s="236">
        <v>1.3963308289621779E-2</v>
      </c>
    </row>
    <row r="1526" spans="23:30" x14ac:dyDescent="0.2">
      <c r="W1526" s="144"/>
      <c r="X1526" s="113" t="str">
        <f t="shared" si="55"/>
        <v>1w</v>
      </c>
      <c r="Y1526" s="106">
        <f>_xll.qlCalendarAdvance(Calendar,Y1525,X1526,"f",FALSE)</f>
        <v>49895</v>
      </c>
      <c r="Z1526" s="108">
        <f>_xll.qlCalendarAdvance(Calendar,Y1526,0&amp;"D")</f>
        <v>49895</v>
      </c>
      <c r="AA1526" s="109">
        <v>1.3955454440264248E-2</v>
      </c>
      <c r="AB1526" s="143">
        <f t="shared" si="56"/>
        <v>0</v>
      </c>
      <c r="AC1526" s="236" t="e">
        <v>#N/A</v>
      </c>
      <c r="AD1526" s="236">
        <v>1.3955454440264248E-2</v>
      </c>
    </row>
    <row r="1527" spans="23:30" x14ac:dyDescent="0.2">
      <c r="W1527" s="144"/>
      <c r="X1527" s="113" t="str">
        <f t="shared" si="55"/>
        <v>1w</v>
      </c>
      <c r="Y1527" s="106">
        <f>_xll.qlCalendarAdvance(Calendar,Y1526,X1527,"f",FALSE)</f>
        <v>49902</v>
      </c>
      <c r="Z1527" s="108">
        <f>_xll.qlCalendarAdvance(Calendar,Y1527,0&amp;"D")</f>
        <v>49902</v>
      </c>
      <c r="AA1527" s="109">
        <v>1.3947643188565451E-2</v>
      </c>
      <c r="AB1527" s="143">
        <f t="shared" si="56"/>
        <v>2.6645352591003757E-14</v>
      </c>
      <c r="AC1527" s="236" t="e">
        <v>#N/A</v>
      </c>
      <c r="AD1527" s="236">
        <v>1.3947643188538805E-2</v>
      </c>
    </row>
    <row r="1528" spans="23:30" x14ac:dyDescent="0.2">
      <c r="W1528" s="144"/>
      <c r="X1528" s="113" t="str">
        <f t="shared" si="55"/>
        <v>1w</v>
      </c>
      <c r="Y1528" s="106">
        <f>_xll.qlCalendarAdvance(Calendar,Y1527,X1528,"f",FALSE)</f>
        <v>49909</v>
      </c>
      <c r="Z1528" s="108">
        <f>_xll.qlCalendarAdvance(Calendar,Y1528,0&amp;"D")</f>
        <v>49909</v>
      </c>
      <c r="AA1528" s="109">
        <v>1.3939874534472096E-2</v>
      </c>
      <c r="AB1528" s="143">
        <f t="shared" si="56"/>
        <v>0</v>
      </c>
      <c r="AC1528" s="236" t="e">
        <v>#N/A</v>
      </c>
      <c r="AD1528" s="236">
        <v>1.3939874534472096E-2</v>
      </c>
    </row>
    <row r="1529" spans="23:30" x14ac:dyDescent="0.2">
      <c r="W1529" s="144"/>
      <c r="X1529" s="113" t="str">
        <f t="shared" si="55"/>
        <v>1w</v>
      </c>
      <c r="Y1529" s="106">
        <f>_xll.qlCalendarAdvance(Calendar,Y1528,X1529,"f",FALSE)</f>
        <v>49916</v>
      </c>
      <c r="Z1529" s="108">
        <f>_xll.qlCalendarAdvance(Calendar,Y1529,0&amp;"D")</f>
        <v>49916</v>
      </c>
      <c r="AA1529" s="109">
        <v>1.3932148477984185E-2</v>
      </c>
      <c r="AB1529" s="143">
        <f t="shared" si="56"/>
        <v>0</v>
      </c>
      <c r="AC1529" s="236" t="e">
        <v>#N/A</v>
      </c>
      <c r="AD1529" s="236">
        <v>1.3932148477984185E-2</v>
      </c>
    </row>
    <row r="1530" spans="23:30" x14ac:dyDescent="0.2">
      <c r="W1530" s="144"/>
      <c r="X1530" s="113" t="str">
        <f t="shared" si="55"/>
        <v>1w</v>
      </c>
      <c r="Y1530" s="106">
        <f>_xll.qlCalendarAdvance(Calendar,Y1529,X1530,"f",FALSE)</f>
        <v>49923</v>
      </c>
      <c r="Z1530" s="108">
        <f>_xll.qlCalendarAdvance(Calendar,Y1530,0&amp;"D")</f>
        <v>49923</v>
      </c>
      <c r="AA1530" s="109">
        <v>1.3924465019155008E-2</v>
      </c>
      <c r="AB1530" s="143">
        <f t="shared" si="56"/>
        <v>0</v>
      </c>
      <c r="AC1530" s="236" t="e">
        <v>#N/A</v>
      </c>
      <c r="AD1530" s="236">
        <v>1.3924465019155008E-2</v>
      </c>
    </row>
    <row r="1531" spans="23:30" x14ac:dyDescent="0.2">
      <c r="W1531" s="144"/>
      <c r="X1531" s="113" t="str">
        <f t="shared" si="55"/>
        <v>1w</v>
      </c>
      <c r="Y1531" s="106">
        <f>_xll.qlCalendarAdvance(Calendar,Y1530,X1531,"f",FALSE)</f>
        <v>49930</v>
      </c>
      <c r="Z1531" s="108">
        <f>_xll.qlCalendarAdvance(Calendar,Y1531,0&amp;"D")</f>
        <v>49930</v>
      </c>
      <c r="AA1531" s="109">
        <v>1.3916824157931273E-2</v>
      </c>
      <c r="AB1531" s="143">
        <f t="shared" si="56"/>
        <v>2.6645352591003757E-14</v>
      </c>
      <c r="AC1531" s="236" t="e">
        <v>#N/A</v>
      </c>
      <c r="AD1531" s="236">
        <v>1.3916824157904628E-2</v>
      </c>
    </row>
    <row r="1532" spans="23:30" x14ac:dyDescent="0.2">
      <c r="W1532" s="144"/>
      <c r="X1532" s="113" t="str">
        <f t="shared" si="55"/>
        <v>1w</v>
      </c>
      <c r="Y1532" s="106">
        <f>_xll.qlCalendarAdvance(Calendar,Y1531,X1532,"f",FALSE)</f>
        <v>49937</v>
      </c>
      <c r="Z1532" s="108">
        <f>_xll.qlCalendarAdvance(Calendar,Y1532,0&amp;"D")</f>
        <v>49937</v>
      </c>
      <c r="AA1532" s="109">
        <v>1.3909225894233046E-2</v>
      </c>
      <c r="AB1532" s="143">
        <f t="shared" si="56"/>
        <v>-2.6645352591003757E-14</v>
      </c>
      <c r="AC1532" s="236" t="e">
        <v>#N/A</v>
      </c>
      <c r="AD1532" s="236">
        <v>1.3909225894259691E-2</v>
      </c>
    </row>
    <row r="1533" spans="23:30" x14ac:dyDescent="0.2">
      <c r="W1533" s="144"/>
      <c r="X1533" s="113" t="str">
        <f t="shared" si="55"/>
        <v>1w</v>
      </c>
      <c r="Y1533" s="106">
        <f>_xll.qlCalendarAdvance(Calendar,Y1532,X1533,"f",FALSE)</f>
        <v>49944</v>
      </c>
      <c r="Z1533" s="108">
        <f>_xll.qlCalendarAdvance(Calendar,Y1533,0&amp;"D")</f>
        <v>49944</v>
      </c>
      <c r="AA1533" s="109">
        <v>1.3901670228220198E-2</v>
      </c>
      <c r="AB1533" s="143">
        <f t="shared" si="56"/>
        <v>0</v>
      </c>
      <c r="AC1533" s="236" t="e">
        <v>#N/A</v>
      </c>
      <c r="AD1533" s="236">
        <v>1.3901670228220198E-2</v>
      </c>
    </row>
    <row r="1534" spans="23:30" x14ac:dyDescent="0.2">
      <c r="W1534" s="144"/>
      <c r="X1534" s="113" t="str">
        <f t="shared" si="55"/>
        <v>1w</v>
      </c>
      <c r="Y1534" s="106">
        <f>_xll.qlCalendarAdvance(Calendar,Y1533,X1534,"f",FALSE)</f>
        <v>49951</v>
      </c>
      <c r="Z1534" s="108">
        <f>_xll.qlCalendarAdvance(Calendar,Y1534,0&amp;"D")</f>
        <v>49951</v>
      </c>
      <c r="AA1534" s="109">
        <v>1.3894157159732856E-2</v>
      </c>
      <c r="AB1534" s="143">
        <f t="shared" si="56"/>
        <v>2.6645352591003757E-14</v>
      </c>
      <c r="AC1534" s="236" t="e">
        <v>#N/A</v>
      </c>
      <c r="AD1534" s="236">
        <v>1.3894157159706211E-2</v>
      </c>
    </row>
    <row r="1535" spans="23:30" x14ac:dyDescent="0.2">
      <c r="W1535" s="144"/>
      <c r="X1535" s="113" t="str">
        <f t="shared" si="55"/>
        <v>1w</v>
      </c>
      <c r="Y1535" s="106">
        <f>_xll.qlCalendarAdvance(Calendar,Y1534,X1535,"f",FALSE)</f>
        <v>49958</v>
      </c>
      <c r="Z1535" s="108">
        <f>_xll.qlCalendarAdvance(Calendar,Y1535,0&amp;"D")</f>
        <v>49958</v>
      </c>
      <c r="AA1535" s="109">
        <v>1.3886686688771022E-2</v>
      </c>
      <c r="AB1535" s="143">
        <f t="shared" si="56"/>
        <v>-2.6645352591003757E-14</v>
      </c>
      <c r="AC1535" s="236" t="e">
        <v>#N/A</v>
      </c>
      <c r="AD1535" s="236">
        <v>1.3886686688797667E-2</v>
      </c>
    </row>
    <row r="1536" spans="23:30" x14ac:dyDescent="0.2">
      <c r="W1536" s="144"/>
      <c r="X1536" s="113" t="str">
        <f t="shared" si="55"/>
        <v>1w</v>
      </c>
      <c r="Y1536" s="106">
        <f>_xll.qlCalendarAdvance(Calendar,Y1535,X1536,"f",FALSE)</f>
        <v>49965</v>
      </c>
      <c r="Z1536" s="108">
        <f>_xll.qlCalendarAdvance(Calendar,Y1536,0&amp;"D")</f>
        <v>49965</v>
      </c>
      <c r="AA1536" s="109">
        <v>1.3879258815441275E-2</v>
      </c>
      <c r="AB1536" s="143">
        <f t="shared" si="56"/>
        <v>-2.6645352591003757E-14</v>
      </c>
      <c r="AC1536" s="236" t="e">
        <v>#N/A</v>
      </c>
      <c r="AD1536" s="236">
        <v>1.3879258815467921E-2</v>
      </c>
    </row>
    <row r="1537" spans="23:30" x14ac:dyDescent="0.2">
      <c r="W1537" s="144"/>
      <c r="X1537" s="113" t="str">
        <f t="shared" si="55"/>
        <v>1w</v>
      </c>
      <c r="Y1537" s="106">
        <f>_xll.qlCalendarAdvance(Calendar,Y1536,X1537,"f",FALSE)</f>
        <v>49972</v>
      </c>
      <c r="Z1537" s="108">
        <f>_xll.qlCalendarAdvance(Calendar,Y1537,0&amp;"D")</f>
        <v>49972</v>
      </c>
      <c r="AA1537" s="109">
        <v>1.3871873539690327E-2</v>
      </c>
      <c r="AB1537" s="143">
        <f t="shared" si="56"/>
        <v>0</v>
      </c>
      <c r="AC1537" s="236" t="e">
        <v>#N/A</v>
      </c>
      <c r="AD1537" s="236">
        <v>1.3871873539690327E-2</v>
      </c>
    </row>
    <row r="1538" spans="23:30" x14ac:dyDescent="0.2">
      <c r="W1538" s="144"/>
      <c r="X1538" s="113" t="str">
        <f t="shared" si="55"/>
        <v>1w</v>
      </c>
      <c r="Y1538" s="106">
        <f>_xll.qlCalendarAdvance(Calendar,Y1537,X1538,"f",FALSE)</f>
        <v>49979</v>
      </c>
      <c r="Z1538" s="108">
        <f>_xll.qlCalendarAdvance(Calendar,Y1538,0&amp;"D")</f>
        <v>49979</v>
      </c>
      <c r="AA1538" s="109">
        <v>1.386453086143824E-2</v>
      </c>
      <c r="AB1538" s="143">
        <f t="shared" si="56"/>
        <v>0</v>
      </c>
      <c r="AC1538" s="236" t="e">
        <v>#N/A</v>
      </c>
      <c r="AD1538" s="236">
        <v>1.386453086143824E-2</v>
      </c>
    </row>
    <row r="1539" spans="23:30" x14ac:dyDescent="0.2">
      <c r="W1539" s="144"/>
      <c r="X1539" s="113" t="str">
        <f t="shared" si="55"/>
        <v>1w</v>
      </c>
      <c r="Y1539" s="106">
        <f>_xll.qlCalendarAdvance(Calendar,Y1538,X1539,"f",FALSE)</f>
        <v>49986</v>
      </c>
      <c r="Z1539" s="108">
        <f>_xll.qlCalendarAdvance(Calendar,Y1539,0&amp;"D")</f>
        <v>49986</v>
      </c>
      <c r="AA1539" s="109">
        <v>1.3857230780764951E-2</v>
      </c>
      <c r="AB1539" s="143">
        <f t="shared" si="56"/>
        <v>0</v>
      </c>
      <c r="AC1539" s="236" t="e">
        <v>#N/A</v>
      </c>
      <c r="AD1539" s="236">
        <v>1.3857230780764951E-2</v>
      </c>
    </row>
    <row r="1540" spans="23:30" x14ac:dyDescent="0.2">
      <c r="W1540" s="144"/>
      <c r="X1540" s="113" t="str">
        <f t="shared" si="55"/>
        <v>1w</v>
      </c>
      <c r="Y1540" s="106">
        <f>_xll.qlCalendarAdvance(Calendar,Y1539,X1540,"f",FALSE)</f>
        <v>49993</v>
      </c>
      <c r="Z1540" s="108">
        <f>_xll.qlCalendarAdvance(Calendar,Y1540,0&amp;"D")</f>
        <v>49993</v>
      </c>
      <c r="AA1540" s="109">
        <v>1.3849973297563878E-2</v>
      </c>
      <c r="AB1540" s="143">
        <f t="shared" si="56"/>
        <v>-2.6645352591003757E-14</v>
      </c>
      <c r="AC1540" s="236" t="e">
        <v>#N/A</v>
      </c>
      <c r="AD1540" s="236">
        <v>1.3849973297590523E-2</v>
      </c>
    </row>
    <row r="1541" spans="23:30" x14ac:dyDescent="0.2">
      <c r="W1541" s="144"/>
      <c r="X1541" s="113" t="str">
        <f t="shared" si="55"/>
        <v>1w</v>
      </c>
      <c r="Y1541" s="106">
        <f>_xll.qlCalendarAdvance(Calendar,Y1540,X1541,"f",FALSE)</f>
        <v>50000</v>
      </c>
      <c r="Z1541" s="108">
        <f>_xll.qlCalendarAdvance(Calendar,Y1541,0&amp;"D")</f>
        <v>50000</v>
      </c>
      <c r="AA1541" s="109">
        <v>1.3842758411968248E-2</v>
      </c>
      <c r="AB1541" s="143">
        <f t="shared" si="56"/>
        <v>0</v>
      </c>
      <c r="AC1541" s="236" t="e">
        <v>#N/A</v>
      </c>
      <c r="AD1541" s="236">
        <v>1.3842758411968248E-2</v>
      </c>
    </row>
    <row r="1542" spans="23:30" x14ac:dyDescent="0.2">
      <c r="W1542" s="144"/>
      <c r="X1542" s="113" t="str">
        <f t="shared" si="55"/>
        <v>1w</v>
      </c>
      <c r="Y1542" s="106">
        <f>_xll.qlCalendarAdvance(Calendar,Y1541,X1542,"f",FALSE)</f>
        <v>50007</v>
      </c>
      <c r="Z1542" s="108">
        <f>_xll.qlCalendarAdvance(Calendar,Y1542,0&amp;"D")</f>
        <v>50007</v>
      </c>
      <c r="AA1542" s="109">
        <v>1.3835586123844834E-2</v>
      </c>
      <c r="AB1542" s="143">
        <f t="shared" si="56"/>
        <v>2.6645352591003757E-14</v>
      </c>
      <c r="AC1542" s="236" t="e">
        <v>#N/A</v>
      </c>
      <c r="AD1542" s="236">
        <v>1.3835586123818189E-2</v>
      </c>
    </row>
    <row r="1543" spans="23:30" x14ac:dyDescent="0.2">
      <c r="W1543" s="144"/>
      <c r="X1543" s="113" t="str">
        <f t="shared" si="55"/>
        <v>1w</v>
      </c>
      <c r="Y1543" s="106">
        <f>_xll.qlCalendarAdvance(Calendar,Y1542,X1543,"f",FALSE)</f>
        <v>50014</v>
      </c>
      <c r="Z1543" s="108">
        <f>_xll.qlCalendarAdvance(Calendar,Y1543,0&amp;"D")</f>
        <v>50014</v>
      </c>
      <c r="AA1543" s="109">
        <v>1.3828456433220282E-2</v>
      </c>
      <c r="AB1543" s="143">
        <f t="shared" si="56"/>
        <v>0</v>
      </c>
      <c r="AC1543" s="236" t="e">
        <v>#N/A</v>
      </c>
      <c r="AD1543" s="236">
        <v>1.3828456433220282E-2</v>
      </c>
    </row>
    <row r="1544" spans="23:30" x14ac:dyDescent="0.2">
      <c r="W1544" s="144"/>
      <c r="X1544" s="113" t="str">
        <f t="shared" si="55"/>
        <v>1w</v>
      </c>
      <c r="Y1544" s="106">
        <f>_xll.qlCalendarAdvance(Calendar,Y1543,X1544,"f",FALSE)</f>
        <v>50021</v>
      </c>
      <c r="Z1544" s="108">
        <f>_xll.qlCalendarAdvance(Calendar,Y1544,0&amp;"D")</f>
        <v>50021</v>
      </c>
      <c r="AA1544" s="109">
        <v>1.3821369340174527E-2</v>
      </c>
      <c r="AB1544" s="143">
        <f t="shared" si="56"/>
        <v>2.6645352591003757E-14</v>
      </c>
      <c r="AC1544" s="236" t="e">
        <v>#N/A</v>
      </c>
      <c r="AD1544" s="236">
        <v>1.3821369340147882E-2</v>
      </c>
    </row>
    <row r="1545" spans="23:30" x14ac:dyDescent="0.2">
      <c r="W1545" s="144"/>
      <c r="X1545" s="113" t="str">
        <f t="shared" si="55"/>
        <v>1w</v>
      </c>
      <c r="Y1545" s="106">
        <f>_xll.qlCalendarAdvance(Calendar,Y1544,X1545,"f",FALSE)</f>
        <v>50028</v>
      </c>
      <c r="Z1545" s="108">
        <f>_xll.qlCalendarAdvance(Calendar,Y1545,0&amp;"D")</f>
        <v>50028</v>
      </c>
      <c r="AA1545" s="109">
        <v>1.3814324844547698E-2</v>
      </c>
      <c r="AB1545" s="143">
        <f t="shared" si="56"/>
        <v>0</v>
      </c>
      <c r="AC1545" s="236" t="e">
        <v>#N/A</v>
      </c>
      <c r="AD1545" s="236">
        <v>1.3814324844547698E-2</v>
      </c>
    </row>
    <row r="1546" spans="23:30" x14ac:dyDescent="0.2">
      <c r="W1546" s="144"/>
      <c r="X1546" s="113" t="str">
        <f t="shared" si="55"/>
        <v>1w</v>
      </c>
      <c r="Y1546" s="106">
        <f>_xll.qlCalendarAdvance(Calendar,Y1545,X1546,"f",FALSE)</f>
        <v>50038</v>
      </c>
      <c r="Z1546" s="108">
        <f>_xll.qlCalendarAdvance(Calendar,Y1546,0&amp;"D")</f>
        <v>50038</v>
      </c>
      <c r="AA1546" s="109">
        <v>1.3804800563397279E-2</v>
      </c>
      <c r="AB1546" s="143">
        <f t="shared" si="56"/>
        <v>-7.9936057773011271E-14</v>
      </c>
      <c r="AC1546" s="236" t="e">
        <v>#N/A</v>
      </c>
      <c r="AD1546" s="236">
        <v>1.3804800563477215E-2</v>
      </c>
    </row>
    <row r="1547" spans="23:30" x14ac:dyDescent="0.2">
      <c r="W1547" s="144"/>
      <c r="X1547" s="113" t="str">
        <f t="shared" si="55"/>
        <v>1w</v>
      </c>
      <c r="Y1547" s="106">
        <f>_xll.qlCalendarAdvance(Calendar,Y1546,X1547,"f",FALSE)</f>
        <v>50045</v>
      </c>
      <c r="Z1547" s="108">
        <f>_xll.qlCalendarAdvance(Calendar,Y1547,0&amp;"D")</f>
        <v>50045</v>
      </c>
      <c r="AA1547" s="109">
        <v>1.3797853966179829E-2</v>
      </c>
      <c r="AB1547" s="143">
        <f t="shared" si="56"/>
        <v>0</v>
      </c>
      <c r="AC1547" s="236" t="e">
        <v>#N/A</v>
      </c>
      <c r="AD1547" s="236">
        <v>1.3797853966179829E-2</v>
      </c>
    </row>
    <row r="1548" spans="23:30" x14ac:dyDescent="0.2">
      <c r="W1548" s="144"/>
      <c r="X1548" s="113" t="str">
        <f t="shared" si="55"/>
        <v>1w</v>
      </c>
      <c r="Y1548" s="106">
        <f>_xll.qlCalendarAdvance(Calendar,Y1547,X1548,"f",FALSE)</f>
        <v>50052</v>
      </c>
      <c r="Z1548" s="108">
        <f>_xll.qlCalendarAdvance(Calendar,Y1548,0&amp;"D")</f>
        <v>50052</v>
      </c>
      <c r="AA1548" s="109">
        <v>1.3790949962730892E-2</v>
      </c>
      <c r="AB1548" s="143">
        <f t="shared" si="56"/>
        <v>-7.9936057773011271E-14</v>
      </c>
      <c r="AC1548" s="236" t="e">
        <v>#N/A</v>
      </c>
      <c r="AD1548" s="236">
        <v>1.3790949962810828E-2</v>
      </c>
    </row>
    <row r="1549" spans="23:30" x14ac:dyDescent="0.2">
      <c r="W1549" s="144"/>
      <c r="X1549" s="113" t="str">
        <f t="shared" ref="X1549:X1612" si="57">X1548</f>
        <v>1w</v>
      </c>
      <c r="Y1549" s="106">
        <f>_xll.qlCalendarAdvance(Calendar,Y1548,X1549,"f",FALSE)</f>
        <v>50059</v>
      </c>
      <c r="Z1549" s="108">
        <f>_xll.qlCalendarAdvance(Calendar,Y1549,0&amp;"D")</f>
        <v>50059</v>
      </c>
      <c r="AA1549" s="109">
        <v>1.3784088553450147E-2</v>
      </c>
      <c r="AB1549" s="143">
        <f t="shared" si="56"/>
        <v>0</v>
      </c>
      <c r="AC1549" s="236" t="e">
        <v>#N/A</v>
      </c>
      <c r="AD1549" s="236">
        <v>1.3784088553450147E-2</v>
      </c>
    </row>
    <row r="1550" spans="23:30" x14ac:dyDescent="0.2">
      <c r="W1550" s="144"/>
      <c r="X1550" s="113" t="str">
        <f t="shared" si="57"/>
        <v>1w</v>
      </c>
      <c r="Y1550" s="106">
        <f>_xll.qlCalendarAdvance(Calendar,Y1549,X1550,"f",FALSE)</f>
        <v>50066</v>
      </c>
      <c r="Z1550" s="108">
        <f>_xll.qlCalendarAdvance(Calendar,Y1550,0&amp;"D")</f>
        <v>50066</v>
      </c>
      <c r="AA1550" s="109">
        <v>1.3777269737937914E-2</v>
      </c>
      <c r="AB1550" s="143">
        <f t="shared" si="56"/>
        <v>0</v>
      </c>
      <c r="AC1550" s="236" t="e">
        <v>#N/A</v>
      </c>
      <c r="AD1550" s="236">
        <v>1.3777269737937914E-2</v>
      </c>
    </row>
    <row r="1551" spans="23:30" x14ac:dyDescent="0.2">
      <c r="W1551" s="144"/>
      <c r="X1551" s="113" t="str">
        <f t="shared" si="57"/>
        <v>1w</v>
      </c>
      <c r="Y1551" s="106">
        <f>_xll.qlCalendarAdvance(Calendar,Y1550,X1551,"f",FALSE)</f>
        <v>50073</v>
      </c>
      <c r="Z1551" s="108">
        <f>_xll.qlCalendarAdvance(Calendar,Y1551,0&amp;"D")</f>
        <v>50073</v>
      </c>
      <c r="AA1551" s="109">
        <v>1.3770493516354065E-2</v>
      </c>
      <c r="AB1551" s="143">
        <f t="shared" si="56"/>
        <v>0</v>
      </c>
      <c r="AC1551" s="236" t="e">
        <v>#N/A</v>
      </c>
      <c r="AD1551" s="236">
        <v>1.3770493516354065E-2</v>
      </c>
    </row>
    <row r="1552" spans="23:30" x14ac:dyDescent="0.2">
      <c r="W1552" s="144"/>
      <c r="X1552" s="113" t="str">
        <f t="shared" si="57"/>
        <v>1w</v>
      </c>
      <c r="Y1552" s="106">
        <f>_xll.qlCalendarAdvance(Calendar,Y1551,X1552,"f",FALSE)</f>
        <v>50080</v>
      </c>
      <c r="Z1552" s="108">
        <f>_xll.qlCalendarAdvance(Calendar,Y1552,0&amp;"D")</f>
        <v>50080</v>
      </c>
      <c r="AA1552" s="109">
        <v>1.3763759888778537E-2</v>
      </c>
      <c r="AB1552" s="143">
        <f t="shared" si="56"/>
        <v>7.9936057773011271E-14</v>
      </c>
      <c r="AC1552" s="236" t="e">
        <v>#N/A</v>
      </c>
      <c r="AD1552" s="236">
        <v>1.3763759888698601E-2</v>
      </c>
    </row>
    <row r="1553" spans="23:30" x14ac:dyDescent="0.2">
      <c r="W1553" s="144"/>
      <c r="X1553" s="113" t="str">
        <f t="shared" si="57"/>
        <v>1w</v>
      </c>
      <c r="Y1553" s="106">
        <f>_xll.qlCalendarAdvance(Calendar,Y1552,X1553,"f",FALSE)</f>
        <v>50087</v>
      </c>
      <c r="Z1553" s="108">
        <f>_xll.qlCalendarAdvance(Calendar,Y1553,0&amp;"D")</f>
        <v>50087</v>
      </c>
      <c r="AA1553" s="109">
        <v>1.3757068855051457E-2</v>
      </c>
      <c r="AB1553" s="143">
        <f t="shared" si="56"/>
        <v>0</v>
      </c>
      <c r="AC1553" s="236" t="e">
        <v>#N/A</v>
      </c>
      <c r="AD1553" s="236">
        <v>1.3757068855051457E-2</v>
      </c>
    </row>
    <row r="1554" spans="23:30" x14ac:dyDescent="0.2">
      <c r="W1554" s="144"/>
      <c r="X1554" s="113" t="str">
        <f t="shared" si="57"/>
        <v>1w</v>
      </c>
      <c r="Y1554" s="106">
        <f>_xll.qlCalendarAdvance(Calendar,Y1553,X1554,"f",FALSE)</f>
        <v>50094</v>
      </c>
      <c r="Z1554" s="108">
        <f>_xll.qlCalendarAdvance(Calendar,Y1554,0&amp;"D")</f>
        <v>50094</v>
      </c>
      <c r="AA1554" s="109">
        <v>1.3750420415332698E-2</v>
      </c>
      <c r="AB1554" s="143">
        <f t="shared" si="56"/>
        <v>0</v>
      </c>
      <c r="AC1554" s="236" t="e">
        <v>#N/A</v>
      </c>
      <c r="AD1554" s="236">
        <v>1.3750420415332698E-2</v>
      </c>
    </row>
    <row r="1555" spans="23:30" x14ac:dyDescent="0.2">
      <c r="W1555" s="144"/>
      <c r="X1555" s="113" t="str">
        <f t="shared" si="57"/>
        <v>1w</v>
      </c>
      <c r="Y1555" s="106">
        <f>_xll.qlCalendarAdvance(Calendar,Y1554,X1555,"f",FALSE)</f>
        <v>50101</v>
      </c>
      <c r="Z1555" s="108">
        <f>_xll.qlCalendarAdvance(Calendar,Y1555,0&amp;"D")</f>
        <v>50101</v>
      </c>
      <c r="AA1555" s="109">
        <v>1.3743814569382451E-2</v>
      </c>
      <c r="AB1555" s="143">
        <f t="shared" si="56"/>
        <v>0</v>
      </c>
      <c r="AC1555" s="236" t="e">
        <v>#N/A</v>
      </c>
      <c r="AD1555" s="236">
        <v>1.3743814569382451E-2</v>
      </c>
    </row>
    <row r="1556" spans="23:30" x14ac:dyDescent="0.2">
      <c r="W1556" s="144"/>
      <c r="X1556" s="113" t="str">
        <f t="shared" si="57"/>
        <v>1w</v>
      </c>
      <c r="Y1556" s="106">
        <f>_xll.qlCalendarAdvance(Calendar,Y1555,X1556,"f",FALSE)</f>
        <v>50108</v>
      </c>
      <c r="Z1556" s="108">
        <f>_xll.qlCalendarAdvance(Calendar,Y1556,0&amp;"D")</f>
        <v>50108</v>
      </c>
      <c r="AA1556" s="109">
        <v>1.3737251317440524E-2</v>
      </c>
      <c r="AB1556" s="143">
        <f t="shared" si="56"/>
        <v>0</v>
      </c>
      <c r="AC1556" s="236" t="e">
        <v>#N/A</v>
      </c>
      <c r="AD1556" s="236">
        <v>1.3737251317440524E-2</v>
      </c>
    </row>
    <row r="1557" spans="23:30" x14ac:dyDescent="0.2">
      <c r="W1557" s="144"/>
      <c r="X1557" s="113" t="str">
        <f t="shared" si="57"/>
        <v>1w</v>
      </c>
      <c r="Y1557" s="106">
        <f>_xll.qlCalendarAdvance(Calendar,Y1556,X1557,"f",FALSE)</f>
        <v>50115</v>
      </c>
      <c r="Z1557" s="108">
        <f>_xll.qlCalendarAdvance(Calendar,Y1557,0&amp;"D")</f>
        <v>50115</v>
      </c>
      <c r="AA1557" s="109">
        <v>1.3730730659426982E-2</v>
      </c>
      <c r="AB1557" s="143">
        <f t="shared" ref="AB1557:AB1620" si="58">AA1557-AD1557</f>
        <v>0</v>
      </c>
      <c r="AC1557" s="236" t="e">
        <v>#N/A</v>
      </c>
      <c r="AD1557" s="236">
        <v>1.3730730659426982E-2</v>
      </c>
    </row>
    <row r="1558" spans="23:30" x14ac:dyDescent="0.2">
      <c r="W1558" s="144"/>
      <c r="X1558" s="113" t="str">
        <f t="shared" si="57"/>
        <v>1w</v>
      </c>
      <c r="Y1558" s="106">
        <f>_xll.qlCalendarAdvance(Calendar,Y1557,X1558,"f",FALSE)</f>
        <v>50122</v>
      </c>
      <c r="Z1558" s="108">
        <f>_xll.qlCalendarAdvance(Calendar,Y1558,0&amp;"D")</f>
        <v>50122</v>
      </c>
      <c r="AA1558" s="109">
        <v>1.3724252595341824E-2</v>
      </c>
      <c r="AB1558" s="143">
        <f t="shared" si="58"/>
        <v>0</v>
      </c>
      <c r="AC1558" s="236" t="e">
        <v>#N/A</v>
      </c>
      <c r="AD1558" s="236">
        <v>1.3724252595341824E-2</v>
      </c>
    </row>
    <row r="1559" spans="23:30" x14ac:dyDescent="0.2">
      <c r="W1559" s="144"/>
      <c r="X1559" s="113" t="str">
        <f t="shared" si="57"/>
        <v>1w</v>
      </c>
      <c r="Y1559" s="106">
        <f>_xll.qlCalendarAdvance(Calendar,Y1558,X1559,"f",FALSE)</f>
        <v>50129</v>
      </c>
      <c r="Z1559" s="108">
        <f>_xll.qlCalendarAdvance(Calendar,Y1559,0&amp;"D")</f>
        <v>50129</v>
      </c>
      <c r="AA1559" s="109">
        <v>1.3717817125105114E-2</v>
      </c>
      <c r="AB1559" s="143">
        <f t="shared" si="58"/>
        <v>-7.9936057773011271E-14</v>
      </c>
      <c r="AC1559" s="236" t="e">
        <v>#N/A</v>
      </c>
      <c r="AD1559" s="236">
        <v>1.371781712518505E-2</v>
      </c>
    </row>
    <row r="1560" spans="23:30" x14ac:dyDescent="0.2">
      <c r="W1560" s="144"/>
      <c r="X1560" s="113" t="str">
        <f t="shared" si="57"/>
        <v>1w</v>
      </c>
      <c r="Y1560" s="106">
        <f>_xll.qlCalendarAdvance(Calendar,Y1559,X1560,"f",FALSE)</f>
        <v>50137</v>
      </c>
      <c r="Z1560" s="108">
        <f>_xll.qlCalendarAdvance(Calendar,Y1560,0&amp;"D")</f>
        <v>50137</v>
      </c>
      <c r="AA1560" s="109">
        <v>1.3710514457994094E-2</v>
      </c>
      <c r="AB1560" s="143">
        <f t="shared" si="58"/>
        <v>0</v>
      </c>
      <c r="AC1560" s="236" t="e">
        <v>#N/A</v>
      </c>
      <c r="AD1560" s="236">
        <v>1.3710514457994094E-2</v>
      </c>
    </row>
    <row r="1561" spans="23:30" x14ac:dyDescent="0.2">
      <c r="W1561" s="144"/>
      <c r="X1561" s="113" t="str">
        <f t="shared" si="57"/>
        <v>1w</v>
      </c>
      <c r="Y1561" s="106">
        <f>_xll.qlCalendarAdvance(Calendar,Y1560,X1561,"f",FALSE)</f>
        <v>50144</v>
      </c>
      <c r="Z1561" s="108">
        <f>_xll.qlCalendarAdvance(Calendar,Y1561,0&amp;"D")</f>
        <v>50144</v>
      </c>
      <c r="AA1561" s="109">
        <v>1.3704170260426807E-2</v>
      </c>
      <c r="AB1561" s="143">
        <f t="shared" si="58"/>
        <v>0</v>
      </c>
      <c r="AC1561" s="236" t="e">
        <v>#N/A</v>
      </c>
      <c r="AD1561" s="236">
        <v>1.3704170260426807E-2</v>
      </c>
    </row>
    <row r="1562" spans="23:30" x14ac:dyDescent="0.2">
      <c r="W1562" s="144"/>
      <c r="X1562" s="113" t="str">
        <f t="shared" si="57"/>
        <v>1w</v>
      </c>
      <c r="Y1562" s="106">
        <f>_xll.qlCalendarAdvance(Calendar,Y1561,X1562,"f",FALSE)</f>
        <v>50151</v>
      </c>
      <c r="Z1562" s="108">
        <f>_xll.qlCalendarAdvance(Calendar,Y1562,0&amp;"D")</f>
        <v>50151</v>
      </c>
      <c r="AA1562" s="109">
        <v>1.3697868656787904E-2</v>
      </c>
      <c r="AB1562" s="143">
        <f t="shared" si="58"/>
        <v>-7.9936057773011271E-14</v>
      </c>
      <c r="AC1562" s="236" t="e">
        <v>#N/A</v>
      </c>
      <c r="AD1562" s="236">
        <v>1.369786865686784E-2</v>
      </c>
    </row>
    <row r="1563" spans="23:30" x14ac:dyDescent="0.2">
      <c r="W1563" s="144"/>
      <c r="X1563" s="113" t="str">
        <f t="shared" si="57"/>
        <v>1w</v>
      </c>
      <c r="Y1563" s="106">
        <f>_xll.qlCalendarAdvance(Calendar,Y1562,X1563,"f",FALSE)</f>
        <v>50158</v>
      </c>
      <c r="Z1563" s="108">
        <f>_xll.qlCalendarAdvance(Calendar,Y1563,0&amp;"D")</f>
        <v>50158</v>
      </c>
      <c r="AA1563" s="109">
        <v>1.3691609647077385E-2</v>
      </c>
      <c r="AB1563" s="143">
        <f t="shared" si="58"/>
        <v>0</v>
      </c>
      <c r="AC1563" s="236" t="e">
        <v>#N/A</v>
      </c>
      <c r="AD1563" s="236">
        <v>1.3691609647077385E-2</v>
      </c>
    </row>
    <row r="1564" spans="23:30" x14ac:dyDescent="0.2">
      <c r="W1564" s="144"/>
      <c r="X1564" s="113" t="str">
        <f t="shared" si="57"/>
        <v>1w</v>
      </c>
      <c r="Y1564" s="106">
        <f>_xll.qlCalendarAdvance(Calendar,Y1563,X1564,"f",FALSE)</f>
        <v>50165</v>
      </c>
      <c r="Z1564" s="108">
        <f>_xll.qlCalendarAdvance(Calendar,Y1564,0&amp;"D")</f>
        <v>50165</v>
      </c>
      <c r="AA1564" s="109">
        <v>1.3685393231375187E-2</v>
      </c>
      <c r="AB1564" s="143">
        <f t="shared" si="58"/>
        <v>7.9936057773011271E-14</v>
      </c>
      <c r="AC1564" s="236" t="e">
        <v>#N/A</v>
      </c>
      <c r="AD1564" s="236">
        <v>1.3685393231295251E-2</v>
      </c>
    </row>
    <row r="1565" spans="23:30" x14ac:dyDescent="0.2">
      <c r="W1565" s="144"/>
      <c r="X1565" s="113" t="str">
        <f t="shared" si="57"/>
        <v>1w</v>
      </c>
      <c r="Y1565" s="106">
        <f>_xll.qlCalendarAdvance(Calendar,Y1564,X1565,"f",FALSE)</f>
        <v>50172</v>
      </c>
      <c r="Z1565" s="108">
        <f>_xll.qlCalendarAdvance(Calendar,Y1565,0&amp;"D")</f>
        <v>50172</v>
      </c>
      <c r="AA1565" s="109">
        <v>1.3679219409361565E-2</v>
      </c>
      <c r="AB1565" s="143">
        <f t="shared" si="58"/>
        <v>0</v>
      </c>
      <c r="AC1565" s="236" t="e">
        <v>#N/A</v>
      </c>
      <c r="AD1565" s="236">
        <v>1.3679219409361565E-2</v>
      </c>
    </row>
    <row r="1566" spans="23:30" x14ac:dyDescent="0.2">
      <c r="W1566" s="144"/>
      <c r="X1566" s="113" t="str">
        <f t="shared" si="57"/>
        <v>1w</v>
      </c>
      <c r="Y1566" s="106">
        <f>_xll.qlCalendarAdvance(Calendar,Y1565,X1566,"f",FALSE)</f>
        <v>50179</v>
      </c>
      <c r="Z1566" s="108">
        <f>_xll.qlCalendarAdvance(Calendar,Y1566,0&amp;"D")</f>
        <v>50179</v>
      </c>
      <c r="AA1566" s="109">
        <v>1.3673088181356263E-2</v>
      </c>
      <c r="AB1566" s="143">
        <f t="shared" si="58"/>
        <v>-7.9936057773011271E-14</v>
      </c>
      <c r="AC1566" s="236" t="e">
        <v>#N/A</v>
      </c>
      <c r="AD1566" s="236">
        <v>1.3673088181436199E-2</v>
      </c>
    </row>
    <row r="1567" spans="23:30" x14ac:dyDescent="0.2">
      <c r="W1567" s="144"/>
      <c r="X1567" s="113" t="str">
        <f t="shared" si="57"/>
        <v>1w</v>
      </c>
      <c r="Y1567" s="106">
        <f>_xll.qlCalendarAdvance(Calendar,Y1566,X1567,"f",FALSE)</f>
        <v>50186</v>
      </c>
      <c r="Z1567" s="108">
        <f>_xll.qlCalendarAdvance(Calendar,Y1567,0&amp;"D")</f>
        <v>50186</v>
      </c>
      <c r="AA1567" s="109">
        <v>1.3666999547279346E-2</v>
      </c>
      <c r="AB1567" s="143">
        <f t="shared" si="58"/>
        <v>0</v>
      </c>
      <c r="AC1567" s="236" t="e">
        <v>#N/A</v>
      </c>
      <c r="AD1567" s="236">
        <v>1.3666999547279346E-2</v>
      </c>
    </row>
    <row r="1568" spans="23:30" x14ac:dyDescent="0.2">
      <c r="W1568" s="144"/>
      <c r="X1568" s="113" t="str">
        <f t="shared" si="57"/>
        <v>1w</v>
      </c>
      <c r="Y1568" s="106">
        <f>_xll.qlCalendarAdvance(Calendar,Y1567,X1568,"f",FALSE)</f>
        <v>50193</v>
      </c>
      <c r="Z1568" s="108">
        <f>_xll.qlCalendarAdvance(Calendar,Y1568,0&amp;"D")</f>
        <v>50193</v>
      </c>
      <c r="AA1568" s="109">
        <v>1.3660953507050877E-2</v>
      </c>
      <c r="AB1568" s="143">
        <f t="shared" si="58"/>
        <v>0</v>
      </c>
      <c r="AC1568" s="236" t="e">
        <v>#N/A</v>
      </c>
      <c r="AD1568" s="236">
        <v>1.3660953507050877E-2</v>
      </c>
    </row>
    <row r="1569" spans="23:30" x14ac:dyDescent="0.2">
      <c r="W1569" s="144"/>
      <c r="X1569" s="113" t="str">
        <f t="shared" si="57"/>
        <v>1w</v>
      </c>
      <c r="Y1569" s="106">
        <f>_xll.qlCalendarAdvance(Calendar,Y1568,X1569,"f",FALSE)</f>
        <v>50200</v>
      </c>
      <c r="Z1569" s="108">
        <f>_xll.qlCalendarAdvance(Calendar,Y1569,0&amp;"D")</f>
        <v>50200</v>
      </c>
      <c r="AA1569" s="109">
        <v>1.3654950060670856E-2</v>
      </c>
      <c r="AB1569" s="143">
        <f t="shared" si="58"/>
        <v>0</v>
      </c>
      <c r="AC1569" s="236" t="e">
        <v>#N/A</v>
      </c>
      <c r="AD1569" s="236">
        <v>1.3654950060670856E-2</v>
      </c>
    </row>
    <row r="1570" spans="23:30" x14ac:dyDescent="0.2">
      <c r="W1570" s="144"/>
      <c r="X1570" s="113" t="str">
        <f t="shared" si="57"/>
        <v>1w</v>
      </c>
      <c r="Y1570" s="106">
        <f>_xll.qlCalendarAdvance(Calendar,Y1569,X1570,"f",FALSE)</f>
        <v>50207</v>
      </c>
      <c r="Z1570" s="108">
        <f>_xll.qlCalendarAdvance(Calendar,Y1570,0&amp;"D")</f>
        <v>50207</v>
      </c>
      <c r="AA1570" s="109">
        <v>1.3648989208299156E-2</v>
      </c>
      <c r="AB1570" s="143">
        <f t="shared" si="58"/>
        <v>7.9936057773011271E-14</v>
      </c>
      <c r="AC1570" s="236" t="e">
        <v>#N/A</v>
      </c>
      <c r="AD1570" s="236">
        <v>1.364898920821922E-2</v>
      </c>
    </row>
    <row r="1571" spans="23:30" x14ac:dyDescent="0.2">
      <c r="W1571" s="144"/>
      <c r="X1571" s="113" t="str">
        <f t="shared" si="57"/>
        <v>1w</v>
      </c>
      <c r="Y1571" s="106">
        <f>_xll.qlCalendarAdvance(Calendar,Y1570,X1571,"f",FALSE)</f>
        <v>50214</v>
      </c>
      <c r="Z1571" s="108">
        <f>_xll.qlCalendarAdvance(Calendar,Y1571,0&amp;"D")</f>
        <v>50214</v>
      </c>
      <c r="AA1571" s="109">
        <v>1.3643070949775904E-2</v>
      </c>
      <c r="AB1571" s="143">
        <f t="shared" si="58"/>
        <v>0</v>
      </c>
      <c r="AC1571" s="236" t="e">
        <v>#N/A</v>
      </c>
      <c r="AD1571" s="236">
        <v>1.3643070949775904E-2</v>
      </c>
    </row>
    <row r="1572" spans="23:30" x14ac:dyDescent="0.2">
      <c r="W1572" s="144"/>
      <c r="X1572" s="113" t="str">
        <f t="shared" si="57"/>
        <v>1w</v>
      </c>
      <c r="Y1572" s="106">
        <f>_xll.qlCalendarAdvance(Calendar,Y1571,X1572,"f",FALSE)</f>
        <v>50221</v>
      </c>
      <c r="Z1572" s="108">
        <f>_xll.qlCalendarAdvance(Calendar,Y1572,0&amp;"D")</f>
        <v>50221</v>
      </c>
      <c r="AA1572" s="109">
        <v>1.3637195285021164E-2</v>
      </c>
      <c r="AB1572" s="143">
        <f t="shared" si="58"/>
        <v>0</v>
      </c>
      <c r="AC1572" s="236" t="e">
        <v>#N/A</v>
      </c>
      <c r="AD1572" s="236">
        <v>1.3637195285021164E-2</v>
      </c>
    </row>
    <row r="1573" spans="23:30" x14ac:dyDescent="0.2">
      <c r="W1573" s="144"/>
      <c r="X1573" s="113" t="str">
        <f t="shared" si="57"/>
        <v>1w</v>
      </c>
      <c r="Y1573" s="106">
        <f>_xll.qlCalendarAdvance(Calendar,Y1572,X1573,"f",FALSE)</f>
        <v>50228</v>
      </c>
      <c r="Z1573" s="108">
        <f>_xll.qlCalendarAdvance(Calendar,Y1573,0&amp;"D")</f>
        <v>50228</v>
      </c>
      <c r="AA1573" s="109">
        <v>1.3631362214274745E-2</v>
      </c>
      <c r="AB1573" s="143">
        <f t="shared" si="58"/>
        <v>0</v>
      </c>
      <c r="AC1573" s="236" t="e">
        <v>#N/A</v>
      </c>
      <c r="AD1573" s="236">
        <v>1.3631362214274745E-2</v>
      </c>
    </row>
    <row r="1574" spans="23:30" x14ac:dyDescent="0.2">
      <c r="W1574" s="144"/>
      <c r="X1574" s="113" t="str">
        <f t="shared" si="57"/>
        <v>1w</v>
      </c>
      <c r="Y1574" s="106">
        <f>_xll.qlCalendarAdvance(Calendar,Y1573,X1574,"f",FALSE)</f>
        <v>50235</v>
      </c>
      <c r="Z1574" s="108">
        <f>_xll.qlCalendarAdvance(Calendar,Y1574,0&amp;"D")</f>
        <v>50235</v>
      </c>
      <c r="AA1574" s="109">
        <v>1.3625571737376774E-2</v>
      </c>
      <c r="AB1574" s="143">
        <f t="shared" si="58"/>
        <v>0</v>
      </c>
      <c r="AC1574" s="236" t="e">
        <v>#N/A</v>
      </c>
      <c r="AD1574" s="236">
        <v>1.3625571737376774E-2</v>
      </c>
    </row>
    <row r="1575" spans="23:30" x14ac:dyDescent="0.2">
      <c r="W1575" s="144"/>
      <c r="X1575" s="113" t="str">
        <f t="shared" si="57"/>
        <v>1w</v>
      </c>
      <c r="Y1575" s="106">
        <f>_xll.qlCalendarAdvance(Calendar,Y1574,X1575,"f",FALSE)</f>
        <v>50242</v>
      </c>
      <c r="Z1575" s="108">
        <f>_xll.qlCalendarAdvance(Calendar,Y1575,0&amp;"D")</f>
        <v>50242</v>
      </c>
      <c r="AA1575" s="109">
        <v>1.3619823854407187E-2</v>
      </c>
      <c r="AB1575" s="143">
        <f t="shared" si="58"/>
        <v>0</v>
      </c>
      <c r="AC1575" s="236" t="e">
        <v>#N/A</v>
      </c>
      <c r="AD1575" s="236">
        <v>1.3619823854407187E-2</v>
      </c>
    </row>
    <row r="1576" spans="23:30" x14ac:dyDescent="0.2">
      <c r="W1576" s="144"/>
      <c r="X1576" s="113" t="str">
        <f t="shared" si="57"/>
        <v>1w</v>
      </c>
      <c r="Y1576" s="106">
        <f>_xll.qlCalendarAdvance(Calendar,Y1575,X1576,"f",FALSE)</f>
        <v>50249</v>
      </c>
      <c r="Z1576" s="108">
        <f>_xll.qlCalendarAdvance(Calendar,Y1576,0&amp;"D")</f>
        <v>50249</v>
      </c>
      <c r="AA1576" s="109">
        <v>1.3614118565206113E-2</v>
      </c>
      <c r="AB1576" s="143">
        <f t="shared" si="58"/>
        <v>0</v>
      </c>
      <c r="AC1576" s="236" t="e">
        <v>#N/A</v>
      </c>
      <c r="AD1576" s="236">
        <v>1.3614118565206113E-2</v>
      </c>
    </row>
    <row r="1577" spans="23:30" x14ac:dyDescent="0.2">
      <c r="W1577" s="144"/>
      <c r="X1577" s="113" t="str">
        <f t="shared" si="57"/>
        <v>1w</v>
      </c>
      <c r="Y1577" s="106">
        <f>_xll.qlCalendarAdvance(Calendar,Y1576,X1577,"f",FALSE)</f>
        <v>50256</v>
      </c>
      <c r="Z1577" s="108">
        <f>_xll.qlCalendarAdvance(Calendar,Y1577,0&amp;"D")</f>
        <v>50256</v>
      </c>
      <c r="AA1577" s="109">
        <v>1.3608455869933422E-2</v>
      </c>
      <c r="AB1577" s="143">
        <f t="shared" si="58"/>
        <v>0</v>
      </c>
      <c r="AC1577" s="236" t="e">
        <v>#N/A</v>
      </c>
      <c r="AD1577" s="236">
        <v>1.3608455869933422E-2</v>
      </c>
    </row>
    <row r="1578" spans="23:30" x14ac:dyDescent="0.2">
      <c r="W1578" s="144"/>
      <c r="X1578" s="113" t="str">
        <f t="shared" si="57"/>
        <v>1w</v>
      </c>
      <c r="Y1578" s="106">
        <f>_xll.qlCalendarAdvance(Calendar,Y1577,X1578,"f",FALSE)</f>
        <v>50263</v>
      </c>
      <c r="Z1578" s="108">
        <f>_xll.qlCalendarAdvance(Calendar,Y1578,0&amp;"D")</f>
        <v>50263</v>
      </c>
      <c r="AA1578" s="109">
        <v>1.3602835768509181E-2</v>
      </c>
      <c r="AB1578" s="143">
        <f t="shared" si="58"/>
        <v>0</v>
      </c>
      <c r="AC1578" s="236" t="e">
        <v>#N/A</v>
      </c>
      <c r="AD1578" s="236">
        <v>1.3602835768509181E-2</v>
      </c>
    </row>
    <row r="1579" spans="23:30" x14ac:dyDescent="0.2">
      <c r="W1579" s="144"/>
      <c r="X1579" s="113" t="str">
        <f t="shared" si="57"/>
        <v>1w</v>
      </c>
      <c r="Y1579" s="106">
        <f>_xll.qlCalendarAdvance(Calendar,Y1578,X1579,"f",FALSE)</f>
        <v>50270</v>
      </c>
      <c r="Z1579" s="108">
        <f>_xll.qlCalendarAdvance(Calendar,Y1579,0&amp;"D")</f>
        <v>50270</v>
      </c>
      <c r="AA1579" s="109">
        <v>1.3597258260933387E-2</v>
      </c>
      <c r="AB1579" s="143">
        <f t="shared" si="58"/>
        <v>-7.9936057773011271E-14</v>
      </c>
      <c r="AC1579" s="236" t="e">
        <v>#N/A</v>
      </c>
      <c r="AD1579" s="236">
        <v>1.3597258261013323E-2</v>
      </c>
    </row>
    <row r="1580" spans="23:30" x14ac:dyDescent="0.2">
      <c r="W1580" s="144"/>
      <c r="X1580" s="113" t="str">
        <f t="shared" si="57"/>
        <v>1w</v>
      </c>
      <c r="Y1580" s="106">
        <f>_xll.qlCalendarAdvance(Calendar,Y1579,X1580,"f",FALSE)</f>
        <v>50277</v>
      </c>
      <c r="Z1580" s="108">
        <f>_xll.qlCalendarAdvance(Calendar,Y1580,0&amp;"D")</f>
        <v>50277</v>
      </c>
      <c r="AA1580" s="109">
        <v>1.3591723347206042E-2</v>
      </c>
      <c r="AB1580" s="143">
        <f t="shared" si="58"/>
        <v>-7.9936057773011271E-14</v>
      </c>
      <c r="AC1580" s="236" t="e">
        <v>#N/A</v>
      </c>
      <c r="AD1580" s="236">
        <v>1.3591723347285978E-2</v>
      </c>
    </row>
    <row r="1581" spans="23:30" x14ac:dyDescent="0.2">
      <c r="W1581" s="144"/>
      <c r="X1581" s="113" t="str">
        <f t="shared" si="57"/>
        <v>1w</v>
      </c>
      <c r="Y1581" s="106">
        <f>_xll.qlCalendarAdvance(Calendar,Y1580,X1581,"f",FALSE)</f>
        <v>50284</v>
      </c>
      <c r="Z1581" s="108">
        <f>_xll.qlCalendarAdvance(Calendar,Y1581,0&amp;"D")</f>
        <v>50284</v>
      </c>
      <c r="AA1581" s="109">
        <v>1.3586231027487017E-2</v>
      </c>
      <c r="AB1581" s="143">
        <f t="shared" si="58"/>
        <v>0</v>
      </c>
      <c r="AC1581" s="236" t="e">
        <v>#N/A</v>
      </c>
      <c r="AD1581" s="236">
        <v>1.3586231027487017E-2</v>
      </c>
    </row>
    <row r="1582" spans="23:30" x14ac:dyDescent="0.2">
      <c r="W1582" s="144"/>
      <c r="X1582" s="113" t="str">
        <f t="shared" si="57"/>
        <v>1w</v>
      </c>
      <c r="Y1582" s="106">
        <f>_xll.qlCalendarAdvance(Calendar,Y1581,X1582,"f",FALSE)</f>
        <v>50291</v>
      </c>
      <c r="Z1582" s="108">
        <f>_xll.qlCalendarAdvance(Calendar,Y1582,0&amp;"D")</f>
        <v>50291</v>
      </c>
      <c r="AA1582" s="109">
        <v>1.358078130161644E-2</v>
      </c>
      <c r="AB1582" s="143">
        <f t="shared" si="58"/>
        <v>0</v>
      </c>
      <c r="AC1582" s="236" t="e">
        <v>#N/A</v>
      </c>
      <c r="AD1582" s="236">
        <v>1.358078130161644E-2</v>
      </c>
    </row>
    <row r="1583" spans="23:30" x14ac:dyDescent="0.2">
      <c r="W1583" s="144"/>
      <c r="X1583" s="113" t="str">
        <f t="shared" si="57"/>
        <v>1w</v>
      </c>
      <c r="Y1583" s="106">
        <f>_xll.qlCalendarAdvance(Calendar,Y1582,X1583,"f",FALSE)</f>
        <v>50298</v>
      </c>
      <c r="Z1583" s="108">
        <f>_xll.qlCalendarAdvance(Calendar,Y1583,0&amp;"D")</f>
        <v>50298</v>
      </c>
      <c r="AA1583" s="109">
        <v>1.3575374169594312E-2</v>
      </c>
      <c r="AB1583" s="143">
        <f t="shared" si="58"/>
        <v>0</v>
      </c>
      <c r="AC1583" s="236" t="e">
        <v>#N/A</v>
      </c>
      <c r="AD1583" s="236">
        <v>1.3575374169594312E-2</v>
      </c>
    </row>
    <row r="1584" spans="23:30" x14ac:dyDescent="0.2">
      <c r="W1584" s="144"/>
      <c r="X1584" s="113" t="str">
        <f t="shared" si="57"/>
        <v>1w</v>
      </c>
      <c r="Y1584" s="106">
        <f>_xll.qlCalendarAdvance(Calendar,Y1583,X1584,"f",FALSE)</f>
        <v>50305</v>
      </c>
      <c r="Z1584" s="108">
        <f>_xll.qlCalendarAdvance(Calendar,Y1584,0&amp;"D")</f>
        <v>50305</v>
      </c>
      <c r="AA1584" s="109">
        <v>1.357000963126076E-2</v>
      </c>
      <c r="AB1584" s="143">
        <f t="shared" si="58"/>
        <v>0</v>
      </c>
      <c r="AC1584" s="236" t="e">
        <v>#N/A</v>
      </c>
      <c r="AD1584" s="236">
        <v>1.357000963126076E-2</v>
      </c>
    </row>
    <row r="1585" spans="23:30" x14ac:dyDescent="0.2">
      <c r="W1585" s="144"/>
      <c r="X1585" s="113" t="str">
        <f t="shared" si="57"/>
        <v>1w</v>
      </c>
      <c r="Y1585" s="106">
        <f>_xll.qlCalendarAdvance(Calendar,Y1584,X1585,"f",FALSE)</f>
        <v>50312</v>
      </c>
      <c r="Z1585" s="108">
        <f>_xll.qlCalendarAdvance(Calendar,Y1585,0&amp;"D")</f>
        <v>50312</v>
      </c>
      <c r="AA1585" s="109">
        <v>1.3564687687015464E-2</v>
      </c>
      <c r="AB1585" s="143">
        <f t="shared" si="58"/>
        <v>7.9936057773011271E-14</v>
      </c>
      <c r="AC1585" s="236" t="e">
        <v>#N/A</v>
      </c>
      <c r="AD1585" s="236">
        <v>1.3564687686935528E-2</v>
      </c>
    </row>
    <row r="1586" spans="23:30" x14ac:dyDescent="0.2">
      <c r="W1586" s="144"/>
      <c r="X1586" s="113" t="str">
        <f t="shared" si="57"/>
        <v>1w</v>
      </c>
      <c r="Y1586" s="106">
        <f>_xll.qlCalendarAdvance(Calendar,Y1585,X1586,"f",FALSE)</f>
        <v>50319</v>
      </c>
      <c r="Z1586" s="108">
        <f>_xll.qlCalendarAdvance(Calendar,Y1586,0&amp;"D")</f>
        <v>50319</v>
      </c>
      <c r="AA1586" s="109">
        <v>1.3559408336458745E-2</v>
      </c>
      <c r="AB1586" s="143">
        <f t="shared" si="58"/>
        <v>0</v>
      </c>
      <c r="AC1586" s="236" t="e">
        <v>#N/A</v>
      </c>
      <c r="AD1586" s="236">
        <v>1.3559408336458745E-2</v>
      </c>
    </row>
    <row r="1587" spans="23:30" x14ac:dyDescent="0.2">
      <c r="W1587" s="144"/>
      <c r="X1587" s="113" t="str">
        <f t="shared" si="57"/>
        <v>1w</v>
      </c>
      <c r="Y1587" s="106">
        <f>_xll.qlCalendarAdvance(Calendar,Y1586,X1587,"f",FALSE)</f>
        <v>50326</v>
      </c>
      <c r="Z1587" s="108">
        <f>_xll.qlCalendarAdvance(Calendar,Y1587,0&amp;"D")</f>
        <v>50326</v>
      </c>
      <c r="AA1587" s="109">
        <v>1.355417157983041E-2</v>
      </c>
      <c r="AB1587" s="143">
        <f t="shared" si="58"/>
        <v>0</v>
      </c>
      <c r="AC1587" s="236" t="e">
        <v>#N/A</v>
      </c>
      <c r="AD1587" s="236">
        <v>1.355417157983041E-2</v>
      </c>
    </row>
    <row r="1588" spans="23:30" x14ac:dyDescent="0.2">
      <c r="W1588" s="144"/>
      <c r="X1588" s="113" t="str">
        <f t="shared" si="57"/>
        <v>1w</v>
      </c>
      <c r="Y1588" s="106">
        <f>_xll.qlCalendarAdvance(Calendar,Y1587,X1588,"f",FALSE)</f>
        <v>50333</v>
      </c>
      <c r="Z1588" s="108">
        <f>_xll.qlCalendarAdvance(Calendar,Y1588,0&amp;"D")</f>
        <v>50333</v>
      </c>
      <c r="AA1588" s="109">
        <v>1.3548977417050523E-2</v>
      </c>
      <c r="AB1588" s="143">
        <f t="shared" si="58"/>
        <v>0</v>
      </c>
      <c r="AC1588" s="236" t="e">
        <v>#N/A</v>
      </c>
      <c r="AD1588" s="236">
        <v>1.3548977417050523E-2</v>
      </c>
    </row>
    <row r="1589" spans="23:30" x14ac:dyDescent="0.2">
      <c r="W1589" s="144"/>
      <c r="X1589" s="113" t="str">
        <f t="shared" si="57"/>
        <v>1w</v>
      </c>
      <c r="Y1589" s="106">
        <f>_xll.qlCalendarAdvance(Calendar,Y1588,X1589,"f",FALSE)</f>
        <v>50340</v>
      </c>
      <c r="Z1589" s="108">
        <f>_xll.qlCalendarAdvance(Calendar,Y1589,0&amp;"D")</f>
        <v>50340</v>
      </c>
      <c r="AA1589" s="109">
        <v>1.3543825848119084E-2</v>
      </c>
      <c r="AB1589" s="143">
        <f t="shared" si="58"/>
        <v>0</v>
      </c>
      <c r="AC1589" s="236" t="e">
        <v>#N/A</v>
      </c>
      <c r="AD1589" s="236">
        <v>1.3543825848119084E-2</v>
      </c>
    </row>
    <row r="1590" spans="23:30" x14ac:dyDescent="0.2">
      <c r="W1590" s="144"/>
      <c r="X1590" s="113" t="str">
        <f t="shared" si="57"/>
        <v>1w</v>
      </c>
      <c r="Y1590" s="106">
        <f>_xll.qlCalendarAdvance(Calendar,Y1589,X1590,"f",FALSE)</f>
        <v>50347</v>
      </c>
      <c r="Z1590" s="108">
        <f>_xll.qlCalendarAdvance(Calendar,Y1590,0&amp;"D")</f>
        <v>50347</v>
      </c>
      <c r="AA1590" s="109">
        <v>1.353871687311603E-2</v>
      </c>
      <c r="AB1590" s="143">
        <f t="shared" si="58"/>
        <v>7.9936057773011271E-14</v>
      </c>
      <c r="AC1590" s="236" t="e">
        <v>#N/A</v>
      </c>
      <c r="AD1590" s="236">
        <v>1.3538716873036094E-2</v>
      </c>
    </row>
    <row r="1591" spans="23:30" x14ac:dyDescent="0.2">
      <c r="W1591" s="144"/>
      <c r="X1591" s="113" t="str">
        <f t="shared" si="57"/>
        <v>1w</v>
      </c>
      <c r="Y1591" s="106">
        <f>_xll.qlCalendarAdvance(Calendar,Y1590,X1591,"f",FALSE)</f>
        <v>50354</v>
      </c>
      <c r="Z1591" s="108">
        <f>_xll.qlCalendarAdvance(Calendar,Y1591,0&amp;"D")</f>
        <v>50354</v>
      </c>
      <c r="AA1591" s="109">
        <v>1.353365049164168E-2</v>
      </c>
      <c r="AB1591" s="143">
        <f t="shared" si="58"/>
        <v>-7.9936057773011271E-14</v>
      </c>
      <c r="AC1591" s="236" t="e">
        <v>#N/A</v>
      </c>
      <c r="AD1591" s="236">
        <v>1.3533650491721616E-2</v>
      </c>
    </row>
    <row r="1592" spans="23:30" x14ac:dyDescent="0.2">
      <c r="W1592" s="144"/>
      <c r="X1592" s="113" t="str">
        <f t="shared" si="57"/>
        <v>1w</v>
      </c>
      <c r="Y1592" s="106">
        <f>_xll.qlCalendarAdvance(Calendar,Y1591,X1592,"f",FALSE)</f>
        <v>50361</v>
      </c>
      <c r="Z1592" s="108">
        <f>_xll.qlCalendarAdvance(Calendar,Y1592,0&amp;"D")</f>
        <v>50361</v>
      </c>
      <c r="AA1592" s="109">
        <v>1.3528626704415458E-2</v>
      </c>
      <c r="AB1592" s="143">
        <f t="shared" si="58"/>
        <v>0</v>
      </c>
      <c r="AC1592" s="236" t="e">
        <v>#N/A</v>
      </c>
      <c r="AD1592" s="236">
        <v>1.3528626704415458E-2</v>
      </c>
    </row>
    <row r="1593" spans="23:30" x14ac:dyDescent="0.2">
      <c r="W1593" s="144"/>
      <c r="X1593" s="113" t="str">
        <f t="shared" si="57"/>
        <v>1w</v>
      </c>
      <c r="Y1593" s="106">
        <f>_xll.qlCalendarAdvance(Calendar,Y1592,X1593,"f",FALSE)</f>
        <v>50368</v>
      </c>
      <c r="Z1593" s="108">
        <f>_xll.qlCalendarAdvance(Calendar,Y1593,0&amp;"D")</f>
        <v>50368</v>
      </c>
      <c r="AA1593" s="109">
        <v>1.3523645510877813E-2</v>
      </c>
      <c r="AB1593" s="143">
        <f t="shared" si="58"/>
        <v>7.9936057773011271E-14</v>
      </c>
      <c r="AC1593" s="236" t="e">
        <v>#N/A</v>
      </c>
      <c r="AD1593" s="236">
        <v>1.3523645510797877E-2</v>
      </c>
    </row>
    <row r="1594" spans="23:30" x14ac:dyDescent="0.2">
      <c r="W1594" s="144"/>
      <c r="X1594" s="113" t="str">
        <f t="shared" si="57"/>
        <v>1w</v>
      </c>
      <c r="Y1594" s="106">
        <f>_xll.qlCalendarAdvance(Calendar,Y1593,X1594,"f",FALSE)</f>
        <v>50375</v>
      </c>
      <c r="Z1594" s="108">
        <f>_xll.qlCalendarAdvance(Calendar,Y1594,0&amp;"D")</f>
        <v>50375</v>
      </c>
      <c r="AA1594" s="109">
        <v>1.351870691110868E-2</v>
      </c>
      <c r="AB1594" s="143">
        <f t="shared" si="58"/>
        <v>0</v>
      </c>
      <c r="AC1594" s="236" t="e">
        <v>#N/A</v>
      </c>
      <c r="AD1594" s="236">
        <v>1.351870691110868E-2</v>
      </c>
    </row>
    <row r="1595" spans="23:30" x14ac:dyDescent="0.2">
      <c r="W1595" s="144"/>
      <c r="X1595" s="113" t="str">
        <f t="shared" si="57"/>
        <v>1w</v>
      </c>
      <c r="Y1595" s="106">
        <f>_xll.qlCalendarAdvance(Calendar,Y1594,X1595,"f",FALSE)</f>
        <v>50382</v>
      </c>
      <c r="Z1595" s="108">
        <f>_xll.qlCalendarAdvance(Calendar,Y1595,0&amp;"D")</f>
        <v>50382</v>
      </c>
      <c r="AA1595" s="109">
        <v>1.3513810905267931E-2</v>
      </c>
      <c r="AB1595" s="143">
        <f t="shared" si="58"/>
        <v>0</v>
      </c>
      <c r="AC1595" s="236" t="e">
        <v>#N/A</v>
      </c>
      <c r="AD1595" s="236">
        <v>1.3513810905267931E-2</v>
      </c>
    </row>
    <row r="1596" spans="23:30" x14ac:dyDescent="0.2">
      <c r="W1596" s="144"/>
      <c r="X1596" s="113" t="str">
        <f t="shared" si="57"/>
        <v>1w</v>
      </c>
      <c r="Y1596" s="106">
        <f>_xll.qlCalendarAdvance(Calendar,Y1595,X1596,"f",FALSE)</f>
        <v>50389</v>
      </c>
      <c r="Z1596" s="108">
        <f>_xll.qlCalendarAdvance(Calendar,Y1596,0&amp;"D")</f>
        <v>50389</v>
      </c>
      <c r="AA1596" s="109">
        <v>1.3508957493195695E-2</v>
      </c>
      <c r="AB1596" s="143">
        <f t="shared" si="58"/>
        <v>0</v>
      </c>
      <c r="AC1596" s="236" t="e">
        <v>#N/A</v>
      </c>
      <c r="AD1596" s="236">
        <v>1.3508957493195695E-2</v>
      </c>
    </row>
    <row r="1597" spans="23:30" x14ac:dyDescent="0.2">
      <c r="W1597" s="144"/>
      <c r="X1597" s="113" t="str">
        <f t="shared" si="57"/>
        <v>1w</v>
      </c>
      <c r="Y1597" s="106">
        <f>_xll.qlCalendarAdvance(Calendar,Y1596,X1597,"f",FALSE)</f>
        <v>50396</v>
      </c>
      <c r="Z1597" s="108">
        <f>_xll.qlCalendarAdvance(Calendar,Y1597,0&amp;"D")</f>
        <v>50396</v>
      </c>
      <c r="AA1597" s="109">
        <v>1.3504146675051842E-2</v>
      </c>
      <c r="AB1597" s="143">
        <f t="shared" si="58"/>
        <v>0</v>
      </c>
      <c r="AC1597" s="236" t="e">
        <v>#N/A</v>
      </c>
      <c r="AD1597" s="236">
        <v>1.3504146675051842E-2</v>
      </c>
    </row>
    <row r="1598" spans="23:30" x14ac:dyDescent="0.2">
      <c r="W1598" s="144"/>
      <c r="X1598" s="113" t="str">
        <f t="shared" si="57"/>
        <v>1w</v>
      </c>
      <c r="Y1598" s="106">
        <f>_xll.qlCalendarAdvance(Calendar,Y1597,X1598,"f",FALSE)</f>
        <v>50403</v>
      </c>
      <c r="Z1598" s="108">
        <f>_xll.qlCalendarAdvance(Calendar,Y1598,0&amp;"D")</f>
        <v>50403</v>
      </c>
      <c r="AA1598" s="109">
        <v>1.3499378450676502E-2</v>
      </c>
      <c r="AB1598" s="143">
        <f t="shared" si="58"/>
        <v>7.9936057773011271E-14</v>
      </c>
      <c r="AC1598" s="236" t="e">
        <v>#N/A</v>
      </c>
      <c r="AD1598" s="236">
        <v>1.3499378450596566E-2</v>
      </c>
    </row>
    <row r="1599" spans="23:30" x14ac:dyDescent="0.2">
      <c r="W1599" s="144"/>
      <c r="X1599" s="113" t="str">
        <f t="shared" si="57"/>
        <v>1w</v>
      </c>
      <c r="Y1599" s="106">
        <f>_xll.qlCalendarAdvance(Calendar,Y1598,X1599,"f",FALSE)</f>
        <v>50410</v>
      </c>
      <c r="Z1599" s="108">
        <f>_xll.qlCalendarAdvance(Calendar,Y1599,0&amp;"D")</f>
        <v>50410</v>
      </c>
      <c r="AA1599" s="109">
        <v>1.3494652820069675E-2</v>
      </c>
      <c r="AB1599" s="143">
        <f t="shared" si="58"/>
        <v>-7.9936057773011271E-14</v>
      </c>
      <c r="AC1599" s="236" t="e">
        <v>#N/A</v>
      </c>
      <c r="AD1599" s="236">
        <v>1.3494652820149611E-2</v>
      </c>
    </row>
    <row r="1600" spans="23:30" x14ac:dyDescent="0.2">
      <c r="W1600" s="144"/>
      <c r="X1600" s="113" t="str">
        <f t="shared" si="57"/>
        <v>1w</v>
      </c>
      <c r="Y1600" s="106">
        <f>_xll.qlCalendarAdvance(Calendar,Y1599,X1600,"f",FALSE)</f>
        <v>50417</v>
      </c>
      <c r="Z1600" s="108">
        <f>_xll.qlCalendarAdvance(Calendar,Y1600,0&amp;"D")</f>
        <v>50417</v>
      </c>
      <c r="AA1600" s="109">
        <v>1.3489969783391231E-2</v>
      </c>
      <c r="AB1600" s="143">
        <f t="shared" si="58"/>
        <v>-7.9936057773011271E-14</v>
      </c>
      <c r="AC1600" s="236" t="e">
        <v>#N/A</v>
      </c>
      <c r="AD1600" s="236">
        <v>1.3489969783471167E-2</v>
      </c>
    </row>
    <row r="1601" spans="23:30" x14ac:dyDescent="0.2">
      <c r="W1601" s="144"/>
      <c r="X1601" s="113" t="str">
        <f t="shared" si="57"/>
        <v>1w</v>
      </c>
      <c r="Y1601" s="106">
        <f>_xll.qlCalendarAdvance(Calendar,Y1600,X1601,"f",FALSE)</f>
        <v>50424</v>
      </c>
      <c r="Z1601" s="108">
        <f>_xll.qlCalendarAdvance(Calendar,Y1601,0&amp;"D")</f>
        <v>50424</v>
      </c>
      <c r="AA1601" s="109">
        <v>1.3485329340561236E-2</v>
      </c>
      <c r="AB1601" s="143">
        <f t="shared" si="58"/>
        <v>0</v>
      </c>
      <c r="AC1601" s="236" t="e">
        <v>#N/A</v>
      </c>
      <c r="AD1601" s="236">
        <v>1.3485329340561236E-2</v>
      </c>
    </row>
    <row r="1602" spans="23:30" x14ac:dyDescent="0.2">
      <c r="W1602" s="144"/>
      <c r="X1602" s="113" t="str">
        <f t="shared" si="57"/>
        <v>1w</v>
      </c>
      <c r="Y1602" s="106">
        <f>_xll.qlCalendarAdvance(Calendar,Y1601,X1602,"f",FALSE)</f>
        <v>50431</v>
      </c>
      <c r="Z1602" s="108">
        <f>_xll.qlCalendarAdvance(Calendar,Y1602,0&amp;"D")</f>
        <v>50431</v>
      </c>
      <c r="AA1602" s="109">
        <v>1.3480731491579689E-2</v>
      </c>
      <c r="AB1602" s="143">
        <f t="shared" si="58"/>
        <v>7.9936057773011271E-14</v>
      </c>
      <c r="AC1602" s="236" t="e">
        <v>#N/A</v>
      </c>
      <c r="AD1602" s="236">
        <v>1.3480731491499753E-2</v>
      </c>
    </row>
    <row r="1603" spans="23:30" x14ac:dyDescent="0.2">
      <c r="W1603" s="144"/>
      <c r="X1603" s="113" t="str">
        <f t="shared" si="57"/>
        <v>1w</v>
      </c>
      <c r="Y1603" s="106">
        <f>_xll.qlCalendarAdvance(Calendar,Y1602,X1603,"f",FALSE)</f>
        <v>50438</v>
      </c>
      <c r="Z1603" s="108">
        <f>_xll.qlCalendarAdvance(Calendar,Y1603,0&amp;"D")</f>
        <v>50438</v>
      </c>
      <c r="AA1603" s="109">
        <v>1.3476176236286719E-2</v>
      </c>
      <c r="AB1603" s="143">
        <f t="shared" si="58"/>
        <v>0</v>
      </c>
      <c r="AC1603" s="236" t="e">
        <v>#N/A</v>
      </c>
      <c r="AD1603" s="236">
        <v>1.3476176236286719E-2</v>
      </c>
    </row>
    <row r="1604" spans="23:30" x14ac:dyDescent="0.2">
      <c r="W1604" s="144"/>
      <c r="X1604" s="113" t="str">
        <f t="shared" si="57"/>
        <v>1w</v>
      </c>
      <c r="Y1604" s="106">
        <f>_xll.qlCalendarAdvance(Calendar,Y1603,X1604,"f",FALSE)</f>
        <v>50445</v>
      </c>
      <c r="Z1604" s="108">
        <f>_xll.qlCalendarAdvance(Calendar,Y1604,0&amp;"D")</f>
        <v>50445</v>
      </c>
      <c r="AA1604" s="109">
        <v>1.3471663575002069E-2</v>
      </c>
      <c r="AB1604" s="143">
        <f t="shared" si="58"/>
        <v>7.9936057773011271E-14</v>
      </c>
      <c r="AC1604" s="236" t="e">
        <v>#N/A</v>
      </c>
      <c r="AD1604" s="236">
        <v>1.3471663574922133E-2</v>
      </c>
    </row>
    <row r="1605" spans="23:30" x14ac:dyDescent="0.2">
      <c r="W1605" s="144"/>
      <c r="X1605" s="113" t="str">
        <f t="shared" si="57"/>
        <v>1w</v>
      </c>
      <c r="Y1605" s="106">
        <f>_xll.qlCalendarAdvance(Calendar,Y1604,X1605,"f",FALSE)</f>
        <v>50452</v>
      </c>
      <c r="Z1605" s="108">
        <f>_xll.qlCalendarAdvance(Calendar,Y1605,0&amp;"D")</f>
        <v>50452</v>
      </c>
      <c r="AA1605" s="109">
        <v>1.3467193507405995E-2</v>
      </c>
      <c r="AB1605" s="143">
        <f t="shared" si="58"/>
        <v>0</v>
      </c>
      <c r="AC1605" s="236" t="e">
        <v>#N/A</v>
      </c>
      <c r="AD1605" s="236">
        <v>1.3467193507405995E-2</v>
      </c>
    </row>
    <row r="1606" spans="23:30" x14ac:dyDescent="0.2">
      <c r="W1606" s="144"/>
      <c r="X1606" s="113" t="str">
        <f t="shared" si="57"/>
        <v>1w</v>
      </c>
      <c r="Y1606" s="106">
        <f>_xll.qlCalendarAdvance(Calendar,Y1605,X1606,"f",FALSE)</f>
        <v>50459</v>
      </c>
      <c r="Z1606" s="108">
        <f>_xll.qlCalendarAdvance(Calendar,Y1606,0&amp;"D")</f>
        <v>50459</v>
      </c>
      <c r="AA1606" s="109">
        <v>1.3462766033738305E-2</v>
      </c>
      <c r="AB1606" s="143">
        <f t="shared" si="58"/>
        <v>0</v>
      </c>
      <c r="AC1606" s="236" t="e">
        <v>#N/A</v>
      </c>
      <c r="AD1606" s="236">
        <v>1.3462766033738305E-2</v>
      </c>
    </row>
    <row r="1607" spans="23:30" x14ac:dyDescent="0.2">
      <c r="W1607" s="144"/>
      <c r="X1607" s="113" t="str">
        <f t="shared" si="57"/>
        <v>1w</v>
      </c>
      <c r="Y1607" s="106">
        <f>_xll.qlCalendarAdvance(Calendar,Y1606,X1607,"f",FALSE)</f>
        <v>50466</v>
      </c>
      <c r="Z1607" s="108">
        <f>_xll.qlCalendarAdvance(Calendar,Y1607,0&amp;"D")</f>
        <v>50466</v>
      </c>
      <c r="AA1607" s="109">
        <v>1.3458381153759191E-2</v>
      </c>
      <c r="AB1607" s="143">
        <f t="shared" si="58"/>
        <v>0</v>
      </c>
      <c r="AC1607" s="236" t="e">
        <v>#N/A</v>
      </c>
      <c r="AD1607" s="236">
        <v>1.3458381153759191E-2</v>
      </c>
    </row>
    <row r="1608" spans="23:30" x14ac:dyDescent="0.2">
      <c r="W1608" s="144"/>
      <c r="X1608" s="113" t="str">
        <f t="shared" si="57"/>
        <v>1w</v>
      </c>
      <c r="Y1608" s="106">
        <f>_xll.qlCalendarAdvance(Calendar,Y1607,X1608,"f",FALSE)</f>
        <v>50473</v>
      </c>
      <c r="Z1608" s="108">
        <f>_xll.qlCalendarAdvance(Calendar,Y1608,0&amp;"D")</f>
        <v>50473</v>
      </c>
      <c r="AA1608" s="109">
        <v>1.3454038867628526E-2</v>
      </c>
      <c r="AB1608" s="143">
        <f t="shared" si="58"/>
        <v>0</v>
      </c>
      <c r="AC1608" s="236" t="e">
        <v>#N/A</v>
      </c>
      <c r="AD1608" s="236">
        <v>1.3454038867628526E-2</v>
      </c>
    </row>
    <row r="1609" spans="23:30" x14ac:dyDescent="0.2">
      <c r="W1609" s="144"/>
      <c r="X1609" s="113" t="str">
        <f t="shared" si="57"/>
        <v>1w</v>
      </c>
      <c r="Y1609" s="106">
        <f>_xll.qlCalendarAdvance(Calendar,Y1608,X1609,"f",FALSE)</f>
        <v>50480</v>
      </c>
      <c r="Z1609" s="108">
        <f>_xll.qlCalendarAdvance(Calendar,Y1609,0&amp;"D")</f>
        <v>50480</v>
      </c>
      <c r="AA1609" s="109">
        <v>1.3449739175346309E-2</v>
      </c>
      <c r="AB1609" s="143">
        <f t="shared" si="58"/>
        <v>0</v>
      </c>
      <c r="AC1609" s="236" t="e">
        <v>#N/A</v>
      </c>
      <c r="AD1609" s="236">
        <v>1.3449739175346309E-2</v>
      </c>
    </row>
    <row r="1610" spans="23:30" x14ac:dyDescent="0.2">
      <c r="W1610" s="144"/>
      <c r="X1610" s="113" t="str">
        <f t="shared" si="57"/>
        <v>1w</v>
      </c>
      <c r="Y1610" s="106">
        <f>_xll.qlCalendarAdvance(Calendar,Y1609,X1610,"f",FALSE)</f>
        <v>50487</v>
      </c>
      <c r="Z1610" s="108">
        <f>_xll.qlCalendarAdvance(Calendar,Y1610,0&amp;"D")</f>
        <v>50487</v>
      </c>
      <c r="AA1610" s="109">
        <v>1.344548207691254E-2</v>
      </c>
      <c r="AB1610" s="143">
        <f t="shared" si="58"/>
        <v>0</v>
      </c>
      <c r="AC1610" s="236" t="e">
        <v>#N/A</v>
      </c>
      <c r="AD1610" s="236">
        <v>1.344548207691254E-2</v>
      </c>
    </row>
    <row r="1611" spans="23:30" x14ac:dyDescent="0.2">
      <c r="W1611" s="144"/>
      <c r="X1611" s="113" t="str">
        <f t="shared" si="57"/>
        <v>1w</v>
      </c>
      <c r="Y1611" s="106">
        <f>_xll.qlCalendarAdvance(Calendar,Y1610,X1611,"f",FALSE)</f>
        <v>50494</v>
      </c>
      <c r="Z1611" s="108">
        <f>_xll.qlCalendarAdvance(Calendar,Y1611,0&amp;"D")</f>
        <v>50494</v>
      </c>
      <c r="AA1611" s="109">
        <v>1.3441267572247284E-2</v>
      </c>
      <c r="AB1611" s="143">
        <f t="shared" si="58"/>
        <v>0</v>
      </c>
      <c r="AC1611" s="236" t="e">
        <v>#N/A</v>
      </c>
      <c r="AD1611" s="236">
        <v>1.3441267572247284E-2</v>
      </c>
    </row>
    <row r="1612" spans="23:30" x14ac:dyDescent="0.2">
      <c r="W1612" s="144"/>
      <c r="X1612" s="113" t="str">
        <f t="shared" si="57"/>
        <v>1w</v>
      </c>
      <c r="Y1612" s="106">
        <f>_xll.qlCalendarAdvance(Calendar,Y1611,X1612,"f",FALSE)</f>
        <v>50501</v>
      </c>
      <c r="Z1612" s="108">
        <f>_xll.qlCalendarAdvance(Calendar,Y1612,0&amp;"D")</f>
        <v>50501</v>
      </c>
      <c r="AA1612" s="109">
        <v>1.3437095661510412E-2</v>
      </c>
      <c r="AB1612" s="143">
        <f t="shared" si="58"/>
        <v>0</v>
      </c>
      <c r="AC1612" s="236" t="e">
        <v>#N/A</v>
      </c>
      <c r="AD1612" s="236">
        <v>1.3437095661510412E-2</v>
      </c>
    </row>
    <row r="1613" spans="23:30" x14ac:dyDescent="0.2">
      <c r="W1613" s="144"/>
      <c r="X1613" s="113" t="str">
        <f t="shared" ref="X1613:X1676" si="59">X1612</f>
        <v>1w</v>
      </c>
      <c r="Y1613" s="106">
        <f>_xll.qlCalendarAdvance(Calendar,Y1612,X1613,"f",FALSE)</f>
        <v>50508</v>
      </c>
      <c r="Z1613" s="108">
        <f>_xll.qlCalendarAdvance(Calendar,Y1613,0&amp;"D")</f>
        <v>50508</v>
      </c>
      <c r="AA1613" s="109">
        <v>1.3432966344462116E-2</v>
      </c>
      <c r="AB1613" s="143">
        <f t="shared" si="58"/>
        <v>0</v>
      </c>
      <c r="AC1613" s="236" t="e">
        <v>#N/A</v>
      </c>
      <c r="AD1613" s="236">
        <v>1.3432966344462116E-2</v>
      </c>
    </row>
    <row r="1614" spans="23:30" x14ac:dyDescent="0.2">
      <c r="W1614" s="144"/>
      <c r="X1614" s="113" t="str">
        <f t="shared" si="59"/>
        <v>1w</v>
      </c>
      <c r="Y1614" s="106">
        <f>_xll.qlCalendarAdvance(Calendar,Y1613,X1614,"f",FALSE)</f>
        <v>50515</v>
      </c>
      <c r="Z1614" s="108">
        <f>_xll.qlCalendarAdvance(Calendar,Y1614,0&amp;"D")</f>
        <v>50515</v>
      </c>
      <c r="AA1614" s="109">
        <v>1.3428879621182332E-2</v>
      </c>
      <c r="AB1614" s="143">
        <f t="shared" si="58"/>
        <v>0</v>
      </c>
      <c r="AC1614" s="236" t="e">
        <v>#N/A</v>
      </c>
      <c r="AD1614" s="236">
        <v>1.3428879621182332E-2</v>
      </c>
    </row>
    <row r="1615" spans="23:30" x14ac:dyDescent="0.2">
      <c r="W1615" s="144"/>
      <c r="X1615" s="113" t="str">
        <f t="shared" si="59"/>
        <v>1w</v>
      </c>
      <c r="Y1615" s="106">
        <f>_xll.qlCalendarAdvance(Calendar,Y1614,X1615,"f",FALSE)</f>
        <v>50522</v>
      </c>
      <c r="Z1615" s="108">
        <f>_xll.qlCalendarAdvance(Calendar,Y1615,0&amp;"D")</f>
        <v>50522</v>
      </c>
      <c r="AA1615" s="109">
        <v>1.3424835491830933E-2</v>
      </c>
      <c r="AB1615" s="143">
        <f t="shared" si="58"/>
        <v>0</v>
      </c>
      <c r="AC1615" s="236" t="e">
        <v>#N/A</v>
      </c>
      <c r="AD1615" s="236">
        <v>1.3424835491830933E-2</v>
      </c>
    </row>
    <row r="1616" spans="23:30" x14ac:dyDescent="0.2">
      <c r="W1616" s="144"/>
      <c r="X1616" s="113" t="str">
        <f t="shared" si="59"/>
        <v>1w</v>
      </c>
      <c r="Y1616" s="106">
        <f>_xll.qlCalendarAdvance(Calendar,Y1615,X1616,"f",FALSE)</f>
        <v>50529</v>
      </c>
      <c r="Z1616" s="108">
        <f>_xll.qlCalendarAdvance(Calendar,Y1616,0&amp;"D")</f>
        <v>50529</v>
      </c>
      <c r="AA1616" s="109">
        <v>1.3420833956248046E-2</v>
      </c>
      <c r="AB1616" s="143">
        <f t="shared" si="58"/>
        <v>0</v>
      </c>
      <c r="AC1616" s="236" t="e">
        <v>#N/A</v>
      </c>
      <c r="AD1616" s="236">
        <v>1.3420833956248046E-2</v>
      </c>
    </row>
    <row r="1617" spans="23:30" x14ac:dyDescent="0.2">
      <c r="W1617" s="144"/>
      <c r="X1617" s="113" t="str">
        <f t="shared" si="59"/>
        <v>1w</v>
      </c>
      <c r="Y1617" s="106">
        <f>_xll.qlCalendarAdvance(Calendar,Y1616,X1617,"f",FALSE)</f>
        <v>50536</v>
      </c>
      <c r="Z1617" s="108">
        <f>_xll.qlCalendarAdvance(Calendar,Y1617,0&amp;"D")</f>
        <v>50536</v>
      </c>
      <c r="AA1617" s="109">
        <v>1.3416875014353735E-2</v>
      </c>
      <c r="AB1617" s="143">
        <f t="shared" si="58"/>
        <v>-7.9936057773011271E-14</v>
      </c>
      <c r="AC1617" s="236" t="e">
        <v>#N/A</v>
      </c>
      <c r="AD1617" s="236">
        <v>1.3416875014433671E-2</v>
      </c>
    </row>
    <row r="1618" spans="23:30" x14ac:dyDescent="0.2">
      <c r="W1618" s="144"/>
      <c r="X1618" s="113" t="str">
        <f t="shared" si="59"/>
        <v>1w</v>
      </c>
      <c r="Y1618" s="106">
        <f>_xll.qlCalendarAdvance(Calendar,Y1617,X1618,"f",FALSE)</f>
        <v>50543</v>
      </c>
      <c r="Z1618" s="108">
        <f>_xll.qlCalendarAdvance(Calendar,Y1618,0&amp;"D")</f>
        <v>50543</v>
      </c>
      <c r="AA1618" s="109">
        <v>1.3412958666387809E-2</v>
      </c>
      <c r="AB1618" s="143">
        <f t="shared" si="58"/>
        <v>0</v>
      </c>
      <c r="AC1618" s="236" t="e">
        <v>#N/A</v>
      </c>
      <c r="AD1618" s="236">
        <v>1.3412958666387809E-2</v>
      </c>
    </row>
    <row r="1619" spans="23:30" x14ac:dyDescent="0.2">
      <c r="W1619" s="144"/>
      <c r="X1619" s="113" t="str">
        <f t="shared" si="59"/>
        <v>1w</v>
      </c>
      <c r="Y1619" s="106">
        <f>_xll.qlCalendarAdvance(Calendar,Y1618,X1619,"f",FALSE)</f>
        <v>50550</v>
      </c>
      <c r="Z1619" s="108">
        <f>_xll.qlCalendarAdvance(Calendar,Y1619,0&amp;"D")</f>
        <v>50550</v>
      </c>
      <c r="AA1619" s="109">
        <v>1.340908491227033E-2</v>
      </c>
      <c r="AB1619" s="143">
        <f t="shared" si="58"/>
        <v>0</v>
      </c>
      <c r="AC1619" s="236" t="e">
        <v>#N/A</v>
      </c>
      <c r="AD1619" s="236">
        <v>1.340908491227033E-2</v>
      </c>
    </row>
    <row r="1620" spans="23:30" x14ac:dyDescent="0.2">
      <c r="W1620" s="144"/>
      <c r="X1620" s="113" t="str">
        <f t="shared" si="59"/>
        <v>1w</v>
      </c>
      <c r="Y1620" s="106">
        <f>_xll.qlCalendarAdvance(Calendar,Y1619,X1620,"f",FALSE)</f>
        <v>50557</v>
      </c>
      <c r="Z1620" s="108">
        <f>_xll.qlCalendarAdvance(Calendar,Y1620,0&amp;"D")</f>
        <v>50557</v>
      </c>
      <c r="AA1620" s="109">
        <v>1.3405253751921364E-2</v>
      </c>
      <c r="AB1620" s="143">
        <f t="shared" si="58"/>
        <v>7.9936057773011271E-14</v>
      </c>
      <c r="AC1620" s="236" t="e">
        <v>#N/A</v>
      </c>
      <c r="AD1620" s="236">
        <v>1.3405253751841428E-2</v>
      </c>
    </row>
    <row r="1621" spans="23:30" x14ac:dyDescent="0.2">
      <c r="W1621" s="144"/>
      <c r="X1621" s="113" t="str">
        <f t="shared" si="59"/>
        <v>1w</v>
      </c>
      <c r="Y1621" s="106">
        <f>_xll.qlCalendarAdvance(Calendar,Y1620,X1621,"f",FALSE)</f>
        <v>50564</v>
      </c>
      <c r="Z1621" s="108">
        <f>_xll.qlCalendarAdvance(Calendar,Y1621,0&amp;"D")</f>
        <v>50564</v>
      </c>
      <c r="AA1621" s="109">
        <v>1.3401465185181038E-2</v>
      </c>
      <c r="AB1621" s="143">
        <f t="shared" ref="AB1621:AB1684" si="60">AA1621-AD1621</f>
        <v>0</v>
      </c>
      <c r="AC1621" s="236" t="e">
        <v>#N/A</v>
      </c>
      <c r="AD1621" s="236">
        <v>1.3401465185181038E-2</v>
      </c>
    </row>
    <row r="1622" spans="23:30" x14ac:dyDescent="0.2">
      <c r="W1622" s="144"/>
      <c r="X1622" s="113" t="str">
        <f t="shared" si="59"/>
        <v>1w</v>
      </c>
      <c r="Y1622" s="106">
        <f>_xll.qlCalendarAdvance(Calendar,Y1621,X1622,"f",FALSE)</f>
        <v>50571</v>
      </c>
      <c r="Z1622" s="108">
        <f>_xll.qlCalendarAdvance(Calendar,Y1622,0&amp;"D")</f>
        <v>50571</v>
      </c>
      <c r="AA1622" s="109">
        <v>1.3397719212449033E-2</v>
      </c>
      <c r="AB1622" s="143">
        <f t="shared" si="60"/>
        <v>-7.9936057773011271E-14</v>
      </c>
      <c r="AC1622" s="236" t="e">
        <v>#N/A</v>
      </c>
      <c r="AD1622" s="236">
        <v>1.3397719212528969E-2</v>
      </c>
    </row>
    <row r="1623" spans="23:30" x14ac:dyDescent="0.2">
      <c r="W1623" s="144"/>
      <c r="X1623" s="113" t="str">
        <f t="shared" si="59"/>
        <v>1w</v>
      </c>
      <c r="Y1623" s="106">
        <f>_xll.qlCalendarAdvance(Calendar,Y1622,X1623,"f",FALSE)</f>
        <v>50578</v>
      </c>
      <c r="Z1623" s="108">
        <f>_xll.qlCalendarAdvance(Calendar,Y1623,0&amp;"D")</f>
        <v>50578</v>
      </c>
      <c r="AA1623" s="109">
        <v>1.339401583348554E-2</v>
      </c>
      <c r="AB1623" s="143">
        <f t="shared" si="60"/>
        <v>0</v>
      </c>
      <c r="AC1623" s="236" t="e">
        <v>#N/A</v>
      </c>
      <c r="AD1623" s="236">
        <v>1.339401583348554E-2</v>
      </c>
    </row>
    <row r="1624" spans="23:30" x14ac:dyDescent="0.2">
      <c r="W1624" s="144"/>
      <c r="X1624" s="113" t="str">
        <f t="shared" si="59"/>
        <v>1w</v>
      </c>
      <c r="Y1624" s="106">
        <f>_xll.qlCalendarAdvance(Calendar,Y1623,X1624,"f",FALSE)</f>
        <v>50585</v>
      </c>
      <c r="Z1624" s="108">
        <f>_xll.qlCalendarAdvance(Calendar,Y1624,0&amp;"D")</f>
        <v>50585</v>
      </c>
      <c r="AA1624" s="109">
        <v>1.3390355048370495E-2</v>
      </c>
      <c r="AB1624" s="143">
        <f t="shared" si="60"/>
        <v>7.9936057773011271E-14</v>
      </c>
      <c r="AC1624" s="236" t="e">
        <v>#N/A</v>
      </c>
      <c r="AD1624" s="236">
        <v>1.3390355048290559E-2</v>
      </c>
    </row>
    <row r="1625" spans="23:30" x14ac:dyDescent="0.2">
      <c r="W1625" s="144"/>
      <c r="X1625" s="113" t="str">
        <f t="shared" si="59"/>
        <v>1w</v>
      </c>
      <c r="Y1625" s="106">
        <f>_xll.qlCalendarAdvance(Calendar,Y1624,X1625,"f",FALSE)</f>
        <v>50592</v>
      </c>
      <c r="Z1625" s="108">
        <f>_xll.qlCalendarAdvance(Calendar,Y1625,0&amp;"D")</f>
        <v>50592</v>
      </c>
      <c r="AA1625" s="109">
        <v>1.3386736856944026E-2</v>
      </c>
      <c r="AB1625" s="143">
        <f t="shared" si="60"/>
        <v>0</v>
      </c>
      <c r="AC1625" s="236" t="e">
        <v>#N/A</v>
      </c>
      <c r="AD1625" s="236">
        <v>1.3386736856944026E-2</v>
      </c>
    </row>
    <row r="1626" spans="23:30" x14ac:dyDescent="0.2">
      <c r="W1626" s="144"/>
      <c r="X1626" s="113" t="str">
        <f t="shared" si="59"/>
        <v>1w</v>
      </c>
      <c r="Y1626" s="106">
        <f>_xll.qlCalendarAdvance(Calendar,Y1625,X1626,"f",FALSE)</f>
        <v>50599</v>
      </c>
      <c r="Z1626" s="108">
        <f>_xll.qlCalendarAdvance(Calendar,Y1626,0&amp;"D")</f>
        <v>50599</v>
      </c>
      <c r="AA1626" s="109">
        <v>1.3383161259286069E-2</v>
      </c>
      <c r="AB1626" s="143">
        <f t="shared" si="60"/>
        <v>-7.9936057773011271E-14</v>
      </c>
      <c r="AC1626" s="236" t="e">
        <v>#N/A</v>
      </c>
      <c r="AD1626" s="236">
        <v>1.3383161259366005E-2</v>
      </c>
    </row>
    <row r="1627" spans="23:30" x14ac:dyDescent="0.2">
      <c r="W1627" s="144"/>
      <c r="X1627" s="113" t="str">
        <f t="shared" si="59"/>
        <v>1w</v>
      </c>
      <c r="Y1627" s="106">
        <f>_xll.qlCalendarAdvance(Calendar,Y1626,X1627,"f",FALSE)</f>
        <v>50606</v>
      </c>
      <c r="Z1627" s="108">
        <f>_xll.qlCalendarAdvance(Calendar,Y1627,0&amp;"D")</f>
        <v>50606</v>
      </c>
      <c r="AA1627" s="109">
        <v>1.3379628255476561E-2</v>
      </c>
      <c r="AB1627" s="143">
        <f t="shared" si="60"/>
        <v>-7.9936057773011271E-14</v>
      </c>
      <c r="AC1627" s="236" t="e">
        <v>#N/A</v>
      </c>
      <c r="AD1627" s="236">
        <v>1.3379628255556497E-2</v>
      </c>
    </row>
    <row r="1628" spans="23:30" x14ac:dyDescent="0.2">
      <c r="W1628" s="144"/>
      <c r="X1628" s="113" t="str">
        <f t="shared" si="59"/>
        <v>1w</v>
      </c>
      <c r="Y1628" s="106">
        <f>_xll.qlCalendarAdvance(Calendar,Y1627,X1628,"f",FALSE)</f>
        <v>50613</v>
      </c>
      <c r="Z1628" s="108">
        <f>_xll.qlCalendarAdvance(Calendar,Y1628,0&amp;"D")</f>
        <v>50613</v>
      </c>
      <c r="AA1628" s="109">
        <v>1.3376137845515501E-2</v>
      </c>
      <c r="AB1628" s="143">
        <f t="shared" si="60"/>
        <v>0</v>
      </c>
      <c r="AC1628" s="236" t="e">
        <v>#N/A</v>
      </c>
      <c r="AD1628" s="236">
        <v>1.3376137845515501E-2</v>
      </c>
    </row>
    <row r="1629" spans="23:30" x14ac:dyDescent="0.2">
      <c r="W1629" s="144"/>
      <c r="X1629" s="113" t="str">
        <f t="shared" si="59"/>
        <v>1w</v>
      </c>
      <c r="Y1629" s="106">
        <f>_xll.qlCalendarAdvance(Calendar,Y1628,X1629,"f",FALSE)</f>
        <v>50620</v>
      </c>
      <c r="Z1629" s="108">
        <f>_xll.qlCalendarAdvance(Calendar,Y1629,0&amp;"D")</f>
        <v>50620</v>
      </c>
      <c r="AA1629" s="109">
        <v>1.3372690029243017E-2</v>
      </c>
      <c r="AB1629" s="143">
        <f t="shared" si="60"/>
        <v>0</v>
      </c>
      <c r="AC1629" s="236" t="e">
        <v>#N/A</v>
      </c>
      <c r="AD1629" s="236">
        <v>1.3372690029243017E-2</v>
      </c>
    </row>
    <row r="1630" spans="23:30" x14ac:dyDescent="0.2">
      <c r="W1630" s="144"/>
      <c r="X1630" s="113" t="str">
        <f t="shared" si="59"/>
        <v>1w</v>
      </c>
      <c r="Y1630" s="106">
        <f>_xll.qlCalendarAdvance(Calendar,Y1629,X1630,"f",FALSE)</f>
        <v>50627</v>
      </c>
      <c r="Z1630" s="108">
        <f>_xll.qlCalendarAdvance(Calendar,Y1630,0&amp;"D")</f>
        <v>50627</v>
      </c>
      <c r="AA1630" s="109">
        <v>1.3369284806818982E-2</v>
      </c>
      <c r="AB1630" s="143">
        <f t="shared" si="60"/>
        <v>0</v>
      </c>
      <c r="AC1630" s="236" t="e">
        <v>#N/A</v>
      </c>
      <c r="AD1630" s="236">
        <v>1.3369284806818982E-2</v>
      </c>
    </row>
    <row r="1631" spans="23:30" x14ac:dyDescent="0.2">
      <c r="W1631" s="144"/>
      <c r="X1631" s="113" t="str">
        <f t="shared" si="59"/>
        <v>1w</v>
      </c>
      <c r="Y1631" s="106">
        <f>_xll.qlCalendarAdvance(Calendar,Y1630,X1631,"f",FALSE)</f>
        <v>50634</v>
      </c>
      <c r="Z1631" s="108">
        <f>_xll.qlCalendarAdvance(Calendar,Y1631,0&amp;"D")</f>
        <v>50634</v>
      </c>
      <c r="AA1631" s="109">
        <v>1.3365922178083522E-2</v>
      </c>
      <c r="AB1631" s="143">
        <f t="shared" si="60"/>
        <v>0</v>
      </c>
      <c r="AC1631" s="236" t="e">
        <v>#N/A</v>
      </c>
      <c r="AD1631" s="236">
        <v>1.3365922178083522E-2</v>
      </c>
    </row>
    <row r="1632" spans="23:30" x14ac:dyDescent="0.2">
      <c r="W1632" s="144"/>
      <c r="X1632" s="113" t="str">
        <f t="shared" si="59"/>
        <v>1w</v>
      </c>
      <c r="Y1632" s="106">
        <f>_xll.qlCalendarAdvance(Calendar,Y1631,X1632,"f",FALSE)</f>
        <v>50641</v>
      </c>
      <c r="Z1632" s="108">
        <f>_xll.qlCalendarAdvance(Calendar,Y1632,0&amp;"D")</f>
        <v>50641</v>
      </c>
      <c r="AA1632" s="109">
        <v>1.3362602143276447E-2</v>
      </c>
      <c r="AB1632" s="143">
        <f t="shared" si="60"/>
        <v>0</v>
      </c>
      <c r="AC1632" s="236" t="e">
        <v>#N/A</v>
      </c>
      <c r="AD1632" s="236">
        <v>1.3362602143276447E-2</v>
      </c>
    </row>
    <row r="1633" spans="23:30" x14ac:dyDescent="0.2">
      <c r="W1633" s="144"/>
      <c r="X1633" s="113" t="str">
        <f t="shared" si="59"/>
        <v>1w</v>
      </c>
      <c r="Y1633" s="106">
        <f>_xll.qlCalendarAdvance(Calendar,Y1632,X1633,"f",FALSE)</f>
        <v>50648</v>
      </c>
      <c r="Z1633" s="108">
        <f>_xll.qlCalendarAdvance(Calendar,Y1633,0&amp;"D")</f>
        <v>50648</v>
      </c>
      <c r="AA1633" s="109">
        <v>1.3359324702317821E-2</v>
      </c>
      <c r="AB1633" s="143">
        <f t="shared" si="60"/>
        <v>7.9936057773011271E-14</v>
      </c>
      <c r="AC1633" s="236" t="e">
        <v>#N/A</v>
      </c>
      <c r="AD1633" s="236">
        <v>1.3359324702237885E-2</v>
      </c>
    </row>
    <row r="1634" spans="23:30" x14ac:dyDescent="0.2">
      <c r="W1634" s="144"/>
      <c r="X1634" s="113" t="str">
        <f t="shared" si="59"/>
        <v>1w</v>
      </c>
      <c r="Y1634" s="106">
        <f>_xll.qlCalendarAdvance(Calendar,Y1633,X1634,"f",FALSE)</f>
        <v>50655</v>
      </c>
      <c r="Z1634" s="108">
        <f>_xll.qlCalendarAdvance(Calendar,Y1634,0&amp;"D")</f>
        <v>50655</v>
      </c>
      <c r="AA1634" s="109">
        <v>1.3356089854887898E-2</v>
      </c>
      <c r="AB1634" s="143">
        <f t="shared" si="60"/>
        <v>0</v>
      </c>
      <c r="AC1634" s="236" t="e">
        <v>#N/A</v>
      </c>
      <c r="AD1634" s="236">
        <v>1.3356089854887898E-2</v>
      </c>
    </row>
    <row r="1635" spans="23:30" x14ac:dyDescent="0.2">
      <c r="W1635" s="144"/>
      <c r="X1635" s="113" t="str">
        <f t="shared" si="59"/>
        <v>1w</v>
      </c>
      <c r="Y1635" s="106">
        <f>_xll.qlCalendarAdvance(Calendar,Y1634,X1635,"f",FALSE)</f>
        <v>50662</v>
      </c>
      <c r="Z1635" s="108">
        <f>_xll.qlCalendarAdvance(Calendar,Y1635,0&amp;"D")</f>
        <v>50662</v>
      </c>
      <c r="AA1635" s="109">
        <v>1.335289760138636E-2</v>
      </c>
      <c r="AB1635" s="143">
        <f t="shared" si="60"/>
        <v>0</v>
      </c>
      <c r="AC1635" s="236" t="e">
        <v>#N/A</v>
      </c>
      <c r="AD1635" s="236">
        <v>1.335289760138636E-2</v>
      </c>
    </row>
    <row r="1636" spans="23:30" x14ac:dyDescent="0.2">
      <c r="W1636" s="144"/>
      <c r="X1636" s="113" t="str">
        <f t="shared" si="59"/>
        <v>1w</v>
      </c>
      <c r="Y1636" s="106">
        <f>_xll.qlCalendarAdvance(Calendar,Y1635,X1636,"f",FALSE)</f>
        <v>50669</v>
      </c>
      <c r="Z1636" s="108">
        <f>_xll.qlCalendarAdvance(Calendar,Y1636,0&amp;"D")</f>
        <v>50669</v>
      </c>
      <c r="AA1636" s="109">
        <v>1.3349747941653334E-2</v>
      </c>
      <c r="AB1636" s="143">
        <f t="shared" si="60"/>
        <v>0</v>
      </c>
      <c r="AC1636" s="236" t="e">
        <v>#N/A</v>
      </c>
      <c r="AD1636" s="236">
        <v>1.3349747941653334E-2</v>
      </c>
    </row>
    <row r="1637" spans="23:30" x14ac:dyDescent="0.2">
      <c r="W1637" s="144"/>
      <c r="X1637" s="113" t="str">
        <f t="shared" si="59"/>
        <v>1w</v>
      </c>
      <c r="Y1637" s="106">
        <f>_xll.qlCalendarAdvance(Calendar,Y1636,X1637,"f",FALSE)</f>
        <v>50676</v>
      </c>
      <c r="Z1637" s="108">
        <f>_xll.qlCalendarAdvance(Calendar,Y1637,0&amp;"D")</f>
        <v>50676</v>
      </c>
      <c r="AA1637" s="109">
        <v>1.334664087568882E-2</v>
      </c>
      <c r="AB1637" s="143">
        <f t="shared" si="60"/>
        <v>0</v>
      </c>
      <c r="AC1637" s="236" t="e">
        <v>#N/A</v>
      </c>
      <c r="AD1637" s="236">
        <v>1.334664087568882E-2</v>
      </c>
    </row>
    <row r="1638" spans="23:30" x14ac:dyDescent="0.2">
      <c r="W1638" s="144"/>
      <c r="X1638" s="113" t="str">
        <f t="shared" si="59"/>
        <v>1w</v>
      </c>
      <c r="Y1638" s="106">
        <f>_xll.qlCalendarAdvance(Calendar,Y1637,X1638,"f",FALSE)</f>
        <v>50683</v>
      </c>
      <c r="Z1638" s="108">
        <f>_xll.qlCalendarAdvance(Calendar,Y1638,0&amp;"D")</f>
        <v>50683</v>
      </c>
      <c r="AA1638" s="109">
        <v>1.3343576403492818E-2</v>
      </c>
      <c r="AB1638" s="143">
        <f t="shared" si="60"/>
        <v>-7.9936057773011271E-14</v>
      </c>
      <c r="AC1638" s="236" t="e">
        <v>#N/A</v>
      </c>
      <c r="AD1638" s="236">
        <v>1.3343576403572754E-2</v>
      </c>
    </row>
    <row r="1639" spans="23:30" x14ac:dyDescent="0.2">
      <c r="W1639" s="144"/>
      <c r="X1639" s="113" t="str">
        <f t="shared" si="59"/>
        <v>1w</v>
      </c>
      <c r="Y1639" s="106">
        <f>_xll.qlCalendarAdvance(Calendar,Y1638,X1639,"f",FALSE)</f>
        <v>50690</v>
      </c>
      <c r="Z1639" s="108">
        <f>_xll.qlCalendarAdvance(Calendar,Y1639,0&amp;"D")</f>
        <v>50690</v>
      </c>
      <c r="AA1639" s="109">
        <v>1.3340554525145265E-2</v>
      </c>
      <c r="AB1639" s="143">
        <f t="shared" si="60"/>
        <v>0</v>
      </c>
      <c r="AC1639" s="236" t="e">
        <v>#N/A</v>
      </c>
      <c r="AD1639" s="236">
        <v>1.3340554525145265E-2</v>
      </c>
    </row>
    <row r="1640" spans="23:30" x14ac:dyDescent="0.2">
      <c r="W1640" s="144"/>
      <c r="X1640" s="113" t="str">
        <f t="shared" si="59"/>
        <v>1w</v>
      </c>
      <c r="Y1640" s="106">
        <f>_xll.qlCalendarAdvance(Calendar,Y1639,X1640,"f",FALSE)</f>
        <v>50697</v>
      </c>
      <c r="Z1640" s="108">
        <f>_xll.qlCalendarAdvance(Calendar,Y1640,0&amp;"D")</f>
        <v>50697</v>
      </c>
      <c r="AA1640" s="109">
        <v>1.3337575240566224E-2</v>
      </c>
      <c r="AB1640" s="143">
        <f t="shared" si="60"/>
        <v>0</v>
      </c>
      <c r="AC1640" s="236" t="e">
        <v>#N/A</v>
      </c>
      <c r="AD1640" s="236">
        <v>1.3337575240566224E-2</v>
      </c>
    </row>
    <row r="1641" spans="23:30" x14ac:dyDescent="0.2">
      <c r="W1641" s="144"/>
      <c r="X1641" s="113" t="str">
        <f t="shared" si="59"/>
        <v>1w</v>
      </c>
      <c r="Y1641" s="106">
        <f>_xll.qlCalendarAdvance(Calendar,Y1640,X1641,"f",FALSE)</f>
        <v>50704</v>
      </c>
      <c r="Z1641" s="108">
        <f>_xll.qlCalendarAdvance(Calendar,Y1641,0&amp;"D")</f>
        <v>50704</v>
      </c>
      <c r="AA1641" s="109">
        <v>1.3334638549675759E-2</v>
      </c>
      <c r="AB1641" s="143">
        <f t="shared" si="60"/>
        <v>0</v>
      </c>
      <c r="AC1641" s="236" t="e">
        <v>#N/A</v>
      </c>
      <c r="AD1641" s="236">
        <v>1.3334638549675759E-2</v>
      </c>
    </row>
    <row r="1642" spans="23:30" x14ac:dyDescent="0.2">
      <c r="W1642" s="144"/>
      <c r="X1642" s="113" t="str">
        <f t="shared" si="59"/>
        <v>1w</v>
      </c>
      <c r="Y1642" s="106">
        <f>_xll.qlCalendarAdvance(Calendar,Y1641,X1642,"f",FALSE)</f>
        <v>50711</v>
      </c>
      <c r="Z1642" s="108">
        <f>_xll.qlCalendarAdvance(Calendar,Y1642,0&amp;"D")</f>
        <v>50711</v>
      </c>
      <c r="AA1642" s="109">
        <v>1.3331744452553806E-2</v>
      </c>
      <c r="AB1642" s="143">
        <f t="shared" si="60"/>
        <v>0</v>
      </c>
      <c r="AC1642" s="236" t="e">
        <v>#N/A</v>
      </c>
      <c r="AD1642" s="236">
        <v>1.3331744452553806E-2</v>
      </c>
    </row>
    <row r="1643" spans="23:30" x14ac:dyDescent="0.2">
      <c r="W1643" s="144"/>
      <c r="X1643" s="113" t="str">
        <f t="shared" si="59"/>
        <v>1w</v>
      </c>
      <c r="Y1643" s="106">
        <f>_xll.qlCalendarAdvance(Calendar,Y1642,X1643,"f",FALSE)</f>
        <v>50718</v>
      </c>
      <c r="Z1643" s="108">
        <f>_xll.qlCalendarAdvance(Calendar,Y1643,0&amp;"D")</f>
        <v>50718</v>
      </c>
      <c r="AA1643" s="109">
        <v>1.3328892949360238E-2</v>
      </c>
      <c r="AB1643" s="143">
        <f t="shared" si="60"/>
        <v>0</v>
      </c>
      <c r="AC1643" s="236" t="e">
        <v>#N/A</v>
      </c>
      <c r="AD1643" s="236">
        <v>1.3328892949360238E-2</v>
      </c>
    </row>
    <row r="1644" spans="23:30" x14ac:dyDescent="0.2">
      <c r="W1644" s="144"/>
      <c r="X1644" s="113" t="str">
        <f t="shared" si="59"/>
        <v>1w</v>
      </c>
      <c r="Y1644" s="106">
        <f>_xll.qlCalendarAdvance(Calendar,Y1643,X1644,"f",FALSE)</f>
        <v>50725</v>
      </c>
      <c r="Z1644" s="108">
        <f>_xll.qlCalendarAdvance(Calendar,Y1644,0&amp;"D")</f>
        <v>50725</v>
      </c>
      <c r="AA1644" s="109">
        <v>1.332608403977531E-2</v>
      </c>
      <c r="AB1644" s="143">
        <f t="shared" si="60"/>
        <v>0</v>
      </c>
      <c r="AC1644" s="236" t="e">
        <v>#N/A</v>
      </c>
      <c r="AD1644" s="236">
        <v>1.332608403977531E-2</v>
      </c>
    </row>
    <row r="1645" spans="23:30" x14ac:dyDescent="0.2">
      <c r="W1645" s="144"/>
      <c r="X1645" s="113" t="str">
        <f t="shared" si="59"/>
        <v>1w</v>
      </c>
      <c r="Y1645" s="106">
        <f>_xll.qlCalendarAdvance(Calendar,Y1644,X1645,"f",FALSE)</f>
        <v>50732</v>
      </c>
      <c r="Z1645" s="108">
        <f>_xll.qlCalendarAdvance(Calendar,Y1645,0&amp;"D")</f>
        <v>50732</v>
      </c>
      <c r="AA1645" s="109">
        <v>1.332331772403883E-2</v>
      </c>
      <c r="AB1645" s="143">
        <f t="shared" si="60"/>
        <v>-7.9936057773011271E-14</v>
      </c>
      <c r="AC1645" s="236" t="e">
        <v>#N/A</v>
      </c>
      <c r="AD1645" s="236">
        <v>1.3323317724118766E-2</v>
      </c>
    </row>
    <row r="1646" spans="23:30" x14ac:dyDescent="0.2">
      <c r="W1646" s="144"/>
      <c r="X1646" s="113" t="str">
        <f t="shared" si="59"/>
        <v>1w</v>
      </c>
      <c r="Y1646" s="106">
        <f>_xll.qlCalendarAdvance(Calendar,Y1645,X1646,"f",FALSE)</f>
        <v>50739</v>
      </c>
      <c r="Z1646" s="108">
        <f>_xll.qlCalendarAdvance(Calendar,Y1646,0&amp;"D")</f>
        <v>50739</v>
      </c>
      <c r="AA1646" s="109">
        <v>1.3320594002070862E-2</v>
      </c>
      <c r="AB1646" s="143">
        <f t="shared" si="60"/>
        <v>0</v>
      </c>
      <c r="AC1646" s="236" t="e">
        <v>#N/A</v>
      </c>
      <c r="AD1646" s="236">
        <v>1.3320594002070862E-2</v>
      </c>
    </row>
    <row r="1647" spans="23:30" x14ac:dyDescent="0.2">
      <c r="W1647" s="144"/>
      <c r="X1647" s="113" t="str">
        <f t="shared" si="59"/>
        <v>1w</v>
      </c>
      <c r="Y1647" s="106">
        <f>_xll.qlCalendarAdvance(Calendar,Y1646,X1647,"f",FALSE)</f>
        <v>50746</v>
      </c>
      <c r="Z1647" s="108">
        <f>_xll.qlCalendarAdvance(Calendar,Y1647,0&amp;"D")</f>
        <v>50746</v>
      </c>
      <c r="AA1647" s="109">
        <v>1.3317912873791471E-2</v>
      </c>
      <c r="AB1647" s="143">
        <f t="shared" si="60"/>
        <v>-7.9936057773011271E-14</v>
      </c>
      <c r="AC1647" s="236" t="e">
        <v>#N/A</v>
      </c>
      <c r="AD1647" s="236">
        <v>1.3317912873871407E-2</v>
      </c>
    </row>
    <row r="1648" spans="23:30" x14ac:dyDescent="0.2">
      <c r="W1648" s="144"/>
      <c r="X1648" s="113" t="str">
        <f t="shared" si="59"/>
        <v>1w</v>
      </c>
      <c r="Y1648" s="106">
        <f>_xll.qlCalendarAdvance(Calendar,Y1647,X1648,"f",FALSE)</f>
        <v>50753</v>
      </c>
      <c r="Z1648" s="108">
        <f>_xll.qlCalendarAdvance(Calendar,Y1648,0&amp;"D")</f>
        <v>50753</v>
      </c>
      <c r="AA1648" s="109">
        <v>1.3315274339360528E-2</v>
      </c>
      <c r="AB1648" s="143">
        <f t="shared" si="60"/>
        <v>-7.9936057773011271E-14</v>
      </c>
      <c r="AC1648" s="236" t="e">
        <v>#N/A</v>
      </c>
      <c r="AD1648" s="236">
        <v>1.3315274339440464E-2</v>
      </c>
    </row>
    <row r="1649" spans="23:30" x14ac:dyDescent="0.2">
      <c r="W1649" s="144"/>
      <c r="X1649" s="113" t="str">
        <f t="shared" si="59"/>
        <v>1w</v>
      </c>
      <c r="Y1649" s="106">
        <f>_xll.qlCalendarAdvance(Calendar,Y1648,X1649,"f",FALSE)</f>
        <v>50760</v>
      </c>
      <c r="Z1649" s="108">
        <f>_xll.qlCalendarAdvance(Calendar,Y1649,0&amp;"D")</f>
        <v>50760</v>
      </c>
      <c r="AA1649" s="109">
        <v>1.3312678398698097E-2</v>
      </c>
      <c r="AB1649" s="143">
        <f t="shared" si="60"/>
        <v>0</v>
      </c>
      <c r="AC1649" s="236" t="e">
        <v>#N/A</v>
      </c>
      <c r="AD1649" s="236">
        <v>1.3312678398698097E-2</v>
      </c>
    </row>
    <row r="1650" spans="23:30" x14ac:dyDescent="0.2">
      <c r="W1650" s="144"/>
      <c r="X1650" s="113" t="str">
        <f t="shared" si="59"/>
        <v>1w</v>
      </c>
      <c r="Y1650" s="106">
        <f>_xll.qlCalendarAdvance(Calendar,Y1649,X1650,"f",FALSE)</f>
        <v>50767</v>
      </c>
      <c r="Z1650" s="108">
        <f>_xll.qlCalendarAdvance(Calendar,Y1650,0&amp;"D")</f>
        <v>50767</v>
      </c>
      <c r="AA1650" s="109">
        <v>1.3310125051884114E-2</v>
      </c>
      <c r="AB1650" s="143">
        <f t="shared" si="60"/>
        <v>0</v>
      </c>
      <c r="AC1650" s="236" t="e">
        <v>#N/A</v>
      </c>
      <c r="AD1650" s="236">
        <v>1.3310125051884114E-2</v>
      </c>
    </row>
    <row r="1651" spans="23:30" x14ac:dyDescent="0.2">
      <c r="W1651" s="144"/>
      <c r="X1651" s="113" t="str">
        <f t="shared" si="59"/>
        <v>1w</v>
      </c>
      <c r="Y1651" s="106">
        <f>_xll.qlCalendarAdvance(Calendar,Y1650,X1651,"f",FALSE)</f>
        <v>50774</v>
      </c>
      <c r="Z1651" s="108">
        <f>_xll.qlCalendarAdvance(Calendar,Y1651,0&amp;"D")</f>
        <v>50774</v>
      </c>
      <c r="AA1651" s="109">
        <v>1.3307614298678772E-2</v>
      </c>
      <c r="AB1651" s="143">
        <f t="shared" si="60"/>
        <v>-7.9936057773011271E-14</v>
      </c>
      <c r="AC1651" s="236" t="e">
        <v>#N/A</v>
      </c>
      <c r="AD1651" s="236">
        <v>1.3307614298758708E-2</v>
      </c>
    </row>
    <row r="1652" spans="23:30" x14ac:dyDescent="0.2">
      <c r="W1652" s="144"/>
      <c r="X1652" s="113" t="str">
        <f t="shared" si="59"/>
        <v>1w</v>
      </c>
      <c r="Y1652" s="106">
        <f>_xll.qlCalendarAdvance(Calendar,Y1651,X1652,"f",FALSE)</f>
        <v>50781</v>
      </c>
      <c r="Z1652" s="108">
        <f>_xll.qlCalendarAdvance(Calendar,Y1652,0&amp;"D")</f>
        <v>50781</v>
      </c>
      <c r="AA1652" s="109">
        <v>1.3305146139481749E-2</v>
      </c>
      <c r="AB1652" s="143">
        <f t="shared" si="60"/>
        <v>7.9936057773011271E-14</v>
      </c>
      <c r="AC1652" s="236" t="e">
        <v>#N/A</v>
      </c>
      <c r="AD1652" s="236">
        <v>1.3305146139401813E-2</v>
      </c>
    </row>
    <row r="1653" spans="23:30" x14ac:dyDescent="0.2">
      <c r="W1653" s="144"/>
      <c r="X1653" s="113" t="str">
        <f t="shared" si="59"/>
        <v>1w</v>
      </c>
      <c r="Y1653" s="106">
        <f>_xll.qlCalendarAdvance(Calendar,Y1652,X1653,"f",FALSE)</f>
        <v>50788</v>
      </c>
      <c r="Z1653" s="108">
        <f>_xll.qlCalendarAdvance(Calendar,Y1653,0&amp;"D")</f>
        <v>50788</v>
      </c>
      <c r="AA1653" s="109">
        <v>1.3302720573813431E-2</v>
      </c>
      <c r="AB1653" s="143">
        <f t="shared" si="60"/>
        <v>0</v>
      </c>
      <c r="AC1653" s="236" t="e">
        <v>#N/A</v>
      </c>
      <c r="AD1653" s="236">
        <v>1.3302720573813431E-2</v>
      </c>
    </row>
    <row r="1654" spans="23:30" x14ac:dyDescent="0.2">
      <c r="W1654" s="144"/>
      <c r="X1654" s="113" t="str">
        <f t="shared" si="59"/>
        <v>1w</v>
      </c>
      <c r="Y1654" s="106">
        <f>_xll.qlCalendarAdvance(Calendar,Y1653,X1654,"f",FALSE)</f>
        <v>50795</v>
      </c>
      <c r="Z1654" s="108">
        <f>_xll.qlCalendarAdvance(Calendar,Y1654,0&amp;"D")</f>
        <v>50795</v>
      </c>
      <c r="AA1654" s="109">
        <v>1.3300337601913625E-2</v>
      </c>
      <c r="AB1654" s="143">
        <f t="shared" si="60"/>
        <v>0</v>
      </c>
      <c r="AC1654" s="236" t="e">
        <v>#N/A</v>
      </c>
      <c r="AD1654" s="236">
        <v>1.3300337601913625E-2</v>
      </c>
    </row>
    <row r="1655" spans="23:30" x14ac:dyDescent="0.2">
      <c r="W1655" s="144"/>
      <c r="X1655" s="113" t="str">
        <f t="shared" si="59"/>
        <v>1w</v>
      </c>
      <c r="Y1655" s="106">
        <f>_xll.qlCalendarAdvance(Calendar,Y1654,X1655,"f",FALSE)</f>
        <v>50802</v>
      </c>
      <c r="Z1655" s="108">
        <f>_xll.qlCalendarAdvance(Calendar,Y1655,0&amp;"D")</f>
        <v>50802</v>
      </c>
      <c r="AA1655" s="109">
        <v>1.3297997223782332E-2</v>
      </c>
      <c r="AB1655" s="143">
        <f t="shared" si="60"/>
        <v>-7.9936057773011271E-14</v>
      </c>
      <c r="AC1655" s="236" t="e">
        <v>#N/A</v>
      </c>
      <c r="AD1655" s="236">
        <v>1.3297997223862268E-2</v>
      </c>
    </row>
    <row r="1656" spans="23:30" x14ac:dyDescent="0.2">
      <c r="W1656" s="144"/>
      <c r="X1656" s="113" t="str">
        <f t="shared" si="59"/>
        <v>1w</v>
      </c>
      <c r="Y1656" s="106">
        <f>_xll.qlCalendarAdvance(Calendar,Y1655,X1656,"f",FALSE)</f>
        <v>50809</v>
      </c>
      <c r="Z1656" s="108">
        <f>_xll.qlCalendarAdvance(Calendar,Y1656,0&amp;"D")</f>
        <v>50809</v>
      </c>
      <c r="AA1656" s="109">
        <v>1.3295699439579423E-2</v>
      </c>
      <c r="AB1656" s="143">
        <f t="shared" si="60"/>
        <v>0</v>
      </c>
      <c r="AC1656" s="236" t="e">
        <v>#N/A</v>
      </c>
      <c r="AD1656" s="236">
        <v>1.3295699439579423E-2</v>
      </c>
    </row>
    <row r="1657" spans="23:30" x14ac:dyDescent="0.2">
      <c r="W1657" s="144"/>
      <c r="X1657" s="113" t="str">
        <f t="shared" si="59"/>
        <v>1w</v>
      </c>
      <c r="Y1657" s="106">
        <f>_xll.qlCalendarAdvance(Calendar,Y1656,X1657,"f",FALSE)</f>
        <v>50816</v>
      </c>
      <c r="Z1657" s="108">
        <f>_xll.qlCalendarAdvance(Calendar,Y1657,0&amp;"D")</f>
        <v>50816</v>
      </c>
      <c r="AA1657" s="109">
        <v>1.3293444248905217E-2</v>
      </c>
      <c r="AB1657" s="143">
        <f t="shared" si="60"/>
        <v>0</v>
      </c>
      <c r="AC1657" s="236" t="e">
        <v>#N/A</v>
      </c>
      <c r="AD1657" s="236">
        <v>1.3293444248905217E-2</v>
      </c>
    </row>
    <row r="1658" spans="23:30" x14ac:dyDescent="0.2">
      <c r="W1658" s="144"/>
      <c r="X1658" s="113" t="str">
        <f t="shared" si="59"/>
        <v>1w</v>
      </c>
      <c r="Y1658" s="106">
        <f>_xll.qlCalendarAdvance(Calendar,Y1657,X1658,"f",FALSE)</f>
        <v>50823</v>
      </c>
      <c r="Z1658" s="108">
        <f>_xll.qlCalendarAdvance(Calendar,Y1658,0&amp;"D")</f>
        <v>50823</v>
      </c>
      <c r="AA1658" s="109">
        <v>1.3291231652159397E-2</v>
      </c>
      <c r="AB1658" s="143">
        <f t="shared" si="60"/>
        <v>0</v>
      </c>
      <c r="AC1658" s="236" t="e">
        <v>#N/A</v>
      </c>
      <c r="AD1658" s="236">
        <v>1.3291231652159397E-2</v>
      </c>
    </row>
    <row r="1659" spans="23:30" x14ac:dyDescent="0.2">
      <c r="W1659" s="144"/>
      <c r="X1659" s="113" t="str">
        <f t="shared" si="59"/>
        <v>1w</v>
      </c>
      <c r="Y1659" s="106">
        <f>_xll.qlCalendarAdvance(Calendar,Y1658,X1659,"f",FALSE)</f>
        <v>50830</v>
      </c>
      <c r="Z1659" s="108">
        <f>_xll.qlCalendarAdvance(Calendar,Y1659,0&amp;"D")</f>
        <v>50830</v>
      </c>
      <c r="AA1659" s="109">
        <v>1.3289061649182088E-2</v>
      </c>
      <c r="AB1659" s="143">
        <f t="shared" si="60"/>
        <v>0</v>
      </c>
      <c r="AC1659" s="236" t="e">
        <v>#N/A</v>
      </c>
      <c r="AD1659" s="236">
        <v>1.3289061649182088E-2</v>
      </c>
    </row>
    <row r="1660" spans="23:30" x14ac:dyDescent="0.2">
      <c r="W1660" s="144"/>
      <c r="X1660" s="113" t="str">
        <f t="shared" si="59"/>
        <v>1w</v>
      </c>
      <c r="Y1660" s="106">
        <f>_xll.qlCalendarAdvance(Calendar,Y1659,X1660,"f",FALSE)</f>
        <v>50837</v>
      </c>
      <c r="Z1660" s="108">
        <f>_xll.qlCalendarAdvance(Calendar,Y1660,0&amp;"D")</f>
        <v>50837</v>
      </c>
      <c r="AA1660" s="109">
        <v>1.3286934239813419E-2</v>
      </c>
      <c r="AB1660" s="143">
        <f t="shared" si="60"/>
        <v>-7.9936057773011271E-14</v>
      </c>
      <c r="AC1660" s="236" t="e">
        <v>#N/A</v>
      </c>
      <c r="AD1660" s="236">
        <v>1.3286934239893355E-2</v>
      </c>
    </row>
    <row r="1661" spans="23:30" x14ac:dyDescent="0.2">
      <c r="W1661" s="144"/>
      <c r="X1661" s="113" t="str">
        <f t="shared" si="59"/>
        <v>1w</v>
      </c>
      <c r="Y1661" s="106">
        <f>_xll.qlCalendarAdvance(Calendar,Y1660,X1661,"f",FALSE)</f>
        <v>50844</v>
      </c>
      <c r="Z1661" s="108">
        <f>_xll.qlCalendarAdvance(Calendar,Y1661,0&amp;"D")</f>
        <v>50844</v>
      </c>
      <c r="AA1661" s="109">
        <v>1.3284849424293199E-2</v>
      </c>
      <c r="AB1661" s="143">
        <f t="shared" si="60"/>
        <v>-7.9936057773011271E-14</v>
      </c>
      <c r="AC1661" s="236" t="e">
        <v>#N/A</v>
      </c>
      <c r="AD1661" s="236">
        <v>1.3284849424373135E-2</v>
      </c>
    </row>
    <row r="1662" spans="23:30" x14ac:dyDescent="0.2">
      <c r="W1662" s="144"/>
      <c r="X1662" s="113" t="str">
        <f t="shared" si="59"/>
        <v>1w</v>
      </c>
      <c r="Y1662" s="106">
        <f>_xll.qlCalendarAdvance(Calendar,Y1661,X1662,"f",FALSE)</f>
        <v>50851</v>
      </c>
      <c r="Z1662" s="108">
        <f>_xll.qlCalendarAdvance(Calendar,Y1662,0&amp;"D")</f>
        <v>50851</v>
      </c>
      <c r="AA1662" s="109">
        <v>1.3282807202541491E-2</v>
      </c>
      <c r="AB1662" s="143">
        <f t="shared" si="60"/>
        <v>0</v>
      </c>
      <c r="AC1662" s="236" t="e">
        <v>#N/A</v>
      </c>
      <c r="AD1662" s="236">
        <v>1.3282807202541491E-2</v>
      </c>
    </row>
    <row r="1663" spans="23:30" x14ac:dyDescent="0.2">
      <c r="W1663" s="144"/>
      <c r="X1663" s="113" t="str">
        <f t="shared" si="59"/>
        <v>1w</v>
      </c>
      <c r="Y1663" s="106">
        <f>_xll.qlCalendarAdvance(Calendar,Y1662,X1663,"f",FALSE)</f>
        <v>50858</v>
      </c>
      <c r="Z1663" s="108">
        <f>_xll.qlCalendarAdvance(Calendar,Y1663,0&amp;"D")</f>
        <v>50858</v>
      </c>
      <c r="AA1663" s="109">
        <v>1.3280807574558295E-2</v>
      </c>
      <c r="AB1663" s="143">
        <f t="shared" si="60"/>
        <v>-7.9936057773011271E-14</v>
      </c>
      <c r="AC1663" s="236" t="e">
        <v>#N/A</v>
      </c>
      <c r="AD1663" s="236">
        <v>1.3280807574638231E-2</v>
      </c>
    </row>
    <row r="1664" spans="23:30" x14ac:dyDescent="0.2">
      <c r="W1664" s="144"/>
      <c r="X1664" s="113" t="str">
        <f t="shared" si="59"/>
        <v>1w</v>
      </c>
      <c r="Y1664" s="106">
        <f>_xll.qlCalendarAdvance(Calendar,Y1663,X1664,"f",FALSE)</f>
        <v>50865</v>
      </c>
      <c r="Z1664" s="108">
        <f>_xll.qlCalendarAdvance(Calendar,Y1664,0&amp;"D")</f>
        <v>50865</v>
      </c>
      <c r="AA1664" s="109">
        <v>1.3278850540343612E-2</v>
      </c>
      <c r="AB1664" s="143">
        <f t="shared" si="60"/>
        <v>0</v>
      </c>
      <c r="AC1664" s="236" t="e">
        <v>#N/A</v>
      </c>
      <c r="AD1664" s="236">
        <v>1.3278850540343612E-2</v>
      </c>
    </row>
    <row r="1665" spans="23:30" x14ac:dyDescent="0.2">
      <c r="W1665" s="144"/>
      <c r="X1665" s="113" t="str">
        <f t="shared" si="59"/>
        <v>1w</v>
      </c>
      <c r="Y1665" s="106">
        <f>_xll.qlCalendarAdvance(Calendar,Y1664,X1665,"f",FALSE)</f>
        <v>50872</v>
      </c>
      <c r="Z1665" s="108">
        <f>_xll.qlCalendarAdvance(Calendar,Y1665,0&amp;"D")</f>
        <v>50872</v>
      </c>
      <c r="AA1665" s="109">
        <v>1.3276936099817505E-2</v>
      </c>
      <c r="AB1665" s="143">
        <f t="shared" si="60"/>
        <v>0</v>
      </c>
      <c r="AC1665" s="236" t="e">
        <v>#N/A</v>
      </c>
      <c r="AD1665" s="236">
        <v>1.3276936099817505E-2</v>
      </c>
    </row>
    <row r="1666" spans="23:30" x14ac:dyDescent="0.2">
      <c r="W1666" s="144"/>
      <c r="X1666" s="113" t="str">
        <f t="shared" si="59"/>
        <v>1w</v>
      </c>
      <c r="Y1666" s="106">
        <f>_xll.qlCalendarAdvance(Calendar,Y1665,X1666,"f",FALSE)</f>
        <v>50879</v>
      </c>
      <c r="Z1666" s="108">
        <f>_xll.qlCalendarAdvance(Calendar,Y1666,0&amp;"D")</f>
        <v>50879</v>
      </c>
      <c r="AA1666" s="109">
        <v>1.3275064253139846E-2</v>
      </c>
      <c r="AB1666" s="143">
        <f t="shared" si="60"/>
        <v>0</v>
      </c>
      <c r="AC1666" s="236" t="e">
        <v>#N/A</v>
      </c>
      <c r="AD1666" s="236">
        <v>1.3275064253139846E-2</v>
      </c>
    </row>
    <row r="1667" spans="23:30" x14ac:dyDescent="0.2">
      <c r="W1667" s="144"/>
      <c r="X1667" s="113" t="str">
        <f t="shared" si="59"/>
        <v>1w</v>
      </c>
      <c r="Y1667" s="106">
        <f>_xll.qlCalendarAdvance(Calendar,Y1666,X1667,"f",FALSE)</f>
        <v>50886</v>
      </c>
      <c r="Z1667" s="108">
        <f>_xll.qlCalendarAdvance(Calendar,Y1667,0&amp;"D")</f>
        <v>50886</v>
      </c>
      <c r="AA1667" s="109">
        <v>1.3273235000150763E-2</v>
      </c>
      <c r="AB1667" s="143">
        <f t="shared" si="60"/>
        <v>0</v>
      </c>
      <c r="AC1667" s="236" t="e">
        <v>#N/A</v>
      </c>
      <c r="AD1667" s="236">
        <v>1.3273235000150763E-2</v>
      </c>
    </row>
    <row r="1668" spans="23:30" x14ac:dyDescent="0.2">
      <c r="W1668" s="144"/>
      <c r="X1668" s="113" t="str">
        <f t="shared" si="59"/>
        <v>1w</v>
      </c>
      <c r="Y1668" s="106">
        <f>_xll.qlCalendarAdvance(Calendar,Y1667,X1668,"f",FALSE)</f>
        <v>50893</v>
      </c>
      <c r="Z1668" s="108">
        <f>_xll.qlCalendarAdvance(Calendar,Y1668,0&amp;"D")</f>
        <v>50893</v>
      </c>
      <c r="AA1668" s="109">
        <v>1.3271448340850256E-2</v>
      </c>
      <c r="AB1668" s="143">
        <f t="shared" si="60"/>
        <v>0</v>
      </c>
      <c r="AC1668" s="236" t="e">
        <v>#N/A</v>
      </c>
      <c r="AD1668" s="236">
        <v>1.3271448340850256E-2</v>
      </c>
    </row>
    <row r="1669" spans="23:30" x14ac:dyDescent="0.2">
      <c r="W1669" s="144"/>
      <c r="X1669" s="113" t="str">
        <f t="shared" si="59"/>
        <v>1w</v>
      </c>
      <c r="Y1669" s="106">
        <f>_xll.qlCalendarAdvance(Calendar,Y1668,X1669,"f",FALSE)</f>
        <v>50900</v>
      </c>
      <c r="Z1669" s="108">
        <f>_xll.qlCalendarAdvance(Calendar,Y1669,0&amp;"D")</f>
        <v>50900</v>
      </c>
      <c r="AA1669" s="109">
        <v>1.3269704275398198E-2</v>
      </c>
      <c r="AB1669" s="143">
        <f t="shared" si="60"/>
        <v>0</v>
      </c>
      <c r="AC1669" s="236" t="e">
        <v>#N/A</v>
      </c>
      <c r="AD1669" s="236">
        <v>1.3269704275398198E-2</v>
      </c>
    </row>
    <row r="1670" spans="23:30" x14ac:dyDescent="0.2">
      <c r="W1670" s="144"/>
      <c r="X1670" s="113" t="str">
        <f t="shared" si="59"/>
        <v>1w</v>
      </c>
      <c r="Y1670" s="106">
        <f>_xll.qlCalendarAdvance(Calendar,Y1669,X1670,"f",FALSE)</f>
        <v>50907</v>
      </c>
      <c r="Z1670" s="108">
        <f>_xll.qlCalendarAdvance(Calendar,Y1670,0&amp;"D")</f>
        <v>50907</v>
      </c>
      <c r="AA1670" s="109">
        <v>1.3268002803714651E-2</v>
      </c>
      <c r="AB1670" s="143">
        <f t="shared" si="60"/>
        <v>0</v>
      </c>
      <c r="AC1670" s="236" t="e">
        <v>#N/A</v>
      </c>
      <c r="AD1670" s="236">
        <v>1.3268002803714651E-2</v>
      </c>
    </row>
    <row r="1671" spans="23:30" x14ac:dyDescent="0.2">
      <c r="W1671" s="144"/>
      <c r="X1671" s="113" t="str">
        <f t="shared" si="59"/>
        <v>1w</v>
      </c>
      <c r="Y1671" s="106">
        <f>_xll.qlCalendarAdvance(Calendar,Y1670,X1671,"f",FALSE)</f>
        <v>50914</v>
      </c>
      <c r="Z1671" s="108">
        <f>_xll.qlCalendarAdvance(Calendar,Y1671,0&amp;"D")</f>
        <v>50914</v>
      </c>
      <c r="AA1671" s="109">
        <v>1.3266343925719681E-2</v>
      </c>
      <c r="AB1671" s="143">
        <f t="shared" si="60"/>
        <v>0</v>
      </c>
      <c r="AC1671" s="236" t="e">
        <v>#N/A</v>
      </c>
      <c r="AD1671" s="236">
        <v>1.3266343925719681E-2</v>
      </c>
    </row>
    <row r="1672" spans="23:30" x14ac:dyDescent="0.2">
      <c r="W1672" s="144"/>
      <c r="X1672" s="113" t="str">
        <f t="shared" si="59"/>
        <v>1w</v>
      </c>
      <c r="Y1672" s="106">
        <f>_xll.qlCalendarAdvance(Calendar,Y1671,X1672,"f",FALSE)</f>
        <v>50921</v>
      </c>
      <c r="Z1672" s="108">
        <f>_xll.qlCalendarAdvance(Calendar,Y1672,0&amp;"D")</f>
        <v>50921</v>
      </c>
      <c r="AA1672" s="109">
        <v>1.3264727641493224E-2</v>
      </c>
      <c r="AB1672" s="143">
        <f t="shared" si="60"/>
        <v>0</v>
      </c>
      <c r="AC1672" s="236" t="e">
        <v>#N/A</v>
      </c>
      <c r="AD1672" s="236">
        <v>1.3264727641493224E-2</v>
      </c>
    </row>
    <row r="1673" spans="23:30" x14ac:dyDescent="0.2">
      <c r="W1673" s="144"/>
      <c r="X1673" s="113" t="str">
        <f t="shared" si="59"/>
        <v>1w</v>
      </c>
      <c r="Y1673" s="106">
        <f>_xll.qlCalendarAdvance(Calendar,Y1672,X1673,"f",FALSE)</f>
        <v>50928</v>
      </c>
      <c r="Z1673" s="108">
        <f>_xll.qlCalendarAdvance(Calendar,Y1673,0&amp;"D")</f>
        <v>50928</v>
      </c>
      <c r="AA1673" s="109">
        <v>1.3263153950955342E-2</v>
      </c>
      <c r="AB1673" s="143">
        <f t="shared" si="60"/>
        <v>0</v>
      </c>
      <c r="AC1673" s="236" t="e">
        <v>#N/A</v>
      </c>
      <c r="AD1673" s="236">
        <v>1.3263153950955342E-2</v>
      </c>
    </row>
    <row r="1674" spans="23:30" x14ac:dyDescent="0.2">
      <c r="W1674" s="144"/>
      <c r="X1674" s="113" t="str">
        <f t="shared" si="59"/>
        <v>1w</v>
      </c>
      <c r="Y1674" s="106">
        <f>_xll.qlCalendarAdvance(Calendar,Y1673,X1674,"f",FALSE)</f>
        <v>50935</v>
      </c>
      <c r="Z1674" s="108">
        <f>_xll.qlCalendarAdvance(Calendar,Y1674,0&amp;"D")</f>
        <v>50935</v>
      </c>
      <c r="AA1674" s="109">
        <v>1.3261622854265909E-2</v>
      </c>
      <c r="AB1674" s="143">
        <f t="shared" si="60"/>
        <v>0</v>
      </c>
      <c r="AC1674" s="236" t="e">
        <v>#N/A</v>
      </c>
      <c r="AD1674" s="236">
        <v>1.3261622854265909E-2</v>
      </c>
    </row>
    <row r="1675" spans="23:30" x14ac:dyDescent="0.2">
      <c r="W1675" s="144"/>
      <c r="X1675" s="113" t="str">
        <f t="shared" si="59"/>
        <v>1w</v>
      </c>
      <c r="Y1675" s="106">
        <f>_xll.qlCalendarAdvance(Calendar,Y1674,X1675,"f",FALSE)</f>
        <v>50942</v>
      </c>
      <c r="Z1675" s="108">
        <f>_xll.qlCalendarAdvance(Calendar,Y1675,0&amp;"D")</f>
        <v>50942</v>
      </c>
      <c r="AA1675" s="109">
        <v>1.3260134351265052E-2</v>
      </c>
      <c r="AB1675" s="143">
        <f t="shared" si="60"/>
        <v>0</v>
      </c>
      <c r="AC1675" s="236" t="e">
        <v>#N/A</v>
      </c>
      <c r="AD1675" s="236">
        <v>1.3260134351265052E-2</v>
      </c>
    </row>
    <row r="1676" spans="23:30" x14ac:dyDescent="0.2">
      <c r="W1676" s="144"/>
      <c r="X1676" s="113" t="str">
        <f t="shared" si="59"/>
        <v>1w</v>
      </c>
      <c r="Y1676" s="106">
        <f>_xll.qlCalendarAdvance(Calendar,Y1675,X1676,"f",FALSE)</f>
        <v>50949</v>
      </c>
      <c r="Z1676" s="108">
        <f>_xll.qlCalendarAdvance(Calendar,Y1676,0&amp;"D")</f>
        <v>50949</v>
      </c>
      <c r="AA1676" s="109">
        <v>1.3258688442032707E-2</v>
      </c>
      <c r="AB1676" s="143">
        <f t="shared" si="60"/>
        <v>-7.9936057773011271E-14</v>
      </c>
      <c r="AC1676" s="236" t="e">
        <v>#N/A</v>
      </c>
      <c r="AD1676" s="236">
        <v>1.3258688442112643E-2</v>
      </c>
    </row>
    <row r="1677" spans="23:30" x14ac:dyDescent="0.2">
      <c r="W1677" s="144"/>
      <c r="X1677" s="113" t="str">
        <f t="shared" ref="X1677:X1740" si="61">X1676</f>
        <v>1w</v>
      </c>
      <c r="Y1677" s="106">
        <f>_xll.qlCalendarAdvance(Calendar,Y1676,X1677,"f",FALSE)</f>
        <v>50956</v>
      </c>
      <c r="Z1677" s="108">
        <f>_xll.qlCalendarAdvance(Calendar,Y1677,0&amp;"D")</f>
        <v>50956</v>
      </c>
      <c r="AA1677" s="109">
        <v>1.3257285126568874E-2</v>
      </c>
      <c r="AB1677" s="143">
        <f t="shared" si="60"/>
        <v>0</v>
      </c>
      <c r="AC1677" s="236" t="e">
        <v>#N/A</v>
      </c>
      <c r="AD1677" s="236">
        <v>1.3257285126568874E-2</v>
      </c>
    </row>
    <row r="1678" spans="23:30" x14ac:dyDescent="0.2">
      <c r="W1678" s="144"/>
      <c r="X1678" s="113" t="str">
        <f t="shared" si="61"/>
        <v>1w</v>
      </c>
      <c r="Y1678" s="106">
        <f>_xll.qlCalendarAdvance(Calendar,Y1677,X1678,"f",FALSE)</f>
        <v>50963</v>
      </c>
      <c r="Z1678" s="108">
        <f>_xll.qlCalendarAdvance(Calendar,Y1678,0&amp;"D")</f>
        <v>50963</v>
      </c>
      <c r="AA1678" s="109">
        <v>1.3255924404873554E-2</v>
      </c>
      <c r="AB1678" s="143">
        <f t="shared" si="60"/>
        <v>7.9936057773011271E-14</v>
      </c>
      <c r="AC1678" s="236" t="e">
        <v>#N/A</v>
      </c>
      <c r="AD1678" s="236">
        <v>1.3255924404793618E-2</v>
      </c>
    </row>
    <row r="1679" spans="23:30" x14ac:dyDescent="0.2">
      <c r="W1679" s="144"/>
      <c r="X1679" s="113" t="str">
        <f t="shared" si="61"/>
        <v>1w</v>
      </c>
      <c r="Y1679" s="106">
        <f>_xll.qlCalendarAdvance(Calendar,Y1678,X1679,"f",FALSE)</f>
        <v>50970</v>
      </c>
      <c r="Z1679" s="108">
        <f>_xll.qlCalendarAdvance(Calendar,Y1679,0&amp;"D")</f>
        <v>50970</v>
      </c>
      <c r="AA1679" s="109">
        <v>1.3254606276866809E-2</v>
      </c>
      <c r="AB1679" s="143">
        <f t="shared" si="60"/>
        <v>7.9936057773011271E-14</v>
      </c>
      <c r="AC1679" s="236" t="e">
        <v>#N/A</v>
      </c>
      <c r="AD1679" s="236">
        <v>1.3254606276786873E-2</v>
      </c>
    </row>
    <row r="1680" spans="23:30" x14ac:dyDescent="0.2">
      <c r="W1680" s="144"/>
      <c r="X1680" s="113" t="str">
        <f t="shared" si="61"/>
        <v>1w</v>
      </c>
      <c r="Y1680" s="106">
        <f>_xll.qlCalendarAdvance(Calendar,Y1679,X1680,"f",FALSE)</f>
        <v>50977</v>
      </c>
      <c r="Z1680" s="108">
        <f>_xll.qlCalendarAdvance(Calendar,Y1680,0&amp;"D")</f>
        <v>50977</v>
      </c>
      <c r="AA1680" s="109">
        <v>1.3253330742708513E-2</v>
      </c>
      <c r="AB1680" s="143">
        <f t="shared" si="60"/>
        <v>0</v>
      </c>
      <c r="AC1680" s="236" t="e">
        <v>#N/A</v>
      </c>
      <c r="AD1680" s="236">
        <v>1.3253330742708513E-2</v>
      </c>
    </row>
    <row r="1681" spans="23:30" x14ac:dyDescent="0.2">
      <c r="W1681" s="144"/>
      <c r="X1681" s="113" t="str">
        <f t="shared" si="61"/>
        <v>1w</v>
      </c>
      <c r="Y1681" s="106">
        <f>_xll.qlCalendarAdvance(Calendar,Y1680,X1681,"f",FALSE)</f>
        <v>50984</v>
      </c>
      <c r="Z1681" s="108">
        <f>_xll.qlCalendarAdvance(Calendar,Y1681,0&amp;"D")</f>
        <v>50984</v>
      </c>
      <c r="AA1681" s="109">
        <v>1.3252097802078922E-2</v>
      </c>
      <c r="AB1681" s="143">
        <f t="shared" si="60"/>
        <v>0</v>
      </c>
      <c r="AC1681" s="236" t="e">
        <v>#N/A</v>
      </c>
      <c r="AD1681" s="236">
        <v>1.3252097802078922E-2</v>
      </c>
    </row>
    <row r="1682" spans="23:30" x14ac:dyDescent="0.2">
      <c r="W1682" s="144"/>
      <c r="X1682" s="113" t="str">
        <f t="shared" si="61"/>
        <v>1w</v>
      </c>
      <c r="Y1682" s="106">
        <f>_xll.qlCalendarAdvance(Calendar,Y1681,X1682,"f",FALSE)</f>
        <v>50991</v>
      </c>
      <c r="Z1682" s="108">
        <f>_xll.qlCalendarAdvance(Calendar,Y1682,0&amp;"D")</f>
        <v>50991</v>
      </c>
      <c r="AA1682" s="109">
        <v>1.325090745545765E-2</v>
      </c>
      <c r="AB1682" s="143">
        <f t="shared" si="60"/>
        <v>0</v>
      </c>
      <c r="AC1682" s="236" t="e">
        <v>#N/A</v>
      </c>
      <c r="AD1682" s="236">
        <v>1.325090745545765E-2</v>
      </c>
    </row>
    <row r="1683" spans="23:30" x14ac:dyDescent="0.2">
      <c r="W1683" s="144"/>
      <c r="X1683" s="113" t="str">
        <f t="shared" si="61"/>
        <v>1w</v>
      </c>
      <c r="Y1683" s="106">
        <f>_xll.qlCalendarAdvance(Calendar,Y1682,X1683,"f",FALSE)</f>
        <v>50998</v>
      </c>
      <c r="Z1683" s="108">
        <f>_xll.qlCalendarAdvance(Calendar,Y1683,0&amp;"D")</f>
        <v>50998</v>
      </c>
      <c r="AA1683" s="109">
        <v>1.3249759702445019E-2</v>
      </c>
      <c r="AB1683" s="143">
        <f t="shared" si="60"/>
        <v>0</v>
      </c>
      <c r="AC1683" s="236" t="e">
        <v>#N/A</v>
      </c>
      <c r="AD1683" s="236">
        <v>1.3249759702445019E-2</v>
      </c>
    </row>
    <row r="1684" spans="23:30" x14ac:dyDescent="0.2">
      <c r="W1684" s="144"/>
      <c r="X1684" s="113" t="str">
        <f t="shared" si="61"/>
        <v>1w</v>
      </c>
      <c r="Y1684" s="106">
        <f>_xll.qlCalendarAdvance(Calendar,Y1683,X1684,"f",FALSE)</f>
        <v>51005</v>
      </c>
      <c r="Z1684" s="108">
        <f>_xll.qlCalendarAdvance(Calendar,Y1684,0&amp;"D")</f>
        <v>51005</v>
      </c>
      <c r="AA1684" s="109">
        <v>1.3248654543120963E-2</v>
      </c>
      <c r="AB1684" s="143">
        <f t="shared" si="60"/>
        <v>0</v>
      </c>
      <c r="AC1684" s="236" t="e">
        <v>#N/A</v>
      </c>
      <c r="AD1684" s="236">
        <v>1.3248654543120963E-2</v>
      </c>
    </row>
    <row r="1685" spans="23:30" x14ac:dyDescent="0.2">
      <c r="W1685" s="144"/>
      <c r="X1685" s="113" t="str">
        <f t="shared" si="61"/>
        <v>1w</v>
      </c>
      <c r="Y1685" s="106">
        <f>_xll.qlCalendarAdvance(Calendar,Y1684,X1685,"f",FALSE)</f>
        <v>51012</v>
      </c>
      <c r="Z1685" s="108">
        <f>_xll.qlCalendarAdvance(Calendar,Y1685,0&amp;"D")</f>
        <v>51012</v>
      </c>
      <c r="AA1685" s="109">
        <v>1.3247591977645357E-2</v>
      </c>
      <c r="AB1685" s="143">
        <f t="shared" ref="AB1685:AB1748" si="62">AA1685-AD1685</f>
        <v>0</v>
      </c>
      <c r="AC1685" s="236" t="e">
        <v>#N/A</v>
      </c>
      <c r="AD1685" s="236">
        <v>1.3247591977645357E-2</v>
      </c>
    </row>
    <row r="1686" spans="23:30" x14ac:dyDescent="0.2">
      <c r="W1686" s="144"/>
      <c r="X1686" s="113" t="str">
        <f t="shared" si="61"/>
        <v>1w</v>
      </c>
      <c r="Y1686" s="106">
        <f>_xll.qlCalendarAdvance(Calendar,Y1685,X1686,"f",FALSE)</f>
        <v>51019</v>
      </c>
      <c r="Z1686" s="108">
        <f>_xll.qlCalendarAdvance(Calendar,Y1686,0&amp;"D")</f>
        <v>51019</v>
      </c>
      <c r="AA1686" s="109">
        <v>1.3246572005938262E-2</v>
      </c>
      <c r="AB1686" s="143">
        <f t="shared" si="62"/>
        <v>0</v>
      </c>
      <c r="AC1686" s="236" t="e">
        <v>#N/A</v>
      </c>
      <c r="AD1686" s="236">
        <v>1.3246572005938262E-2</v>
      </c>
    </row>
    <row r="1687" spans="23:30" x14ac:dyDescent="0.2">
      <c r="W1687" s="144"/>
      <c r="X1687" s="113" t="str">
        <f t="shared" si="61"/>
        <v>1w</v>
      </c>
      <c r="Y1687" s="106">
        <f>_xll.qlCalendarAdvance(Calendar,Y1686,X1687,"f",FALSE)</f>
        <v>51026</v>
      </c>
      <c r="Z1687" s="108">
        <f>_xll.qlCalendarAdvance(Calendar,Y1687,0&amp;"D")</f>
        <v>51026</v>
      </c>
      <c r="AA1687" s="109">
        <v>1.3245594627919743E-2</v>
      </c>
      <c r="AB1687" s="143">
        <f t="shared" si="62"/>
        <v>7.9936057773011271E-14</v>
      </c>
      <c r="AC1687" s="236" t="e">
        <v>#N/A</v>
      </c>
      <c r="AD1687" s="236">
        <v>1.3245594627839807E-2</v>
      </c>
    </row>
    <row r="1688" spans="23:30" x14ac:dyDescent="0.2">
      <c r="W1688" s="144"/>
      <c r="X1688" s="113" t="str">
        <f t="shared" si="61"/>
        <v>1w</v>
      </c>
      <c r="Y1688" s="106">
        <f>_xll.qlCalendarAdvance(Calendar,Y1687,X1688,"f",FALSE)</f>
        <v>51033</v>
      </c>
      <c r="Z1688" s="108">
        <f>_xll.qlCalendarAdvance(Calendar,Y1688,0&amp;"D")</f>
        <v>51033</v>
      </c>
      <c r="AA1688" s="109">
        <v>1.3244659843509865E-2</v>
      </c>
      <c r="AB1688" s="143">
        <f t="shared" si="62"/>
        <v>0</v>
      </c>
      <c r="AC1688" s="236" t="e">
        <v>#N/A</v>
      </c>
      <c r="AD1688" s="236">
        <v>1.3244659843509865E-2</v>
      </c>
    </row>
    <row r="1689" spans="23:30" x14ac:dyDescent="0.2">
      <c r="W1689" s="144"/>
      <c r="X1689" s="113" t="str">
        <f t="shared" si="61"/>
        <v>1w</v>
      </c>
      <c r="Y1689" s="106">
        <f>_xll.qlCalendarAdvance(Calendar,Y1688,X1689,"f",FALSE)</f>
        <v>51040</v>
      </c>
      <c r="Z1689" s="108">
        <f>_xll.qlCalendarAdvance(Calendar,Y1689,0&amp;"D")</f>
        <v>51040</v>
      </c>
      <c r="AA1689" s="109">
        <v>1.3243767653028371E-2</v>
      </c>
      <c r="AB1689" s="143">
        <f t="shared" si="62"/>
        <v>0</v>
      </c>
      <c r="AC1689" s="236" t="e">
        <v>#N/A</v>
      </c>
      <c r="AD1689" s="236">
        <v>1.3243767653028371E-2</v>
      </c>
    </row>
    <row r="1690" spans="23:30" x14ac:dyDescent="0.2">
      <c r="W1690" s="144"/>
      <c r="X1690" s="113" t="str">
        <f t="shared" si="61"/>
        <v>1w</v>
      </c>
      <c r="Y1690" s="106">
        <f>_xll.qlCalendarAdvance(Calendar,Y1689,X1690,"f",FALSE)</f>
        <v>51047</v>
      </c>
      <c r="Z1690" s="108">
        <f>_xll.qlCalendarAdvance(Calendar,Y1690,0&amp;"D")</f>
        <v>51047</v>
      </c>
      <c r="AA1690" s="109">
        <v>1.3242918056235453E-2</v>
      </c>
      <c r="AB1690" s="143">
        <f t="shared" si="62"/>
        <v>0</v>
      </c>
      <c r="AC1690" s="236" t="e">
        <v>#N/A</v>
      </c>
      <c r="AD1690" s="236">
        <v>1.3242918056235453E-2</v>
      </c>
    </row>
    <row r="1691" spans="23:30" x14ac:dyDescent="0.2">
      <c r="W1691" s="144"/>
      <c r="X1691" s="113" t="str">
        <f t="shared" si="61"/>
        <v>1w</v>
      </c>
      <c r="Y1691" s="106">
        <f>_xll.qlCalendarAdvance(Calendar,Y1690,X1691,"f",FALSE)</f>
        <v>51054</v>
      </c>
      <c r="Z1691" s="108">
        <f>_xll.qlCalendarAdvance(Calendar,Y1691,0&amp;"D")</f>
        <v>51054</v>
      </c>
      <c r="AA1691" s="109">
        <v>1.3242111053131111E-2</v>
      </c>
      <c r="AB1691" s="143">
        <f t="shared" si="62"/>
        <v>-7.9936057773011271E-14</v>
      </c>
      <c r="AC1691" s="236" t="e">
        <v>#N/A</v>
      </c>
      <c r="AD1691" s="236">
        <v>1.3242111053211048E-2</v>
      </c>
    </row>
    <row r="1692" spans="23:30" x14ac:dyDescent="0.2">
      <c r="W1692" s="144"/>
      <c r="X1692" s="113" t="str">
        <f t="shared" si="61"/>
        <v>1w</v>
      </c>
      <c r="Y1692" s="106">
        <f>_xll.qlCalendarAdvance(Calendar,Y1691,X1692,"f",FALSE)</f>
        <v>51061</v>
      </c>
      <c r="Z1692" s="108">
        <f>_xll.qlCalendarAdvance(Calendar,Y1692,0&amp;"D")</f>
        <v>51061</v>
      </c>
      <c r="AA1692" s="109">
        <v>1.3241346643955154E-2</v>
      </c>
      <c r="AB1692" s="143">
        <f t="shared" si="62"/>
        <v>0</v>
      </c>
      <c r="AC1692" s="236" t="e">
        <v>#N/A</v>
      </c>
      <c r="AD1692" s="236">
        <v>1.3241346643955154E-2</v>
      </c>
    </row>
    <row r="1693" spans="23:30" x14ac:dyDescent="0.2">
      <c r="W1693" s="144"/>
      <c r="X1693" s="113" t="str">
        <f t="shared" si="61"/>
        <v>1w</v>
      </c>
      <c r="Y1693" s="106">
        <f>_xll.qlCalendarAdvance(Calendar,Y1692,X1693,"f",FALSE)</f>
        <v>51068</v>
      </c>
      <c r="Z1693" s="108">
        <f>_xll.qlCalendarAdvance(Calendar,Y1693,0&amp;"D")</f>
        <v>51068</v>
      </c>
      <c r="AA1693" s="109">
        <v>1.3240624828387837E-2</v>
      </c>
      <c r="AB1693" s="143">
        <f t="shared" si="62"/>
        <v>7.9936057773011271E-14</v>
      </c>
      <c r="AC1693" s="236" t="e">
        <v>#N/A</v>
      </c>
      <c r="AD1693" s="236">
        <v>1.3240624828307901E-2</v>
      </c>
    </row>
    <row r="1694" spans="23:30" x14ac:dyDescent="0.2">
      <c r="W1694" s="144"/>
      <c r="X1694" s="113" t="str">
        <f t="shared" si="61"/>
        <v>1w</v>
      </c>
      <c r="Y1694" s="106">
        <f>_xll.qlCalendarAdvance(Calendar,Y1693,X1694,"f",FALSE)</f>
        <v>51075</v>
      </c>
      <c r="Z1694" s="108">
        <f>_xll.qlCalendarAdvance(Calendar,Y1694,0&amp;"D")</f>
        <v>51075</v>
      </c>
      <c r="AA1694" s="109">
        <v>1.3239945606509096E-2</v>
      </c>
      <c r="AB1694" s="143">
        <f t="shared" si="62"/>
        <v>0</v>
      </c>
      <c r="AC1694" s="236" t="e">
        <v>#N/A</v>
      </c>
      <c r="AD1694" s="236">
        <v>1.3239945606509096E-2</v>
      </c>
    </row>
    <row r="1695" spans="23:30" x14ac:dyDescent="0.2">
      <c r="W1695" s="144"/>
      <c r="X1695" s="113" t="str">
        <f t="shared" si="61"/>
        <v>1w</v>
      </c>
      <c r="Y1695" s="106">
        <f>_xll.qlCalendarAdvance(Calendar,Y1694,X1695,"f",FALSE)</f>
        <v>51082</v>
      </c>
      <c r="Z1695" s="108">
        <f>_xll.qlCalendarAdvance(Calendar,Y1695,0&amp;"D")</f>
        <v>51082</v>
      </c>
      <c r="AA1695" s="109">
        <v>1.3239308978478803E-2</v>
      </c>
      <c r="AB1695" s="143">
        <f t="shared" si="62"/>
        <v>0</v>
      </c>
      <c r="AC1695" s="236" t="e">
        <v>#N/A</v>
      </c>
      <c r="AD1695" s="236">
        <v>1.3239308978478803E-2</v>
      </c>
    </row>
    <row r="1696" spans="23:30" x14ac:dyDescent="0.2">
      <c r="W1696" s="144"/>
      <c r="X1696" s="113" t="str">
        <f t="shared" si="61"/>
        <v>1w</v>
      </c>
      <c r="Y1696" s="106">
        <f>_xll.qlCalendarAdvance(Calendar,Y1695,X1696,"f",FALSE)</f>
        <v>51089</v>
      </c>
      <c r="Z1696" s="108">
        <f>_xll.qlCalendarAdvance(Calendar,Y1696,0&amp;"D")</f>
        <v>51089</v>
      </c>
      <c r="AA1696" s="109">
        <v>1.3238714943977214E-2</v>
      </c>
      <c r="AB1696" s="143">
        <f t="shared" si="62"/>
        <v>-7.9936057773011271E-14</v>
      </c>
      <c r="AC1696" s="236" t="e">
        <v>#N/A</v>
      </c>
      <c r="AD1696" s="236">
        <v>1.3238714944057151E-2</v>
      </c>
    </row>
    <row r="1697" spans="23:30" x14ac:dyDescent="0.2">
      <c r="W1697" s="144"/>
      <c r="X1697" s="113" t="str">
        <f t="shared" si="61"/>
        <v>1w</v>
      </c>
      <c r="Y1697" s="106">
        <f>_xll.qlCalendarAdvance(Calendar,Y1696,X1697,"f",FALSE)</f>
        <v>51096</v>
      </c>
      <c r="Z1697" s="108">
        <f>_xll.qlCalendarAdvance(Calendar,Y1697,0&amp;"D")</f>
        <v>51096</v>
      </c>
      <c r="AA1697" s="109">
        <v>1.3238163503483946E-2</v>
      </c>
      <c r="AB1697" s="143">
        <f t="shared" si="62"/>
        <v>0</v>
      </c>
      <c r="AC1697" s="236" t="e">
        <v>#N/A</v>
      </c>
      <c r="AD1697" s="236">
        <v>1.3238163503483946E-2</v>
      </c>
    </row>
    <row r="1698" spans="23:30" x14ac:dyDescent="0.2">
      <c r="W1698" s="144"/>
      <c r="X1698" s="113" t="str">
        <f t="shared" si="61"/>
        <v>1w</v>
      </c>
      <c r="Y1698" s="106">
        <f>_xll.qlCalendarAdvance(Calendar,Y1697,X1698,"f",FALSE)</f>
        <v>51103</v>
      </c>
      <c r="Z1698" s="108">
        <f>_xll.qlCalendarAdvance(Calendar,Y1698,0&amp;"D")</f>
        <v>51103</v>
      </c>
      <c r="AA1698" s="109">
        <v>1.3237654656519382E-2</v>
      </c>
      <c r="AB1698" s="143">
        <f t="shared" si="62"/>
        <v>-7.9936057773011271E-14</v>
      </c>
      <c r="AC1698" s="236" t="e">
        <v>#N/A</v>
      </c>
      <c r="AD1698" s="236">
        <v>1.3237654656599318E-2</v>
      </c>
    </row>
    <row r="1699" spans="23:30" x14ac:dyDescent="0.2">
      <c r="W1699" s="144"/>
      <c r="X1699" s="113" t="str">
        <f t="shared" si="61"/>
        <v>1w</v>
      </c>
      <c r="Y1699" s="106">
        <f>_xll.qlCalendarAdvance(Calendar,Y1698,X1699,"f",FALSE)</f>
        <v>51110</v>
      </c>
      <c r="Z1699" s="108">
        <f>_xll.qlCalendarAdvance(Calendar,Y1699,0&amp;"D")</f>
        <v>51110</v>
      </c>
      <c r="AA1699" s="109">
        <v>1.3237188403563138E-2</v>
      </c>
      <c r="AB1699" s="143">
        <f t="shared" si="62"/>
        <v>7.9936057773011271E-14</v>
      </c>
      <c r="AC1699" s="236" t="e">
        <v>#N/A</v>
      </c>
      <c r="AD1699" s="236">
        <v>1.3237188403483202E-2</v>
      </c>
    </row>
    <row r="1700" spans="23:30" x14ac:dyDescent="0.2">
      <c r="W1700" s="144"/>
      <c r="X1700" s="113" t="str">
        <f t="shared" si="61"/>
        <v>1w</v>
      </c>
      <c r="Y1700" s="106">
        <f>_xll.qlCalendarAdvance(Calendar,Y1699,X1700,"f",FALSE)</f>
        <v>51117</v>
      </c>
      <c r="Z1700" s="108">
        <f>_xll.qlCalendarAdvance(Calendar,Y1700,0&amp;"D")</f>
        <v>51117</v>
      </c>
      <c r="AA1700" s="109">
        <v>1.3236764744135598E-2</v>
      </c>
      <c r="AB1700" s="143">
        <f t="shared" si="62"/>
        <v>7.9936057773011271E-14</v>
      </c>
      <c r="AC1700" s="236" t="e">
        <v>#N/A</v>
      </c>
      <c r="AD1700" s="236">
        <v>1.3236764744055662E-2</v>
      </c>
    </row>
    <row r="1701" spans="23:30" x14ac:dyDescent="0.2">
      <c r="W1701" s="144"/>
      <c r="X1701" s="113" t="str">
        <f t="shared" si="61"/>
        <v>1w</v>
      </c>
      <c r="Y1701" s="106">
        <f>_xll.qlCalendarAdvance(Calendar,Y1700,X1701,"f",FALSE)</f>
        <v>51124</v>
      </c>
      <c r="Z1701" s="108">
        <f>_xll.qlCalendarAdvance(Calendar,Y1701,0&amp;"D")</f>
        <v>51124</v>
      </c>
      <c r="AA1701" s="109">
        <v>1.3236383678476571E-2</v>
      </c>
      <c r="AB1701" s="143">
        <f t="shared" si="62"/>
        <v>0</v>
      </c>
      <c r="AC1701" s="236" t="e">
        <v>#N/A</v>
      </c>
      <c r="AD1701" s="236">
        <v>1.3236383678476571E-2</v>
      </c>
    </row>
    <row r="1702" spans="23:30" x14ac:dyDescent="0.2">
      <c r="W1702" s="144"/>
      <c r="X1702" s="113" t="str">
        <f t="shared" si="61"/>
        <v>1w</v>
      </c>
      <c r="Y1702" s="106">
        <f>_xll.qlCalendarAdvance(Calendar,Y1701,X1702,"f",FALSE)</f>
        <v>51131</v>
      </c>
      <c r="Z1702" s="108">
        <f>_xll.qlCalendarAdvance(Calendar,Y1702,0&amp;"D")</f>
        <v>51131</v>
      </c>
      <c r="AA1702" s="109">
        <v>1.323604520650612E-2</v>
      </c>
      <c r="AB1702" s="143">
        <f t="shared" si="62"/>
        <v>-7.9936057773011271E-14</v>
      </c>
      <c r="AC1702" s="236" t="e">
        <v>#N/A</v>
      </c>
      <c r="AD1702" s="236">
        <v>1.3236045206586056E-2</v>
      </c>
    </row>
    <row r="1703" spans="23:30" x14ac:dyDescent="0.2">
      <c r="W1703" s="144"/>
      <c r="X1703" s="113" t="str">
        <f t="shared" si="61"/>
        <v>1w</v>
      </c>
      <c r="Y1703" s="106">
        <f>_xll.qlCalendarAdvance(Calendar,Y1702,X1703,"f",FALSE)</f>
        <v>51138</v>
      </c>
      <c r="Z1703" s="108">
        <f>_xll.qlCalendarAdvance(Calendar,Y1703,0&amp;"D")</f>
        <v>51138</v>
      </c>
      <c r="AA1703" s="109">
        <v>1.3235749328464053E-2</v>
      </c>
      <c r="AB1703" s="143">
        <f t="shared" si="62"/>
        <v>0</v>
      </c>
      <c r="AC1703" s="236" t="e">
        <v>#N/A</v>
      </c>
      <c r="AD1703" s="236">
        <v>1.3235749328464053E-2</v>
      </c>
    </row>
    <row r="1704" spans="23:30" x14ac:dyDescent="0.2">
      <c r="W1704" s="144"/>
      <c r="X1704" s="113" t="str">
        <f t="shared" si="61"/>
        <v>1w</v>
      </c>
      <c r="Y1704" s="106">
        <f>_xll.qlCalendarAdvance(Calendar,Y1703,X1704,"f",FALSE)</f>
        <v>51145</v>
      </c>
      <c r="Z1704" s="108">
        <f>_xll.qlCalendarAdvance(Calendar,Y1704,0&amp;"D")</f>
        <v>51145</v>
      </c>
      <c r="AA1704" s="109">
        <v>1.323549604395069E-2</v>
      </c>
      <c r="AB1704" s="143">
        <f t="shared" si="62"/>
        <v>-7.9936057773011271E-14</v>
      </c>
      <c r="AC1704" s="236" t="e">
        <v>#N/A</v>
      </c>
      <c r="AD1704" s="236">
        <v>1.3235496044030626E-2</v>
      </c>
    </row>
    <row r="1705" spans="23:30" x14ac:dyDescent="0.2">
      <c r="W1705" s="144"/>
      <c r="X1705" s="113" t="str">
        <f t="shared" si="61"/>
        <v>1w</v>
      </c>
      <c r="Y1705" s="106">
        <f>_xll.qlCalendarAdvance(Calendar,Y1704,X1705,"f",FALSE)</f>
        <v>51152</v>
      </c>
      <c r="Z1705" s="108">
        <f>_xll.qlCalendarAdvance(Calendar,Y1705,0&amp;"D")</f>
        <v>51152</v>
      </c>
      <c r="AA1705" s="109">
        <v>1.3235285353285775E-2</v>
      </c>
      <c r="AB1705" s="143">
        <f t="shared" si="62"/>
        <v>-7.9936057773011271E-14</v>
      </c>
      <c r="AC1705" s="236" t="e">
        <v>#N/A</v>
      </c>
      <c r="AD1705" s="236">
        <v>1.3235285353365711E-2</v>
      </c>
    </row>
    <row r="1706" spans="23:30" x14ac:dyDescent="0.2">
      <c r="W1706" s="144"/>
      <c r="X1706" s="113" t="str">
        <f t="shared" si="61"/>
        <v>1w</v>
      </c>
      <c r="Y1706" s="106">
        <f>_xll.qlCalendarAdvance(Calendar,Y1705,X1706,"f",FALSE)</f>
        <v>51159</v>
      </c>
      <c r="Z1706" s="108">
        <f>_xll.qlCalendarAdvance(Calendar,Y1706,0&amp;"D")</f>
        <v>51159</v>
      </c>
      <c r="AA1706" s="109">
        <v>1.3235117256469309E-2</v>
      </c>
      <c r="AB1706" s="143">
        <f t="shared" si="62"/>
        <v>7.9936057773011271E-14</v>
      </c>
      <c r="AC1706" s="236" t="e">
        <v>#N/A</v>
      </c>
      <c r="AD1706" s="236">
        <v>1.3235117256389373E-2</v>
      </c>
    </row>
    <row r="1707" spans="23:30" x14ac:dyDescent="0.2">
      <c r="W1707" s="144"/>
      <c r="X1707" s="113" t="str">
        <f t="shared" si="61"/>
        <v>1w</v>
      </c>
      <c r="Y1707" s="106">
        <f>_xll.qlCalendarAdvance(Calendar,Y1706,X1707,"f",FALSE)</f>
        <v>51166</v>
      </c>
      <c r="Z1707" s="108">
        <f>_xll.qlCalendarAdvance(Calendar,Y1707,0&amp;"D")</f>
        <v>51166</v>
      </c>
      <c r="AA1707" s="109">
        <v>1.3234991753181546E-2</v>
      </c>
      <c r="AB1707" s="143">
        <f t="shared" si="62"/>
        <v>0</v>
      </c>
      <c r="AC1707" s="236" t="e">
        <v>#N/A</v>
      </c>
      <c r="AD1707" s="236">
        <v>1.3234991753181546E-2</v>
      </c>
    </row>
    <row r="1708" spans="23:30" x14ac:dyDescent="0.2">
      <c r="W1708" s="144"/>
      <c r="X1708" s="113" t="str">
        <f t="shared" si="61"/>
        <v>1w</v>
      </c>
      <c r="Y1708" s="106">
        <f>_xll.qlCalendarAdvance(Calendar,Y1707,X1708,"f",FALSE)</f>
        <v>51173</v>
      </c>
      <c r="Z1708" s="108">
        <f>_xll.qlCalendarAdvance(Calendar,Y1708,0&amp;"D")</f>
        <v>51173</v>
      </c>
      <c r="AA1708" s="109">
        <v>1.3234908843742232E-2</v>
      </c>
      <c r="AB1708" s="143">
        <f t="shared" si="62"/>
        <v>0</v>
      </c>
      <c r="AC1708" s="236" t="e">
        <v>#N/A</v>
      </c>
      <c r="AD1708" s="236">
        <v>1.3234908843742232E-2</v>
      </c>
    </row>
    <row r="1709" spans="23:30" x14ac:dyDescent="0.2">
      <c r="W1709" s="144"/>
      <c r="X1709" s="113" t="str">
        <f t="shared" si="61"/>
        <v>1w</v>
      </c>
      <c r="Y1709" s="106">
        <f>_xll.qlCalendarAdvance(Calendar,Y1708,X1709,"f",FALSE)</f>
        <v>51180</v>
      </c>
      <c r="Z1709" s="108">
        <f>_xll.qlCalendarAdvance(Calendar,Y1709,0&amp;"D")</f>
        <v>51180</v>
      </c>
      <c r="AA1709" s="109">
        <v>1.3234868527911559E-2</v>
      </c>
      <c r="AB1709" s="143">
        <f t="shared" si="62"/>
        <v>-7.9936057773011271E-14</v>
      </c>
      <c r="AC1709" s="236" t="e">
        <v>#N/A</v>
      </c>
      <c r="AD1709" s="236">
        <v>1.3234868527991495E-2</v>
      </c>
    </row>
    <row r="1710" spans="23:30" x14ac:dyDescent="0.2">
      <c r="W1710" s="144"/>
      <c r="X1710" s="113" t="str">
        <f t="shared" si="61"/>
        <v>1w</v>
      </c>
      <c r="Y1710" s="106">
        <f>_xll.qlCalendarAdvance(Calendar,Y1709,X1710,"f",FALSE)</f>
        <v>51187</v>
      </c>
      <c r="Z1710" s="108">
        <f>_xll.qlCalendarAdvance(Calendar,Y1710,0&amp;"D")</f>
        <v>51187</v>
      </c>
      <c r="AA1710" s="109">
        <v>1.3234870806089205E-2</v>
      </c>
      <c r="AB1710" s="143">
        <f t="shared" si="62"/>
        <v>0</v>
      </c>
      <c r="AC1710" s="236" t="e">
        <v>#N/A</v>
      </c>
      <c r="AD1710" s="236">
        <v>1.3234870806089205E-2</v>
      </c>
    </row>
    <row r="1711" spans="23:30" x14ac:dyDescent="0.2">
      <c r="W1711" s="144"/>
      <c r="X1711" s="113" t="str">
        <f t="shared" si="61"/>
        <v>1w</v>
      </c>
      <c r="Y1711" s="106">
        <f>_xll.qlCalendarAdvance(Calendar,Y1710,X1711,"f",FALSE)</f>
        <v>51194</v>
      </c>
      <c r="Z1711" s="108">
        <f>_xll.qlCalendarAdvance(Calendar,Y1711,0&amp;"D")</f>
        <v>51194</v>
      </c>
      <c r="AA1711" s="109">
        <v>1.3234915677875492E-2</v>
      </c>
      <c r="AB1711" s="143">
        <f t="shared" si="62"/>
        <v>7.9936057773011271E-14</v>
      </c>
      <c r="AC1711" s="236" t="e">
        <v>#N/A</v>
      </c>
      <c r="AD1711" s="236">
        <v>1.3234915677795556E-2</v>
      </c>
    </row>
    <row r="1712" spans="23:30" x14ac:dyDescent="0.2">
      <c r="W1712" s="144"/>
      <c r="X1712" s="113" t="str">
        <f t="shared" si="61"/>
        <v>1w</v>
      </c>
      <c r="Y1712" s="106">
        <f>_xll.qlCalendarAdvance(Calendar,Y1711,X1712,"f",FALSE)</f>
        <v>51201</v>
      </c>
      <c r="Z1712" s="108">
        <f>_xll.qlCalendarAdvance(Calendar,Y1712,0&amp;"D")</f>
        <v>51201</v>
      </c>
      <c r="AA1712" s="109">
        <v>1.3235003143350355E-2</v>
      </c>
      <c r="AB1712" s="143">
        <f t="shared" si="62"/>
        <v>0</v>
      </c>
      <c r="AC1712" s="236" t="e">
        <v>#N/A</v>
      </c>
      <c r="AD1712" s="236">
        <v>1.3235003143350355E-2</v>
      </c>
    </row>
    <row r="1713" spans="23:30" x14ac:dyDescent="0.2">
      <c r="W1713" s="144"/>
      <c r="X1713" s="113" t="str">
        <f t="shared" si="61"/>
        <v>1w</v>
      </c>
      <c r="Y1713" s="106">
        <f>_xll.qlCalendarAdvance(Calendar,Y1712,X1713,"f",FALSE)</f>
        <v>51208</v>
      </c>
      <c r="Z1713" s="108">
        <f>_xll.qlCalendarAdvance(Calendar,Y1713,0&amp;"D")</f>
        <v>51208</v>
      </c>
      <c r="AA1713" s="109">
        <v>1.3235133202513794E-2</v>
      </c>
      <c r="AB1713" s="143">
        <f t="shared" si="62"/>
        <v>-7.9936057773011271E-14</v>
      </c>
      <c r="AC1713" s="236" t="e">
        <v>#N/A</v>
      </c>
      <c r="AD1713" s="236">
        <v>1.323513320259373E-2</v>
      </c>
    </row>
    <row r="1714" spans="23:30" x14ac:dyDescent="0.2">
      <c r="W1714" s="144"/>
      <c r="X1714" s="113" t="str">
        <f t="shared" si="61"/>
        <v>1w</v>
      </c>
      <c r="Y1714" s="106">
        <f>_xll.qlCalendarAdvance(Calendar,Y1713,X1714,"f",FALSE)</f>
        <v>51215</v>
      </c>
      <c r="Z1714" s="108">
        <f>_xll.qlCalendarAdvance(Calendar,Y1714,0&amp;"D")</f>
        <v>51215</v>
      </c>
      <c r="AA1714" s="109">
        <v>1.3235305855525681E-2</v>
      </c>
      <c r="AB1714" s="143">
        <f t="shared" si="62"/>
        <v>7.9936057773011271E-14</v>
      </c>
      <c r="AC1714" s="236" t="e">
        <v>#N/A</v>
      </c>
      <c r="AD1714" s="236">
        <v>1.3235305855445745E-2</v>
      </c>
    </row>
    <row r="1715" spans="23:30" x14ac:dyDescent="0.2">
      <c r="W1715" s="144"/>
      <c r="X1715" s="113" t="str">
        <f t="shared" si="61"/>
        <v>1w</v>
      </c>
      <c r="Y1715" s="106">
        <f>_xll.qlCalendarAdvance(Calendar,Y1714,X1715,"f",FALSE)</f>
        <v>51222</v>
      </c>
      <c r="Z1715" s="108">
        <f>_xll.qlCalendarAdvance(Calendar,Y1715,0&amp;"D")</f>
        <v>51222</v>
      </c>
      <c r="AA1715" s="109">
        <v>1.323552110230608E-2</v>
      </c>
      <c r="AB1715" s="143">
        <f t="shared" si="62"/>
        <v>7.9936057773011271E-14</v>
      </c>
      <c r="AC1715" s="236" t="e">
        <v>#N/A</v>
      </c>
      <c r="AD1715" s="236">
        <v>1.3235521102226144E-2</v>
      </c>
    </row>
    <row r="1716" spans="23:30" x14ac:dyDescent="0.2">
      <c r="W1716" s="144"/>
      <c r="X1716" s="113" t="str">
        <f t="shared" si="61"/>
        <v>1w</v>
      </c>
      <c r="Y1716" s="106">
        <f>_xll.qlCalendarAdvance(Calendar,Y1715,X1716,"f",FALSE)</f>
        <v>51229</v>
      </c>
      <c r="Z1716" s="108">
        <f>_xll.qlCalendarAdvance(Calendar,Y1716,0&amp;"D")</f>
        <v>51229</v>
      </c>
      <c r="AA1716" s="109">
        <v>1.3235778942775056E-2</v>
      </c>
      <c r="AB1716" s="143">
        <f t="shared" si="62"/>
        <v>7.9936057773011271E-14</v>
      </c>
      <c r="AC1716" s="236" t="e">
        <v>#N/A</v>
      </c>
      <c r="AD1716" s="236">
        <v>1.323577894269512E-2</v>
      </c>
    </row>
    <row r="1717" spans="23:30" x14ac:dyDescent="0.2">
      <c r="W1717" s="144"/>
      <c r="X1717" s="113" t="str">
        <f t="shared" si="61"/>
        <v>1w</v>
      </c>
      <c r="Y1717" s="106">
        <f>_xll.qlCalendarAdvance(Calendar,Y1716,X1717,"f",FALSE)</f>
        <v>51236</v>
      </c>
      <c r="Z1717" s="108">
        <f>_xll.qlCalendarAdvance(Calendar,Y1717,0&amp;"D")</f>
        <v>51236</v>
      </c>
      <c r="AA1717" s="109">
        <v>1.3236079377012544E-2</v>
      </c>
      <c r="AB1717" s="143">
        <f t="shared" si="62"/>
        <v>7.9936057773011271E-14</v>
      </c>
      <c r="AC1717" s="236" t="e">
        <v>#N/A</v>
      </c>
      <c r="AD1717" s="236">
        <v>1.3236079376932608E-2</v>
      </c>
    </row>
    <row r="1718" spans="23:30" x14ac:dyDescent="0.2">
      <c r="W1718" s="144"/>
      <c r="X1718" s="113" t="str">
        <f t="shared" si="61"/>
        <v>1w</v>
      </c>
      <c r="Y1718" s="106">
        <f>_xll.qlCalendarAdvance(Calendar,Y1717,X1718,"f",FALSE)</f>
        <v>51243</v>
      </c>
      <c r="Z1718" s="108">
        <f>_xll.qlCalendarAdvance(Calendar,Y1718,0&amp;"D")</f>
        <v>51243</v>
      </c>
      <c r="AA1718" s="109">
        <v>1.3236422404938608E-2</v>
      </c>
      <c r="AB1718" s="143">
        <f t="shared" si="62"/>
        <v>0</v>
      </c>
      <c r="AC1718" s="236" t="e">
        <v>#N/A</v>
      </c>
      <c r="AD1718" s="236">
        <v>1.3236422404938608E-2</v>
      </c>
    </row>
    <row r="1719" spans="23:30" x14ac:dyDescent="0.2">
      <c r="W1719" s="144"/>
      <c r="X1719" s="113" t="str">
        <f t="shared" si="61"/>
        <v>1w</v>
      </c>
      <c r="Y1719" s="106">
        <f>_xll.qlCalendarAdvance(Calendar,Y1718,X1719,"f",FALSE)</f>
        <v>51250</v>
      </c>
      <c r="Z1719" s="108">
        <f>_xll.qlCalendarAdvance(Calendar,Y1719,0&amp;"D")</f>
        <v>51250</v>
      </c>
      <c r="AA1719" s="109">
        <v>1.3236808026473312E-2</v>
      </c>
      <c r="AB1719" s="143">
        <f t="shared" si="62"/>
        <v>0</v>
      </c>
      <c r="AC1719" s="236" t="e">
        <v>#N/A</v>
      </c>
      <c r="AD1719" s="236">
        <v>1.3236808026473312E-2</v>
      </c>
    </row>
    <row r="1720" spans="23:30" x14ac:dyDescent="0.2">
      <c r="W1720" s="144"/>
      <c r="X1720" s="113" t="str">
        <f t="shared" si="61"/>
        <v>1w</v>
      </c>
      <c r="Y1720" s="106">
        <f>_xll.qlCalendarAdvance(Calendar,Y1719,X1720,"f",FALSE)</f>
        <v>51258</v>
      </c>
      <c r="Z1720" s="108">
        <f>_xll.qlCalendarAdvance(Calendar,Y1720,0&amp;"D")</f>
        <v>51258</v>
      </c>
      <c r="AA1720" s="109">
        <v>1.3237300892701143E-2</v>
      </c>
      <c r="AB1720" s="143">
        <f t="shared" si="62"/>
        <v>7.9936057773011271E-14</v>
      </c>
      <c r="AC1720" s="236" t="e">
        <v>#N/A</v>
      </c>
      <c r="AD1720" s="236">
        <v>1.3237300892621207E-2</v>
      </c>
    </row>
    <row r="1721" spans="23:30" x14ac:dyDescent="0.2">
      <c r="W1721" s="144"/>
      <c r="X1721" s="113" t="str">
        <f t="shared" si="61"/>
        <v>1w</v>
      </c>
      <c r="Y1721" s="106">
        <f>_xll.qlCalendarAdvance(Calendar,Y1720,X1721,"f",FALSE)</f>
        <v>51265</v>
      </c>
      <c r="Z1721" s="108">
        <f>_xll.qlCalendarAdvance(Calendar,Y1721,0&amp;"D")</f>
        <v>51265</v>
      </c>
      <c r="AA1721" s="109">
        <v>1.3237777786505589E-2</v>
      </c>
      <c r="AB1721" s="143">
        <f t="shared" si="62"/>
        <v>0</v>
      </c>
      <c r="AC1721" s="236" t="e">
        <v>#N/A</v>
      </c>
      <c r="AD1721" s="236">
        <v>1.3237777786505589E-2</v>
      </c>
    </row>
    <row r="1722" spans="23:30" x14ac:dyDescent="0.2">
      <c r="W1722" s="144"/>
      <c r="X1722" s="113" t="str">
        <f t="shared" si="61"/>
        <v>1w</v>
      </c>
      <c r="Y1722" s="106">
        <f>_xll.qlCalendarAdvance(Calendar,Y1721,X1722,"f",FALSE)</f>
        <v>51272</v>
      </c>
      <c r="Z1722" s="108">
        <f>_xll.qlCalendarAdvance(Calendar,Y1722,0&amp;"D")</f>
        <v>51272</v>
      </c>
      <c r="AA1722" s="109">
        <v>1.3238297274398292E-2</v>
      </c>
      <c r="AB1722" s="143">
        <f t="shared" si="62"/>
        <v>7.9936057773011271E-14</v>
      </c>
      <c r="AC1722" s="236" t="e">
        <v>#N/A</v>
      </c>
      <c r="AD1722" s="236">
        <v>1.3238297274318356E-2</v>
      </c>
    </row>
    <row r="1723" spans="23:30" x14ac:dyDescent="0.2">
      <c r="W1723" s="144"/>
      <c r="X1723" s="113" t="str">
        <f t="shared" si="61"/>
        <v>1w</v>
      </c>
      <c r="Y1723" s="106">
        <f>_xll.qlCalendarAdvance(Calendar,Y1722,X1723,"f",FALSE)</f>
        <v>51279</v>
      </c>
      <c r="Z1723" s="108">
        <f>_xll.qlCalendarAdvance(Calendar,Y1723,0&amp;"D")</f>
        <v>51279</v>
      </c>
      <c r="AA1723" s="109">
        <v>1.3238859355819699E-2</v>
      </c>
      <c r="AB1723" s="143">
        <f t="shared" si="62"/>
        <v>0</v>
      </c>
      <c r="AC1723" s="236" t="e">
        <v>#N/A</v>
      </c>
      <c r="AD1723" s="236">
        <v>1.3238859355819699E-2</v>
      </c>
    </row>
    <row r="1724" spans="23:30" x14ac:dyDescent="0.2">
      <c r="W1724" s="144"/>
      <c r="X1724" s="113" t="str">
        <f t="shared" si="61"/>
        <v>1w</v>
      </c>
      <c r="Y1724" s="106">
        <f>_xll.qlCalendarAdvance(Calendar,Y1723,X1724,"f",FALSE)</f>
        <v>51286</v>
      </c>
      <c r="Z1724" s="108">
        <f>_xll.qlCalendarAdvance(Calendar,Y1724,0&amp;"D")</f>
        <v>51286</v>
      </c>
      <c r="AA1724" s="109">
        <v>1.3239464030929682E-2</v>
      </c>
      <c r="AB1724" s="143">
        <f t="shared" si="62"/>
        <v>0</v>
      </c>
      <c r="AC1724" s="236" t="e">
        <v>#N/A</v>
      </c>
      <c r="AD1724" s="236">
        <v>1.3239464030929682E-2</v>
      </c>
    </row>
    <row r="1725" spans="23:30" x14ac:dyDescent="0.2">
      <c r="W1725" s="144"/>
      <c r="X1725" s="113" t="str">
        <f t="shared" si="61"/>
        <v>1w</v>
      </c>
      <c r="Y1725" s="106">
        <f>_xll.qlCalendarAdvance(Calendar,Y1724,X1725,"f",FALSE)</f>
        <v>51293</v>
      </c>
      <c r="Z1725" s="108">
        <f>_xll.qlCalendarAdvance(Calendar,Y1725,0&amp;"D")</f>
        <v>51293</v>
      </c>
      <c r="AA1725" s="109">
        <v>1.3240102637857021E-2</v>
      </c>
      <c r="AB1725" s="143">
        <f t="shared" si="62"/>
        <v>0</v>
      </c>
      <c r="AC1725" s="236" t="e">
        <v>#N/A</v>
      </c>
      <c r="AD1725" s="236">
        <v>1.3240102637857021E-2</v>
      </c>
    </row>
    <row r="1726" spans="23:30" x14ac:dyDescent="0.2">
      <c r="W1726" s="144"/>
      <c r="X1726" s="113" t="str">
        <f t="shared" si="61"/>
        <v>1w</v>
      </c>
      <c r="Y1726" s="106">
        <f>_xll.qlCalendarAdvance(Calendar,Y1725,X1726,"f",FALSE)</f>
        <v>51300</v>
      </c>
      <c r="Z1726" s="108">
        <f>_xll.qlCalendarAdvance(Calendar,Y1726,0&amp;"D")</f>
        <v>51300</v>
      </c>
      <c r="AA1726" s="109">
        <v>1.3240756519685704E-2</v>
      </c>
      <c r="AB1726" s="143">
        <f t="shared" si="62"/>
        <v>0</v>
      </c>
      <c r="AC1726" s="236" t="e">
        <v>#N/A</v>
      </c>
      <c r="AD1726" s="236">
        <v>1.3240756519685704E-2</v>
      </c>
    </row>
    <row r="1727" spans="23:30" x14ac:dyDescent="0.2">
      <c r="W1727" s="144"/>
      <c r="X1727" s="113" t="str">
        <f t="shared" si="61"/>
        <v>1w</v>
      </c>
      <c r="Y1727" s="106">
        <f>_xll.qlCalendarAdvance(Calendar,Y1726,X1727,"f",FALSE)</f>
        <v>51307</v>
      </c>
      <c r="Z1727" s="108">
        <f>_xll.qlCalendarAdvance(Calendar,Y1727,0&amp;"D")</f>
        <v>51307</v>
      </c>
      <c r="AA1727" s="109">
        <v>1.3241425010148689E-2</v>
      </c>
      <c r="AB1727" s="143">
        <f t="shared" si="62"/>
        <v>0</v>
      </c>
      <c r="AC1727" s="236" t="e">
        <v>#N/A</v>
      </c>
      <c r="AD1727" s="236">
        <v>1.3241425010148689E-2</v>
      </c>
    </row>
    <row r="1728" spans="23:30" x14ac:dyDescent="0.2">
      <c r="W1728" s="144"/>
      <c r="X1728" s="113" t="str">
        <f t="shared" si="61"/>
        <v>1w</v>
      </c>
      <c r="Y1728" s="106">
        <f>_xll.qlCalendarAdvance(Calendar,Y1727,X1728,"f",FALSE)</f>
        <v>51314</v>
      </c>
      <c r="Z1728" s="108">
        <f>_xll.qlCalendarAdvance(Calendar,Y1728,0&amp;"D")</f>
        <v>51314</v>
      </c>
      <c r="AA1728" s="109">
        <v>1.324210810916604E-2</v>
      </c>
      <c r="AB1728" s="143">
        <f t="shared" si="62"/>
        <v>0</v>
      </c>
      <c r="AC1728" s="236" t="e">
        <v>#N/A</v>
      </c>
      <c r="AD1728" s="236">
        <v>1.324210810916604E-2</v>
      </c>
    </row>
    <row r="1729" spans="23:30" x14ac:dyDescent="0.2">
      <c r="W1729" s="144"/>
      <c r="X1729" s="113" t="str">
        <f t="shared" si="61"/>
        <v>1w</v>
      </c>
      <c r="Y1729" s="106">
        <f>_xll.qlCalendarAdvance(Calendar,Y1728,X1729,"f",FALSE)</f>
        <v>51321</v>
      </c>
      <c r="Z1729" s="108">
        <f>_xll.qlCalendarAdvance(Calendar,Y1729,0&amp;"D")</f>
        <v>51321</v>
      </c>
      <c r="AA1729" s="109">
        <v>1.3242805816737757E-2</v>
      </c>
      <c r="AB1729" s="143">
        <f t="shared" si="62"/>
        <v>0</v>
      </c>
      <c r="AC1729" s="236" t="e">
        <v>#N/A</v>
      </c>
      <c r="AD1729" s="236">
        <v>1.3242805816737757E-2</v>
      </c>
    </row>
    <row r="1730" spans="23:30" x14ac:dyDescent="0.2">
      <c r="W1730" s="144"/>
      <c r="X1730" s="113" t="str">
        <f t="shared" si="61"/>
        <v>1w</v>
      </c>
      <c r="Y1730" s="106">
        <f>_xll.qlCalendarAdvance(Calendar,Y1729,X1730,"f",FALSE)</f>
        <v>51328</v>
      </c>
      <c r="Z1730" s="108">
        <f>_xll.qlCalendarAdvance(Calendar,Y1730,0&amp;"D")</f>
        <v>51328</v>
      </c>
      <c r="AA1730" s="109">
        <v>1.3243518133023713E-2</v>
      </c>
      <c r="AB1730" s="143">
        <f t="shared" si="62"/>
        <v>0</v>
      </c>
      <c r="AC1730" s="236" t="e">
        <v>#N/A</v>
      </c>
      <c r="AD1730" s="236">
        <v>1.3243518133023713E-2</v>
      </c>
    </row>
    <row r="1731" spans="23:30" x14ac:dyDescent="0.2">
      <c r="W1731" s="144"/>
      <c r="X1731" s="113" t="str">
        <f t="shared" si="61"/>
        <v>1w</v>
      </c>
      <c r="Y1731" s="106">
        <f>_xll.qlCalendarAdvance(Calendar,Y1730,X1731,"f",FALSE)</f>
        <v>51335</v>
      </c>
      <c r="Z1731" s="108">
        <f>_xll.qlCalendarAdvance(Calendar,Y1731,0&amp;"D")</f>
        <v>51335</v>
      </c>
      <c r="AA1731" s="109">
        <v>1.3244245057864035E-2</v>
      </c>
      <c r="AB1731" s="143">
        <f t="shared" si="62"/>
        <v>0</v>
      </c>
      <c r="AC1731" s="236" t="e">
        <v>#N/A</v>
      </c>
      <c r="AD1731" s="236">
        <v>1.3244245057864035E-2</v>
      </c>
    </row>
    <row r="1732" spans="23:30" x14ac:dyDescent="0.2">
      <c r="W1732" s="144"/>
      <c r="X1732" s="113" t="str">
        <f t="shared" si="61"/>
        <v>1w</v>
      </c>
      <c r="Y1732" s="106">
        <f>_xll.qlCalendarAdvance(Calendar,Y1731,X1732,"f",FALSE)</f>
        <v>51342</v>
      </c>
      <c r="Z1732" s="108">
        <f>_xll.qlCalendarAdvance(Calendar,Y1732,0&amp;"D")</f>
        <v>51342</v>
      </c>
      <c r="AA1732" s="109">
        <v>1.3244986591338659E-2</v>
      </c>
      <c r="AB1732" s="143">
        <f t="shared" si="62"/>
        <v>0</v>
      </c>
      <c r="AC1732" s="236" t="e">
        <v>#N/A</v>
      </c>
      <c r="AD1732" s="236">
        <v>1.3244986591338659E-2</v>
      </c>
    </row>
    <row r="1733" spans="23:30" x14ac:dyDescent="0.2">
      <c r="W1733" s="144"/>
      <c r="X1733" s="113" t="str">
        <f t="shared" si="61"/>
        <v>1w</v>
      </c>
      <c r="Y1733" s="106">
        <f>_xll.qlCalendarAdvance(Calendar,Y1732,X1733,"f",FALSE)</f>
        <v>51349</v>
      </c>
      <c r="Z1733" s="108">
        <f>_xll.qlCalendarAdvance(Calendar,Y1733,0&amp;"D")</f>
        <v>51349</v>
      </c>
      <c r="AA1733" s="109">
        <v>1.3245742733287713E-2</v>
      </c>
      <c r="AB1733" s="143">
        <f t="shared" si="62"/>
        <v>-7.9936057773011271E-14</v>
      </c>
      <c r="AC1733" s="236" t="e">
        <v>#N/A</v>
      </c>
      <c r="AD1733" s="236">
        <v>1.3245742733367649E-2</v>
      </c>
    </row>
    <row r="1734" spans="23:30" x14ac:dyDescent="0.2">
      <c r="W1734" s="144"/>
      <c r="X1734" s="113" t="str">
        <f t="shared" si="61"/>
        <v>1w</v>
      </c>
      <c r="Y1734" s="106">
        <f>_xll.qlCalendarAdvance(Calendar,Y1733,X1734,"f",FALSE)</f>
        <v>51356</v>
      </c>
      <c r="Z1734" s="108">
        <f>_xll.qlCalendarAdvance(Calendar,Y1734,0&amp;"D")</f>
        <v>51356</v>
      </c>
      <c r="AA1734" s="109">
        <v>1.3246513484030942E-2</v>
      </c>
      <c r="AB1734" s="143">
        <f t="shared" si="62"/>
        <v>-7.9936057773011271E-14</v>
      </c>
      <c r="AC1734" s="236" t="e">
        <v>#N/A</v>
      </c>
      <c r="AD1734" s="236">
        <v>1.3246513484110878E-2</v>
      </c>
    </row>
    <row r="1735" spans="23:30" x14ac:dyDescent="0.2">
      <c r="W1735" s="144"/>
      <c r="X1735" s="113" t="str">
        <f t="shared" si="61"/>
        <v>1w</v>
      </c>
      <c r="Y1735" s="106">
        <f>_xll.qlCalendarAdvance(Calendar,Y1734,X1735,"f",FALSE)</f>
        <v>51363</v>
      </c>
      <c r="Z1735" s="108">
        <f>_xll.qlCalendarAdvance(Calendar,Y1735,0&amp;"D")</f>
        <v>51363</v>
      </c>
      <c r="AA1735" s="109">
        <v>1.3247298843408473E-2</v>
      </c>
      <c r="AB1735" s="143">
        <f t="shared" si="62"/>
        <v>0</v>
      </c>
      <c r="AC1735" s="236" t="e">
        <v>#N/A</v>
      </c>
      <c r="AD1735" s="236">
        <v>1.3247298843408473E-2</v>
      </c>
    </row>
    <row r="1736" spans="23:30" x14ac:dyDescent="0.2">
      <c r="W1736" s="144"/>
      <c r="X1736" s="113" t="str">
        <f t="shared" si="61"/>
        <v>1w</v>
      </c>
      <c r="Y1736" s="106">
        <f>_xll.qlCalendarAdvance(Calendar,Y1735,X1736,"f",FALSE)</f>
        <v>51370</v>
      </c>
      <c r="Z1736" s="108">
        <f>_xll.qlCalendarAdvance(Calendar,Y1736,0&amp;"D")</f>
        <v>51370</v>
      </c>
      <c r="AA1736" s="109">
        <v>1.324809881134037E-2</v>
      </c>
      <c r="AB1736" s="143">
        <f t="shared" si="62"/>
        <v>0</v>
      </c>
      <c r="AC1736" s="236" t="e">
        <v>#N/A</v>
      </c>
      <c r="AD1736" s="236">
        <v>1.324809881134037E-2</v>
      </c>
    </row>
    <row r="1737" spans="23:30" x14ac:dyDescent="0.2">
      <c r="W1737" s="144"/>
      <c r="X1737" s="113" t="str">
        <f t="shared" si="61"/>
        <v>1w</v>
      </c>
      <c r="Y1737" s="106">
        <f>_xll.qlCalendarAdvance(Calendar,Y1736,X1737,"f",FALSE)</f>
        <v>51377</v>
      </c>
      <c r="Z1737" s="108">
        <f>_xll.qlCalendarAdvance(Calendar,Y1737,0&amp;"D")</f>
        <v>51377</v>
      </c>
      <c r="AA1737" s="109">
        <v>1.3248913387826633E-2</v>
      </c>
      <c r="AB1737" s="143">
        <f t="shared" si="62"/>
        <v>0</v>
      </c>
      <c r="AC1737" s="236" t="e">
        <v>#N/A</v>
      </c>
      <c r="AD1737" s="236">
        <v>1.3248913387826633E-2</v>
      </c>
    </row>
    <row r="1738" spans="23:30" x14ac:dyDescent="0.2">
      <c r="W1738" s="144"/>
      <c r="X1738" s="113" t="str">
        <f t="shared" si="61"/>
        <v>1w</v>
      </c>
      <c r="Y1738" s="106">
        <f>_xll.qlCalendarAdvance(Calendar,Y1737,X1738,"f",FALSE)</f>
        <v>51384</v>
      </c>
      <c r="Z1738" s="108">
        <f>_xll.qlCalendarAdvance(Calendar,Y1738,0&amp;"D")</f>
        <v>51384</v>
      </c>
      <c r="AA1738" s="109">
        <v>1.3249742573027135E-2</v>
      </c>
      <c r="AB1738" s="143">
        <f t="shared" si="62"/>
        <v>0</v>
      </c>
      <c r="AC1738" s="236" t="e">
        <v>#N/A</v>
      </c>
      <c r="AD1738" s="236">
        <v>1.3249742573027135E-2</v>
      </c>
    </row>
    <row r="1739" spans="23:30" x14ac:dyDescent="0.2">
      <c r="W1739" s="144"/>
      <c r="X1739" s="113" t="str">
        <f t="shared" si="61"/>
        <v>1w</v>
      </c>
      <c r="Y1739" s="106">
        <f>_xll.qlCalendarAdvance(Calendar,Y1738,X1739,"f",FALSE)</f>
        <v>51391</v>
      </c>
      <c r="Z1739" s="108">
        <f>_xll.qlCalendarAdvance(Calendar,Y1739,0&amp;"D")</f>
        <v>51391</v>
      </c>
      <c r="AA1739" s="109">
        <v>1.3250586366702066E-2</v>
      </c>
      <c r="AB1739" s="143">
        <f t="shared" si="62"/>
        <v>0</v>
      </c>
      <c r="AC1739" s="236" t="e">
        <v>#N/A</v>
      </c>
      <c r="AD1739" s="236">
        <v>1.3250586366702066E-2</v>
      </c>
    </row>
    <row r="1740" spans="23:30" x14ac:dyDescent="0.2">
      <c r="W1740" s="144"/>
      <c r="X1740" s="113" t="str">
        <f t="shared" si="61"/>
        <v>1w</v>
      </c>
      <c r="Y1740" s="106">
        <f>_xll.qlCalendarAdvance(Calendar,Y1739,X1740,"f",FALSE)</f>
        <v>51398</v>
      </c>
      <c r="Z1740" s="108">
        <f>_xll.qlCalendarAdvance(Calendar,Y1740,0&amp;"D")</f>
        <v>51398</v>
      </c>
      <c r="AA1740" s="109">
        <v>1.3251444769091236E-2</v>
      </c>
      <c r="AB1740" s="143">
        <f t="shared" si="62"/>
        <v>0</v>
      </c>
      <c r="AC1740" s="236" t="e">
        <v>#N/A</v>
      </c>
      <c r="AD1740" s="236">
        <v>1.3251444769091236E-2</v>
      </c>
    </row>
    <row r="1741" spans="23:30" x14ac:dyDescent="0.2">
      <c r="W1741" s="144"/>
      <c r="X1741" s="113" t="str">
        <f t="shared" ref="X1741:X1804" si="63">X1740</f>
        <v>1w</v>
      </c>
      <c r="Y1741" s="106">
        <f>_xll.qlCalendarAdvance(Calendar,Y1740,X1741,"f",FALSE)</f>
        <v>51405</v>
      </c>
      <c r="Z1741" s="108">
        <f>_xll.qlCalendarAdvance(Calendar,Y1741,0&amp;"D")</f>
        <v>51405</v>
      </c>
      <c r="AA1741" s="109">
        <v>1.3252317780114709E-2</v>
      </c>
      <c r="AB1741" s="143">
        <f t="shared" si="62"/>
        <v>0</v>
      </c>
      <c r="AC1741" s="236" t="e">
        <v>#N/A</v>
      </c>
      <c r="AD1741" s="236">
        <v>1.3252317780114709E-2</v>
      </c>
    </row>
    <row r="1742" spans="23:30" x14ac:dyDescent="0.2">
      <c r="W1742" s="144"/>
      <c r="X1742" s="113" t="str">
        <f t="shared" si="63"/>
        <v>1w</v>
      </c>
      <c r="Y1742" s="106">
        <f>_xll.qlCalendarAdvance(Calendar,Y1741,X1742,"f",FALSE)</f>
        <v>51412</v>
      </c>
      <c r="Z1742" s="108">
        <f>_xll.qlCalendarAdvance(Calendar,Y1742,0&amp;"D")</f>
        <v>51412</v>
      </c>
      <c r="AA1742" s="109">
        <v>1.3253205399612611E-2</v>
      </c>
      <c r="AB1742" s="143">
        <f t="shared" si="62"/>
        <v>-7.9936057773011271E-14</v>
      </c>
      <c r="AC1742" s="236" t="e">
        <v>#N/A</v>
      </c>
      <c r="AD1742" s="236">
        <v>1.3253205399692547E-2</v>
      </c>
    </row>
    <row r="1743" spans="23:30" x14ac:dyDescent="0.2">
      <c r="W1743" s="144"/>
      <c r="X1743" s="113" t="str">
        <f t="shared" si="63"/>
        <v>1w</v>
      </c>
      <c r="Y1743" s="106">
        <f>_xll.qlCalendarAdvance(Calendar,Y1742,X1743,"f",FALSE)</f>
        <v>51419</v>
      </c>
      <c r="Z1743" s="108">
        <f>_xll.qlCalendarAdvance(Calendar,Y1743,0&amp;"D")</f>
        <v>51419</v>
      </c>
      <c r="AA1743" s="109">
        <v>1.3254107627904688E-2</v>
      </c>
      <c r="AB1743" s="143">
        <f t="shared" si="62"/>
        <v>0</v>
      </c>
      <c r="AC1743" s="236" t="e">
        <v>#N/A</v>
      </c>
      <c r="AD1743" s="236">
        <v>1.3254107627904688E-2</v>
      </c>
    </row>
    <row r="1744" spans="23:30" x14ac:dyDescent="0.2">
      <c r="W1744" s="144"/>
      <c r="X1744" s="113" t="str">
        <f t="shared" si="63"/>
        <v>1w</v>
      </c>
      <c r="Y1744" s="106">
        <f>_xll.qlCalendarAdvance(Calendar,Y1743,X1744,"f",FALSE)</f>
        <v>51426</v>
      </c>
      <c r="Z1744" s="108">
        <f>_xll.qlCalendarAdvance(Calendar,Y1744,0&amp;"D")</f>
        <v>51426</v>
      </c>
      <c r="AA1744" s="109">
        <v>1.3255024464591258E-2</v>
      </c>
      <c r="AB1744" s="143">
        <f t="shared" si="62"/>
        <v>-7.9936057773011271E-14</v>
      </c>
      <c r="AC1744" s="236" t="e">
        <v>#N/A</v>
      </c>
      <c r="AD1744" s="236">
        <v>1.3255024464671195E-2</v>
      </c>
    </row>
    <row r="1745" spans="23:30" x14ac:dyDescent="0.2">
      <c r="W1745" s="144"/>
      <c r="X1745" s="113" t="str">
        <f t="shared" si="63"/>
        <v>1w</v>
      </c>
      <c r="Y1745" s="106">
        <f>_xll.qlCalendarAdvance(Calendar,Y1744,X1745,"f",FALSE)</f>
        <v>51433</v>
      </c>
      <c r="Z1745" s="108">
        <f>_xll.qlCalendarAdvance(Calendar,Y1745,0&amp;"D")</f>
        <v>51433</v>
      </c>
      <c r="AA1745" s="109">
        <v>1.3255955910231876E-2</v>
      </c>
      <c r="AB1745" s="143">
        <f t="shared" si="62"/>
        <v>7.9936057773011271E-14</v>
      </c>
      <c r="AC1745" s="236" t="e">
        <v>#N/A</v>
      </c>
      <c r="AD1745" s="236">
        <v>1.325595591015194E-2</v>
      </c>
    </row>
    <row r="1746" spans="23:30" x14ac:dyDescent="0.2">
      <c r="W1746" s="144"/>
      <c r="X1746" s="113" t="str">
        <f t="shared" si="63"/>
        <v>1w</v>
      </c>
      <c r="Y1746" s="106">
        <f>_xll.qlCalendarAdvance(Calendar,Y1745,X1746,"f",FALSE)</f>
        <v>51440</v>
      </c>
      <c r="Z1746" s="108">
        <f>_xll.qlCalendarAdvance(Calendar,Y1746,0&amp;"D")</f>
        <v>51440</v>
      </c>
      <c r="AA1746" s="109">
        <v>1.3256901964107115E-2</v>
      </c>
      <c r="AB1746" s="143">
        <f t="shared" si="62"/>
        <v>-7.9936057773011271E-14</v>
      </c>
      <c r="AC1746" s="236" t="e">
        <v>#N/A</v>
      </c>
      <c r="AD1746" s="236">
        <v>1.3256901964187051E-2</v>
      </c>
    </row>
    <row r="1747" spans="23:30" x14ac:dyDescent="0.2">
      <c r="W1747" s="144"/>
      <c r="X1747" s="113" t="str">
        <f t="shared" si="63"/>
        <v>1w</v>
      </c>
      <c r="Y1747" s="106">
        <f>_xll.qlCalendarAdvance(Calendar,Y1746,X1747,"f",FALSE)</f>
        <v>51447</v>
      </c>
      <c r="Z1747" s="108">
        <f>_xll.qlCalendarAdvance(Calendar,Y1747,0&amp;"D")</f>
        <v>51447</v>
      </c>
      <c r="AA1747" s="109">
        <v>1.3257862626696593E-2</v>
      </c>
      <c r="AB1747" s="143">
        <f t="shared" si="62"/>
        <v>0</v>
      </c>
      <c r="AC1747" s="236" t="e">
        <v>#N/A</v>
      </c>
      <c r="AD1747" s="236">
        <v>1.3257862626696593E-2</v>
      </c>
    </row>
    <row r="1748" spans="23:30" x14ac:dyDescent="0.2">
      <c r="W1748" s="144"/>
      <c r="X1748" s="113" t="str">
        <f t="shared" si="63"/>
        <v>1w</v>
      </c>
      <c r="Y1748" s="106">
        <f>_xll.qlCalendarAdvance(Calendar,Y1747,X1748,"f",FALSE)</f>
        <v>51454</v>
      </c>
      <c r="Z1748" s="108">
        <f>_xll.qlCalendarAdvance(Calendar,Y1748,0&amp;"D")</f>
        <v>51454</v>
      </c>
      <c r="AA1748" s="109">
        <v>1.3258837898080245E-2</v>
      </c>
      <c r="AB1748" s="143">
        <f t="shared" si="62"/>
        <v>0</v>
      </c>
      <c r="AC1748" s="236" t="e">
        <v>#N/A</v>
      </c>
      <c r="AD1748" s="236">
        <v>1.3258837898080245E-2</v>
      </c>
    </row>
    <row r="1749" spans="23:30" x14ac:dyDescent="0.2">
      <c r="W1749" s="144"/>
      <c r="X1749" s="113" t="str">
        <f t="shared" si="63"/>
        <v>1w</v>
      </c>
      <c r="Y1749" s="106">
        <f>_xll.qlCalendarAdvance(Calendar,Y1748,X1749,"f",FALSE)</f>
        <v>51461</v>
      </c>
      <c r="Z1749" s="108">
        <f>_xll.qlCalendarAdvance(Calendar,Y1749,0&amp;"D")</f>
        <v>51461</v>
      </c>
      <c r="AA1749" s="109">
        <v>1.3259827777858391E-2</v>
      </c>
      <c r="AB1749" s="143">
        <f t="shared" ref="AB1749:AB1812" si="64">AA1749-AD1749</f>
        <v>-7.9936057773011271E-14</v>
      </c>
      <c r="AC1749" s="236" t="e">
        <v>#N/A</v>
      </c>
      <c r="AD1749" s="236">
        <v>1.3259827777938327E-2</v>
      </c>
    </row>
    <row r="1750" spans="23:30" x14ac:dyDescent="0.2">
      <c r="W1750" s="144"/>
      <c r="X1750" s="113" t="str">
        <f t="shared" si="63"/>
        <v>1w</v>
      </c>
      <c r="Y1750" s="106">
        <f>_xll.qlCalendarAdvance(Calendar,Y1749,X1750,"f",FALSE)</f>
        <v>51468</v>
      </c>
      <c r="Z1750" s="108">
        <f>_xll.qlCalendarAdvance(Calendar,Y1750,0&amp;"D")</f>
        <v>51468</v>
      </c>
      <c r="AA1750" s="109">
        <v>1.3260832266430711E-2</v>
      </c>
      <c r="AB1750" s="143">
        <f t="shared" si="64"/>
        <v>0</v>
      </c>
      <c r="AC1750" s="236" t="e">
        <v>#N/A</v>
      </c>
      <c r="AD1750" s="236">
        <v>1.3260832266430711E-2</v>
      </c>
    </row>
    <row r="1751" spans="23:30" x14ac:dyDescent="0.2">
      <c r="W1751" s="144"/>
      <c r="X1751" s="113" t="str">
        <f t="shared" si="63"/>
        <v>1w</v>
      </c>
      <c r="Y1751" s="106">
        <f>_xll.qlCalendarAdvance(Calendar,Y1750,X1751,"f",FALSE)</f>
        <v>51475</v>
      </c>
      <c r="Z1751" s="108">
        <f>_xll.qlCalendarAdvance(Calendar,Y1751,0&amp;"D")</f>
        <v>51475</v>
      </c>
      <c r="AA1751" s="109">
        <v>1.3261851363477462E-2</v>
      </c>
      <c r="AB1751" s="143">
        <f t="shared" si="64"/>
        <v>0</v>
      </c>
      <c r="AC1751" s="236" t="e">
        <v>#N/A</v>
      </c>
      <c r="AD1751" s="236">
        <v>1.3261851363477462E-2</v>
      </c>
    </row>
    <row r="1752" spans="23:30" x14ac:dyDescent="0.2">
      <c r="W1752" s="144"/>
      <c r="X1752" s="113" t="str">
        <f t="shared" si="63"/>
        <v>1w</v>
      </c>
      <c r="Y1752" s="106">
        <f>_xll.qlCalendarAdvance(Calendar,Y1751,X1752,"f",FALSE)</f>
        <v>51482</v>
      </c>
      <c r="Z1752" s="108">
        <f>_xll.qlCalendarAdvance(Calendar,Y1752,0&amp;"D")</f>
        <v>51482</v>
      </c>
      <c r="AA1752" s="109">
        <v>1.326288506923845E-2</v>
      </c>
      <c r="AB1752" s="143">
        <f t="shared" si="64"/>
        <v>0</v>
      </c>
      <c r="AC1752" s="236" t="e">
        <v>#N/A</v>
      </c>
      <c r="AD1752" s="236">
        <v>1.326288506923845E-2</v>
      </c>
    </row>
    <row r="1753" spans="23:30" x14ac:dyDescent="0.2">
      <c r="W1753" s="144"/>
      <c r="X1753" s="113" t="str">
        <f t="shared" si="63"/>
        <v>1w</v>
      </c>
      <c r="Y1753" s="106">
        <f>_xll.qlCalendarAdvance(Calendar,Y1752,X1753,"f",FALSE)</f>
        <v>51489</v>
      </c>
      <c r="Z1753" s="108">
        <f>_xll.qlCalendarAdvance(Calendar,Y1753,0&amp;"D")</f>
        <v>51489</v>
      </c>
      <c r="AA1753" s="109">
        <v>1.3263933383473869E-2</v>
      </c>
      <c r="AB1753" s="143">
        <f t="shared" si="64"/>
        <v>0</v>
      </c>
      <c r="AC1753" s="236" t="e">
        <v>#N/A</v>
      </c>
      <c r="AD1753" s="236">
        <v>1.3263933383473869E-2</v>
      </c>
    </row>
    <row r="1754" spans="23:30" x14ac:dyDescent="0.2">
      <c r="W1754" s="144"/>
      <c r="X1754" s="113" t="str">
        <f t="shared" si="63"/>
        <v>1w</v>
      </c>
      <c r="Y1754" s="106">
        <f>_xll.qlCalendarAdvance(Calendar,Y1753,X1754,"f",FALSE)</f>
        <v>51497</v>
      </c>
      <c r="Z1754" s="108">
        <f>_xll.qlCalendarAdvance(Calendar,Y1754,0&amp;"D")</f>
        <v>51497</v>
      </c>
      <c r="AA1754" s="109">
        <v>1.3265149345205174E-2</v>
      </c>
      <c r="AB1754" s="143">
        <f t="shared" si="64"/>
        <v>7.9936057773011271E-14</v>
      </c>
      <c r="AC1754" s="236" t="e">
        <v>#N/A</v>
      </c>
      <c r="AD1754" s="236">
        <v>1.3265149345125238E-2</v>
      </c>
    </row>
    <row r="1755" spans="23:30" x14ac:dyDescent="0.2">
      <c r="W1755" s="144"/>
      <c r="X1755" s="113" t="str">
        <f t="shared" si="63"/>
        <v>1w</v>
      </c>
      <c r="Y1755" s="106">
        <f>_xll.qlCalendarAdvance(Calendar,Y1754,X1755,"f",FALSE)</f>
        <v>51504</v>
      </c>
      <c r="Z1755" s="108">
        <f>_xll.qlCalendarAdvance(Calendar,Y1755,0&amp;"D")</f>
        <v>51504</v>
      </c>
      <c r="AA1755" s="109">
        <v>1.3266228963679794E-2</v>
      </c>
      <c r="AB1755" s="143">
        <f t="shared" si="64"/>
        <v>0</v>
      </c>
      <c r="AC1755" s="236" t="e">
        <v>#N/A</v>
      </c>
      <c r="AD1755" s="236">
        <v>1.3266228963679794E-2</v>
      </c>
    </row>
    <row r="1756" spans="23:30" x14ac:dyDescent="0.2">
      <c r="W1756" s="144"/>
      <c r="X1756" s="113" t="str">
        <f t="shared" si="63"/>
        <v>1w</v>
      </c>
      <c r="Y1756" s="106">
        <f>_xll.qlCalendarAdvance(Calendar,Y1755,X1756,"f",FALSE)</f>
        <v>51511</v>
      </c>
      <c r="Z1756" s="108">
        <f>_xll.qlCalendarAdvance(Calendar,Y1756,0&amp;"D")</f>
        <v>51511</v>
      </c>
      <c r="AA1756" s="109">
        <v>1.3267323190788716E-2</v>
      </c>
      <c r="AB1756" s="143">
        <f t="shared" si="64"/>
        <v>-7.9936057773011271E-14</v>
      </c>
      <c r="AC1756" s="236" t="e">
        <v>#N/A</v>
      </c>
      <c r="AD1756" s="236">
        <v>1.3267323190868652E-2</v>
      </c>
    </row>
    <row r="1757" spans="23:30" x14ac:dyDescent="0.2">
      <c r="W1757" s="144"/>
      <c r="X1757" s="113" t="str">
        <f t="shared" si="63"/>
        <v>1w</v>
      </c>
      <c r="Y1757" s="106">
        <f>_xll.qlCalendarAdvance(Calendar,Y1756,X1757,"f",FALSE)</f>
        <v>51518</v>
      </c>
      <c r="Z1757" s="108">
        <f>_xll.qlCalendarAdvance(Calendar,Y1757,0&amp;"D")</f>
        <v>51518</v>
      </c>
      <c r="AA1757" s="109">
        <v>1.326843202653194E-2</v>
      </c>
      <c r="AB1757" s="143">
        <f t="shared" si="64"/>
        <v>0</v>
      </c>
      <c r="AC1757" s="236" t="e">
        <v>#N/A</v>
      </c>
      <c r="AD1757" s="236">
        <v>1.326843202653194E-2</v>
      </c>
    </row>
    <row r="1758" spans="23:30" x14ac:dyDescent="0.2">
      <c r="W1758" s="144"/>
      <c r="X1758" s="113" t="str">
        <f t="shared" si="63"/>
        <v>1w</v>
      </c>
      <c r="Y1758" s="106">
        <f>_xll.qlCalendarAdvance(Calendar,Y1757,X1758,"f",FALSE)</f>
        <v>51525</v>
      </c>
      <c r="Z1758" s="108">
        <f>_xll.qlCalendarAdvance(Calendar,Y1758,0&amp;"D")</f>
        <v>51525</v>
      </c>
      <c r="AA1758" s="109">
        <v>1.3269555470909467E-2</v>
      </c>
      <c r="AB1758" s="143">
        <f t="shared" si="64"/>
        <v>0</v>
      </c>
      <c r="AC1758" s="236" t="e">
        <v>#N/A</v>
      </c>
      <c r="AD1758" s="236">
        <v>1.3269555470909467E-2</v>
      </c>
    </row>
    <row r="1759" spans="23:30" x14ac:dyDescent="0.2">
      <c r="W1759" s="144"/>
      <c r="X1759" s="113" t="str">
        <f t="shared" si="63"/>
        <v>1w</v>
      </c>
      <c r="Y1759" s="106">
        <f>_xll.qlCalendarAdvance(Calendar,Y1758,X1759,"f",FALSE)</f>
        <v>51532</v>
      </c>
      <c r="Z1759" s="108">
        <f>_xll.qlCalendarAdvance(Calendar,Y1759,0&amp;"D")</f>
        <v>51532</v>
      </c>
      <c r="AA1759" s="109">
        <v>1.3270693523761423E-2</v>
      </c>
      <c r="AB1759" s="143">
        <f t="shared" si="64"/>
        <v>0</v>
      </c>
      <c r="AC1759" s="236" t="e">
        <v>#N/A</v>
      </c>
      <c r="AD1759" s="236">
        <v>1.3270693523761423E-2</v>
      </c>
    </row>
    <row r="1760" spans="23:30" x14ac:dyDescent="0.2">
      <c r="W1760" s="144"/>
      <c r="X1760" s="113" t="str">
        <f t="shared" si="63"/>
        <v>1w</v>
      </c>
      <c r="Y1760" s="106">
        <f>_xll.qlCalendarAdvance(Calendar,Y1759,X1760,"f",FALSE)</f>
        <v>51539</v>
      </c>
      <c r="Z1760" s="108">
        <f>_xll.qlCalendarAdvance(Calendar,Y1760,0&amp;"D")</f>
        <v>51539</v>
      </c>
      <c r="AA1760" s="109">
        <v>1.3271846185327618E-2</v>
      </c>
      <c r="AB1760" s="143">
        <f t="shared" si="64"/>
        <v>0</v>
      </c>
      <c r="AC1760" s="236" t="e">
        <v>#N/A</v>
      </c>
      <c r="AD1760" s="236">
        <v>1.3271846185327618E-2</v>
      </c>
    </row>
    <row r="1761" spans="23:30" x14ac:dyDescent="0.2">
      <c r="W1761" s="144"/>
      <c r="X1761" s="113" t="str">
        <f t="shared" si="63"/>
        <v>1w</v>
      </c>
      <c r="Y1761" s="106">
        <f>_xll.qlCalendarAdvance(Calendar,Y1760,X1761,"f",FALSE)</f>
        <v>51546</v>
      </c>
      <c r="Z1761" s="108">
        <f>_xll.qlCalendarAdvance(Calendar,Y1761,0&amp;"D")</f>
        <v>51546</v>
      </c>
      <c r="AA1761" s="109">
        <v>1.3273013455528115E-2</v>
      </c>
      <c r="AB1761" s="143">
        <f t="shared" si="64"/>
        <v>0</v>
      </c>
      <c r="AC1761" s="236" t="e">
        <v>#N/A</v>
      </c>
      <c r="AD1761" s="236">
        <v>1.3273013455528115E-2</v>
      </c>
    </row>
    <row r="1762" spans="23:30" x14ac:dyDescent="0.2">
      <c r="W1762" s="144"/>
      <c r="X1762" s="113" t="str">
        <f t="shared" si="63"/>
        <v>1w</v>
      </c>
      <c r="Y1762" s="106">
        <f>_xll.qlCalendarAdvance(Calendar,Y1761,X1762,"f",FALSE)</f>
        <v>51553</v>
      </c>
      <c r="Z1762" s="108">
        <f>_xll.qlCalendarAdvance(Calendar,Y1762,0&amp;"D")</f>
        <v>51553</v>
      </c>
      <c r="AA1762" s="109">
        <v>1.3274195334362915E-2</v>
      </c>
      <c r="AB1762" s="143">
        <f t="shared" si="64"/>
        <v>0</v>
      </c>
      <c r="AC1762" s="236" t="e">
        <v>#N/A</v>
      </c>
      <c r="AD1762" s="236">
        <v>1.3274195334362915E-2</v>
      </c>
    </row>
    <row r="1763" spans="23:30" x14ac:dyDescent="0.2">
      <c r="W1763" s="144"/>
      <c r="X1763" s="113" t="str">
        <f t="shared" si="63"/>
        <v>1w</v>
      </c>
      <c r="Y1763" s="106">
        <f>_xll.qlCalendarAdvance(Calendar,Y1762,X1763,"f",FALSE)</f>
        <v>51560</v>
      </c>
      <c r="Z1763" s="108">
        <f>_xll.qlCalendarAdvance(Calendar,Y1763,0&amp;"D")</f>
        <v>51560</v>
      </c>
      <c r="AA1763" s="109">
        <v>1.3275391821832017E-2</v>
      </c>
      <c r="AB1763" s="143">
        <f t="shared" si="64"/>
        <v>0</v>
      </c>
      <c r="AC1763" s="236" t="e">
        <v>#N/A</v>
      </c>
      <c r="AD1763" s="236">
        <v>1.3275391821832017E-2</v>
      </c>
    </row>
    <row r="1764" spans="23:30" x14ac:dyDescent="0.2">
      <c r="W1764" s="144"/>
      <c r="X1764" s="113" t="str">
        <f t="shared" si="63"/>
        <v>1w</v>
      </c>
      <c r="Y1764" s="106">
        <f>_xll.qlCalendarAdvance(Calendar,Y1763,X1764,"f",FALSE)</f>
        <v>51567</v>
      </c>
      <c r="Z1764" s="108">
        <f>_xll.qlCalendarAdvance(Calendar,Y1764,0&amp;"D")</f>
        <v>51567</v>
      </c>
      <c r="AA1764" s="109">
        <v>1.3276602917775548E-2</v>
      </c>
      <c r="AB1764" s="143">
        <f t="shared" si="64"/>
        <v>0</v>
      </c>
      <c r="AC1764" s="236" t="e">
        <v>#N/A</v>
      </c>
      <c r="AD1764" s="236">
        <v>1.3276602917775548E-2</v>
      </c>
    </row>
    <row r="1765" spans="23:30" x14ac:dyDescent="0.2">
      <c r="W1765" s="144"/>
      <c r="X1765" s="113" t="str">
        <f t="shared" si="63"/>
        <v>1w</v>
      </c>
      <c r="Y1765" s="106">
        <f>_xll.qlCalendarAdvance(Calendar,Y1764,X1765,"f",FALSE)</f>
        <v>51574</v>
      </c>
      <c r="Z1765" s="108">
        <f>_xll.qlCalendarAdvance(Calendar,Y1765,0&amp;"D")</f>
        <v>51574</v>
      </c>
      <c r="AA1765" s="109">
        <v>1.3277828622433319E-2</v>
      </c>
      <c r="AB1765" s="143">
        <f t="shared" si="64"/>
        <v>0</v>
      </c>
      <c r="AC1765" s="236" t="e">
        <v>#N/A</v>
      </c>
      <c r="AD1765" s="236">
        <v>1.3277828622433319E-2</v>
      </c>
    </row>
    <row r="1766" spans="23:30" x14ac:dyDescent="0.2">
      <c r="W1766" s="144"/>
      <c r="X1766" s="113" t="str">
        <f t="shared" si="63"/>
        <v>1w</v>
      </c>
      <c r="Y1766" s="106">
        <f>_xll.qlCalendarAdvance(Calendar,Y1765,X1766,"f",FALSE)</f>
        <v>51581</v>
      </c>
      <c r="Z1766" s="108">
        <f>_xll.qlCalendarAdvance(Calendar,Y1766,0&amp;"D")</f>
        <v>51581</v>
      </c>
      <c r="AA1766" s="109">
        <v>1.3279068935725391E-2</v>
      </c>
      <c r="AB1766" s="143">
        <f t="shared" si="64"/>
        <v>0</v>
      </c>
      <c r="AC1766" s="236" t="e">
        <v>#N/A</v>
      </c>
      <c r="AD1766" s="236">
        <v>1.3279068935725391E-2</v>
      </c>
    </row>
    <row r="1767" spans="23:30" x14ac:dyDescent="0.2">
      <c r="W1767" s="144"/>
      <c r="X1767" s="113" t="str">
        <f t="shared" si="63"/>
        <v>1w</v>
      </c>
      <c r="Y1767" s="106">
        <f>_xll.qlCalendarAdvance(Calendar,Y1766,X1767,"f",FALSE)</f>
        <v>51588</v>
      </c>
      <c r="Z1767" s="108">
        <f>_xll.qlCalendarAdvance(Calendar,Y1767,0&amp;"D")</f>
        <v>51588</v>
      </c>
      <c r="AA1767" s="109">
        <v>1.3280323857491894E-2</v>
      </c>
      <c r="AB1767" s="143">
        <f t="shared" si="64"/>
        <v>-7.9936057773011271E-14</v>
      </c>
      <c r="AC1767" s="236" t="e">
        <v>#N/A</v>
      </c>
      <c r="AD1767" s="236">
        <v>1.328032385757183E-2</v>
      </c>
    </row>
    <row r="1768" spans="23:30" x14ac:dyDescent="0.2">
      <c r="W1768" s="144"/>
      <c r="X1768" s="113" t="str">
        <f t="shared" si="63"/>
        <v>1w</v>
      </c>
      <c r="Y1768" s="106">
        <f>_xll.qlCalendarAdvance(Calendar,Y1767,X1768,"f",FALSE)</f>
        <v>51595</v>
      </c>
      <c r="Z1768" s="108">
        <f>_xll.qlCalendarAdvance(Calendar,Y1768,0&amp;"D")</f>
        <v>51595</v>
      </c>
      <c r="AA1768" s="109">
        <v>1.3281593388052571E-2</v>
      </c>
      <c r="AB1768" s="143">
        <f t="shared" si="64"/>
        <v>0</v>
      </c>
      <c r="AC1768" s="236" t="e">
        <v>#N/A</v>
      </c>
      <c r="AD1768" s="236">
        <v>1.3281593388052571E-2</v>
      </c>
    </row>
    <row r="1769" spans="23:30" x14ac:dyDescent="0.2">
      <c r="W1769" s="144"/>
      <c r="X1769" s="113" t="str">
        <f t="shared" si="63"/>
        <v>1w</v>
      </c>
      <c r="Y1769" s="106">
        <f>_xll.qlCalendarAdvance(Calendar,Y1768,X1769,"f",FALSE)</f>
        <v>51602</v>
      </c>
      <c r="Z1769" s="108">
        <f>_xll.qlCalendarAdvance(Calendar,Y1769,0&amp;"D")</f>
        <v>51602</v>
      </c>
      <c r="AA1769" s="109">
        <v>1.328287752724755E-2</v>
      </c>
      <c r="AB1769" s="143">
        <f t="shared" si="64"/>
        <v>7.9936057773011271E-14</v>
      </c>
      <c r="AC1769" s="236" t="e">
        <v>#N/A</v>
      </c>
      <c r="AD1769" s="236">
        <v>1.3282877527167614E-2</v>
      </c>
    </row>
    <row r="1770" spans="23:30" x14ac:dyDescent="0.2">
      <c r="W1770" s="144"/>
      <c r="X1770" s="113" t="str">
        <f t="shared" si="63"/>
        <v>1w</v>
      </c>
      <c r="Y1770" s="106">
        <f>_xll.qlCalendarAdvance(Calendar,Y1769,X1770,"f",FALSE)</f>
        <v>51609</v>
      </c>
      <c r="Z1770" s="108">
        <f>_xll.qlCalendarAdvance(Calendar,Y1770,0&amp;"D")</f>
        <v>51609</v>
      </c>
      <c r="AA1770" s="109">
        <v>1.3285530803630152E-2</v>
      </c>
      <c r="AB1770" s="143">
        <f t="shared" si="64"/>
        <v>0</v>
      </c>
      <c r="AC1770" s="236" t="e">
        <v>#N/A</v>
      </c>
      <c r="AD1770" s="236">
        <v>1.3285530803630152E-2</v>
      </c>
    </row>
    <row r="1771" spans="23:30" x14ac:dyDescent="0.2">
      <c r="W1771" s="144"/>
      <c r="X1771" s="113" t="str">
        <f t="shared" si="63"/>
        <v>1w</v>
      </c>
      <c r="Y1771" s="106">
        <f>_xll.qlCalendarAdvance(Calendar,Y1770,X1771,"f",FALSE)</f>
        <v>51616</v>
      </c>
      <c r="Z1771" s="108">
        <f>_xll.qlCalendarAdvance(Calendar,Y1771,0&amp;"D")</f>
        <v>51616</v>
      </c>
      <c r="AA1771" s="109">
        <v>1.3285489631220671E-2</v>
      </c>
      <c r="AB1771" s="143">
        <f t="shared" si="64"/>
        <v>0</v>
      </c>
      <c r="AC1771" s="236" t="e">
        <v>#N/A</v>
      </c>
      <c r="AD1771" s="236">
        <v>1.3285489631220671E-2</v>
      </c>
    </row>
    <row r="1772" spans="23:30" x14ac:dyDescent="0.2">
      <c r="W1772" s="144"/>
      <c r="X1772" s="113" t="str">
        <f t="shared" si="63"/>
        <v>1w</v>
      </c>
      <c r="Y1772" s="106">
        <f>_xll.qlCalendarAdvance(Calendar,Y1771,X1772,"f",FALSE)</f>
        <v>51623</v>
      </c>
      <c r="Z1772" s="108">
        <f>_xll.qlCalendarAdvance(Calendar,Y1772,0&amp;"D")</f>
        <v>51623</v>
      </c>
      <c r="AA1772" s="109">
        <v>1.3286817596158684E-2</v>
      </c>
      <c r="AB1772" s="143">
        <f t="shared" si="64"/>
        <v>0</v>
      </c>
      <c r="AC1772" s="236" t="e">
        <v>#N/A</v>
      </c>
      <c r="AD1772" s="236">
        <v>1.3286817596158684E-2</v>
      </c>
    </row>
    <row r="1773" spans="23:30" x14ac:dyDescent="0.2">
      <c r="W1773" s="144"/>
      <c r="X1773" s="113" t="str">
        <f t="shared" si="63"/>
        <v>1w</v>
      </c>
      <c r="Y1773" s="106">
        <f>_xll.qlCalendarAdvance(Calendar,Y1772,X1773,"f",FALSE)</f>
        <v>51630</v>
      </c>
      <c r="Z1773" s="108">
        <f>_xll.qlCalendarAdvance(Calendar,Y1773,0&amp;"D")</f>
        <v>51630</v>
      </c>
      <c r="AA1773" s="109">
        <v>1.3288160169731E-2</v>
      </c>
      <c r="AB1773" s="143">
        <f t="shared" si="64"/>
        <v>-7.9936057773011271E-14</v>
      </c>
      <c r="AC1773" s="236" t="e">
        <v>#N/A</v>
      </c>
      <c r="AD1773" s="236">
        <v>1.3288160169810936E-2</v>
      </c>
    </row>
    <row r="1774" spans="23:30" x14ac:dyDescent="0.2">
      <c r="W1774" s="144"/>
      <c r="X1774" s="113" t="str">
        <f t="shared" si="63"/>
        <v>1w</v>
      </c>
      <c r="Y1774" s="106">
        <f>_xll.qlCalendarAdvance(Calendar,Y1773,X1774,"f",FALSE)</f>
        <v>51637</v>
      </c>
      <c r="Z1774" s="108">
        <f>_xll.qlCalendarAdvance(Calendar,Y1774,0&amp;"D")</f>
        <v>51637</v>
      </c>
      <c r="AA1774" s="109">
        <v>1.3289517351857683E-2</v>
      </c>
      <c r="AB1774" s="143">
        <f t="shared" si="64"/>
        <v>-7.9936057773011271E-14</v>
      </c>
      <c r="AC1774" s="236" t="e">
        <v>#N/A</v>
      </c>
      <c r="AD1774" s="236">
        <v>1.3289517351937619E-2</v>
      </c>
    </row>
    <row r="1775" spans="23:30" x14ac:dyDescent="0.2">
      <c r="W1775" s="144"/>
      <c r="X1775" s="113" t="str">
        <f t="shared" si="63"/>
        <v>1w</v>
      </c>
      <c r="Y1775" s="106">
        <f>_xll.qlCalendarAdvance(Calendar,Y1774,X1775,"f",FALSE)</f>
        <v>51644</v>
      </c>
      <c r="Z1775" s="108">
        <f>_xll.qlCalendarAdvance(Calendar,Y1775,0&amp;"D")</f>
        <v>51644</v>
      </c>
      <c r="AA1775" s="109">
        <v>1.3290889142778539E-2</v>
      </c>
      <c r="AB1775" s="143">
        <f t="shared" si="64"/>
        <v>7.9936057773011271E-14</v>
      </c>
      <c r="AC1775" s="236" t="e">
        <v>#N/A</v>
      </c>
      <c r="AD1775" s="236">
        <v>1.3290889142698603E-2</v>
      </c>
    </row>
    <row r="1776" spans="23:30" x14ac:dyDescent="0.2">
      <c r="W1776" s="144"/>
      <c r="X1776" s="113" t="str">
        <f t="shared" si="63"/>
        <v>1w</v>
      </c>
      <c r="Y1776" s="106">
        <f>_xll.qlCalendarAdvance(Calendar,Y1775,X1776,"f",FALSE)</f>
        <v>51651</v>
      </c>
      <c r="Z1776" s="108">
        <f>_xll.qlCalendarAdvance(Calendar,Y1776,0&amp;"D")</f>
        <v>51651</v>
      </c>
      <c r="AA1776" s="109">
        <v>1.3292275542173826E-2</v>
      </c>
      <c r="AB1776" s="143">
        <f t="shared" si="64"/>
        <v>0</v>
      </c>
      <c r="AC1776" s="236" t="e">
        <v>#N/A</v>
      </c>
      <c r="AD1776" s="236">
        <v>1.3292275542173826E-2</v>
      </c>
    </row>
    <row r="1777" spans="23:30" x14ac:dyDescent="0.2">
      <c r="W1777" s="144"/>
      <c r="X1777" s="113" t="str">
        <f t="shared" si="63"/>
        <v>1w</v>
      </c>
      <c r="Y1777" s="106">
        <f>_xll.qlCalendarAdvance(Calendar,Y1776,X1777,"f",FALSE)</f>
        <v>51658</v>
      </c>
      <c r="Z1777" s="108">
        <f>_xll.qlCalendarAdvance(Calendar,Y1777,0&amp;"D")</f>
        <v>51658</v>
      </c>
      <c r="AA1777" s="109">
        <v>1.3293676550203415E-2</v>
      </c>
      <c r="AB1777" s="143">
        <f t="shared" si="64"/>
        <v>0</v>
      </c>
      <c r="AC1777" s="236" t="e">
        <v>#N/A</v>
      </c>
      <c r="AD1777" s="236">
        <v>1.3293676550203415E-2</v>
      </c>
    </row>
    <row r="1778" spans="23:30" x14ac:dyDescent="0.2">
      <c r="W1778" s="144"/>
      <c r="X1778" s="113" t="str">
        <f t="shared" si="63"/>
        <v>1w</v>
      </c>
      <c r="Y1778" s="106">
        <f>_xll.qlCalendarAdvance(Calendar,Y1777,X1778,"f",FALSE)</f>
        <v>51665</v>
      </c>
      <c r="Z1778" s="108">
        <f>_xll.qlCalendarAdvance(Calendar,Y1778,0&amp;"D")</f>
        <v>51665</v>
      </c>
      <c r="AA1778" s="109">
        <v>1.3295092166867306E-2</v>
      </c>
      <c r="AB1778" s="143">
        <f t="shared" si="64"/>
        <v>0</v>
      </c>
      <c r="AC1778" s="236" t="e">
        <v>#N/A</v>
      </c>
      <c r="AD1778" s="236">
        <v>1.3295092166867306E-2</v>
      </c>
    </row>
    <row r="1779" spans="23:30" x14ac:dyDescent="0.2">
      <c r="W1779" s="144"/>
      <c r="X1779" s="113" t="str">
        <f t="shared" si="63"/>
        <v>1w</v>
      </c>
      <c r="Y1779" s="106">
        <f>_xll.qlCalendarAdvance(Calendar,Y1778,X1779,"f",FALSE)</f>
        <v>51672</v>
      </c>
      <c r="Z1779" s="108">
        <f>_xll.qlCalendarAdvance(Calendar,Y1779,0&amp;"D")</f>
        <v>51672</v>
      </c>
      <c r="AA1779" s="109">
        <v>1.3296522392085564E-2</v>
      </c>
      <c r="AB1779" s="143">
        <f t="shared" si="64"/>
        <v>0</v>
      </c>
      <c r="AC1779" s="236" t="e">
        <v>#N/A</v>
      </c>
      <c r="AD1779" s="236">
        <v>1.3296522392085564E-2</v>
      </c>
    </row>
    <row r="1780" spans="23:30" x14ac:dyDescent="0.2">
      <c r="W1780" s="144"/>
      <c r="X1780" s="113" t="str">
        <f t="shared" si="63"/>
        <v>1w</v>
      </c>
      <c r="Y1780" s="106">
        <f>_xll.qlCalendarAdvance(Calendar,Y1779,X1780,"f",FALSE)</f>
        <v>51679</v>
      </c>
      <c r="Z1780" s="108">
        <f>_xll.qlCalendarAdvance(Calendar,Y1780,0&amp;"D")</f>
        <v>51679</v>
      </c>
      <c r="AA1780" s="109">
        <v>1.3297967225938123E-2</v>
      </c>
      <c r="AB1780" s="143">
        <f t="shared" si="64"/>
        <v>-7.9936057773011271E-14</v>
      </c>
      <c r="AC1780" s="236" t="e">
        <v>#N/A</v>
      </c>
      <c r="AD1780" s="236">
        <v>1.3297967226018059E-2</v>
      </c>
    </row>
    <row r="1781" spans="23:30" x14ac:dyDescent="0.2">
      <c r="W1781" s="144"/>
      <c r="X1781" s="113" t="str">
        <f t="shared" si="63"/>
        <v>1w</v>
      </c>
      <c r="Y1781" s="106">
        <f>_xll.qlCalendarAdvance(Calendar,Y1780,X1781,"f",FALSE)</f>
        <v>51686</v>
      </c>
      <c r="Z1781" s="108">
        <f>_xll.qlCalendarAdvance(Calendar,Y1781,0&amp;"D")</f>
        <v>51686</v>
      </c>
      <c r="AA1781" s="109">
        <v>1.3299426668504921E-2</v>
      </c>
      <c r="AB1781" s="143">
        <f t="shared" si="64"/>
        <v>0</v>
      </c>
      <c r="AC1781" s="236" t="e">
        <v>#N/A</v>
      </c>
      <c r="AD1781" s="236">
        <v>1.3299426668504921E-2</v>
      </c>
    </row>
    <row r="1782" spans="23:30" x14ac:dyDescent="0.2">
      <c r="W1782" s="144"/>
      <c r="X1782" s="113" t="str">
        <f t="shared" si="63"/>
        <v>1w</v>
      </c>
      <c r="Y1782" s="106">
        <f>_xll.qlCalendarAdvance(Calendar,Y1781,X1782,"f",FALSE)</f>
        <v>51693</v>
      </c>
      <c r="Z1782" s="108">
        <f>_xll.qlCalendarAdvance(Calendar,Y1782,0&amp;"D")</f>
        <v>51693</v>
      </c>
      <c r="AA1782" s="109">
        <v>1.3300900719626085E-2</v>
      </c>
      <c r="AB1782" s="143">
        <f t="shared" si="64"/>
        <v>-7.9936057773011271E-14</v>
      </c>
      <c r="AC1782" s="236" t="e">
        <v>#N/A</v>
      </c>
      <c r="AD1782" s="236">
        <v>1.3300900719706021E-2</v>
      </c>
    </row>
    <row r="1783" spans="23:30" x14ac:dyDescent="0.2">
      <c r="W1783" s="144"/>
      <c r="X1783" s="113" t="str">
        <f t="shared" si="63"/>
        <v>1w</v>
      </c>
      <c r="Y1783" s="106">
        <f>_xll.qlCalendarAdvance(Calendar,Y1782,X1783,"f",FALSE)</f>
        <v>51700</v>
      </c>
      <c r="Z1783" s="108">
        <f>_xll.qlCalendarAdvance(Calendar,Y1783,0&amp;"D")</f>
        <v>51700</v>
      </c>
      <c r="AA1783" s="109">
        <v>1.3302389379381552E-2</v>
      </c>
      <c r="AB1783" s="143">
        <f t="shared" si="64"/>
        <v>0</v>
      </c>
      <c r="AC1783" s="236" t="e">
        <v>#N/A</v>
      </c>
      <c r="AD1783" s="236">
        <v>1.3302389379381552E-2</v>
      </c>
    </row>
    <row r="1784" spans="23:30" x14ac:dyDescent="0.2">
      <c r="W1784" s="144"/>
      <c r="X1784" s="113" t="str">
        <f t="shared" si="63"/>
        <v>1w</v>
      </c>
      <c r="Y1784" s="106">
        <f>_xll.qlCalendarAdvance(Calendar,Y1783,X1784,"f",FALSE)</f>
        <v>51707</v>
      </c>
      <c r="Z1784" s="108">
        <f>_xll.qlCalendarAdvance(Calendar,Y1784,0&amp;"D")</f>
        <v>51707</v>
      </c>
      <c r="AA1784" s="109">
        <v>1.3303892647691384E-2</v>
      </c>
      <c r="AB1784" s="143">
        <f t="shared" si="64"/>
        <v>0</v>
      </c>
      <c r="AC1784" s="236" t="e">
        <v>#N/A</v>
      </c>
      <c r="AD1784" s="236">
        <v>1.3303892647691384E-2</v>
      </c>
    </row>
    <row r="1785" spans="23:30" x14ac:dyDescent="0.2">
      <c r="W1785" s="144"/>
      <c r="X1785" s="113" t="str">
        <f t="shared" si="63"/>
        <v>1w</v>
      </c>
      <c r="Y1785" s="106">
        <f>_xll.qlCalendarAdvance(Calendar,Y1784,X1785,"f",FALSE)</f>
        <v>51714</v>
      </c>
      <c r="Z1785" s="108">
        <f>_xll.qlCalendarAdvance(Calendar,Y1785,0&amp;"D")</f>
        <v>51714</v>
      </c>
      <c r="AA1785" s="109">
        <v>1.3305410524715455E-2</v>
      </c>
      <c r="AB1785" s="143">
        <f t="shared" si="64"/>
        <v>0</v>
      </c>
      <c r="AC1785" s="236" t="e">
        <v>#N/A</v>
      </c>
      <c r="AD1785" s="236">
        <v>1.3305410524715455E-2</v>
      </c>
    </row>
    <row r="1786" spans="23:30" x14ac:dyDescent="0.2">
      <c r="W1786" s="144"/>
      <c r="X1786" s="113" t="str">
        <f t="shared" si="63"/>
        <v>1w</v>
      </c>
      <c r="Y1786" s="106">
        <f>_xll.qlCalendarAdvance(Calendar,Y1785,X1786,"f",FALSE)</f>
        <v>51721</v>
      </c>
      <c r="Z1786" s="108">
        <f>_xll.qlCalendarAdvance(Calendar,Y1786,0&amp;"D")</f>
        <v>51721</v>
      </c>
      <c r="AA1786" s="109">
        <v>1.3306943010373828E-2</v>
      </c>
      <c r="AB1786" s="143">
        <f t="shared" si="64"/>
        <v>0</v>
      </c>
      <c r="AC1786" s="236" t="e">
        <v>#N/A</v>
      </c>
      <c r="AD1786" s="236">
        <v>1.3306943010373828E-2</v>
      </c>
    </row>
    <row r="1787" spans="23:30" x14ac:dyDescent="0.2">
      <c r="W1787" s="144"/>
      <c r="X1787" s="113" t="str">
        <f t="shared" si="63"/>
        <v>1w</v>
      </c>
      <c r="Y1787" s="106">
        <f>_xll.qlCalendarAdvance(Calendar,Y1786,X1787,"f",FALSE)</f>
        <v>51728</v>
      </c>
      <c r="Z1787" s="108">
        <f>_xll.qlCalendarAdvance(Calendar,Y1787,0&amp;"D")</f>
        <v>51728</v>
      </c>
      <c r="AA1787" s="109">
        <v>1.3308490104586568E-2</v>
      </c>
      <c r="AB1787" s="143">
        <f t="shared" si="64"/>
        <v>7.9936057773011271E-14</v>
      </c>
      <c r="AC1787" s="236" t="e">
        <v>#N/A</v>
      </c>
      <c r="AD1787" s="236">
        <v>1.3308490104506632E-2</v>
      </c>
    </row>
    <row r="1788" spans="23:30" x14ac:dyDescent="0.2">
      <c r="W1788" s="144"/>
      <c r="X1788" s="113" t="str">
        <f t="shared" si="63"/>
        <v>1w</v>
      </c>
      <c r="Y1788" s="106">
        <f>_xll.qlCalendarAdvance(Calendar,Y1787,X1788,"f",FALSE)</f>
        <v>51735</v>
      </c>
      <c r="Z1788" s="108">
        <f>_xll.qlCalendarAdvance(Calendar,Y1788,0&amp;"D")</f>
        <v>51735</v>
      </c>
      <c r="AA1788" s="109">
        <v>1.3310051807353673E-2</v>
      </c>
      <c r="AB1788" s="143">
        <f t="shared" si="64"/>
        <v>0</v>
      </c>
      <c r="AC1788" s="236" t="e">
        <v>#N/A</v>
      </c>
      <c r="AD1788" s="236">
        <v>1.3310051807353673E-2</v>
      </c>
    </row>
    <row r="1789" spans="23:30" x14ac:dyDescent="0.2">
      <c r="W1789" s="144"/>
      <c r="X1789" s="113" t="str">
        <f t="shared" si="63"/>
        <v>1w</v>
      </c>
      <c r="Y1789" s="106">
        <f>_xll.qlCalendarAdvance(Calendar,Y1788,X1789,"f",FALSE)</f>
        <v>51742</v>
      </c>
      <c r="Z1789" s="108">
        <f>_xll.qlCalendarAdvance(Calendar,Y1789,0&amp;"D")</f>
        <v>51742</v>
      </c>
      <c r="AA1789" s="109">
        <v>1.3311628118755081E-2</v>
      </c>
      <c r="AB1789" s="143">
        <f t="shared" si="64"/>
        <v>-7.9936057773011271E-14</v>
      </c>
      <c r="AC1789" s="236" t="e">
        <v>#N/A</v>
      </c>
      <c r="AD1789" s="236">
        <v>1.3311628118835017E-2</v>
      </c>
    </row>
    <row r="1790" spans="23:30" x14ac:dyDescent="0.2">
      <c r="W1790" s="144"/>
      <c r="X1790" s="113" t="str">
        <f t="shared" si="63"/>
        <v>1w</v>
      </c>
      <c r="Y1790" s="106">
        <f>_xll.qlCalendarAdvance(Calendar,Y1789,X1790,"f",FALSE)</f>
        <v>51749</v>
      </c>
      <c r="Z1790" s="108">
        <f>_xll.qlCalendarAdvance(Calendar,Y1790,0&amp;"D")</f>
        <v>51749</v>
      </c>
      <c r="AA1790" s="109">
        <v>1.3313219038790791E-2</v>
      </c>
      <c r="AB1790" s="143">
        <f t="shared" si="64"/>
        <v>-7.9936057773011271E-14</v>
      </c>
      <c r="AC1790" s="236" t="e">
        <v>#N/A</v>
      </c>
      <c r="AD1790" s="236">
        <v>1.3313219038870727E-2</v>
      </c>
    </row>
    <row r="1791" spans="23:30" x14ac:dyDescent="0.2">
      <c r="W1791" s="144"/>
      <c r="X1791" s="113" t="str">
        <f t="shared" si="63"/>
        <v>1w</v>
      </c>
      <c r="Y1791" s="106">
        <f>_xll.qlCalendarAdvance(Calendar,Y1790,X1791,"f",FALSE)</f>
        <v>51756</v>
      </c>
      <c r="Z1791" s="108">
        <f>_xll.qlCalendarAdvance(Calendar,Y1791,0&amp;"D")</f>
        <v>51756</v>
      </c>
      <c r="AA1791" s="109">
        <v>1.3314824567620676E-2</v>
      </c>
      <c r="AB1791" s="143">
        <f t="shared" si="64"/>
        <v>0</v>
      </c>
      <c r="AC1791" s="236" t="e">
        <v>#N/A</v>
      </c>
      <c r="AD1791" s="236">
        <v>1.3314824567620676E-2</v>
      </c>
    </row>
    <row r="1792" spans="23:30" x14ac:dyDescent="0.2">
      <c r="W1792" s="144"/>
      <c r="X1792" s="113" t="str">
        <f t="shared" si="63"/>
        <v>1w</v>
      </c>
      <c r="Y1792" s="106">
        <f>_xll.qlCalendarAdvance(Calendar,Y1791,X1792,"f",FALSE)</f>
        <v>51763</v>
      </c>
      <c r="Z1792" s="108">
        <f>_xll.qlCalendarAdvance(Calendar,Y1792,0&amp;"D")</f>
        <v>51763</v>
      </c>
      <c r="AA1792" s="109">
        <v>1.3316444704845054E-2</v>
      </c>
      <c r="AB1792" s="143">
        <f t="shared" si="64"/>
        <v>-7.9936057773011271E-14</v>
      </c>
      <c r="AC1792" s="236" t="e">
        <v>#N/A</v>
      </c>
      <c r="AD1792" s="236">
        <v>1.331644470492499E-2</v>
      </c>
    </row>
    <row r="1793" spans="23:30" x14ac:dyDescent="0.2">
      <c r="W1793" s="144"/>
      <c r="X1793" s="113" t="str">
        <f t="shared" si="63"/>
        <v>1w</v>
      </c>
      <c r="Y1793" s="106">
        <f>_xll.qlCalendarAdvance(Calendar,Y1792,X1793,"f",FALSE)</f>
        <v>51770</v>
      </c>
      <c r="Z1793" s="108">
        <f>_xll.qlCalendarAdvance(Calendar,Y1793,0&amp;"D")</f>
        <v>51770</v>
      </c>
      <c r="AA1793" s="109">
        <v>1.3318079450863607E-2</v>
      </c>
      <c r="AB1793" s="143">
        <f t="shared" si="64"/>
        <v>0</v>
      </c>
      <c r="AC1793" s="236" t="e">
        <v>#N/A</v>
      </c>
      <c r="AD1793" s="236">
        <v>1.3318079450863607E-2</v>
      </c>
    </row>
    <row r="1794" spans="23:30" x14ac:dyDescent="0.2">
      <c r="W1794" s="144"/>
      <c r="X1794" s="113" t="str">
        <f t="shared" si="63"/>
        <v>1w</v>
      </c>
      <c r="Y1794" s="106">
        <f>_xll.qlCalendarAdvance(Calendar,Y1793,X1794,"f",FALSE)</f>
        <v>51777</v>
      </c>
      <c r="Z1794" s="108">
        <f>_xll.qlCalendarAdvance(Calendar,Y1794,0&amp;"D")</f>
        <v>51777</v>
      </c>
      <c r="AA1794" s="109">
        <v>1.3319728805436526E-2</v>
      </c>
      <c r="AB1794" s="143">
        <f t="shared" si="64"/>
        <v>0</v>
      </c>
      <c r="AC1794" s="236" t="e">
        <v>#N/A</v>
      </c>
      <c r="AD1794" s="236">
        <v>1.3319728805436526E-2</v>
      </c>
    </row>
    <row r="1795" spans="23:30" x14ac:dyDescent="0.2">
      <c r="W1795" s="144"/>
      <c r="X1795" s="113" t="str">
        <f t="shared" si="63"/>
        <v>1w</v>
      </c>
      <c r="Y1795" s="106">
        <f>_xll.qlCalendarAdvance(Calendar,Y1794,X1795,"f",FALSE)</f>
        <v>51784</v>
      </c>
      <c r="Z1795" s="108">
        <f>_xll.qlCalendarAdvance(Calendar,Y1795,0&amp;"D")</f>
        <v>51784</v>
      </c>
      <c r="AA1795" s="109">
        <v>1.3321392768563811E-2</v>
      </c>
      <c r="AB1795" s="143">
        <f t="shared" si="64"/>
        <v>0</v>
      </c>
      <c r="AC1795" s="236" t="e">
        <v>#N/A</v>
      </c>
      <c r="AD1795" s="236">
        <v>1.3321392768563811E-2</v>
      </c>
    </row>
    <row r="1796" spans="23:30" x14ac:dyDescent="0.2">
      <c r="W1796" s="144"/>
      <c r="X1796" s="113" t="str">
        <f t="shared" si="63"/>
        <v>1w</v>
      </c>
      <c r="Y1796" s="106">
        <f>_xll.qlCalendarAdvance(Calendar,Y1795,X1796,"f",FALSE)</f>
        <v>51791</v>
      </c>
      <c r="Z1796" s="108">
        <f>_xll.qlCalendarAdvance(Calendar,Y1796,0&amp;"D")</f>
        <v>51791</v>
      </c>
      <c r="AA1796" s="109">
        <v>1.3323071340405335E-2</v>
      </c>
      <c r="AB1796" s="143">
        <f t="shared" si="64"/>
        <v>0</v>
      </c>
      <c r="AC1796" s="236" t="e">
        <v>#N/A</v>
      </c>
      <c r="AD1796" s="236">
        <v>1.3323071340405335E-2</v>
      </c>
    </row>
    <row r="1797" spans="23:30" x14ac:dyDescent="0.2">
      <c r="W1797" s="144"/>
      <c r="X1797" s="113" t="str">
        <f t="shared" si="63"/>
        <v>1w</v>
      </c>
      <c r="Y1797" s="106">
        <f>_xll.qlCalendarAdvance(Calendar,Y1796,X1797,"f",FALSE)</f>
        <v>51798</v>
      </c>
      <c r="Z1797" s="108">
        <f>_xll.qlCalendarAdvance(Calendar,Y1797,0&amp;"D")</f>
        <v>51798</v>
      </c>
      <c r="AA1797" s="109">
        <v>1.3324764520801224E-2</v>
      </c>
      <c r="AB1797" s="143">
        <f t="shared" si="64"/>
        <v>0</v>
      </c>
      <c r="AC1797" s="236" t="e">
        <v>#N/A</v>
      </c>
      <c r="AD1797" s="236">
        <v>1.3324764520801224E-2</v>
      </c>
    </row>
    <row r="1798" spans="23:30" x14ac:dyDescent="0.2">
      <c r="W1798" s="144"/>
      <c r="X1798" s="113" t="str">
        <f t="shared" si="63"/>
        <v>1w</v>
      </c>
      <c r="Y1798" s="106">
        <f>_xll.qlCalendarAdvance(Calendar,Y1797,X1798,"f",FALSE)</f>
        <v>51805</v>
      </c>
      <c r="Z1798" s="108">
        <f>_xll.qlCalendarAdvance(Calendar,Y1798,0&amp;"D")</f>
        <v>51805</v>
      </c>
      <c r="AA1798" s="109">
        <v>1.332647230975148E-2</v>
      </c>
      <c r="AB1798" s="143">
        <f t="shared" si="64"/>
        <v>0</v>
      </c>
      <c r="AC1798" s="236" t="e">
        <v>#N/A</v>
      </c>
      <c r="AD1798" s="236">
        <v>1.332647230975148E-2</v>
      </c>
    </row>
    <row r="1799" spans="23:30" x14ac:dyDescent="0.2">
      <c r="W1799" s="144"/>
      <c r="X1799" s="113" t="str">
        <f t="shared" si="63"/>
        <v>1w</v>
      </c>
      <c r="Y1799" s="106">
        <f>_xll.qlCalendarAdvance(Calendar,Y1798,X1799,"f",FALSE)</f>
        <v>51812</v>
      </c>
      <c r="Z1799" s="108">
        <f>_xll.qlCalendarAdvance(Calendar,Y1799,0&amp;"D")</f>
        <v>51812</v>
      </c>
      <c r="AA1799" s="109">
        <v>1.3328194707336039E-2</v>
      </c>
      <c r="AB1799" s="143">
        <f t="shared" si="64"/>
        <v>-7.9936057773011271E-14</v>
      </c>
      <c r="AC1799" s="236" t="e">
        <v>#N/A</v>
      </c>
      <c r="AD1799" s="236">
        <v>1.3328194707415975E-2</v>
      </c>
    </row>
    <row r="1800" spans="23:30" x14ac:dyDescent="0.2">
      <c r="W1800" s="144"/>
      <c r="X1800" s="113" t="str">
        <f t="shared" si="63"/>
        <v>1w</v>
      </c>
      <c r="Y1800" s="106">
        <f>_xll.qlCalendarAdvance(Calendar,Y1799,X1800,"f",FALSE)</f>
        <v>51819</v>
      </c>
      <c r="Z1800" s="108">
        <f>_xll.qlCalendarAdvance(Calendar,Y1800,0&amp;"D")</f>
        <v>51819</v>
      </c>
      <c r="AA1800" s="109">
        <v>1.3329931713794707E-2</v>
      </c>
      <c r="AB1800" s="143">
        <f t="shared" si="64"/>
        <v>0</v>
      </c>
      <c r="AC1800" s="236" t="e">
        <v>#N/A</v>
      </c>
      <c r="AD1800" s="236">
        <v>1.3329931713794707E-2</v>
      </c>
    </row>
    <row r="1801" spans="23:30" x14ac:dyDescent="0.2">
      <c r="W1801" s="144"/>
      <c r="X1801" s="113" t="str">
        <f t="shared" si="63"/>
        <v>1w</v>
      </c>
      <c r="Y1801" s="106">
        <f>_xll.qlCalendarAdvance(Calendar,Y1800,X1801,"f",FALSE)</f>
        <v>51826</v>
      </c>
      <c r="Z1801" s="108">
        <f>_xll.qlCalendarAdvance(Calendar,Y1801,0&amp;"D")</f>
        <v>51826</v>
      </c>
      <c r="AA1801" s="109">
        <v>1.333168332864787E-2</v>
      </c>
      <c r="AB1801" s="143">
        <f t="shared" si="64"/>
        <v>7.9936057773011271E-14</v>
      </c>
      <c r="AC1801" s="236" t="e">
        <v>#N/A</v>
      </c>
      <c r="AD1801" s="236">
        <v>1.3331683328567934E-2</v>
      </c>
    </row>
    <row r="1802" spans="23:30" x14ac:dyDescent="0.2">
      <c r="W1802" s="144"/>
      <c r="X1802" s="113" t="str">
        <f t="shared" si="63"/>
        <v>1w</v>
      </c>
      <c r="Y1802" s="106">
        <f>_xll.qlCalendarAdvance(Calendar,Y1801,X1802,"f",FALSE)</f>
        <v>51833</v>
      </c>
      <c r="Z1802" s="108">
        <f>_xll.qlCalendarAdvance(Calendar,Y1802,0&amp;"D")</f>
        <v>51833</v>
      </c>
      <c r="AA1802" s="109">
        <v>1.3333449552215271E-2</v>
      </c>
      <c r="AB1802" s="143">
        <f t="shared" si="64"/>
        <v>7.9936057773011271E-14</v>
      </c>
      <c r="AC1802" s="236" t="e">
        <v>#N/A</v>
      </c>
      <c r="AD1802" s="236">
        <v>1.3333449552135335E-2</v>
      </c>
    </row>
    <row r="1803" spans="23:30" x14ac:dyDescent="0.2">
      <c r="W1803" s="144"/>
      <c r="X1803" s="113" t="str">
        <f t="shared" si="63"/>
        <v>1w</v>
      </c>
      <c r="Y1803" s="106">
        <f>_xll.qlCalendarAdvance(Calendar,Y1802,X1803,"f",FALSE)</f>
        <v>51840</v>
      </c>
      <c r="Z1803" s="108">
        <f>_xll.qlCalendarAdvance(Calendar,Y1803,0&amp;"D")</f>
        <v>51840</v>
      </c>
      <c r="AA1803" s="109">
        <v>1.3335230384337038E-2</v>
      </c>
      <c r="AB1803" s="143">
        <f t="shared" si="64"/>
        <v>0</v>
      </c>
      <c r="AC1803" s="236" t="e">
        <v>#N/A</v>
      </c>
      <c r="AD1803" s="236">
        <v>1.3335230384337038E-2</v>
      </c>
    </row>
    <row r="1804" spans="23:30" x14ac:dyDescent="0.2">
      <c r="W1804" s="144"/>
      <c r="X1804" s="113" t="str">
        <f t="shared" si="63"/>
        <v>1w</v>
      </c>
      <c r="Y1804" s="106">
        <f>_xll.qlCalendarAdvance(Calendar,Y1803,X1804,"f",FALSE)</f>
        <v>51847</v>
      </c>
      <c r="Z1804" s="108">
        <f>_xll.qlCalendarAdvance(Calendar,Y1804,0&amp;"D")</f>
        <v>51847</v>
      </c>
      <c r="AA1804" s="109">
        <v>1.3337025825093107E-2</v>
      </c>
      <c r="AB1804" s="143">
        <f t="shared" si="64"/>
        <v>0</v>
      </c>
      <c r="AC1804" s="236" t="e">
        <v>#N/A</v>
      </c>
      <c r="AD1804" s="236">
        <v>1.3337025825093107E-2</v>
      </c>
    </row>
    <row r="1805" spans="23:30" x14ac:dyDescent="0.2">
      <c r="W1805" s="144"/>
      <c r="X1805" s="113" t="str">
        <f t="shared" ref="X1805:X1868" si="65">X1804</f>
        <v>1w</v>
      </c>
      <c r="Y1805" s="106">
        <f>_xll.qlCalendarAdvance(Calendar,Y1804,X1805,"f",FALSE)</f>
        <v>51854</v>
      </c>
      <c r="Z1805" s="108">
        <f>_xll.qlCalendarAdvance(Calendar,Y1805,0&amp;"D")</f>
        <v>51854</v>
      </c>
      <c r="AA1805" s="109">
        <v>1.3338835874483479E-2</v>
      </c>
      <c r="AB1805" s="143">
        <f t="shared" si="64"/>
        <v>0</v>
      </c>
      <c r="AC1805" s="236" t="e">
        <v>#N/A</v>
      </c>
      <c r="AD1805" s="236">
        <v>1.3338835874483479E-2</v>
      </c>
    </row>
    <row r="1806" spans="23:30" x14ac:dyDescent="0.2">
      <c r="W1806" s="144"/>
      <c r="X1806" s="113" t="str">
        <f t="shared" si="65"/>
        <v>1w</v>
      </c>
      <c r="Y1806" s="106">
        <f>_xll.qlCalendarAdvance(Calendar,Y1805,X1806,"f",FALSE)</f>
        <v>51862</v>
      </c>
      <c r="Z1806" s="108">
        <f>_xll.qlCalendarAdvance(Calendar,Y1806,0&amp;"D")</f>
        <v>51862</v>
      </c>
      <c r="AA1806" s="109">
        <v>1.3341679060943079E-2</v>
      </c>
      <c r="AB1806" s="143">
        <f t="shared" si="64"/>
        <v>0</v>
      </c>
      <c r="AC1806" s="236" t="e">
        <v>#N/A</v>
      </c>
      <c r="AD1806" s="236">
        <v>1.3341679060943079E-2</v>
      </c>
    </row>
    <row r="1807" spans="23:30" x14ac:dyDescent="0.2">
      <c r="W1807" s="144"/>
      <c r="X1807" s="113" t="str">
        <f t="shared" si="65"/>
        <v>1w</v>
      </c>
      <c r="Y1807" s="106">
        <f>_xll.qlCalendarAdvance(Calendar,Y1806,X1807,"f",FALSE)</f>
        <v>51869</v>
      </c>
      <c r="Z1807" s="108">
        <f>_xll.qlCalendarAdvance(Calendar,Y1807,0&amp;"D")</f>
        <v>51869</v>
      </c>
      <c r="AA1807" s="109">
        <v>1.3343522638127325E-2</v>
      </c>
      <c r="AB1807" s="143">
        <f t="shared" si="64"/>
        <v>0</v>
      </c>
      <c r="AC1807" s="236" t="e">
        <v>#N/A</v>
      </c>
      <c r="AD1807" s="236">
        <v>1.3343522638127325E-2</v>
      </c>
    </row>
    <row r="1808" spans="23:30" x14ac:dyDescent="0.2">
      <c r="W1808" s="144"/>
      <c r="X1808" s="113" t="str">
        <f t="shared" si="65"/>
        <v>1w</v>
      </c>
      <c r="Y1808" s="106">
        <f>_xll.qlCalendarAdvance(Calendar,Y1807,X1808,"f",FALSE)</f>
        <v>51876</v>
      </c>
      <c r="Z1808" s="108">
        <f>_xll.qlCalendarAdvance(Calendar,Y1808,0&amp;"D")</f>
        <v>51876</v>
      </c>
      <c r="AA1808" s="109">
        <v>1.3345380825091624E-2</v>
      </c>
      <c r="AB1808" s="143">
        <f t="shared" si="64"/>
        <v>2.6645352591003757E-14</v>
      </c>
      <c r="AC1808" s="236" t="e">
        <v>#N/A</v>
      </c>
      <c r="AD1808" s="236">
        <v>1.3345380825064979E-2</v>
      </c>
    </row>
    <row r="1809" spans="23:30" x14ac:dyDescent="0.2">
      <c r="W1809" s="144"/>
      <c r="X1809" s="113" t="str">
        <f t="shared" si="65"/>
        <v>1w</v>
      </c>
      <c r="Y1809" s="106">
        <f>_xll.qlCalendarAdvance(Calendar,Y1808,X1809,"f",FALSE)</f>
        <v>51883</v>
      </c>
      <c r="Z1809" s="108">
        <f>_xll.qlCalendarAdvance(Calendar,Y1809,0&amp;"D")</f>
        <v>51883</v>
      </c>
      <c r="AA1809" s="109">
        <v>1.3347253621622812E-2</v>
      </c>
      <c r="AB1809" s="143">
        <f t="shared" si="64"/>
        <v>0</v>
      </c>
      <c r="AC1809" s="236" t="e">
        <v>#N/A</v>
      </c>
      <c r="AD1809" s="236">
        <v>1.3347253621622812E-2</v>
      </c>
    </row>
    <row r="1810" spans="23:30" x14ac:dyDescent="0.2">
      <c r="W1810" s="144"/>
      <c r="X1810" s="113" t="str">
        <f t="shared" si="65"/>
        <v>1w</v>
      </c>
      <c r="Y1810" s="106">
        <f>_xll.qlCalendarAdvance(Calendar,Y1809,X1810,"f",FALSE)</f>
        <v>51890</v>
      </c>
      <c r="Z1810" s="108">
        <f>_xll.qlCalendarAdvance(Calendar,Y1810,0&amp;"D")</f>
        <v>51890</v>
      </c>
      <c r="AA1810" s="109">
        <v>1.3349141027987343E-2</v>
      </c>
      <c r="AB1810" s="143">
        <f t="shared" si="64"/>
        <v>0</v>
      </c>
      <c r="AC1810" s="236" t="e">
        <v>#N/A</v>
      </c>
      <c r="AD1810" s="236">
        <v>1.3349141027987343E-2</v>
      </c>
    </row>
    <row r="1811" spans="23:30" x14ac:dyDescent="0.2">
      <c r="W1811" s="144"/>
      <c r="X1811" s="113" t="str">
        <f t="shared" si="65"/>
        <v>1w</v>
      </c>
      <c r="Y1811" s="106">
        <f>_xll.qlCalendarAdvance(Calendar,Y1810,X1811,"f",FALSE)</f>
        <v>51897</v>
      </c>
      <c r="Z1811" s="108">
        <f>_xll.qlCalendarAdvance(Calendar,Y1811,0&amp;"D")</f>
        <v>51897</v>
      </c>
      <c r="AA1811" s="109">
        <v>1.3351043044051991E-2</v>
      </c>
      <c r="AB1811" s="143">
        <f t="shared" si="64"/>
        <v>-2.6645352591003757E-14</v>
      </c>
      <c r="AC1811" s="236" t="e">
        <v>#N/A</v>
      </c>
      <c r="AD1811" s="236">
        <v>1.3351043044078637E-2</v>
      </c>
    </row>
    <row r="1812" spans="23:30" x14ac:dyDescent="0.2">
      <c r="W1812" s="144"/>
      <c r="X1812" s="113" t="str">
        <f t="shared" si="65"/>
        <v>1w</v>
      </c>
      <c r="Y1812" s="106">
        <f>_xll.qlCalendarAdvance(Calendar,Y1811,X1812,"f",FALSE)</f>
        <v>51904</v>
      </c>
      <c r="Z1812" s="108">
        <f>_xll.qlCalendarAdvance(Calendar,Y1812,0&amp;"D")</f>
        <v>51904</v>
      </c>
      <c r="AA1812" s="109">
        <v>1.3352959669896691E-2</v>
      </c>
      <c r="AB1812" s="143">
        <f t="shared" si="64"/>
        <v>0</v>
      </c>
      <c r="AC1812" s="236" t="e">
        <v>#N/A</v>
      </c>
      <c r="AD1812" s="236">
        <v>1.3352959669896691E-2</v>
      </c>
    </row>
    <row r="1813" spans="23:30" x14ac:dyDescent="0.2">
      <c r="W1813" s="144"/>
      <c r="X1813" s="113" t="str">
        <f t="shared" si="65"/>
        <v>1w</v>
      </c>
      <c r="Y1813" s="106">
        <f>_xll.qlCalendarAdvance(Calendar,Y1812,X1813,"f",FALSE)</f>
        <v>51911</v>
      </c>
      <c r="Z1813" s="108">
        <f>_xll.qlCalendarAdvance(Calendar,Y1813,0&amp;"D")</f>
        <v>51911</v>
      </c>
      <c r="AA1813" s="109">
        <v>1.3354890905388217E-2</v>
      </c>
      <c r="AB1813" s="143">
        <f t="shared" ref="AB1813:AB1876" si="66">AA1813-AD1813</f>
        <v>0</v>
      </c>
      <c r="AC1813" s="236" t="e">
        <v>#N/A</v>
      </c>
      <c r="AD1813" s="236">
        <v>1.3354890905388217E-2</v>
      </c>
    </row>
    <row r="1814" spans="23:30" x14ac:dyDescent="0.2">
      <c r="W1814" s="144"/>
      <c r="X1814" s="113" t="str">
        <f t="shared" si="65"/>
        <v>1w</v>
      </c>
      <c r="Y1814" s="106">
        <f>_xll.qlCalendarAdvance(Calendar,Y1813,X1814,"f",FALSE)</f>
        <v>51918</v>
      </c>
      <c r="Z1814" s="108">
        <f>_xll.qlCalendarAdvance(Calendar,Y1814,0&amp;"D")</f>
        <v>51918</v>
      </c>
      <c r="AA1814" s="109">
        <v>1.335683675068644E-2</v>
      </c>
      <c r="AB1814" s="143">
        <f t="shared" si="66"/>
        <v>0</v>
      </c>
      <c r="AC1814" s="236" t="e">
        <v>#N/A</v>
      </c>
      <c r="AD1814" s="236">
        <v>1.335683675068644E-2</v>
      </c>
    </row>
    <row r="1815" spans="23:30" x14ac:dyDescent="0.2">
      <c r="W1815" s="144"/>
      <c r="X1815" s="113" t="str">
        <f t="shared" si="65"/>
        <v>1w</v>
      </c>
      <c r="Y1815" s="106">
        <f>_xll.qlCalendarAdvance(Calendar,Y1814,X1815,"f",FALSE)</f>
        <v>51925</v>
      </c>
      <c r="Z1815" s="108">
        <f>_xll.qlCalendarAdvance(Calendar,Y1815,0&amp;"D")</f>
        <v>51925</v>
      </c>
      <c r="AA1815" s="109">
        <v>1.3358797205658135E-2</v>
      </c>
      <c r="AB1815" s="143">
        <f t="shared" si="66"/>
        <v>2.6645352591003757E-14</v>
      </c>
      <c r="AC1815" s="236" t="e">
        <v>#N/A</v>
      </c>
      <c r="AD1815" s="236">
        <v>1.335879720563149E-2</v>
      </c>
    </row>
    <row r="1816" spans="23:30" x14ac:dyDescent="0.2">
      <c r="W1816" s="144"/>
      <c r="X1816" s="113" t="str">
        <f t="shared" si="65"/>
        <v>1w</v>
      </c>
      <c r="Y1816" s="106">
        <f>_xll.qlCalendarAdvance(Calendar,Y1815,X1816,"f",FALSE)</f>
        <v>51932</v>
      </c>
      <c r="Z1816" s="108">
        <f>_xll.qlCalendarAdvance(Calendar,Y1816,0&amp;"D")</f>
        <v>51932</v>
      </c>
      <c r="AA1816" s="109">
        <v>1.3360772270383237E-2</v>
      </c>
      <c r="AB1816" s="143">
        <f t="shared" si="66"/>
        <v>0</v>
      </c>
      <c r="AC1816" s="236" t="e">
        <v>#N/A</v>
      </c>
      <c r="AD1816" s="236">
        <v>1.3360772270383237E-2</v>
      </c>
    </row>
    <row r="1817" spans="23:30" x14ac:dyDescent="0.2">
      <c r="W1817" s="144"/>
      <c r="X1817" s="113" t="str">
        <f t="shared" si="65"/>
        <v>1w</v>
      </c>
      <c r="Y1817" s="106">
        <f>_xll.qlCalendarAdvance(Calendar,Y1816,X1817,"f",FALSE)</f>
        <v>51939</v>
      </c>
      <c r="Z1817" s="108">
        <f>_xll.qlCalendarAdvance(Calendar,Y1817,0&amp;"D")</f>
        <v>51939</v>
      </c>
      <c r="AA1817" s="109">
        <v>1.3362761944808454E-2</v>
      </c>
      <c r="AB1817" s="143">
        <f t="shared" si="66"/>
        <v>0</v>
      </c>
      <c r="AC1817" s="236" t="e">
        <v>#N/A</v>
      </c>
      <c r="AD1817" s="236">
        <v>1.3362761944808454E-2</v>
      </c>
    </row>
    <row r="1818" spans="23:30" x14ac:dyDescent="0.2">
      <c r="W1818" s="144"/>
      <c r="X1818" s="113" t="str">
        <f t="shared" si="65"/>
        <v>1w</v>
      </c>
      <c r="Y1818" s="106">
        <f>_xll.qlCalendarAdvance(Calendar,Y1817,X1818,"f",FALSE)</f>
        <v>51946</v>
      </c>
      <c r="Z1818" s="108">
        <f>_xll.qlCalendarAdvance(Calendar,Y1818,0&amp;"D")</f>
        <v>51946</v>
      </c>
      <c r="AA1818" s="109">
        <v>1.336476622904037E-2</v>
      </c>
      <c r="AB1818" s="143">
        <f t="shared" si="66"/>
        <v>0</v>
      </c>
      <c r="AC1818" s="236" t="e">
        <v>#N/A</v>
      </c>
      <c r="AD1818" s="236">
        <v>1.336476622904037E-2</v>
      </c>
    </row>
    <row r="1819" spans="23:30" x14ac:dyDescent="0.2">
      <c r="W1819" s="144"/>
      <c r="X1819" s="113" t="str">
        <f t="shared" si="65"/>
        <v>1w</v>
      </c>
      <c r="Y1819" s="106">
        <f>_xll.qlCalendarAdvance(Calendar,Y1818,X1819,"f",FALSE)</f>
        <v>51953</v>
      </c>
      <c r="Z1819" s="108">
        <f>_xll.qlCalendarAdvance(Calendar,Y1819,0&amp;"D")</f>
        <v>51953</v>
      </c>
      <c r="AA1819" s="109">
        <v>1.3366785122945757E-2</v>
      </c>
      <c r="AB1819" s="143">
        <f t="shared" si="66"/>
        <v>0</v>
      </c>
      <c r="AC1819" s="236" t="e">
        <v>#N/A</v>
      </c>
      <c r="AD1819" s="236">
        <v>1.3366785122945757E-2</v>
      </c>
    </row>
    <row r="1820" spans="23:30" x14ac:dyDescent="0.2">
      <c r="W1820" s="144"/>
      <c r="X1820" s="113" t="str">
        <f t="shared" si="65"/>
        <v>1w</v>
      </c>
      <c r="Y1820" s="106">
        <f>_xll.qlCalendarAdvance(Calendar,Y1819,X1820,"f",FALSE)</f>
        <v>51964</v>
      </c>
      <c r="Z1820" s="108">
        <f>_xll.qlCalendarAdvance(Calendar,Y1820,0&amp;"D")</f>
        <v>51964</v>
      </c>
      <c r="AA1820" s="109">
        <v>1.3369198007611161E-2</v>
      </c>
      <c r="AB1820" s="143">
        <f t="shared" si="66"/>
        <v>0</v>
      </c>
      <c r="AC1820" s="236" t="e">
        <v>#N/A</v>
      </c>
      <c r="AD1820" s="236">
        <v>1.3369198007611161E-2</v>
      </c>
    </row>
    <row r="1821" spans="23:30" x14ac:dyDescent="0.2">
      <c r="W1821" s="144"/>
      <c r="X1821" s="113" t="str">
        <f t="shared" si="65"/>
        <v>1w</v>
      </c>
      <c r="Y1821" s="106">
        <f>_xll.qlCalendarAdvance(Calendar,Y1820,X1821,"f",FALSE)</f>
        <v>51971</v>
      </c>
      <c r="Z1821" s="108">
        <f>_xll.qlCalendarAdvance(Calendar,Y1821,0&amp;"D")</f>
        <v>51971</v>
      </c>
      <c r="AA1821" s="109">
        <v>1.3371252229843478E-2</v>
      </c>
      <c r="AB1821" s="143">
        <f t="shared" si="66"/>
        <v>7.9936057773011271E-14</v>
      </c>
      <c r="AC1821" s="236" t="e">
        <v>#N/A</v>
      </c>
      <c r="AD1821" s="236">
        <v>1.3371252229763542E-2</v>
      </c>
    </row>
    <row r="1822" spans="23:30" x14ac:dyDescent="0.2">
      <c r="W1822" s="144"/>
      <c r="X1822" s="113" t="str">
        <f t="shared" si="65"/>
        <v>1w</v>
      </c>
      <c r="Y1822" s="106">
        <f>_xll.qlCalendarAdvance(Calendar,Y1821,X1822,"f",FALSE)</f>
        <v>51978</v>
      </c>
      <c r="Z1822" s="108">
        <f>_xll.qlCalendarAdvance(Calendar,Y1822,0&amp;"D")</f>
        <v>51978</v>
      </c>
      <c r="AA1822" s="109">
        <v>1.3373321060470289E-2</v>
      </c>
      <c r="AB1822" s="143">
        <f t="shared" si="66"/>
        <v>0</v>
      </c>
      <c r="AC1822" s="236" t="e">
        <v>#N/A</v>
      </c>
      <c r="AD1822" s="236">
        <v>1.3373321060470289E-2</v>
      </c>
    </row>
    <row r="1823" spans="23:30" x14ac:dyDescent="0.2">
      <c r="W1823" s="144"/>
      <c r="X1823" s="113" t="str">
        <f t="shared" si="65"/>
        <v>1w</v>
      </c>
      <c r="Y1823" s="106">
        <f>_xll.qlCalendarAdvance(Calendar,Y1822,X1823,"f",FALSE)</f>
        <v>51985</v>
      </c>
      <c r="Z1823" s="108">
        <f>_xll.qlCalendarAdvance(Calendar,Y1823,0&amp;"D")</f>
        <v>51985</v>
      </c>
      <c r="AA1823" s="109">
        <v>1.3375404499891275E-2</v>
      </c>
      <c r="AB1823" s="143">
        <f t="shared" si="66"/>
        <v>0</v>
      </c>
      <c r="AC1823" s="236" t="e">
        <v>#N/A</v>
      </c>
      <c r="AD1823" s="236">
        <v>1.3375404499891275E-2</v>
      </c>
    </row>
    <row r="1824" spans="23:30" x14ac:dyDescent="0.2">
      <c r="W1824" s="144"/>
      <c r="X1824" s="113" t="str">
        <f t="shared" si="65"/>
        <v>1w</v>
      </c>
      <c r="Y1824" s="106">
        <f>_xll.qlCalendarAdvance(Calendar,Y1823,X1824,"f",FALSE)</f>
        <v>51992</v>
      </c>
      <c r="Z1824" s="108">
        <f>_xll.qlCalendarAdvance(Calendar,Y1824,0&amp;"D")</f>
        <v>51992</v>
      </c>
      <c r="AA1824" s="109">
        <v>1.3377502547706754E-2</v>
      </c>
      <c r="AB1824" s="143">
        <f t="shared" si="66"/>
        <v>-7.9936057773011271E-14</v>
      </c>
      <c r="AC1824" s="236" t="e">
        <v>#N/A</v>
      </c>
      <c r="AD1824" s="236">
        <v>1.337750254778669E-2</v>
      </c>
    </row>
    <row r="1825" spans="23:30" x14ac:dyDescent="0.2">
      <c r="W1825" s="144"/>
      <c r="X1825" s="113" t="str">
        <f t="shared" si="65"/>
        <v>1w</v>
      </c>
      <c r="Y1825" s="106">
        <f>_xll.qlCalendarAdvance(Calendar,Y1824,X1825,"f",FALSE)</f>
        <v>51999</v>
      </c>
      <c r="Z1825" s="108">
        <f>_xll.qlCalendarAdvance(Calendar,Y1825,0&amp;"D")</f>
        <v>51999</v>
      </c>
      <c r="AA1825" s="109">
        <v>1.3379615204476281E-2</v>
      </c>
      <c r="AB1825" s="143">
        <f t="shared" si="66"/>
        <v>7.9936057773011271E-14</v>
      </c>
      <c r="AC1825" s="236" t="e">
        <v>#N/A</v>
      </c>
      <c r="AD1825" s="236">
        <v>1.3379615204396345E-2</v>
      </c>
    </row>
    <row r="1826" spans="23:30" x14ac:dyDescent="0.2">
      <c r="W1826" s="144"/>
      <c r="X1826" s="113" t="str">
        <f t="shared" si="65"/>
        <v>1w</v>
      </c>
      <c r="Y1826" s="106">
        <f>_xll.qlCalendarAdvance(Calendar,Y1825,X1826,"f",FALSE)</f>
        <v>52006</v>
      </c>
      <c r="Z1826" s="108">
        <f>_xll.qlCalendarAdvance(Calendar,Y1826,0&amp;"D")</f>
        <v>52006</v>
      </c>
      <c r="AA1826" s="109">
        <v>1.3381742469640301E-2</v>
      </c>
      <c r="AB1826" s="143">
        <f t="shared" si="66"/>
        <v>0</v>
      </c>
      <c r="AC1826" s="236" t="e">
        <v>#N/A</v>
      </c>
      <c r="AD1826" s="236">
        <v>1.3381742469640301E-2</v>
      </c>
    </row>
    <row r="1827" spans="23:30" x14ac:dyDescent="0.2">
      <c r="W1827" s="144"/>
      <c r="X1827" s="113" t="str">
        <f t="shared" si="65"/>
        <v>1w</v>
      </c>
      <c r="Y1827" s="106">
        <f>_xll.qlCalendarAdvance(Calendar,Y1826,X1827,"f",FALSE)</f>
        <v>52013</v>
      </c>
      <c r="Z1827" s="108">
        <f>_xll.qlCalendarAdvance(Calendar,Y1827,0&amp;"D")</f>
        <v>52013</v>
      </c>
      <c r="AA1827" s="109">
        <v>1.3383884343518559E-2</v>
      </c>
      <c r="AB1827" s="143">
        <f t="shared" si="66"/>
        <v>0</v>
      </c>
      <c r="AC1827" s="236" t="e">
        <v>#N/A</v>
      </c>
      <c r="AD1827" s="236">
        <v>1.3383884343518559E-2</v>
      </c>
    </row>
    <row r="1828" spans="23:30" x14ac:dyDescent="0.2">
      <c r="W1828" s="144"/>
      <c r="X1828" s="113" t="str">
        <f t="shared" si="65"/>
        <v>1w</v>
      </c>
      <c r="Y1828" s="106">
        <f>_xll.qlCalendarAdvance(Calendar,Y1827,X1828,"f",FALSE)</f>
        <v>52020</v>
      </c>
      <c r="Z1828" s="108">
        <f>_xll.qlCalendarAdvance(Calendar,Y1828,0&amp;"D")</f>
        <v>52020</v>
      </c>
      <c r="AA1828" s="109">
        <v>1.338604082603112E-2</v>
      </c>
      <c r="AB1828" s="143">
        <f t="shared" si="66"/>
        <v>0</v>
      </c>
      <c r="AC1828" s="236" t="e">
        <v>#N/A</v>
      </c>
      <c r="AD1828" s="236">
        <v>1.338604082603112E-2</v>
      </c>
    </row>
    <row r="1829" spans="23:30" x14ac:dyDescent="0.2">
      <c r="W1829" s="144"/>
      <c r="X1829" s="113" t="str">
        <f t="shared" si="65"/>
        <v>1w</v>
      </c>
      <c r="Y1829" s="106">
        <f>_xll.qlCalendarAdvance(Calendar,Y1828,X1829,"f",FALSE)</f>
        <v>52027</v>
      </c>
      <c r="Z1829" s="108">
        <f>_xll.qlCalendarAdvance(Calendar,Y1829,0&amp;"D")</f>
        <v>52027</v>
      </c>
      <c r="AA1829" s="109">
        <v>1.3388211917177983E-2</v>
      </c>
      <c r="AB1829" s="143">
        <f t="shared" si="66"/>
        <v>0</v>
      </c>
      <c r="AC1829" s="236" t="e">
        <v>#N/A</v>
      </c>
      <c r="AD1829" s="236">
        <v>1.3388211917177983E-2</v>
      </c>
    </row>
    <row r="1830" spans="23:30" x14ac:dyDescent="0.2">
      <c r="W1830" s="144"/>
      <c r="X1830" s="113" t="str">
        <f t="shared" si="65"/>
        <v>1w</v>
      </c>
      <c r="Y1830" s="106">
        <f>_xll.qlCalendarAdvance(Calendar,Y1829,X1830,"f",FALSE)</f>
        <v>52034</v>
      </c>
      <c r="Z1830" s="108">
        <f>_xll.qlCalendarAdvance(Calendar,Y1830,0&amp;"D")</f>
        <v>52034</v>
      </c>
      <c r="AA1830" s="109">
        <v>1.3390397616879213E-2</v>
      </c>
      <c r="AB1830" s="143">
        <f t="shared" si="66"/>
        <v>0</v>
      </c>
      <c r="AC1830" s="236" t="e">
        <v>#N/A</v>
      </c>
      <c r="AD1830" s="236">
        <v>1.3390397616879213E-2</v>
      </c>
    </row>
    <row r="1831" spans="23:30" x14ac:dyDescent="0.2">
      <c r="W1831" s="144"/>
      <c r="X1831" s="113" t="str">
        <f t="shared" si="65"/>
        <v>1w</v>
      </c>
      <c r="Y1831" s="106">
        <f>_xll.qlCalendarAdvance(Calendar,Y1830,X1831,"f",FALSE)</f>
        <v>52041</v>
      </c>
      <c r="Z1831" s="108">
        <f>_xll.qlCalendarAdvance(Calendar,Y1831,0&amp;"D")</f>
        <v>52041</v>
      </c>
      <c r="AA1831" s="109">
        <v>1.339259792529468E-2</v>
      </c>
      <c r="AB1831" s="143">
        <f t="shared" si="66"/>
        <v>-7.9936057773011271E-14</v>
      </c>
      <c r="AC1831" s="236" t="e">
        <v>#N/A</v>
      </c>
      <c r="AD1831" s="236">
        <v>1.3392597925374616E-2</v>
      </c>
    </row>
    <row r="1832" spans="23:30" x14ac:dyDescent="0.2">
      <c r="W1832" s="144"/>
      <c r="X1832" s="113" t="str">
        <f t="shared" si="65"/>
        <v>1w</v>
      </c>
      <c r="Y1832" s="106">
        <f>_xll.qlCalendarAdvance(Calendar,Y1831,X1832,"f",FALSE)</f>
        <v>52048</v>
      </c>
      <c r="Z1832" s="108">
        <f>_xll.qlCalendarAdvance(Calendar,Y1832,0&amp;"D")</f>
        <v>52048</v>
      </c>
      <c r="AA1832" s="109">
        <v>1.3394812842424386E-2</v>
      </c>
      <c r="AB1832" s="143">
        <f t="shared" si="66"/>
        <v>7.9936057773011271E-14</v>
      </c>
      <c r="AC1832" s="236" t="e">
        <v>#N/A</v>
      </c>
      <c r="AD1832" s="236">
        <v>1.339481284234445E-2</v>
      </c>
    </row>
    <row r="1833" spans="23:30" x14ac:dyDescent="0.2">
      <c r="W1833" s="144"/>
      <c r="X1833" s="113" t="str">
        <f t="shared" si="65"/>
        <v>1w</v>
      </c>
      <c r="Y1833" s="106">
        <f>_xll.qlCalendarAdvance(Calendar,Y1832,X1833,"f",FALSE)</f>
        <v>52055</v>
      </c>
      <c r="Z1833" s="108">
        <f>_xll.qlCalendarAdvance(Calendar,Y1833,0&amp;"D")</f>
        <v>52055</v>
      </c>
      <c r="AA1833" s="109">
        <v>1.3397042368028522E-2</v>
      </c>
      <c r="AB1833" s="143">
        <f t="shared" si="66"/>
        <v>0</v>
      </c>
      <c r="AC1833" s="236" t="e">
        <v>#N/A</v>
      </c>
      <c r="AD1833" s="236">
        <v>1.3397042368028522E-2</v>
      </c>
    </row>
    <row r="1834" spans="23:30" x14ac:dyDescent="0.2">
      <c r="W1834" s="144"/>
      <c r="X1834" s="113" t="str">
        <f t="shared" si="65"/>
        <v>1w</v>
      </c>
      <c r="Y1834" s="106">
        <f>_xll.qlCalendarAdvance(Calendar,Y1833,X1834,"f",FALSE)</f>
        <v>52062</v>
      </c>
      <c r="Z1834" s="108">
        <f>_xll.qlCalendarAdvance(Calendar,Y1834,0&amp;"D")</f>
        <v>52062</v>
      </c>
      <c r="AA1834" s="109">
        <v>1.339928650226696E-2</v>
      </c>
      <c r="AB1834" s="143">
        <f t="shared" si="66"/>
        <v>0</v>
      </c>
      <c r="AC1834" s="236" t="e">
        <v>#N/A</v>
      </c>
      <c r="AD1834" s="236">
        <v>1.339928650226696E-2</v>
      </c>
    </row>
    <row r="1835" spans="23:30" x14ac:dyDescent="0.2">
      <c r="W1835" s="144"/>
      <c r="X1835" s="113" t="str">
        <f t="shared" si="65"/>
        <v>1w</v>
      </c>
      <c r="Y1835" s="106">
        <f>_xll.qlCalendarAdvance(Calendar,Y1834,X1835,"f",FALSE)</f>
        <v>52069</v>
      </c>
      <c r="Z1835" s="108">
        <f>_xll.qlCalendarAdvance(Calendar,Y1835,0&amp;"D")</f>
        <v>52069</v>
      </c>
      <c r="AA1835" s="109">
        <v>1.3401545245299573E-2</v>
      </c>
      <c r="AB1835" s="143">
        <f t="shared" si="66"/>
        <v>7.9936057773011271E-14</v>
      </c>
      <c r="AC1835" s="236" t="e">
        <v>#N/A</v>
      </c>
      <c r="AD1835" s="236">
        <v>1.3401545245219637E-2</v>
      </c>
    </row>
    <row r="1836" spans="23:30" x14ac:dyDescent="0.2">
      <c r="W1836" s="144"/>
      <c r="X1836" s="113" t="str">
        <f t="shared" si="65"/>
        <v>1w</v>
      </c>
      <c r="Y1836" s="106">
        <f>_xll.qlCalendarAdvance(Calendar,Y1835,X1836,"f",FALSE)</f>
        <v>52076</v>
      </c>
      <c r="Z1836" s="108">
        <f>_xll.qlCalendarAdvance(Calendar,Y1836,0&amp;"D")</f>
        <v>52076</v>
      </c>
      <c r="AA1836" s="109">
        <v>1.340381859672668E-2</v>
      </c>
      <c r="AB1836" s="143">
        <f t="shared" si="66"/>
        <v>0</v>
      </c>
      <c r="AC1836" s="236" t="e">
        <v>#N/A</v>
      </c>
      <c r="AD1836" s="236">
        <v>1.340381859672668E-2</v>
      </c>
    </row>
    <row r="1837" spans="23:30" x14ac:dyDescent="0.2">
      <c r="W1837" s="144"/>
      <c r="X1837" s="113" t="str">
        <f t="shared" si="65"/>
        <v>1w</v>
      </c>
      <c r="Y1837" s="106">
        <f>_xll.qlCalendarAdvance(Calendar,Y1836,X1837,"f",FALSE)</f>
        <v>52083</v>
      </c>
      <c r="Z1837" s="108">
        <f>_xll.qlCalendarAdvance(Calendar,Y1837,0&amp;"D")</f>
        <v>52083</v>
      </c>
      <c r="AA1837" s="109">
        <v>1.3406106556947961E-2</v>
      </c>
      <c r="AB1837" s="143">
        <f t="shared" si="66"/>
        <v>0</v>
      </c>
      <c r="AC1837" s="236" t="e">
        <v>#N/A</v>
      </c>
      <c r="AD1837" s="236">
        <v>1.3406106556947961E-2</v>
      </c>
    </row>
    <row r="1838" spans="23:30" x14ac:dyDescent="0.2">
      <c r="W1838" s="144"/>
      <c r="X1838" s="113" t="str">
        <f t="shared" si="65"/>
        <v>1w</v>
      </c>
      <c r="Y1838" s="106">
        <f>_xll.qlCalendarAdvance(Calendar,Y1837,X1838,"f",FALSE)</f>
        <v>52090</v>
      </c>
      <c r="Z1838" s="108">
        <f>_xll.qlCalendarAdvance(Calendar,Y1838,0&amp;"D")</f>
        <v>52090</v>
      </c>
      <c r="AA1838" s="109">
        <v>1.3408409125723608E-2</v>
      </c>
      <c r="AB1838" s="143">
        <f t="shared" si="66"/>
        <v>0</v>
      </c>
      <c r="AC1838" s="236" t="e">
        <v>#N/A</v>
      </c>
      <c r="AD1838" s="236">
        <v>1.3408409125723608E-2</v>
      </c>
    </row>
    <row r="1839" spans="23:30" x14ac:dyDescent="0.2">
      <c r="W1839" s="144"/>
      <c r="X1839" s="113" t="str">
        <f t="shared" si="65"/>
        <v>1w</v>
      </c>
      <c r="Y1839" s="106">
        <f>_xll.qlCalendarAdvance(Calendar,Y1838,X1839,"f",FALSE)</f>
        <v>52097</v>
      </c>
      <c r="Z1839" s="108">
        <f>_xll.qlCalendarAdvance(Calendar,Y1839,0&amp;"D")</f>
        <v>52097</v>
      </c>
      <c r="AA1839" s="109">
        <v>1.3410726303133558E-2</v>
      </c>
      <c r="AB1839" s="143">
        <f t="shared" si="66"/>
        <v>0</v>
      </c>
      <c r="AC1839" s="236" t="e">
        <v>#N/A</v>
      </c>
      <c r="AD1839" s="236">
        <v>1.3410726303133558E-2</v>
      </c>
    </row>
    <row r="1840" spans="23:30" x14ac:dyDescent="0.2">
      <c r="W1840" s="144"/>
      <c r="X1840" s="113" t="str">
        <f t="shared" si="65"/>
        <v>1w</v>
      </c>
      <c r="Y1840" s="106">
        <f>_xll.qlCalendarAdvance(Calendar,Y1839,X1840,"f",FALSE)</f>
        <v>52104</v>
      </c>
      <c r="Z1840" s="108">
        <f>_xll.qlCalendarAdvance(Calendar,Y1840,0&amp;"D")</f>
        <v>52104</v>
      </c>
      <c r="AA1840" s="109">
        <v>1.341305808917781E-2</v>
      </c>
      <c r="AB1840" s="143">
        <f t="shared" si="66"/>
        <v>0</v>
      </c>
      <c r="AC1840" s="236" t="e">
        <v>#N/A</v>
      </c>
      <c r="AD1840" s="236">
        <v>1.341305808917781E-2</v>
      </c>
    </row>
    <row r="1841" spans="23:30" x14ac:dyDescent="0.2">
      <c r="W1841" s="144"/>
      <c r="X1841" s="113" t="str">
        <f t="shared" si="65"/>
        <v>1w</v>
      </c>
      <c r="Y1841" s="106">
        <f>_xll.qlCalendarAdvance(Calendar,Y1840,X1841,"f",FALSE)</f>
        <v>52111</v>
      </c>
      <c r="Z1841" s="108">
        <f>_xll.qlCalendarAdvance(Calendar,Y1841,0&amp;"D")</f>
        <v>52111</v>
      </c>
      <c r="AA1841" s="109">
        <v>1.34154044839363E-2</v>
      </c>
      <c r="AB1841" s="143">
        <f t="shared" si="66"/>
        <v>7.9936057773011271E-14</v>
      </c>
      <c r="AC1841" s="236" t="e">
        <v>#N/A</v>
      </c>
      <c r="AD1841" s="236">
        <v>1.3415404483856364E-2</v>
      </c>
    </row>
    <row r="1842" spans="23:30" x14ac:dyDescent="0.2">
      <c r="W1842" s="144"/>
      <c r="X1842" s="113" t="str">
        <f t="shared" si="65"/>
        <v>1w</v>
      </c>
      <c r="Y1842" s="106">
        <f>_xll.qlCalendarAdvance(Calendar,Y1841,X1842,"f",FALSE)</f>
        <v>52118</v>
      </c>
      <c r="Z1842" s="108">
        <f>_xll.qlCalendarAdvance(Calendar,Y1842,0&amp;"D")</f>
        <v>52118</v>
      </c>
      <c r="AA1842" s="109">
        <v>1.3417765487249156E-2</v>
      </c>
      <c r="AB1842" s="143">
        <f t="shared" si="66"/>
        <v>7.9936057773011271E-14</v>
      </c>
      <c r="AC1842" s="236" t="e">
        <v>#N/A</v>
      </c>
      <c r="AD1842" s="236">
        <v>1.341776548716922E-2</v>
      </c>
    </row>
    <row r="1843" spans="23:30" x14ac:dyDescent="0.2">
      <c r="W1843" s="144"/>
      <c r="X1843" s="113" t="str">
        <f t="shared" si="65"/>
        <v>1w</v>
      </c>
      <c r="Y1843" s="106">
        <f>_xll.qlCalendarAdvance(Calendar,Y1842,X1843,"f",FALSE)</f>
        <v>52125</v>
      </c>
      <c r="Z1843" s="108">
        <f>_xll.qlCalendarAdvance(Calendar,Y1843,0&amp;"D")</f>
        <v>52125</v>
      </c>
      <c r="AA1843" s="109">
        <v>1.3420141099116378E-2</v>
      </c>
      <c r="AB1843" s="143">
        <f t="shared" si="66"/>
        <v>-7.9936057773011271E-14</v>
      </c>
      <c r="AC1843" s="236" t="e">
        <v>#N/A</v>
      </c>
      <c r="AD1843" s="236">
        <v>1.3420141099196314E-2</v>
      </c>
    </row>
    <row r="1844" spans="23:30" x14ac:dyDescent="0.2">
      <c r="W1844" s="144"/>
      <c r="X1844" s="113" t="str">
        <f t="shared" si="65"/>
        <v>1w</v>
      </c>
      <c r="Y1844" s="106">
        <f>_xll.qlCalendarAdvance(Calendar,Y1843,X1844,"f",FALSE)</f>
        <v>52132</v>
      </c>
      <c r="Z1844" s="108">
        <f>_xll.qlCalendarAdvance(Calendar,Y1844,0&amp;"D")</f>
        <v>52132</v>
      </c>
      <c r="AA1844" s="109">
        <v>1.3422531319777775E-2</v>
      </c>
      <c r="AB1844" s="143">
        <f t="shared" si="66"/>
        <v>-7.9936057773011271E-14</v>
      </c>
      <c r="AC1844" s="236" t="e">
        <v>#N/A</v>
      </c>
      <c r="AD1844" s="236">
        <v>1.3422531319857711E-2</v>
      </c>
    </row>
    <row r="1845" spans="23:30" x14ac:dyDescent="0.2">
      <c r="W1845" s="144"/>
      <c r="X1845" s="113" t="str">
        <f t="shared" si="65"/>
        <v>1w</v>
      </c>
      <c r="Y1845" s="106">
        <f>_xll.qlCalendarAdvance(Calendar,Y1844,X1845,"f",FALSE)</f>
        <v>52139</v>
      </c>
      <c r="Z1845" s="108">
        <f>_xll.qlCalendarAdvance(Calendar,Y1845,0&amp;"D")</f>
        <v>52139</v>
      </c>
      <c r="AA1845" s="109">
        <v>1.3424936148913602E-2</v>
      </c>
      <c r="AB1845" s="143">
        <f t="shared" si="66"/>
        <v>-7.9936057773011271E-14</v>
      </c>
      <c r="AC1845" s="236" t="e">
        <v>#N/A</v>
      </c>
      <c r="AD1845" s="236">
        <v>1.3424936148993538E-2</v>
      </c>
    </row>
    <row r="1846" spans="23:30" x14ac:dyDescent="0.2">
      <c r="W1846" s="144"/>
      <c r="X1846" s="113" t="str">
        <f t="shared" si="65"/>
        <v>1w</v>
      </c>
      <c r="Y1846" s="106">
        <f>_xll.qlCalendarAdvance(Calendar,Y1845,X1846,"f",FALSE)</f>
        <v>52146</v>
      </c>
      <c r="Z1846" s="108">
        <f>_xll.qlCalendarAdvance(Calendar,Y1846,0&amp;"D")</f>
        <v>52146</v>
      </c>
      <c r="AA1846" s="109">
        <v>1.3427355586843603E-2</v>
      </c>
      <c r="AB1846" s="143">
        <f t="shared" si="66"/>
        <v>0</v>
      </c>
      <c r="AC1846" s="236" t="e">
        <v>#N/A</v>
      </c>
      <c r="AD1846" s="236">
        <v>1.3427355586843603E-2</v>
      </c>
    </row>
    <row r="1847" spans="23:30" x14ac:dyDescent="0.2">
      <c r="W1847" s="144"/>
      <c r="X1847" s="113" t="str">
        <f t="shared" si="65"/>
        <v>1w</v>
      </c>
      <c r="Y1847" s="106">
        <f>_xll.qlCalendarAdvance(Calendar,Y1846,X1847,"f",FALSE)</f>
        <v>52153</v>
      </c>
      <c r="Z1847" s="108">
        <f>_xll.qlCalendarAdvance(Calendar,Y1847,0&amp;"D")</f>
        <v>52153</v>
      </c>
      <c r="AA1847" s="109">
        <v>1.3429789633407907E-2</v>
      </c>
      <c r="AB1847" s="143">
        <f t="shared" si="66"/>
        <v>7.9936057773011271E-14</v>
      </c>
      <c r="AC1847" s="236" t="e">
        <v>#N/A</v>
      </c>
      <c r="AD1847" s="236">
        <v>1.3429789633327971E-2</v>
      </c>
    </row>
    <row r="1848" spans="23:30" x14ac:dyDescent="0.2">
      <c r="W1848" s="144"/>
      <c r="X1848" s="113" t="str">
        <f t="shared" si="65"/>
        <v>1w</v>
      </c>
      <c r="Y1848" s="106">
        <f>_xll.qlCalendarAdvance(Calendar,Y1847,X1848,"f",FALSE)</f>
        <v>52160</v>
      </c>
      <c r="Z1848" s="108">
        <f>_xll.qlCalendarAdvance(Calendar,Y1848,0&amp;"D")</f>
        <v>52160</v>
      </c>
      <c r="AA1848" s="109">
        <v>1.3432238288366705E-2</v>
      </c>
      <c r="AB1848" s="143">
        <f t="shared" si="66"/>
        <v>-7.9936057773011271E-14</v>
      </c>
      <c r="AC1848" s="236" t="e">
        <v>#N/A</v>
      </c>
      <c r="AD1848" s="236">
        <v>1.3432238288446641E-2</v>
      </c>
    </row>
    <row r="1849" spans="23:30" x14ac:dyDescent="0.2">
      <c r="W1849" s="144"/>
      <c r="X1849" s="113" t="str">
        <f t="shared" si="65"/>
        <v>1w</v>
      </c>
      <c r="Y1849" s="106">
        <f>_xll.qlCalendarAdvance(Calendar,Y1848,X1849,"f",FALSE)</f>
        <v>52167</v>
      </c>
      <c r="Z1849" s="108">
        <f>_xll.qlCalendarAdvance(Calendar,Y1849,0&amp;"D")</f>
        <v>52167</v>
      </c>
      <c r="AA1849" s="109">
        <v>1.3434701552199613E-2</v>
      </c>
      <c r="AB1849" s="143">
        <f t="shared" si="66"/>
        <v>0</v>
      </c>
      <c r="AC1849" s="236" t="e">
        <v>#N/A</v>
      </c>
      <c r="AD1849" s="236">
        <v>1.3434701552199613E-2</v>
      </c>
    </row>
    <row r="1850" spans="23:30" x14ac:dyDescent="0.2">
      <c r="W1850" s="144"/>
      <c r="X1850" s="113" t="str">
        <f t="shared" si="65"/>
        <v>1w</v>
      </c>
      <c r="Y1850" s="106">
        <f>_xll.qlCalendarAdvance(Calendar,Y1849,X1850,"f",FALSE)</f>
        <v>52174</v>
      </c>
      <c r="Z1850" s="108">
        <f>_xll.qlCalendarAdvance(Calendar,Y1850,0&amp;"D")</f>
        <v>52174</v>
      </c>
      <c r="AA1850" s="109">
        <v>1.3437179424666823E-2</v>
      </c>
      <c r="AB1850" s="143">
        <f t="shared" si="66"/>
        <v>0</v>
      </c>
      <c r="AC1850" s="236" t="e">
        <v>#N/A</v>
      </c>
      <c r="AD1850" s="236">
        <v>1.3437179424666823E-2</v>
      </c>
    </row>
    <row r="1851" spans="23:30" x14ac:dyDescent="0.2">
      <c r="W1851" s="144"/>
      <c r="X1851" s="113" t="str">
        <f t="shared" si="65"/>
        <v>1w</v>
      </c>
      <c r="Y1851" s="106">
        <f>_xll.qlCalendarAdvance(Calendar,Y1850,X1851,"f",FALSE)</f>
        <v>52181</v>
      </c>
      <c r="Z1851" s="108">
        <f>_xll.qlCalendarAdvance(Calendar,Y1851,0&amp;"D")</f>
        <v>52181</v>
      </c>
      <c r="AA1851" s="109">
        <v>1.34396719056884E-2</v>
      </c>
      <c r="AB1851" s="143">
        <f t="shared" si="66"/>
        <v>7.9936057773011271E-14</v>
      </c>
      <c r="AC1851" s="236" t="e">
        <v>#N/A</v>
      </c>
      <c r="AD1851" s="236">
        <v>1.3439671905608463E-2</v>
      </c>
    </row>
    <row r="1852" spans="23:30" x14ac:dyDescent="0.2">
      <c r="W1852" s="144"/>
      <c r="X1852" s="113" t="str">
        <f t="shared" si="65"/>
        <v>1w</v>
      </c>
      <c r="Y1852" s="106">
        <f>_xll.qlCalendarAdvance(Calendar,Y1851,X1852,"f",FALSE)</f>
        <v>52188</v>
      </c>
      <c r="Z1852" s="108">
        <f>_xll.qlCalendarAdvance(Calendar,Y1852,0&amp;"D")</f>
        <v>52188</v>
      </c>
      <c r="AA1852" s="109">
        <v>1.3442178995344278E-2</v>
      </c>
      <c r="AB1852" s="143">
        <f t="shared" si="66"/>
        <v>7.9936057773011271E-14</v>
      </c>
      <c r="AC1852" s="236" t="e">
        <v>#N/A</v>
      </c>
      <c r="AD1852" s="236">
        <v>1.3442178995264342E-2</v>
      </c>
    </row>
    <row r="1853" spans="23:30" x14ac:dyDescent="0.2">
      <c r="W1853" s="144"/>
      <c r="X1853" s="113" t="str">
        <f t="shared" si="65"/>
        <v>1w</v>
      </c>
      <c r="Y1853" s="106">
        <f>_xll.qlCalendarAdvance(Calendar,Y1852,X1853,"f",FALSE)</f>
        <v>52195</v>
      </c>
      <c r="Z1853" s="108">
        <f>_xll.qlCalendarAdvance(Calendar,Y1853,0&amp;"D")</f>
        <v>52195</v>
      </c>
      <c r="AA1853" s="109">
        <v>1.3444700693634459E-2</v>
      </c>
      <c r="AB1853" s="143">
        <f t="shared" si="66"/>
        <v>7.9936057773011271E-14</v>
      </c>
      <c r="AC1853" s="236" t="e">
        <v>#N/A</v>
      </c>
      <c r="AD1853" s="236">
        <v>1.3444700693554523E-2</v>
      </c>
    </row>
    <row r="1854" spans="23:30" x14ac:dyDescent="0.2">
      <c r="W1854" s="144"/>
      <c r="X1854" s="113" t="str">
        <f t="shared" si="65"/>
        <v>1w</v>
      </c>
      <c r="Y1854" s="106">
        <f>_xll.qlCalendarAdvance(Calendar,Y1853,X1854,"f",FALSE)</f>
        <v>52202</v>
      </c>
      <c r="Z1854" s="108">
        <f>_xll.qlCalendarAdvance(Calendar,Y1854,0&amp;"D")</f>
        <v>52202</v>
      </c>
      <c r="AA1854" s="109">
        <v>1.3447237000558943E-2</v>
      </c>
      <c r="AB1854" s="143">
        <f t="shared" si="66"/>
        <v>0</v>
      </c>
      <c r="AC1854" s="236" t="e">
        <v>#N/A</v>
      </c>
      <c r="AD1854" s="236">
        <v>1.3447237000558943E-2</v>
      </c>
    </row>
    <row r="1855" spans="23:30" x14ac:dyDescent="0.2">
      <c r="W1855" s="144"/>
      <c r="X1855" s="113" t="str">
        <f t="shared" si="65"/>
        <v>1w</v>
      </c>
      <c r="Y1855" s="106">
        <f>_xll.qlCalendarAdvance(Calendar,Y1854,X1855,"f",FALSE)</f>
        <v>52209</v>
      </c>
      <c r="Z1855" s="108">
        <f>_xll.qlCalendarAdvance(Calendar,Y1855,0&amp;"D")</f>
        <v>52209</v>
      </c>
      <c r="AA1855" s="109">
        <v>1.3449787916197664E-2</v>
      </c>
      <c r="AB1855" s="143">
        <f t="shared" si="66"/>
        <v>7.9936057773011271E-14</v>
      </c>
      <c r="AC1855" s="236" t="e">
        <v>#N/A</v>
      </c>
      <c r="AD1855" s="236">
        <v>1.3449787916117728E-2</v>
      </c>
    </row>
    <row r="1856" spans="23:30" x14ac:dyDescent="0.2">
      <c r="W1856" s="144"/>
      <c r="X1856" s="113" t="str">
        <f t="shared" si="65"/>
        <v>1w</v>
      </c>
      <c r="Y1856" s="106">
        <f>_xll.qlCalendarAdvance(Calendar,Y1855,X1856,"f",FALSE)</f>
        <v>52216</v>
      </c>
      <c r="Z1856" s="108">
        <f>_xll.qlCalendarAdvance(Calendar,Y1856,0&amp;"D")</f>
        <v>52216</v>
      </c>
      <c r="AA1856" s="109">
        <v>1.3452353440310816E-2</v>
      </c>
      <c r="AB1856" s="143">
        <f t="shared" si="66"/>
        <v>0</v>
      </c>
      <c r="AC1856" s="236" t="e">
        <v>#N/A</v>
      </c>
      <c r="AD1856" s="236">
        <v>1.3452353440310816E-2</v>
      </c>
    </row>
    <row r="1857" spans="23:30" x14ac:dyDescent="0.2">
      <c r="W1857" s="144"/>
      <c r="X1857" s="113" t="str">
        <f t="shared" si="65"/>
        <v>1w</v>
      </c>
      <c r="Y1857" s="106">
        <f>_xll.qlCalendarAdvance(Calendar,Y1856,X1857,"f",FALSE)</f>
        <v>52223</v>
      </c>
      <c r="Z1857" s="108">
        <f>_xll.qlCalendarAdvance(Calendar,Y1857,0&amp;"D")</f>
        <v>52223</v>
      </c>
      <c r="AA1857" s="109">
        <v>1.3454933573138206E-2</v>
      </c>
      <c r="AB1857" s="143">
        <f t="shared" si="66"/>
        <v>-7.9936057773011271E-14</v>
      </c>
      <c r="AC1857" s="236" t="e">
        <v>#N/A</v>
      </c>
      <c r="AD1857" s="236">
        <v>1.3454933573218142E-2</v>
      </c>
    </row>
    <row r="1858" spans="23:30" x14ac:dyDescent="0.2">
      <c r="W1858" s="144"/>
      <c r="X1858" s="113" t="str">
        <f t="shared" si="65"/>
        <v>1w</v>
      </c>
      <c r="Y1858" s="106">
        <f>_xll.qlCalendarAdvance(Calendar,Y1857,X1858,"f",FALSE)</f>
        <v>52230</v>
      </c>
      <c r="Z1858" s="108">
        <f>_xll.qlCalendarAdvance(Calendar,Y1858,0&amp;"D")</f>
        <v>52230</v>
      </c>
      <c r="AA1858" s="109">
        <v>1.3457528314679834E-2</v>
      </c>
      <c r="AB1858" s="143">
        <f t="shared" si="66"/>
        <v>7.9936057773011271E-14</v>
      </c>
      <c r="AC1858" s="236" t="e">
        <v>#N/A</v>
      </c>
      <c r="AD1858" s="236">
        <v>1.3457528314599898E-2</v>
      </c>
    </row>
    <row r="1859" spans="23:30" x14ac:dyDescent="0.2">
      <c r="W1859" s="144"/>
      <c r="X1859" s="113" t="str">
        <f t="shared" si="65"/>
        <v>1w</v>
      </c>
      <c r="Y1859" s="106">
        <f>_xll.qlCalendarAdvance(Calendar,Y1858,X1859,"f",FALSE)</f>
        <v>52237</v>
      </c>
      <c r="Z1859" s="108">
        <f>_xll.qlCalendarAdvance(Calendar,Y1859,0&amp;"D")</f>
        <v>52237</v>
      </c>
      <c r="AA1859" s="109">
        <v>1.3460137664695893E-2</v>
      </c>
      <c r="AB1859" s="143">
        <f t="shared" si="66"/>
        <v>0</v>
      </c>
      <c r="AC1859" s="236" t="e">
        <v>#N/A</v>
      </c>
      <c r="AD1859" s="236">
        <v>1.3460137664695893E-2</v>
      </c>
    </row>
    <row r="1860" spans="23:30" x14ac:dyDescent="0.2">
      <c r="W1860" s="144"/>
      <c r="X1860" s="113" t="str">
        <f t="shared" si="65"/>
        <v>1w</v>
      </c>
      <c r="Y1860" s="106">
        <f>_xll.qlCalendarAdvance(Calendar,Y1859,X1860,"f",FALSE)</f>
        <v>52244</v>
      </c>
      <c r="Z1860" s="108">
        <f>_xll.qlCalendarAdvance(Calendar,Y1860,0&amp;"D")</f>
        <v>52244</v>
      </c>
      <c r="AA1860" s="109">
        <v>1.3462761623506125E-2</v>
      </c>
      <c r="AB1860" s="143">
        <f t="shared" si="66"/>
        <v>0</v>
      </c>
      <c r="AC1860" s="236" t="e">
        <v>#N/A</v>
      </c>
      <c r="AD1860" s="236">
        <v>1.3462761623506125E-2</v>
      </c>
    </row>
    <row r="1861" spans="23:30" x14ac:dyDescent="0.2">
      <c r="W1861" s="144"/>
      <c r="X1861" s="113" t="str">
        <f t="shared" si="65"/>
        <v>1w</v>
      </c>
      <c r="Y1861" s="106">
        <f>_xll.qlCalendarAdvance(Calendar,Y1860,X1861,"f",FALSE)</f>
        <v>52251</v>
      </c>
      <c r="Z1861" s="108">
        <f>_xll.qlCalendarAdvance(Calendar,Y1861,0&amp;"D")</f>
        <v>52251</v>
      </c>
      <c r="AA1861" s="109">
        <v>1.346540019095066E-2</v>
      </c>
      <c r="AB1861" s="143">
        <f t="shared" si="66"/>
        <v>7.9936057773011271E-14</v>
      </c>
      <c r="AC1861" s="236" t="e">
        <v>#N/A</v>
      </c>
      <c r="AD1861" s="236">
        <v>1.3465400190870724E-2</v>
      </c>
    </row>
    <row r="1862" spans="23:30" x14ac:dyDescent="0.2">
      <c r="W1862" s="144"/>
      <c r="X1862" s="113" t="str">
        <f t="shared" si="65"/>
        <v>1w</v>
      </c>
      <c r="Y1862" s="106">
        <f>_xll.qlCalendarAdvance(Calendar,Y1861,X1862,"f",FALSE)</f>
        <v>52258</v>
      </c>
      <c r="Z1862" s="108">
        <f>_xll.qlCalendarAdvance(Calendar,Y1862,0&amp;"D")</f>
        <v>52258</v>
      </c>
      <c r="AA1862" s="109">
        <v>1.3468053366949562E-2</v>
      </c>
      <c r="AB1862" s="143">
        <f t="shared" si="66"/>
        <v>7.9936057773011271E-14</v>
      </c>
      <c r="AC1862" s="236" t="e">
        <v>#N/A</v>
      </c>
      <c r="AD1862" s="236">
        <v>1.3468053366869626E-2</v>
      </c>
    </row>
    <row r="1863" spans="23:30" x14ac:dyDescent="0.2">
      <c r="W1863" s="144"/>
      <c r="X1863" s="113" t="str">
        <f t="shared" si="65"/>
        <v>1w</v>
      </c>
      <c r="Y1863" s="106">
        <f>_xll.qlCalendarAdvance(Calendar,Y1862,X1863,"f",FALSE)</f>
        <v>52265</v>
      </c>
      <c r="Z1863" s="108">
        <f>_xll.qlCalendarAdvance(Calendar,Y1863,0&amp;"D")</f>
        <v>52265</v>
      </c>
      <c r="AA1863" s="109">
        <v>1.3470721151582765E-2</v>
      </c>
      <c r="AB1863" s="143">
        <f t="shared" si="66"/>
        <v>0</v>
      </c>
      <c r="AC1863" s="236" t="e">
        <v>#N/A</v>
      </c>
      <c r="AD1863" s="236">
        <v>1.3470721151582765E-2</v>
      </c>
    </row>
    <row r="1864" spans="23:30" x14ac:dyDescent="0.2">
      <c r="W1864" s="144"/>
      <c r="X1864" s="113" t="str">
        <f t="shared" si="65"/>
        <v>1w</v>
      </c>
      <c r="Y1864" s="106">
        <f>_xll.qlCalendarAdvance(Calendar,Y1863,X1864,"f",FALSE)</f>
        <v>52272</v>
      </c>
      <c r="Z1864" s="108">
        <f>_xll.qlCalendarAdvance(Calendar,Y1864,0&amp;"D")</f>
        <v>52272</v>
      </c>
      <c r="AA1864" s="109">
        <v>1.3473403545010143E-2</v>
      </c>
      <c r="AB1864" s="143">
        <f t="shared" si="66"/>
        <v>1.5987211554602254E-13</v>
      </c>
      <c r="AC1864" s="236" t="e">
        <v>#N/A</v>
      </c>
      <c r="AD1864" s="236">
        <v>1.3473403544850271E-2</v>
      </c>
    </row>
    <row r="1865" spans="23:30" x14ac:dyDescent="0.2">
      <c r="W1865" s="144"/>
      <c r="X1865" s="113" t="str">
        <f t="shared" si="65"/>
        <v>1w</v>
      </c>
      <c r="Y1865" s="106">
        <f>_xll.qlCalendarAdvance(Calendar,Y1864,X1865,"f",FALSE)</f>
        <v>52279</v>
      </c>
      <c r="Z1865" s="108">
        <f>_xll.qlCalendarAdvance(Calendar,Y1865,0&amp;"D")</f>
        <v>52279</v>
      </c>
      <c r="AA1865" s="109">
        <v>1.3476100546832015E-2</v>
      </c>
      <c r="AB1865" s="143">
        <f t="shared" si="66"/>
        <v>0</v>
      </c>
      <c r="AC1865" s="236" t="e">
        <v>#N/A</v>
      </c>
      <c r="AD1865" s="236">
        <v>1.3476100546832015E-2</v>
      </c>
    </row>
    <row r="1866" spans="23:30" x14ac:dyDescent="0.2">
      <c r="W1866" s="144"/>
      <c r="X1866" s="113" t="str">
        <f t="shared" si="65"/>
        <v>1w</v>
      </c>
      <c r="Y1866" s="106">
        <f>_xll.qlCalendarAdvance(Calendar,Y1865,X1866,"f",FALSE)</f>
        <v>52286</v>
      </c>
      <c r="Z1866" s="108">
        <f>_xll.qlCalendarAdvance(Calendar,Y1866,0&amp;"D")</f>
        <v>52286</v>
      </c>
      <c r="AA1866" s="109">
        <v>1.3478812157368125E-2</v>
      </c>
      <c r="AB1866" s="143">
        <f t="shared" si="66"/>
        <v>0</v>
      </c>
      <c r="AC1866" s="236" t="e">
        <v>#N/A</v>
      </c>
      <c r="AD1866" s="236">
        <v>1.3478812157368125E-2</v>
      </c>
    </row>
    <row r="1867" spans="23:30" x14ac:dyDescent="0.2">
      <c r="W1867" s="144"/>
      <c r="X1867" s="113" t="str">
        <f t="shared" si="65"/>
        <v>1w</v>
      </c>
      <c r="Y1867" s="106">
        <f>_xll.qlCalendarAdvance(Calendar,Y1866,X1867,"f",FALSE)</f>
        <v>52293</v>
      </c>
      <c r="Z1867" s="108">
        <f>_xll.qlCalendarAdvance(Calendar,Y1867,0&amp;"D")</f>
        <v>52293</v>
      </c>
      <c r="AA1867" s="109">
        <v>1.348153837669841E-2</v>
      </c>
      <c r="AB1867" s="143">
        <f t="shared" si="66"/>
        <v>0</v>
      </c>
      <c r="AC1867" s="236" t="e">
        <v>#N/A</v>
      </c>
      <c r="AD1867" s="236">
        <v>1.348153837669841E-2</v>
      </c>
    </row>
    <row r="1868" spans="23:30" x14ac:dyDescent="0.2">
      <c r="W1868" s="144"/>
      <c r="X1868" s="113" t="str">
        <f t="shared" si="65"/>
        <v>1w</v>
      </c>
      <c r="Y1868" s="106">
        <f>_xll.qlCalendarAdvance(Calendar,Y1867,X1868,"f",FALSE)</f>
        <v>52300</v>
      </c>
      <c r="Z1868" s="108">
        <f>_xll.qlCalendarAdvance(Calendar,Y1868,0&amp;"D")</f>
        <v>52300</v>
      </c>
      <c r="AA1868" s="109">
        <v>1.3484279204423189E-2</v>
      </c>
      <c r="AB1868" s="143">
        <f t="shared" si="66"/>
        <v>-7.9936057773011271E-14</v>
      </c>
      <c r="AC1868" s="236" t="e">
        <v>#N/A</v>
      </c>
      <c r="AD1868" s="236">
        <v>1.3484279204503125E-2</v>
      </c>
    </row>
    <row r="1869" spans="23:30" x14ac:dyDescent="0.2">
      <c r="W1869" s="144"/>
      <c r="X1869" s="113" t="str">
        <f t="shared" ref="X1869:X1932" si="67">X1868</f>
        <v>1w</v>
      </c>
      <c r="Y1869" s="106">
        <f>_xll.qlCalendarAdvance(Calendar,Y1868,X1869,"f",FALSE)</f>
        <v>52307</v>
      </c>
      <c r="Z1869" s="108">
        <f>_xll.qlCalendarAdvance(Calendar,Y1869,0&amp;"D")</f>
        <v>52307</v>
      </c>
      <c r="AA1869" s="109">
        <v>1.3487034640942142E-2</v>
      </c>
      <c r="AB1869" s="143">
        <f t="shared" si="66"/>
        <v>0</v>
      </c>
      <c r="AC1869" s="236" t="e">
        <v>#N/A</v>
      </c>
      <c r="AD1869" s="236">
        <v>1.3487034640942142E-2</v>
      </c>
    </row>
    <row r="1870" spans="23:30" x14ac:dyDescent="0.2">
      <c r="W1870" s="144"/>
      <c r="X1870" s="113" t="str">
        <f t="shared" si="67"/>
        <v>1w</v>
      </c>
      <c r="Y1870" s="106">
        <f>_xll.qlCalendarAdvance(Calendar,Y1869,X1870,"f",FALSE)</f>
        <v>52314</v>
      </c>
      <c r="Z1870" s="108">
        <f>_xll.qlCalendarAdvance(Calendar,Y1870,0&amp;"D")</f>
        <v>52314</v>
      </c>
      <c r="AA1870" s="109">
        <v>1.3489804686095397E-2</v>
      </c>
      <c r="AB1870" s="143">
        <f t="shared" si="66"/>
        <v>0</v>
      </c>
      <c r="AC1870" s="236" t="e">
        <v>#N/A</v>
      </c>
      <c r="AD1870" s="236">
        <v>1.3489804686095397E-2</v>
      </c>
    </row>
    <row r="1871" spans="23:30" x14ac:dyDescent="0.2">
      <c r="W1871" s="144"/>
      <c r="X1871" s="113" t="str">
        <f t="shared" si="67"/>
        <v>1w</v>
      </c>
      <c r="Y1871" s="106">
        <f>_xll.qlCalendarAdvance(Calendar,Y1870,X1871,"f",FALSE)</f>
        <v>52321</v>
      </c>
      <c r="Z1871" s="108">
        <f>_xll.qlCalendarAdvance(Calendar,Y1871,0&amp;"D")</f>
        <v>52321</v>
      </c>
      <c r="AA1871" s="109">
        <v>1.3492589339882954E-2</v>
      </c>
      <c r="AB1871" s="143">
        <f t="shared" si="66"/>
        <v>0</v>
      </c>
      <c r="AC1871" s="236" t="e">
        <v>#N/A</v>
      </c>
      <c r="AD1871" s="236">
        <v>1.3492589339882954E-2</v>
      </c>
    </row>
    <row r="1872" spans="23:30" x14ac:dyDescent="0.2">
      <c r="W1872" s="144"/>
      <c r="X1872" s="113" t="str">
        <f t="shared" si="67"/>
        <v>1w</v>
      </c>
      <c r="Y1872" s="106">
        <f>_xll.qlCalendarAdvance(Calendar,Y1871,X1872,"f",FALSE)</f>
        <v>52328</v>
      </c>
      <c r="Z1872" s="108">
        <f>_xll.qlCalendarAdvance(Calendar,Y1872,0&amp;"D")</f>
        <v>52328</v>
      </c>
      <c r="AA1872" s="109">
        <v>1.349538860238475E-2</v>
      </c>
      <c r="AB1872" s="143">
        <f t="shared" si="66"/>
        <v>0</v>
      </c>
      <c r="AC1872" s="236" t="e">
        <v>#N/A</v>
      </c>
      <c r="AD1872" s="236">
        <v>1.349538860238475E-2</v>
      </c>
    </row>
    <row r="1873" spans="23:30" x14ac:dyDescent="0.2">
      <c r="W1873" s="144"/>
      <c r="X1873" s="113" t="str">
        <f t="shared" si="67"/>
        <v>1w</v>
      </c>
      <c r="Y1873" s="106">
        <f>_xll.qlCalendarAdvance(Calendar,Y1872,X1873,"f",FALSE)</f>
        <v>52335</v>
      </c>
      <c r="Z1873" s="108">
        <f>_xll.qlCalendarAdvance(Calendar,Y1873,0&amp;"D")</f>
        <v>52335</v>
      </c>
      <c r="AA1873" s="109">
        <v>1.3498202473440912E-2</v>
      </c>
      <c r="AB1873" s="143">
        <f t="shared" si="66"/>
        <v>0</v>
      </c>
      <c r="AC1873" s="236" t="e">
        <v>#N/A</v>
      </c>
      <c r="AD1873" s="236">
        <v>1.3498202473440912E-2</v>
      </c>
    </row>
    <row r="1874" spans="23:30" x14ac:dyDescent="0.2">
      <c r="W1874" s="144"/>
      <c r="X1874" s="113" t="str">
        <f t="shared" si="67"/>
        <v>1w</v>
      </c>
      <c r="Y1874" s="106">
        <f>_xll.qlCalendarAdvance(Calendar,Y1873,X1874,"f",FALSE)</f>
        <v>52342</v>
      </c>
      <c r="Z1874" s="108">
        <f>_xll.qlCalendarAdvance(Calendar,Y1874,0&amp;"D")</f>
        <v>52342</v>
      </c>
      <c r="AA1874" s="109">
        <v>1.3501030953131377E-2</v>
      </c>
      <c r="AB1874" s="143">
        <f t="shared" si="66"/>
        <v>0</v>
      </c>
      <c r="AC1874" s="236" t="e">
        <v>#N/A</v>
      </c>
      <c r="AD1874" s="236">
        <v>1.3501030953131377E-2</v>
      </c>
    </row>
    <row r="1875" spans="23:30" x14ac:dyDescent="0.2">
      <c r="W1875" s="144"/>
      <c r="X1875" s="113" t="str">
        <f t="shared" si="67"/>
        <v>1w</v>
      </c>
      <c r="Y1875" s="106">
        <f>_xll.qlCalendarAdvance(Calendar,Y1874,X1875,"f",FALSE)</f>
        <v>52349</v>
      </c>
      <c r="Z1875" s="108">
        <f>_xll.qlCalendarAdvance(Calendar,Y1875,0&amp;"D")</f>
        <v>52349</v>
      </c>
      <c r="AA1875" s="109">
        <v>1.3503874041536079E-2</v>
      </c>
      <c r="AB1875" s="143">
        <f t="shared" si="66"/>
        <v>0</v>
      </c>
      <c r="AC1875" s="236" t="e">
        <v>#N/A</v>
      </c>
      <c r="AD1875" s="236">
        <v>1.3503874041536079E-2</v>
      </c>
    </row>
    <row r="1876" spans="23:30" x14ac:dyDescent="0.2">
      <c r="W1876" s="144"/>
      <c r="X1876" s="113" t="str">
        <f t="shared" si="67"/>
        <v>1w</v>
      </c>
      <c r="Y1876" s="106">
        <f>_xll.qlCalendarAdvance(Calendar,Y1875,X1876,"f",FALSE)</f>
        <v>52356</v>
      </c>
      <c r="Z1876" s="108">
        <f>_xll.qlCalendarAdvance(Calendar,Y1876,0&amp;"D")</f>
        <v>52356</v>
      </c>
      <c r="AA1876" s="109">
        <v>1.3506731738575084E-2</v>
      </c>
      <c r="AB1876" s="143">
        <f t="shared" si="66"/>
        <v>7.9936057773011271E-14</v>
      </c>
      <c r="AC1876" s="236" t="e">
        <v>#N/A</v>
      </c>
      <c r="AD1876" s="236">
        <v>1.3506731738495148E-2</v>
      </c>
    </row>
    <row r="1877" spans="23:30" x14ac:dyDescent="0.2">
      <c r="W1877" s="144"/>
      <c r="X1877" s="113" t="str">
        <f t="shared" si="67"/>
        <v>1w</v>
      </c>
      <c r="Y1877" s="106">
        <f>_xll.qlCalendarAdvance(Calendar,Y1876,X1877,"f",FALSE)</f>
        <v>52363</v>
      </c>
      <c r="Z1877" s="108">
        <f>_xll.qlCalendarAdvance(Calendar,Y1877,0&amp;"D")</f>
        <v>52363</v>
      </c>
      <c r="AA1877" s="109">
        <v>1.3509604044088519E-2</v>
      </c>
      <c r="AB1877" s="143">
        <f t="shared" ref="AB1877:AB1940" si="68">AA1877-AD1877</f>
        <v>0</v>
      </c>
      <c r="AC1877" s="236" t="e">
        <v>#N/A</v>
      </c>
      <c r="AD1877" s="236">
        <v>1.3509604044088519E-2</v>
      </c>
    </row>
    <row r="1878" spans="23:30" x14ac:dyDescent="0.2">
      <c r="W1878" s="144"/>
      <c r="X1878" s="113" t="str">
        <f t="shared" si="67"/>
        <v>1w</v>
      </c>
      <c r="Y1878" s="106">
        <f>_xll.qlCalendarAdvance(Calendar,Y1877,X1878,"f",FALSE)</f>
        <v>52370</v>
      </c>
      <c r="Z1878" s="108">
        <f>_xll.qlCalendarAdvance(Calendar,Y1878,0&amp;"D")</f>
        <v>52370</v>
      </c>
      <c r="AA1878" s="109">
        <v>1.3512490958316192E-2</v>
      </c>
      <c r="AB1878" s="143">
        <f t="shared" si="68"/>
        <v>-7.9936057773011271E-14</v>
      </c>
      <c r="AC1878" s="236" t="e">
        <v>#N/A</v>
      </c>
      <c r="AD1878" s="236">
        <v>1.3512490958396128E-2</v>
      </c>
    </row>
    <row r="1879" spans="23:30" x14ac:dyDescent="0.2">
      <c r="W1879" s="144"/>
      <c r="X1879" s="113" t="str">
        <f t="shared" si="67"/>
        <v>1w</v>
      </c>
      <c r="Y1879" s="106">
        <f>_xll.qlCalendarAdvance(Calendar,Y1878,X1879,"f",FALSE)</f>
        <v>52377</v>
      </c>
      <c r="Z1879" s="108">
        <f>_xll.qlCalendarAdvance(Calendar,Y1879,0&amp;"D")</f>
        <v>52377</v>
      </c>
      <c r="AA1879" s="109">
        <v>1.351539248133804E-2</v>
      </c>
      <c r="AB1879" s="143">
        <f t="shared" si="68"/>
        <v>0</v>
      </c>
      <c r="AC1879" s="236" t="e">
        <v>#N/A</v>
      </c>
      <c r="AD1879" s="236">
        <v>1.351539248133804E-2</v>
      </c>
    </row>
    <row r="1880" spans="23:30" x14ac:dyDescent="0.2">
      <c r="W1880" s="144"/>
      <c r="X1880" s="113" t="str">
        <f t="shared" si="67"/>
        <v>1w</v>
      </c>
      <c r="Y1880" s="106">
        <f>_xll.qlCalendarAdvance(Calendar,Y1879,X1880,"f",FALSE)</f>
        <v>52384</v>
      </c>
      <c r="Z1880" s="108">
        <f>_xll.qlCalendarAdvance(Calendar,Y1880,0&amp;"D")</f>
        <v>52384</v>
      </c>
      <c r="AA1880" s="109">
        <v>1.3518308612914254E-2</v>
      </c>
      <c r="AB1880" s="143">
        <f t="shared" si="68"/>
        <v>-7.9936057773011271E-14</v>
      </c>
      <c r="AC1880" s="236" t="e">
        <v>#N/A</v>
      </c>
      <c r="AD1880" s="236">
        <v>1.351830861299419E-2</v>
      </c>
    </row>
    <row r="1881" spans="23:30" x14ac:dyDescent="0.2">
      <c r="W1881" s="144"/>
      <c r="X1881" s="113" t="str">
        <f t="shared" si="67"/>
        <v>1w</v>
      </c>
      <c r="Y1881" s="106">
        <f>_xll.qlCalendarAdvance(Calendar,Y1880,X1881,"f",FALSE)</f>
        <v>52391</v>
      </c>
      <c r="Z1881" s="108">
        <f>_xll.qlCalendarAdvance(Calendar,Y1881,0&amp;"D")</f>
        <v>52391</v>
      </c>
      <c r="AA1881" s="109">
        <v>1.352123935312477E-2</v>
      </c>
      <c r="AB1881" s="143">
        <f t="shared" si="68"/>
        <v>-7.9936057773011271E-14</v>
      </c>
      <c r="AC1881" s="236" t="e">
        <v>#N/A</v>
      </c>
      <c r="AD1881" s="236">
        <v>1.3521239353204706E-2</v>
      </c>
    </row>
    <row r="1882" spans="23:30" x14ac:dyDescent="0.2">
      <c r="W1882" s="144"/>
      <c r="X1882" s="113" t="str">
        <f t="shared" si="67"/>
        <v>1w</v>
      </c>
      <c r="Y1882" s="106">
        <f>_xll.qlCalendarAdvance(Calendar,Y1881,X1882,"f",FALSE)</f>
        <v>52398</v>
      </c>
      <c r="Z1882" s="108">
        <f>_xll.qlCalendarAdvance(Calendar,Y1882,0&amp;"D")</f>
        <v>52398</v>
      </c>
      <c r="AA1882" s="109">
        <v>1.3524184702049524E-2</v>
      </c>
      <c r="AB1882" s="143">
        <f t="shared" si="68"/>
        <v>7.9936057773011271E-14</v>
      </c>
      <c r="AC1882" s="236" t="e">
        <v>#N/A</v>
      </c>
      <c r="AD1882" s="236">
        <v>1.3524184701969588E-2</v>
      </c>
    </row>
    <row r="1883" spans="23:30" x14ac:dyDescent="0.2">
      <c r="W1883" s="144"/>
      <c r="X1883" s="113" t="str">
        <f t="shared" si="67"/>
        <v>1w</v>
      </c>
      <c r="Y1883" s="106">
        <f>_xll.qlCalendarAdvance(Calendar,Y1882,X1883,"f",FALSE)</f>
        <v>52405</v>
      </c>
      <c r="Z1883" s="108">
        <f>_xll.qlCalendarAdvance(Calendar,Y1883,0&amp;"D")</f>
        <v>52405</v>
      </c>
      <c r="AA1883" s="109">
        <v>1.3527144659608581E-2</v>
      </c>
      <c r="AB1883" s="143">
        <f t="shared" si="68"/>
        <v>0</v>
      </c>
      <c r="AC1883" s="236" t="e">
        <v>#N/A</v>
      </c>
      <c r="AD1883" s="236">
        <v>1.3527144659608581E-2</v>
      </c>
    </row>
    <row r="1884" spans="23:30" x14ac:dyDescent="0.2">
      <c r="W1884" s="144"/>
      <c r="X1884" s="113" t="str">
        <f t="shared" si="67"/>
        <v>1w</v>
      </c>
      <c r="Y1884" s="106">
        <f>_xll.qlCalendarAdvance(Calendar,Y1883,X1884,"f",FALSE)</f>
        <v>52412</v>
      </c>
      <c r="Z1884" s="108">
        <f>_xll.qlCalendarAdvance(Calendar,Y1884,0&amp;"D")</f>
        <v>52412</v>
      </c>
      <c r="AA1884" s="109">
        <v>1.3530119225642068E-2</v>
      </c>
      <c r="AB1884" s="143">
        <f t="shared" si="68"/>
        <v>7.9936057773011271E-14</v>
      </c>
      <c r="AC1884" s="236" t="e">
        <v>#N/A</v>
      </c>
      <c r="AD1884" s="236">
        <v>1.3530119225562132E-2</v>
      </c>
    </row>
    <row r="1885" spans="23:30" x14ac:dyDescent="0.2">
      <c r="W1885" s="144"/>
      <c r="X1885" s="113" t="str">
        <f t="shared" si="67"/>
        <v>1w</v>
      </c>
      <c r="Y1885" s="106">
        <f>_xll.qlCalendarAdvance(Calendar,Y1884,X1885,"f",FALSE)</f>
        <v>52419</v>
      </c>
      <c r="Z1885" s="108">
        <f>_xll.qlCalendarAdvance(Calendar,Y1885,0&amp;"D")</f>
        <v>52419</v>
      </c>
      <c r="AA1885" s="109">
        <v>1.3533108400469729E-2</v>
      </c>
      <c r="AB1885" s="143">
        <f t="shared" si="68"/>
        <v>0</v>
      </c>
      <c r="AC1885" s="236" t="e">
        <v>#N/A</v>
      </c>
      <c r="AD1885" s="236">
        <v>1.3533108400469729E-2</v>
      </c>
    </row>
    <row r="1886" spans="23:30" x14ac:dyDescent="0.2">
      <c r="W1886" s="144"/>
      <c r="X1886" s="113" t="str">
        <f t="shared" si="67"/>
        <v>1w</v>
      </c>
      <c r="Y1886" s="106">
        <f>_xll.qlCalendarAdvance(Calendar,Y1885,X1886,"f",FALSE)</f>
        <v>52426</v>
      </c>
      <c r="Z1886" s="108">
        <f>_xll.qlCalendarAdvance(Calendar,Y1886,0&amp;"D")</f>
        <v>52426</v>
      </c>
      <c r="AA1886" s="109">
        <v>1.3536112183851756E-2</v>
      </c>
      <c r="AB1886" s="143">
        <f t="shared" si="68"/>
        <v>0</v>
      </c>
      <c r="AC1886" s="236" t="e">
        <v>#N/A</v>
      </c>
      <c r="AD1886" s="236">
        <v>1.3536112183851756E-2</v>
      </c>
    </row>
    <row r="1887" spans="23:30" x14ac:dyDescent="0.2">
      <c r="W1887" s="144"/>
      <c r="X1887" s="113" t="str">
        <f t="shared" si="67"/>
        <v>1w</v>
      </c>
      <c r="Y1887" s="106">
        <f>_xll.qlCalendarAdvance(Calendar,Y1886,X1887,"f",FALSE)</f>
        <v>52433</v>
      </c>
      <c r="Z1887" s="108">
        <f>_xll.qlCalendarAdvance(Calendar,Y1887,0&amp;"D")</f>
        <v>52433</v>
      </c>
      <c r="AA1887" s="109">
        <v>1.3539130576027958E-2</v>
      </c>
      <c r="AB1887" s="143">
        <f t="shared" si="68"/>
        <v>0</v>
      </c>
      <c r="AC1887" s="236" t="e">
        <v>#N/A</v>
      </c>
      <c r="AD1887" s="236">
        <v>1.3539130576027958E-2</v>
      </c>
    </row>
    <row r="1888" spans="23:30" x14ac:dyDescent="0.2">
      <c r="W1888" s="144"/>
      <c r="X1888" s="113" t="str">
        <f t="shared" si="67"/>
        <v>1w</v>
      </c>
      <c r="Y1888" s="106">
        <f>_xll.qlCalendarAdvance(Calendar,Y1887,X1888,"f",FALSE)</f>
        <v>52440</v>
      </c>
      <c r="Z1888" s="108">
        <f>_xll.qlCalendarAdvance(Calendar,Y1888,0&amp;"D")</f>
        <v>52440</v>
      </c>
      <c r="AA1888" s="109">
        <v>1.3542163576758526E-2</v>
      </c>
      <c r="AB1888" s="143">
        <f t="shared" si="68"/>
        <v>7.9936057773011271E-14</v>
      </c>
      <c r="AC1888" s="236" t="e">
        <v>#N/A</v>
      </c>
      <c r="AD1888" s="236">
        <v>1.354216357667859E-2</v>
      </c>
    </row>
    <row r="1889" spans="23:30" x14ac:dyDescent="0.2">
      <c r="W1889" s="144"/>
      <c r="X1889" s="113" t="str">
        <f t="shared" si="67"/>
        <v>1w</v>
      </c>
      <c r="Y1889" s="106">
        <f>_xll.qlCalendarAdvance(Calendar,Y1888,X1889,"f",FALSE)</f>
        <v>52447</v>
      </c>
      <c r="Z1889" s="108">
        <f>_xll.qlCalendarAdvance(Calendar,Y1889,0&amp;"D")</f>
        <v>52447</v>
      </c>
      <c r="AA1889" s="109">
        <v>1.354521118604346E-2</v>
      </c>
      <c r="AB1889" s="143">
        <f t="shared" si="68"/>
        <v>-7.9936057773011271E-14</v>
      </c>
      <c r="AC1889" s="236" t="e">
        <v>#N/A</v>
      </c>
      <c r="AD1889" s="236">
        <v>1.3545211186123396E-2</v>
      </c>
    </row>
    <row r="1890" spans="23:30" x14ac:dyDescent="0.2">
      <c r="W1890" s="144"/>
      <c r="X1890" s="113" t="str">
        <f t="shared" si="67"/>
        <v>1w</v>
      </c>
      <c r="Y1890" s="106">
        <f>_xll.qlCalendarAdvance(Calendar,Y1889,X1890,"f",FALSE)</f>
        <v>52454</v>
      </c>
      <c r="Z1890" s="108">
        <f>_xll.qlCalendarAdvance(Calendar,Y1890,0&amp;"D")</f>
        <v>52454</v>
      </c>
      <c r="AA1890" s="109">
        <v>1.3548273404122568E-2</v>
      </c>
      <c r="AB1890" s="143">
        <f t="shared" si="68"/>
        <v>0</v>
      </c>
      <c r="AC1890" s="236" t="e">
        <v>#N/A</v>
      </c>
      <c r="AD1890" s="236">
        <v>1.3548273404122568E-2</v>
      </c>
    </row>
    <row r="1891" spans="23:30" x14ac:dyDescent="0.2">
      <c r="W1891" s="144"/>
      <c r="X1891" s="113" t="str">
        <f t="shared" si="67"/>
        <v>1w</v>
      </c>
      <c r="Y1891" s="106">
        <f>_xll.qlCalendarAdvance(Calendar,Y1890,X1891,"f",FALSE)</f>
        <v>52461</v>
      </c>
      <c r="Z1891" s="108">
        <f>_xll.qlCalendarAdvance(Calendar,Y1891,0&amp;"D")</f>
        <v>52461</v>
      </c>
      <c r="AA1891" s="109">
        <v>1.3551350230756043E-2</v>
      </c>
      <c r="AB1891" s="143">
        <f t="shared" si="68"/>
        <v>-7.9936057773011271E-14</v>
      </c>
      <c r="AC1891" s="236" t="e">
        <v>#N/A</v>
      </c>
      <c r="AD1891" s="236">
        <v>1.3551350230835979E-2</v>
      </c>
    </row>
    <row r="1892" spans="23:30" x14ac:dyDescent="0.2">
      <c r="W1892" s="144"/>
      <c r="X1892" s="113" t="str">
        <f t="shared" si="67"/>
        <v>1w</v>
      </c>
      <c r="Y1892" s="106">
        <f>_xll.qlCalendarAdvance(Calendar,Y1891,X1892,"f",FALSE)</f>
        <v>52468</v>
      </c>
      <c r="Z1892" s="108">
        <f>_xll.qlCalendarAdvance(Calendar,Y1892,0&amp;"D")</f>
        <v>52468</v>
      </c>
      <c r="AA1892" s="109">
        <v>1.3554441666183692E-2</v>
      </c>
      <c r="AB1892" s="143">
        <f t="shared" si="68"/>
        <v>0</v>
      </c>
      <c r="AC1892" s="236" t="e">
        <v>#N/A</v>
      </c>
      <c r="AD1892" s="236">
        <v>1.3554441666183692E-2</v>
      </c>
    </row>
    <row r="1893" spans="23:30" x14ac:dyDescent="0.2">
      <c r="W1893" s="144"/>
      <c r="X1893" s="113" t="str">
        <f t="shared" si="67"/>
        <v>1w</v>
      </c>
      <c r="Y1893" s="106">
        <f>_xll.qlCalendarAdvance(Calendar,Y1892,X1893,"f",FALSE)</f>
        <v>52475</v>
      </c>
      <c r="Z1893" s="108">
        <f>_xll.qlCalendarAdvance(Calendar,Y1893,0&amp;"D")</f>
        <v>52475</v>
      </c>
      <c r="AA1893" s="109">
        <v>1.3557547710165707E-2</v>
      </c>
      <c r="AB1893" s="143">
        <f t="shared" si="68"/>
        <v>0</v>
      </c>
      <c r="AC1893" s="236" t="e">
        <v>#N/A</v>
      </c>
      <c r="AD1893" s="236">
        <v>1.3557547710165707E-2</v>
      </c>
    </row>
    <row r="1894" spans="23:30" x14ac:dyDescent="0.2">
      <c r="W1894" s="144"/>
      <c r="X1894" s="113" t="str">
        <f t="shared" si="67"/>
        <v>1w</v>
      </c>
      <c r="Y1894" s="106">
        <f>_xll.qlCalendarAdvance(Calendar,Y1893,X1894,"f",FALSE)</f>
        <v>52482</v>
      </c>
      <c r="Z1894" s="108">
        <f>_xll.qlCalendarAdvance(Calendar,Y1894,0&amp;"D")</f>
        <v>52482</v>
      </c>
      <c r="AA1894" s="109">
        <v>1.3560668362702089E-2</v>
      </c>
      <c r="AB1894" s="143">
        <f t="shared" si="68"/>
        <v>0</v>
      </c>
      <c r="AC1894" s="236" t="e">
        <v>#N/A</v>
      </c>
      <c r="AD1894" s="236">
        <v>1.3560668362702089E-2</v>
      </c>
    </row>
    <row r="1895" spans="23:30" x14ac:dyDescent="0.2">
      <c r="W1895" s="144"/>
      <c r="X1895" s="113" t="str">
        <f t="shared" si="67"/>
        <v>1w</v>
      </c>
      <c r="Y1895" s="106">
        <f>_xll.qlCalendarAdvance(Calendar,Y1894,X1895,"f",FALSE)</f>
        <v>52489</v>
      </c>
      <c r="Z1895" s="108">
        <f>_xll.qlCalendarAdvance(Calendar,Y1895,0&amp;"D")</f>
        <v>52489</v>
      </c>
      <c r="AA1895" s="109">
        <v>1.3563803623952708E-2</v>
      </c>
      <c r="AB1895" s="143">
        <f t="shared" si="68"/>
        <v>-7.9936057773011271E-14</v>
      </c>
      <c r="AC1895" s="236" t="e">
        <v>#N/A</v>
      </c>
      <c r="AD1895" s="236">
        <v>1.3563803624032644E-2</v>
      </c>
    </row>
    <row r="1896" spans="23:30" x14ac:dyDescent="0.2">
      <c r="W1896" s="144"/>
      <c r="X1896" s="113" t="str">
        <f t="shared" si="67"/>
        <v>1w</v>
      </c>
      <c r="Y1896" s="106">
        <f>_xll.qlCalendarAdvance(Calendar,Y1895,X1896,"f",FALSE)</f>
        <v>52496</v>
      </c>
      <c r="Z1896" s="108">
        <f>_xll.qlCalendarAdvance(Calendar,Y1896,0&amp;"D")</f>
        <v>52496</v>
      </c>
      <c r="AA1896" s="109">
        <v>1.3566953493997502E-2</v>
      </c>
      <c r="AB1896" s="143">
        <f t="shared" si="68"/>
        <v>7.9936057773011271E-14</v>
      </c>
      <c r="AC1896" s="236" t="e">
        <v>#N/A</v>
      </c>
      <c r="AD1896" s="236">
        <v>1.3566953493917566E-2</v>
      </c>
    </row>
    <row r="1897" spans="23:30" x14ac:dyDescent="0.2">
      <c r="W1897" s="144"/>
      <c r="X1897" s="113" t="str">
        <f t="shared" si="67"/>
        <v>1w</v>
      </c>
      <c r="Y1897" s="106">
        <f>_xll.qlCalendarAdvance(Calendar,Y1896,X1897,"f",FALSE)</f>
        <v>52503</v>
      </c>
      <c r="Z1897" s="108">
        <f>_xll.qlCalendarAdvance(Calendar,Y1897,0&amp;"D")</f>
        <v>52503</v>
      </c>
      <c r="AA1897" s="109">
        <v>1.357011797243679E-2</v>
      </c>
      <c r="AB1897" s="143">
        <f t="shared" si="68"/>
        <v>-7.9936057773011271E-14</v>
      </c>
      <c r="AC1897" s="236" t="e">
        <v>#N/A</v>
      </c>
      <c r="AD1897" s="236">
        <v>1.3570117972516726E-2</v>
      </c>
    </row>
    <row r="1898" spans="23:30" x14ac:dyDescent="0.2">
      <c r="W1898" s="144"/>
      <c r="X1898" s="113" t="str">
        <f t="shared" si="67"/>
        <v>1w</v>
      </c>
      <c r="Y1898" s="106">
        <f>_xll.qlCalendarAdvance(Calendar,Y1897,X1898,"f",FALSE)</f>
        <v>52510</v>
      </c>
      <c r="Z1898" s="108">
        <f>_xll.qlCalendarAdvance(Calendar,Y1898,0&amp;"D")</f>
        <v>52510</v>
      </c>
      <c r="AA1898" s="109">
        <v>1.3573297059750189E-2</v>
      </c>
      <c r="AB1898" s="143">
        <f t="shared" si="68"/>
        <v>0</v>
      </c>
      <c r="AC1898" s="236" t="e">
        <v>#N/A</v>
      </c>
      <c r="AD1898" s="236">
        <v>1.3573297059750189E-2</v>
      </c>
    </row>
    <row r="1899" spans="23:30" x14ac:dyDescent="0.2">
      <c r="W1899" s="144"/>
      <c r="X1899" s="113" t="str">
        <f t="shared" si="67"/>
        <v>1w</v>
      </c>
      <c r="Y1899" s="106">
        <f>_xll.qlCalendarAdvance(Calendar,Y1898,X1899,"f",FALSE)</f>
        <v>52517</v>
      </c>
      <c r="Z1899" s="108">
        <f>_xll.qlCalendarAdvance(Calendar,Y1899,0&amp;"D")</f>
        <v>52517</v>
      </c>
      <c r="AA1899" s="109">
        <v>1.3576490755617954E-2</v>
      </c>
      <c r="AB1899" s="143">
        <f t="shared" si="68"/>
        <v>0</v>
      </c>
      <c r="AC1899" s="236" t="e">
        <v>#N/A</v>
      </c>
      <c r="AD1899" s="236">
        <v>1.3576490755617954E-2</v>
      </c>
    </row>
    <row r="1900" spans="23:30" x14ac:dyDescent="0.2">
      <c r="W1900" s="144"/>
      <c r="X1900" s="113" t="str">
        <f t="shared" si="67"/>
        <v>1w</v>
      </c>
      <c r="Y1900" s="106">
        <f>_xll.qlCalendarAdvance(Calendar,Y1899,X1900,"f",FALSE)</f>
        <v>52524</v>
      </c>
      <c r="Z1900" s="108">
        <f>_xll.qlCalendarAdvance(Calendar,Y1900,0&amp;"D")</f>
        <v>52524</v>
      </c>
      <c r="AA1900" s="109">
        <v>1.3579699060120021E-2</v>
      </c>
      <c r="AB1900" s="143">
        <f t="shared" si="68"/>
        <v>-7.9936057773011271E-14</v>
      </c>
      <c r="AC1900" s="236" t="e">
        <v>#N/A</v>
      </c>
      <c r="AD1900" s="236">
        <v>1.3579699060199957E-2</v>
      </c>
    </row>
    <row r="1901" spans="23:30" x14ac:dyDescent="0.2">
      <c r="W1901" s="144"/>
      <c r="X1901" s="113" t="str">
        <f t="shared" si="67"/>
        <v>1w</v>
      </c>
      <c r="Y1901" s="106">
        <f>_xll.qlCalendarAdvance(Calendar,Y1900,X1901,"f",FALSE)</f>
        <v>52531</v>
      </c>
      <c r="Z1901" s="108">
        <f>_xll.qlCalendarAdvance(Calendar,Y1901,0&amp;"D")</f>
        <v>52531</v>
      </c>
      <c r="AA1901" s="109">
        <v>1.3582921973336326E-2</v>
      </c>
      <c r="AB1901" s="143">
        <f t="shared" si="68"/>
        <v>0</v>
      </c>
      <c r="AC1901" s="236" t="e">
        <v>#N/A</v>
      </c>
      <c r="AD1901" s="236">
        <v>1.3582921973336326E-2</v>
      </c>
    </row>
    <row r="1902" spans="23:30" x14ac:dyDescent="0.2">
      <c r="W1902" s="144"/>
      <c r="X1902" s="113" t="str">
        <f t="shared" si="67"/>
        <v>1w</v>
      </c>
      <c r="Y1902" s="106">
        <f>_xll.qlCalendarAdvance(Calendar,Y1901,X1902,"f",FALSE)</f>
        <v>52538</v>
      </c>
      <c r="Z1902" s="108">
        <f>_xll.qlCalendarAdvance(Calendar,Y1902,0&amp;"D")</f>
        <v>52538</v>
      </c>
      <c r="AA1902" s="109">
        <v>1.3586159495106997E-2</v>
      </c>
      <c r="AB1902" s="143">
        <f t="shared" si="68"/>
        <v>0</v>
      </c>
      <c r="AC1902" s="236" t="e">
        <v>#N/A</v>
      </c>
      <c r="AD1902" s="236">
        <v>1.3586159495106997E-2</v>
      </c>
    </row>
    <row r="1903" spans="23:30" x14ac:dyDescent="0.2">
      <c r="W1903" s="144"/>
      <c r="X1903" s="113" t="str">
        <f t="shared" si="67"/>
        <v>1w</v>
      </c>
      <c r="Y1903" s="106">
        <f>_xll.qlCalendarAdvance(Calendar,Y1902,X1903,"f",FALSE)</f>
        <v>52545</v>
      </c>
      <c r="Z1903" s="108">
        <f>_xll.qlCalendarAdvance(Calendar,Y1903,0&amp;"D")</f>
        <v>52545</v>
      </c>
      <c r="AA1903" s="109">
        <v>1.3589411625591907E-2</v>
      </c>
      <c r="AB1903" s="143">
        <f t="shared" si="68"/>
        <v>0</v>
      </c>
      <c r="AC1903" s="236" t="e">
        <v>#N/A</v>
      </c>
      <c r="AD1903" s="236">
        <v>1.3589411625591907E-2</v>
      </c>
    </row>
    <row r="1904" spans="23:30" x14ac:dyDescent="0.2">
      <c r="W1904" s="144"/>
      <c r="X1904" s="113" t="str">
        <f t="shared" si="67"/>
        <v>1w</v>
      </c>
      <c r="Y1904" s="106">
        <f>_xll.qlCalendarAdvance(Calendar,Y1903,X1904,"f",FALSE)</f>
        <v>52552</v>
      </c>
      <c r="Z1904" s="108">
        <f>_xll.qlCalendarAdvance(Calendar,Y1904,0&amp;"D")</f>
        <v>52552</v>
      </c>
      <c r="AA1904" s="109">
        <v>1.3592678364870991E-2</v>
      </c>
      <c r="AB1904" s="143">
        <f t="shared" si="68"/>
        <v>7.9936057773011271E-14</v>
      </c>
      <c r="AC1904" s="236" t="e">
        <v>#N/A</v>
      </c>
      <c r="AD1904" s="236">
        <v>1.3592678364791055E-2</v>
      </c>
    </row>
    <row r="1905" spans="23:30" x14ac:dyDescent="0.2">
      <c r="W1905" s="144"/>
      <c r="X1905" s="113" t="str">
        <f t="shared" si="67"/>
        <v>1w</v>
      </c>
      <c r="Y1905" s="106">
        <f>_xll.qlCalendarAdvance(Calendar,Y1904,X1905,"f",FALSE)</f>
        <v>52559</v>
      </c>
      <c r="Z1905" s="108">
        <f>_xll.qlCalendarAdvance(Calendar,Y1905,0&amp;"D")</f>
        <v>52559</v>
      </c>
      <c r="AA1905" s="109">
        <v>1.359595971254457E-2</v>
      </c>
      <c r="AB1905" s="143">
        <f t="shared" si="68"/>
        <v>0</v>
      </c>
      <c r="AC1905" s="236" t="e">
        <v>#N/A</v>
      </c>
      <c r="AD1905" s="236">
        <v>1.359595971254457E-2</v>
      </c>
    </row>
    <row r="1906" spans="23:30" x14ac:dyDescent="0.2">
      <c r="W1906" s="144"/>
      <c r="X1906" s="113" t="str">
        <f t="shared" si="67"/>
        <v>1w</v>
      </c>
      <c r="Y1906" s="106">
        <f>_xll.qlCalendarAdvance(Calendar,Y1905,X1906,"f",FALSE)</f>
        <v>52566</v>
      </c>
      <c r="Z1906" s="108">
        <f>_xll.qlCalendarAdvance(Calendar,Y1906,0&amp;"D")</f>
        <v>52566</v>
      </c>
      <c r="AA1906" s="109">
        <v>1.3599255669012322E-2</v>
      </c>
      <c r="AB1906" s="143">
        <f t="shared" si="68"/>
        <v>-7.9936057773011271E-14</v>
      </c>
      <c r="AC1906" s="236" t="e">
        <v>#N/A</v>
      </c>
      <c r="AD1906" s="236">
        <v>1.3599255669092258E-2</v>
      </c>
    </row>
    <row r="1907" spans="23:30" x14ac:dyDescent="0.2">
      <c r="W1907" s="144"/>
      <c r="X1907" s="113" t="str">
        <f t="shared" si="67"/>
        <v>1w</v>
      </c>
      <c r="Y1907" s="106">
        <f>_xll.qlCalendarAdvance(Calendar,Y1906,X1907,"f",FALSE)</f>
        <v>52573</v>
      </c>
      <c r="Z1907" s="108">
        <f>_xll.qlCalendarAdvance(Calendar,Y1907,0&amp;"D")</f>
        <v>52573</v>
      </c>
      <c r="AA1907" s="109">
        <v>1.3602566234114377E-2</v>
      </c>
      <c r="AB1907" s="143">
        <f t="shared" si="68"/>
        <v>0</v>
      </c>
      <c r="AC1907" s="236" t="e">
        <v>#N/A</v>
      </c>
      <c r="AD1907" s="236">
        <v>1.3602566234114377E-2</v>
      </c>
    </row>
    <row r="1908" spans="23:30" x14ac:dyDescent="0.2">
      <c r="W1908" s="144"/>
      <c r="X1908" s="113" t="str">
        <f t="shared" si="67"/>
        <v>1w</v>
      </c>
      <c r="Y1908" s="106">
        <f>_xll.qlCalendarAdvance(Calendar,Y1907,X1908,"f",FALSE)</f>
        <v>52580</v>
      </c>
      <c r="Z1908" s="108">
        <f>_xll.qlCalendarAdvance(Calendar,Y1908,0&amp;"D")</f>
        <v>52580</v>
      </c>
      <c r="AA1908" s="109">
        <v>1.3605891407850734E-2</v>
      </c>
      <c r="AB1908" s="143">
        <f t="shared" si="68"/>
        <v>-7.9936057773011271E-14</v>
      </c>
      <c r="AC1908" s="236" t="e">
        <v>#N/A</v>
      </c>
      <c r="AD1908" s="236">
        <v>1.360589140793067E-2</v>
      </c>
    </row>
    <row r="1909" spans="23:30" x14ac:dyDescent="0.2">
      <c r="W1909" s="144"/>
      <c r="X1909" s="113" t="str">
        <f t="shared" si="67"/>
        <v>1w</v>
      </c>
      <c r="Y1909" s="106">
        <f>_xll.qlCalendarAdvance(Calendar,Y1908,X1909,"f",FALSE)</f>
        <v>52587</v>
      </c>
      <c r="Z1909" s="108">
        <f>_xll.qlCalendarAdvance(Calendar,Y1909,0&amp;"D")</f>
        <v>52587</v>
      </c>
      <c r="AA1909" s="109">
        <v>1.3609231190381266E-2</v>
      </c>
      <c r="AB1909" s="143">
        <f t="shared" si="68"/>
        <v>0</v>
      </c>
      <c r="AC1909" s="236" t="e">
        <v>#N/A</v>
      </c>
      <c r="AD1909" s="236">
        <v>1.3609231190381266E-2</v>
      </c>
    </row>
    <row r="1910" spans="23:30" x14ac:dyDescent="0.2">
      <c r="W1910" s="144"/>
      <c r="X1910" s="113" t="str">
        <f t="shared" si="67"/>
        <v>1w</v>
      </c>
      <c r="Y1910" s="106">
        <f>_xll.qlCalendarAdvance(Calendar,Y1909,X1910,"f",FALSE)</f>
        <v>52594</v>
      </c>
      <c r="Z1910" s="108">
        <f>_xll.qlCalendarAdvance(Calendar,Y1910,0&amp;"D")</f>
        <v>52594</v>
      </c>
      <c r="AA1910" s="109">
        <v>1.3612585581386227E-2</v>
      </c>
      <c r="AB1910" s="143">
        <f t="shared" si="68"/>
        <v>0</v>
      </c>
      <c r="AC1910" s="236" t="e">
        <v>#N/A</v>
      </c>
      <c r="AD1910" s="236">
        <v>1.3612585581386227E-2</v>
      </c>
    </row>
    <row r="1911" spans="23:30" x14ac:dyDescent="0.2">
      <c r="W1911" s="144"/>
      <c r="X1911" s="113" t="str">
        <f t="shared" si="67"/>
        <v>1w</v>
      </c>
      <c r="Y1911" s="106">
        <f>_xll.qlCalendarAdvance(Calendar,Y1910,X1911,"f",FALSE)</f>
        <v>52601</v>
      </c>
      <c r="Z1911" s="108">
        <f>_xll.qlCalendarAdvance(Calendar,Y1911,0&amp;"D")</f>
        <v>52601</v>
      </c>
      <c r="AA1911" s="109">
        <v>1.3615954581105427E-2</v>
      </c>
      <c r="AB1911" s="143">
        <f t="shared" si="68"/>
        <v>0</v>
      </c>
      <c r="AC1911" s="236" t="e">
        <v>#N/A</v>
      </c>
      <c r="AD1911" s="236">
        <v>1.3615954581105427E-2</v>
      </c>
    </row>
    <row r="1912" spans="23:30" x14ac:dyDescent="0.2">
      <c r="W1912" s="144"/>
      <c r="X1912" s="113" t="str">
        <f t="shared" si="67"/>
        <v>1w</v>
      </c>
      <c r="Y1912" s="106">
        <f>_xll.qlCalendarAdvance(Calendar,Y1911,X1912,"f",FALSE)</f>
        <v>52608</v>
      </c>
      <c r="Z1912" s="108">
        <f>_xll.qlCalendarAdvance(Calendar,Y1912,0&amp;"D")</f>
        <v>52608</v>
      </c>
      <c r="AA1912" s="109">
        <v>1.3619338189458929E-2</v>
      </c>
      <c r="AB1912" s="143">
        <f t="shared" si="68"/>
        <v>0</v>
      </c>
      <c r="AC1912" s="236" t="e">
        <v>#N/A</v>
      </c>
      <c r="AD1912" s="236">
        <v>1.3619338189458929E-2</v>
      </c>
    </row>
    <row r="1913" spans="23:30" x14ac:dyDescent="0.2">
      <c r="W1913" s="144"/>
      <c r="X1913" s="113" t="str">
        <f t="shared" si="67"/>
        <v>1w</v>
      </c>
      <c r="Y1913" s="106">
        <f>_xll.qlCalendarAdvance(Calendar,Y1912,X1913,"f",FALSE)</f>
        <v>52615</v>
      </c>
      <c r="Z1913" s="108">
        <f>_xll.qlCalendarAdvance(Calendar,Y1913,0&amp;"D")</f>
        <v>52615</v>
      </c>
      <c r="AA1913" s="109">
        <v>1.3622736406446734E-2</v>
      </c>
      <c r="AB1913" s="143">
        <f t="shared" si="68"/>
        <v>-7.9936057773011271E-14</v>
      </c>
      <c r="AC1913" s="236" t="e">
        <v>#N/A</v>
      </c>
      <c r="AD1913" s="236">
        <v>1.362273640652667E-2</v>
      </c>
    </row>
    <row r="1914" spans="23:30" x14ac:dyDescent="0.2">
      <c r="W1914" s="144"/>
      <c r="X1914" s="113" t="str">
        <f t="shared" si="67"/>
        <v>1w</v>
      </c>
      <c r="Y1914" s="106">
        <f>_xll.qlCalendarAdvance(Calendar,Y1913,X1914,"f",FALSE)</f>
        <v>52622</v>
      </c>
      <c r="Z1914" s="108">
        <f>_xll.qlCalendarAdvance(Calendar,Y1914,0&amp;"D")</f>
        <v>52622</v>
      </c>
      <c r="AA1914" s="109">
        <v>1.3626149232308649E-2</v>
      </c>
      <c r="AB1914" s="143">
        <f t="shared" si="68"/>
        <v>0</v>
      </c>
      <c r="AC1914" s="236" t="e">
        <v>#N/A</v>
      </c>
      <c r="AD1914" s="236">
        <v>1.3626149232308649E-2</v>
      </c>
    </row>
    <row r="1915" spans="23:30" x14ac:dyDescent="0.2">
      <c r="W1915" s="144"/>
      <c r="X1915" s="113" t="str">
        <f t="shared" si="67"/>
        <v>1w</v>
      </c>
      <c r="Y1915" s="106">
        <f>_xll.qlCalendarAdvance(Calendar,Y1914,X1915,"f",FALSE)</f>
        <v>52629</v>
      </c>
      <c r="Z1915" s="108">
        <f>_xll.qlCalendarAdvance(Calendar,Y1915,0&amp;"D")</f>
        <v>52629</v>
      </c>
      <c r="AA1915" s="109">
        <v>1.3629576666644994E-2</v>
      </c>
      <c r="AB1915" s="143">
        <f t="shared" si="68"/>
        <v>0</v>
      </c>
      <c r="AC1915" s="236" t="e">
        <v>#N/A</v>
      </c>
      <c r="AD1915" s="236">
        <v>1.3629576666644994E-2</v>
      </c>
    </row>
    <row r="1916" spans="23:30" x14ac:dyDescent="0.2">
      <c r="W1916" s="144"/>
      <c r="X1916" s="113" t="str">
        <f t="shared" si="67"/>
        <v>1w</v>
      </c>
      <c r="Y1916" s="106">
        <f>_xll.qlCalendarAdvance(Calendar,Y1915,X1916,"f",FALSE)</f>
        <v>52636</v>
      </c>
      <c r="Z1916" s="108">
        <f>_xll.qlCalendarAdvance(Calendar,Y1916,0&amp;"D")</f>
        <v>52636</v>
      </c>
      <c r="AA1916" s="109">
        <v>1.3633018709535705E-2</v>
      </c>
      <c r="AB1916" s="143">
        <f t="shared" si="68"/>
        <v>0</v>
      </c>
      <c r="AC1916" s="236" t="e">
        <v>#N/A</v>
      </c>
      <c r="AD1916" s="236">
        <v>1.3633018709535705E-2</v>
      </c>
    </row>
    <row r="1917" spans="23:30" x14ac:dyDescent="0.2">
      <c r="W1917" s="144"/>
      <c r="X1917" s="113" t="str">
        <f t="shared" si="67"/>
        <v>1w</v>
      </c>
      <c r="Y1917" s="106">
        <f>_xll.qlCalendarAdvance(Calendar,Y1916,X1917,"f",FALSE)</f>
        <v>52643</v>
      </c>
      <c r="Z1917" s="108">
        <f>_xll.qlCalendarAdvance(Calendar,Y1917,0&amp;"D")</f>
        <v>52643</v>
      </c>
      <c r="AA1917" s="109">
        <v>1.363647536122059E-2</v>
      </c>
      <c r="AB1917" s="143">
        <f t="shared" si="68"/>
        <v>-7.9936057773011271E-14</v>
      </c>
      <c r="AC1917" s="236" t="e">
        <v>#N/A</v>
      </c>
      <c r="AD1917" s="236">
        <v>1.3636475361300526E-2</v>
      </c>
    </row>
    <row r="1918" spans="23:30" x14ac:dyDescent="0.2">
      <c r="W1918" s="144"/>
      <c r="X1918" s="113" t="str">
        <f t="shared" si="67"/>
        <v>1w</v>
      </c>
      <c r="Y1918" s="106">
        <f>_xll.qlCalendarAdvance(Calendar,Y1917,X1918,"f",FALSE)</f>
        <v>52650</v>
      </c>
      <c r="Z1918" s="108">
        <f>_xll.qlCalendarAdvance(Calendar,Y1918,0&amp;"D")</f>
        <v>52650</v>
      </c>
      <c r="AA1918" s="109">
        <v>1.3639946621619714E-2</v>
      </c>
      <c r="AB1918" s="143">
        <f t="shared" si="68"/>
        <v>0</v>
      </c>
      <c r="AC1918" s="236" t="e">
        <v>#N/A</v>
      </c>
      <c r="AD1918" s="236">
        <v>1.3639946621619714E-2</v>
      </c>
    </row>
    <row r="1919" spans="23:30" x14ac:dyDescent="0.2">
      <c r="W1919" s="144"/>
      <c r="X1919" s="113" t="str">
        <f t="shared" si="67"/>
        <v>1w</v>
      </c>
      <c r="Y1919" s="106">
        <f>_xll.qlCalendarAdvance(Calendar,Y1918,X1919,"f",FALSE)</f>
        <v>52657</v>
      </c>
      <c r="Z1919" s="108">
        <f>_xll.qlCalendarAdvance(Calendar,Y1919,0&amp;"D")</f>
        <v>52657</v>
      </c>
      <c r="AA1919" s="109">
        <v>1.3643432490573204E-2</v>
      </c>
      <c r="AB1919" s="143">
        <f t="shared" si="68"/>
        <v>0</v>
      </c>
      <c r="AC1919" s="236" t="e">
        <v>#N/A</v>
      </c>
      <c r="AD1919" s="236">
        <v>1.3643432490573204E-2</v>
      </c>
    </row>
    <row r="1920" spans="23:30" x14ac:dyDescent="0.2">
      <c r="W1920" s="144"/>
      <c r="X1920" s="113" t="str">
        <f t="shared" si="67"/>
        <v>1w</v>
      </c>
      <c r="Y1920" s="106">
        <f>_xll.qlCalendarAdvance(Calendar,Y1919,X1920,"f",FALSE)</f>
        <v>52664</v>
      </c>
      <c r="Z1920" s="108">
        <f>_xll.qlCalendarAdvance(Calendar,Y1920,0&amp;"D")</f>
        <v>52664</v>
      </c>
      <c r="AA1920" s="109">
        <v>1.3646932968240932E-2</v>
      </c>
      <c r="AB1920" s="143">
        <f t="shared" si="68"/>
        <v>0</v>
      </c>
      <c r="AC1920" s="236" t="e">
        <v>#N/A</v>
      </c>
      <c r="AD1920" s="236">
        <v>1.3646932968240932E-2</v>
      </c>
    </row>
    <row r="1921" spans="23:30" x14ac:dyDescent="0.2">
      <c r="W1921" s="144"/>
      <c r="X1921" s="113" t="str">
        <f t="shared" si="67"/>
        <v>1w</v>
      </c>
      <c r="Y1921" s="106">
        <f>_xll.qlCalendarAdvance(Calendar,Y1920,X1921,"f",FALSE)</f>
        <v>52671</v>
      </c>
      <c r="Z1921" s="108">
        <f>_xll.qlCalendarAdvance(Calendar,Y1921,0&amp;"D")</f>
        <v>52671</v>
      </c>
      <c r="AA1921" s="109">
        <v>1.3650448054542963E-2</v>
      </c>
      <c r="AB1921" s="143">
        <f t="shared" si="68"/>
        <v>0</v>
      </c>
      <c r="AC1921" s="236" t="e">
        <v>#N/A</v>
      </c>
      <c r="AD1921" s="236">
        <v>1.3650448054542963E-2</v>
      </c>
    </row>
    <row r="1922" spans="23:30" x14ac:dyDescent="0.2">
      <c r="W1922" s="144"/>
      <c r="X1922" s="113" t="str">
        <f t="shared" si="67"/>
        <v>1w</v>
      </c>
      <c r="Y1922" s="106">
        <f>_xll.qlCalendarAdvance(Calendar,Y1921,X1922,"f",FALSE)</f>
        <v>52678</v>
      </c>
      <c r="Z1922" s="108">
        <f>_xll.qlCalendarAdvance(Calendar,Y1922,0&amp;"D")</f>
        <v>52678</v>
      </c>
      <c r="AA1922" s="109">
        <v>1.3653977749479296E-2</v>
      </c>
      <c r="AB1922" s="143">
        <f t="shared" si="68"/>
        <v>0</v>
      </c>
      <c r="AC1922" s="236" t="e">
        <v>#N/A</v>
      </c>
      <c r="AD1922" s="236">
        <v>1.3653977749479296E-2</v>
      </c>
    </row>
    <row r="1923" spans="23:30" x14ac:dyDescent="0.2">
      <c r="W1923" s="144"/>
      <c r="X1923" s="113" t="str">
        <f t="shared" si="67"/>
        <v>1w</v>
      </c>
      <c r="Y1923" s="106">
        <f>_xll.qlCalendarAdvance(Calendar,Y1922,X1923,"f",FALSE)</f>
        <v>52685</v>
      </c>
      <c r="Z1923" s="108">
        <f>_xll.qlCalendarAdvance(Calendar,Y1923,0&amp;"D")</f>
        <v>52685</v>
      </c>
      <c r="AA1923" s="109">
        <v>1.3657522053209803E-2</v>
      </c>
      <c r="AB1923" s="143">
        <f t="shared" si="68"/>
        <v>0</v>
      </c>
      <c r="AC1923" s="236" t="e">
        <v>#N/A</v>
      </c>
      <c r="AD1923" s="236">
        <v>1.3657522053209803E-2</v>
      </c>
    </row>
    <row r="1924" spans="23:30" x14ac:dyDescent="0.2">
      <c r="W1924" s="144"/>
      <c r="X1924" s="113" t="str">
        <f t="shared" si="67"/>
        <v>1w</v>
      </c>
      <c r="Y1924" s="106">
        <f>_xll.qlCalendarAdvance(Calendar,Y1923,X1924,"f",FALSE)</f>
        <v>52692</v>
      </c>
      <c r="Z1924" s="108">
        <f>_xll.qlCalendarAdvance(Calendar,Y1924,0&amp;"D")</f>
        <v>52692</v>
      </c>
      <c r="AA1924" s="109">
        <v>1.3661080965334804E-2</v>
      </c>
      <c r="AB1924" s="143">
        <f t="shared" si="68"/>
        <v>-7.9936057773011271E-14</v>
      </c>
      <c r="AC1924" s="236" t="e">
        <v>#N/A</v>
      </c>
      <c r="AD1924" s="236">
        <v>1.366108096541474E-2</v>
      </c>
    </row>
    <row r="1925" spans="23:30" x14ac:dyDescent="0.2">
      <c r="W1925" s="144"/>
      <c r="X1925" s="113" t="str">
        <f t="shared" si="67"/>
        <v>1w</v>
      </c>
      <c r="Y1925" s="106">
        <f>_xll.qlCalendarAdvance(Calendar,Y1924,X1925,"f",FALSE)</f>
        <v>52699</v>
      </c>
      <c r="Z1925" s="108">
        <f>_xll.qlCalendarAdvance(Calendar,Y1925,0&amp;"D")</f>
        <v>52699</v>
      </c>
      <c r="AA1925" s="109">
        <v>1.3664654486333916E-2</v>
      </c>
      <c r="AB1925" s="143">
        <f t="shared" si="68"/>
        <v>0</v>
      </c>
      <c r="AC1925" s="236" t="e">
        <v>#N/A</v>
      </c>
      <c r="AD1925" s="236">
        <v>1.3664654486333916E-2</v>
      </c>
    </row>
    <row r="1926" spans="23:30" x14ac:dyDescent="0.2">
      <c r="W1926" s="144"/>
      <c r="X1926" s="113" t="str">
        <f t="shared" si="67"/>
        <v>1w</v>
      </c>
      <c r="Y1926" s="106">
        <f>_xll.qlCalendarAdvance(Calendar,Y1925,X1926,"f",FALSE)</f>
        <v>52706</v>
      </c>
      <c r="Z1926" s="108">
        <f>_xll.qlCalendarAdvance(Calendar,Y1926,0&amp;"D")</f>
        <v>52706</v>
      </c>
      <c r="AA1926" s="109">
        <v>1.366824261596733E-2</v>
      </c>
      <c r="AB1926" s="143">
        <f t="shared" si="68"/>
        <v>0</v>
      </c>
      <c r="AC1926" s="236" t="e">
        <v>#N/A</v>
      </c>
      <c r="AD1926" s="236">
        <v>1.366824261596733E-2</v>
      </c>
    </row>
    <row r="1927" spans="23:30" x14ac:dyDescent="0.2">
      <c r="W1927" s="144"/>
      <c r="X1927" s="113" t="str">
        <f t="shared" si="67"/>
        <v>1w</v>
      </c>
      <c r="Y1927" s="106">
        <f>_xll.qlCalendarAdvance(Calendar,Y1926,X1927,"f",FALSE)</f>
        <v>52713</v>
      </c>
      <c r="Z1927" s="108">
        <f>_xll.qlCalendarAdvance(Calendar,Y1927,0&amp;"D")</f>
        <v>52713</v>
      </c>
      <c r="AA1927" s="109">
        <v>1.3671845354314982E-2</v>
      </c>
      <c r="AB1927" s="143">
        <f t="shared" si="68"/>
        <v>0</v>
      </c>
      <c r="AC1927" s="236" t="e">
        <v>#N/A</v>
      </c>
      <c r="AD1927" s="236">
        <v>1.3671845354314982E-2</v>
      </c>
    </row>
    <row r="1928" spans="23:30" x14ac:dyDescent="0.2">
      <c r="W1928" s="144"/>
      <c r="X1928" s="113" t="str">
        <f t="shared" si="67"/>
        <v>1w</v>
      </c>
      <c r="Y1928" s="106">
        <f>_xll.qlCalendarAdvance(Calendar,Y1927,X1928,"f",FALSE)</f>
        <v>52720</v>
      </c>
      <c r="Z1928" s="108">
        <f>_xll.qlCalendarAdvance(Calendar,Y1928,0&amp;"D")</f>
        <v>52720</v>
      </c>
      <c r="AA1928" s="109">
        <v>1.3675462701217E-2</v>
      </c>
      <c r="AB1928" s="143">
        <f t="shared" si="68"/>
        <v>0</v>
      </c>
      <c r="AC1928" s="236" t="e">
        <v>#N/A</v>
      </c>
      <c r="AD1928" s="236">
        <v>1.3675462701217E-2</v>
      </c>
    </row>
    <row r="1929" spans="23:30" x14ac:dyDescent="0.2">
      <c r="W1929" s="144"/>
      <c r="X1929" s="113" t="str">
        <f t="shared" si="67"/>
        <v>1w</v>
      </c>
      <c r="Y1929" s="106">
        <f>_xll.qlCalendarAdvance(Calendar,Y1928,X1929,"f",FALSE)</f>
        <v>52727</v>
      </c>
      <c r="Z1929" s="108">
        <f>_xll.qlCalendarAdvance(Calendar,Y1929,0&amp;"D")</f>
        <v>52727</v>
      </c>
      <c r="AA1929" s="109">
        <v>1.3679094656753321E-2</v>
      </c>
      <c r="AB1929" s="143">
        <f t="shared" si="68"/>
        <v>0</v>
      </c>
      <c r="AC1929" s="236" t="e">
        <v>#N/A</v>
      </c>
      <c r="AD1929" s="236">
        <v>1.3679094656753321E-2</v>
      </c>
    </row>
    <row r="1930" spans="23:30" x14ac:dyDescent="0.2">
      <c r="W1930" s="144"/>
      <c r="X1930" s="113" t="str">
        <f t="shared" si="67"/>
        <v>1w</v>
      </c>
      <c r="Y1930" s="106">
        <f>_xll.qlCalendarAdvance(Calendar,Y1929,X1930,"f",FALSE)</f>
        <v>52734</v>
      </c>
      <c r="Z1930" s="108">
        <f>_xll.qlCalendarAdvance(Calendar,Y1930,0&amp;"D")</f>
        <v>52734</v>
      </c>
      <c r="AA1930" s="109">
        <v>1.3682741221083816E-2</v>
      </c>
      <c r="AB1930" s="143">
        <f t="shared" si="68"/>
        <v>0</v>
      </c>
      <c r="AC1930" s="236" t="e">
        <v>#N/A</v>
      </c>
      <c r="AD1930" s="236">
        <v>1.3682741221083816E-2</v>
      </c>
    </row>
    <row r="1931" spans="23:30" x14ac:dyDescent="0.2">
      <c r="W1931" s="144"/>
      <c r="X1931" s="113" t="str">
        <f t="shared" si="67"/>
        <v>1w</v>
      </c>
      <c r="Y1931" s="106">
        <f>_xll.qlCalendarAdvance(Calendar,Y1930,X1931,"f",FALSE)</f>
        <v>52741</v>
      </c>
      <c r="Z1931" s="108">
        <f>_xll.qlCalendarAdvance(Calendar,Y1931,0&amp;"D")</f>
        <v>52741</v>
      </c>
      <c r="AA1931" s="109">
        <v>1.3686402393968677E-2</v>
      </c>
      <c r="AB1931" s="143">
        <f t="shared" si="68"/>
        <v>0</v>
      </c>
      <c r="AC1931" s="236" t="e">
        <v>#N/A</v>
      </c>
      <c r="AD1931" s="236">
        <v>1.3686402393968677E-2</v>
      </c>
    </row>
    <row r="1932" spans="23:30" x14ac:dyDescent="0.2">
      <c r="W1932" s="144"/>
      <c r="X1932" s="113" t="str">
        <f t="shared" si="67"/>
        <v>1w</v>
      </c>
      <c r="Y1932" s="106">
        <f>_xll.qlCalendarAdvance(Calendar,Y1931,X1932,"f",FALSE)</f>
        <v>52748</v>
      </c>
      <c r="Z1932" s="108">
        <f>_xll.qlCalendarAdvance(Calendar,Y1932,0&amp;"D")</f>
        <v>52748</v>
      </c>
      <c r="AA1932" s="109">
        <v>1.3690078175647713E-2</v>
      </c>
      <c r="AB1932" s="143">
        <f t="shared" si="68"/>
        <v>0</v>
      </c>
      <c r="AC1932" s="236" t="e">
        <v>#N/A</v>
      </c>
      <c r="AD1932" s="236">
        <v>1.3690078175647713E-2</v>
      </c>
    </row>
    <row r="1933" spans="23:30" x14ac:dyDescent="0.2">
      <c r="W1933" s="144"/>
      <c r="X1933" s="113" t="str">
        <f t="shared" ref="X1933:X1996" si="69">X1932</f>
        <v>1w</v>
      </c>
      <c r="Y1933" s="106">
        <f>_xll.qlCalendarAdvance(Calendar,Y1932,X1933,"f",FALSE)</f>
        <v>52755</v>
      </c>
      <c r="Z1933" s="108">
        <f>_xll.qlCalendarAdvance(Calendar,Y1933,0&amp;"D")</f>
        <v>52755</v>
      </c>
      <c r="AA1933" s="109">
        <v>1.3693768565881115E-2</v>
      </c>
      <c r="AB1933" s="143">
        <f t="shared" si="68"/>
        <v>0</v>
      </c>
      <c r="AC1933" s="236" t="e">
        <v>#N/A</v>
      </c>
      <c r="AD1933" s="236">
        <v>1.3693768565881115E-2</v>
      </c>
    </row>
    <row r="1934" spans="23:30" x14ac:dyDescent="0.2">
      <c r="W1934" s="144"/>
      <c r="X1934" s="113" t="str">
        <f t="shared" si="69"/>
        <v>1w</v>
      </c>
      <c r="Y1934" s="106">
        <f>_xll.qlCalendarAdvance(Calendar,Y1933,X1934,"f",FALSE)</f>
        <v>52762</v>
      </c>
      <c r="Z1934" s="108">
        <f>_xll.qlCalendarAdvance(Calendar,Y1934,0&amp;"D")</f>
        <v>52762</v>
      </c>
      <c r="AA1934" s="109">
        <v>1.3697473564748819E-2</v>
      </c>
      <c r="AB1934" s="143">
        <f t="shared" si="68"/>
        <v>0</v>
      </c>
      <c r="AC1934" s="236" t="e">
        <v>#N/A</v>
      </c>
      <c r="AD1934" s="236">
        <v>1.3697473564748819E-2</v>
      </c>
    </row>
    <row r="1935" spans="23:30" x14ac:dyDescent="0.2">
      <c r="W1935" s="144"/>
      <c r="X1935" s="113" t="str">
        <f t="shared" si="69"/>
        <v>1w</v>
      </c>
      <c r="Y1935" s="106">
        <f>_xll.qlCalendarAdvance(Calendar,Y1934,X1935,"f",FALSE)</f>
        <v>52769</v>
      </c>
      <c r="Z1935" s="108">
        <f>_xll.qlCalendarAdvance(Calendar,Y1935,0&amp;"D")</f>
        <v>52769</v>
      </c>
      <c r="AA1935" s="109">
        <v>1.3701193172410697E-2</v>
      </c>
      <c r="AB1935" s="143">
        <f t="shared" si="68"/>
        <v>0</v>
      </c>
      <c r="AC1935" s="236" t="e">
        <v>#N/A</v>
      </c>
      <c r="AD1935" s="236">
        <v>1.3701193172410697E-2</v>
      </c>
    </row>
    <row r="1936" spans="23:30" x14ac:dyDescent="0.2">
      <c r="W1936" s="144"/>
      <c r="X1936" s="113" t="str">
        <f t="shared" si="69"/>
        <v>1w</v>
      </c>
      <c r="Y1936" s="106">
        <f>_xll.qlCalendarAdvance(Calendar,Y1935,X1936,"f",FALSE)</f>
        <v>52776</v>
      </c>
      <c r="Z1936" s="108">
        <f>_xll.qlCalendarAdvance(Calendar,Y1936,0&amp;"D")</f>
        <v>52776</v>
      </c>
      <c r="AA1936" s="109">
        <v>1.3704927388626942E-2</v>
      </c>
      <c r="AB1936" s="143">
        <f t="shared" si="68"/>
        <v>0</v>
      </c>
      <c r="AC1936" s="236" t="e">
        <v>#N/A</v>
      </c>
      <c r="AD1936" s="236">
        <v>1.3704927388626942E-2</v>
      </c>
    </row>
    <row r="1937" spans="23:30" x14ac:dyDescent="0.2">
      <c r="W1937" s="144"/>
      <c r="X1937" s="113" t="str">
        <f t="shared" si="69"/>
        <v>1w</v>
      </c>
      <c r="Y1937" s="106">
        <f>_xll.qlCalendarAdvance(Calendar,Y1936,X1937,"f",FALSE)</f>
        <v>52783</v>
      </c>
      <c r="Z1937" s="108">
        <f>_xll.qlCalendarAdvance(Calendar,Y1937,0&amp;"D")</f>
        <v>52783</v>
      </c>
      <c r="AA1937" s="109">
        <v>1.3708676213557425E-2</v>
      </c>
      <c r="AB1937" s="143">
        <f t="shared" si="68"/>
        <v>0</v>
      </c>
      <c r="AC1937" s="236" t="e">
        <v>#N/A</v>
      </c>
      <c r="AD1937" s="236">
        <v>1.3708676213557425E-2</v>
      </c>
    </row>
    <row r="1938" spans="23:30" x14ac:dyDescent="0.2">
      <c r="W1938" s="144"/>
      <c r="X1938" s="113" t="str">
        <f t="shared" si="69"/>
        <v>1w</v>
      </c>
      <c r="Y1938" s="106">
        <f>_xll.qlCalendarAdvance(Calendar,Y1937,X1938,"f",FALSE)</f>
        <v>52790</v>
      </c>
      <c r="Z1938" s="108">
        <f>_xll.qlCalendarAdvance(Calendar,Y1938,0&amp;"D")</f>
        <v>52790</v>
      </c>
      <c r="AA1938" s="109">
        <v>1.3712439647202146E-2</v>
      </c>
      <c r="AB1938" s="143">
        <f t="shared" si="68"/>
        <v>0</v>
      </c>
      <c r="AC1938" s="236" t="e">
        <v>#N/A</v>
      </c>
      <c r="AD1938" s="236">
        <v>1.3712439647202146E-2</v>
      </c>
    </row>
    <row r="1939" spans="23:30" x14ac:dyDescent="0.2">
      <c r="W1939" s="144"/>
      <c r="X1939" s="113" t="str">
        <f t="shared" si="69"/>
        <v>1w</v>
      </c>
      <c r="Y1939" s="106">
        <f>_xll.qlCalendarAdvance(Calendar,Y1938,X1939,"f",FALSE)</f>
        <v>52797</v>
      </c>
      <c r="Z1939" s="108">
        <f>_xll.qlCalendarAdvance(Calendar,Y1939,0&amp;"D")</f>
        <v>52797</v>
      </c>
      <c r="AA1939" s="109">
        <v>1.3716217689401233E-2</v>
      </c>
      <c r="AB1939" s="143">
        <f t="shared" si="68"/>
        <v>-7.9936057773011271E-14</v>
      </c>
      <c r="AC1939" s="236" t="e">
        <v>#N/A</v>
      </c>
      <c r="AD1939" s="236">
        <v>1.3716217689481169E-2</v>
      </c>
    </row>
    <row r="1940" spans="23:30" x14ac:dyDescent="0.2">
      <c r="W1940" s="144"/>
      <c r="X1940" s="113" t="str">
        <f t="shared" si="69"/>
        <v>1w</v>
      </c>
      <c r="Y1940" s="106">
        <f>_xll.qlCalendarAdvance(Calendar,Y1939,X1940,"f",FALSE)</f>
        <v>52804</v>
      </c>
      <c r="Z1940" s="108">
        <f>_xll.qlCalendarAdvance(Calendar,Y1940,0&amp;"D")</f>
        <v>52804</v>
      </c>
      <c r="AA1940" s="109">
        <v>1.3720010340394495E-2</v>
      </c>
      <c r="AB1940" s="143">
        <f t="shared" si="68"/>
        <v>0</v>
      </c>
      <c r="AC1940" s="236" t="e">
        <v>#N/A</v>
      </c>
      <c r="AD1940" s="236">
        <v>1.3720010340394495E-2</v>
      </c>
    </row>
    <row r="1941" spans="23:30" x14ac:dyDescent="0.2">
      <c r="W1941" s="144"/>
      <c r="X1941" s="113" t="str">
        <f t="shared" si="69"/>
        <v>1w</v>
      </c>
      <c r="Y1941" s="106">
        <f>_xll.qlCalendarAdvance(Calendar,Y1940,X1941,"f",FALSE)</f>
        <v>52811</v>
      </c>
      <c r="Z1941" s="108">
        <f>_xll.qlCalendarAdvance(Calendar,Y1941,0&amp;"D")</f>
        <v>52811</v>
      </c>
      <c r="AA1941" s="109">
        <v>1.3723817600022059E-2</v>
      </c>
      <c r="AB1941" s="143">
        <f t="shared" ref="AB1941:AB2004" si="70">AA1941-AD1941</f>
        <v>7.9936057773011271E-14</v>
      </c>
      <c r="AC1941" s="236" t="e">
        <v>#N/A</v>
      </c>
      <c r="AD1941" s="236">
        <v>1.3723817599942123E-2</v>
      </c>
    </row>
    <row r="1942" spans="23:30" x14ac:dyDescent="0.2">
      <c r="W1942" s="144"/>
      <c r="X1942" s="113" t="str">
        <f t="shared" si="69"/>
        <v>1w</v>
      </c>
      <c r="Y1942" s="106">
        <f>_xll.qlCalendarAdvance(Calendar,Y1941,X1942,"f",FALSE)</f>
        <v>52818</v>
      </c>
      <c r="Z1942" s="108">
        <f>_xll.qlCalendarAdvance(Calendar,Y1942,0&amp;"D")</f>
        <v>52818</v>
      </c>
      <c r="AA1942" s="109">
        <v>1.3727639468283925E-2</v>
      </c>
      <c r="AB1942" s="143">
        <f t="shared" si="70"/>
        <v>7.9936057773011271E-14</v>
      </c>
      <c r="AC1942" s="236" t="e">
        <v>#N/A</v>
      </c>
      <c r="AD1942" s="236">
        <v>1.3727639468203989E-2</v>
      </c>
    </row>
    <row r="1943" spans="23:30" x14ac:dyDescent="0.2">
      <c r="W1943" s="144"/>
      <c r="X1943" s="113" t="str">
        <f t="shared" si="69"/>
        <v>1w</v>
      </c>
      <c r="Y1943" s="106">
        <f>_xll.qlCalendarAdvance(Calendar,Y1942,X1943,"f",FALSE)</f>
        <v>52825</v>
      </c>
      <c r="Z1943" s="108">
        <f>_xll.qlCalendarAdvance(Calendar,Y1943,0&amp;"D")</f>
        <v>52825</v>
      </c>
      <c r="AA1943" s="109">
        <v>1.3731475945100158E-2</v>
      </c>
      <c r="AB1943" s="143">
        <f t="shared" si="70"/>
        <v>0</v>
      </c>
      <c r="AC1943" s="236" t="e">
        <v>#N/A</v>
      </c>
      <c r="AD1943" s="236">
        <v>1.3731475945100158E-2</v>
      </c>
    </row>
    <row r="1944" spans="23:30" x14ac:dyDescent="0.2">
      <c r="W1944" s="144"/>
      <c r="X1944" s="113" t="str">
        <f t="shared" si="69"/>
        <v>1w</v>
      </c>
      <c r="Y1944" s="106">
        <f>_xll.qlCalendarAdvance(Calendar,Y1943,X1944,"f",FALSE)</f>
        <v>52832</v>
      </c>
      <c r="Z1944" s="108">
        <f>_xll.qlCalendarAdvance(Calendar,Y1944,0&amp;"D")</f>
        <v>52832</v>
      </c>
      <c r="AA1944" s="109">
        <v>1.3735327030790501E-2</v>
      </c>
      <c r="AB1944" s="143">
        <f t="shared" si="70"/>
        <v>0</v>
      </c>
      <c r="AC1944" s="236" t="e">
        <v>#N/A</v>
      </c>
      <c r="AD1944" s="236">
        <v>1.3735327030790501E-2</v>
      </c>
    </row>
    <row r="1945" spans="23:30" x14ac:dyDescent="0.2">
      <c r="W1945" s="144"/>
      <c r="X1945" s="113" t="str">
        <f t="shared" si="69"/>
        <v>1w</v>
      </c>
      <c r="Y1945" s="106">
        <f>_xll.qlCalendarAdvance(Calendar,Y1944,X1945,"f",FALSE)</f>
        <v>52839</v>
      </c>
      <c r="Z1945" s="108">
        <f>_xll.qlCalendarAdvance(Calendar,Y1945,0&amp;"D")</f>
        <v>52839</v>
      </c>
      <c r="AA1945" s="109">
        <v>1.3739192725115146E-2</v>
      </c>
      <c r="AB1945" s="143">
        <f t="shared" si="70"/>
        <v>0</v>
      </c>
      <c r="AC1945" s="236" t="e">
        <v>#N/A</v>
      </c>
      <c r="AD1945" s="236">
        <v>1.3739192725115146E-2</v>
      </c>
    </row>
    <row r="1946" spans="23:30" x14ac:dyDescent="0.2">
      <c r="W1946" s="144"/>
      <c r="X1946" s="113" t="str">
        <f t="shared" si="69"/>
        <v>1w</v>
      </c>
      <c r="Y1946" s="106">
        <f>_xll.qlCalendarAdvance(Calendar,Y1945,X1946,"f",FALSE)</f>
        <v>52846</v>
      </c>
      <c r="Z1946" s="108">
        <f>_xll.qlCalendarAdvance(Calendar,Y1946,0&amp;"D")</f>
        <v>52846</v>
      </c>
      <c r="AA1946" s="109">
        <v>1.3743073027994157E-2</v>
      </c>
      <c r="AB1946" s="143">
        <f t="shared" si="70"/>
        <v>0</v>
      </c>
      <c r="AC1946" s="236" t="e">
        <v>#N/A</v>
      </c>
      <c r="AD1946" s="236">
        <v>1.3743073027994157E-2</v>
      </c>
    </row>
    <row r="1947" spans="23:30" x14ac:dyDescent="0.2">
      <c r="W1947" s="144"/>
      <c r="X1947" s="113" t="str">
        <f t="shared" si="69"/>
        <v>1w</v>
      </c>
      <c r="Y1947" s="106">
        <f>_xll.qlCalendarAdvance(Calendar,Y1946,X1947,"f",FALSE)</f>
        <v>52853</v>
      </c>
      <c r="Z1947" s="108">
        <f>_xll.qlCalendarAdvance(Calendar,Y1947,0&amp;"D")</f>
        <v>52853</v>
      </c>
      <c r="AA1947" s="109">
        <v>1.3746967939667343E-2</v>
      </c>
      <c r="AB1947" s="143">
        <f t="shared" si="70"/>
        <v>0</v>
      </c>
      <c r="AC1947" s="236" t="e">
        <v>#N/A</v>
      </c>
      <c r="AD1947" s="236">
        <v>1.3746967939667343E-2</v>
      </c>
    </row>
    <row r="1948" spans="23:30" x14ac:dyDescent="0.2">
      <c r="W1948" s="144"/>
      <c r="X1948" s="113" t="str">
        <f t="shared" si="69"/>
        <v>1w</v>
      </c>
      <c r="Y1948" s="106">
        <f>_xll.qlCalendarAdvance(Calendar,Y1947,X1948,"f",FALSE)</f>
        <v>52860</v>
      </c>
      <c r="Z1948" s="108">
        <f>_xll.qlCalendarAdvance(Calendar,Y1948,0&amp;"D")</f>
        <v>52860</v>
      </c>
      <c r="AA1948" s="109">
        <v>1.3750877459974831E-2</v>
      </c>
      <c r="AB1948" s="143">
        <f t="shared" si="70"/>
        <v>0</v>
      </c>
      <c r="AC1948" s="236" t="e">
        <v>#N/A</v>
      </c>
      <c r="AD1948" s="236">
        <v>1.3750877459974831E-2</v>
      </c>
    </row>
    <row r="1949" spans="23:30" x14ac:dyDescent="0.2">
      <c r="W1949" s="144"/>
      <c r="X1949" s="113" t="str">
        <f t="shared" si="69"/>
        <v>1w</v>
      </c>
      <c r="Y1949" s="106">
        <f>_xll.qlCalendarAdvance(Calendar,Y1948,X1949,"f",FALSE)</f>
        <v>52867</v>
      </c>
      <c r="Z1949" s="108">
        <f>_xll.qlCalendarAdvance(Calendar,Y1949,0&amp;"D")</f>
        <v>52867</v>
      </c>
      <c r="AA1949" s="109">
        <v>1.3754801588916621E-2</v>
      </c>
      <c r="AB1949" s="143">
        <f t="shared" si="70"/>
        <v>0</v>
      </c>
      <c r="AC1949" s="236" t="e">
        <v>#N/A</v>
      </c>
      <c r="AD1949" s="236">
        <v>1.3754801588916621E-2</v>
      </c>
    </row>
    <row r="1950" spans="23:30" x14ac:dyDescent="0.2">
      <c r="W1950" s="144"/>
      <c r="X1950" s="113" t="str">
        <f t="shared" si="69"/>
        <v>1w</v>
      </c>
      <c r="Y1950" s="106">
        <f>_xll.qlCalendarAdvance(Calendar,Y1949,X1950,"f",FALSE)</f>
        <v>52874</v>
      </c>
      <c r="Z1950" s="108">
        <f>_xll.qlCalendarAdvance(Calendar,Y1950,0&amp;"D")</f>
        <v>52874</v>
      </c>
      <c r="AA1950" s="109">
        <v>1.3758740326492713E-2</v>
      </c>
      <c r="AB1950" s="143">
        <f t="shared" si="70"/>
        <v>0</v>
      </c>
      <c r="AC1950" s="236" t="e">
        <v>#N/A</v>
      </c>
      <c r="AD1950" s="236">
        <v>1.3758740326492713E-2</v>
      </c>
    </row>
    <row r="1951" spans="23:30" x14ac:dyDescent="0.2">
      <c r="W1951" s="144"/>
      <c r="X1951" s="113" t="str">
        <f t="shared" si="69"/>
        <v>1w</v>
      </c>
      <c r="Y1951" s="106">
        <f>_xll.qlCalendarAdvance(Calendar,Y1950,X1951,"f",FALSE)</f>
        <v>52881</v>
      </c>
      <c r="Z1951" s="108">
        <f>_xll.qlCalendarAdvance(Calendar,Y1951,0&amp;"D")</f>
        <v>52881</v>
      </c>
      <c r="AA1951" s="109">
        <v>1.3762693672942916E-2</v>
      </c>
      <c r="AB1951" s="143">
        <f t="shared" si="70"/>
        <v>7.9936057773011271E-14</v>
      </c>
      <c r="AC1951" s="236" t="e">
        <v>#N/A</v>
      </c>
      <c r="AD1951" s="236">
        <v>1.376269367286298E-2</v>
      </c>
    </row>
    <row r="1952" spans="23:30" x14ac:dyDescent="0.2">
      <c r="W1952" s="144"/>
      <c r="X1952" s="113" t="str">
        <f t="shared" si="69"/>
        <v>1w</v>
      </c>
      <c r="Y1952" s="106">
        <f>_xll.qlCalendarAdvance(Calendar,Y1951,X1952,"f",FALSE)</f>
        <v>52888</v>
      </c>
      <c r="Z1952" s="108">
        <f>_xll.qlCalendarAdvance(Calendar,Y1952,0&amp;"D")</f>
        <v>52888</v>
      </c>
      <c r="AA1952" s="109">
        <v>1.3766661627947485E-2</v>
      </c>
      <c r="AB1952" s="143">
        <f t="shared" si="70"/>
        <v>7.9936057773011271E-14</v>
      </c>
      <c r="AC1952" s="236" t="e">
        <v>#N/A</v>
      </c>
      <c r="AD1952" s="236">
        <v>1.3766661627867549E-2</v>
      </c>
    </row>
    <row r="1953" spans="23:30" x14ac:dyDescent="0.2">
      <c r="W1953" s="144"/>
      <c r="X1953" s="113" t="str">
        <f t="shared" si="69"/>
        <v>1w</v>
      </c>
      <c r="Y1953" s="106">
        <f>_xll.qlCalendarAdvance(Calendar,Y1952,X1953,"f",FALSE)</f>
        <v>52895</v>
      </c>
      <c r="Z1953" s="108">
        <f>_xll.qlCalendarAdvance(Calendar,Y1953,0&amp;"D")</f>
        <v>52895</v>
      </c>
      <c r="AA1953" s="109">
        <v>1.377064419150642E-2</v>
      </c>
      <c r="AB1953" s="143">
        <f t="shared" si="70"/>
        <v>0</v>
      </c>
      <c r="AC1953" s="236" t="e">
        <v>#N/A</v>
      </c>
      <c r="AD1953" s="236">
        <v>1.377064419150642E-2</v>
      </c>
    </row>
    <row r="1954" spans="23:30" x14ac:dyDescent="0.2">
      <c r="W1954" s="144"/>
      <c r="X1954" s="113" t="str">
        <f t="shared" si="69"/>
        <v>1w</v>
      </c>
      <c r="Y1954" s="106">
        <f>_xll.qlCalendarAdvance(Calendar,Y1953,X1954,"f",FALSE)</f>
        <v>52902</v>
      </c>
      <c r="Z1954" s="108">
        <f>_xll.qlCalendarAdvance(Calendar,Y1954,0&amp;"D")</f>
        <v>52902</v>
      </c>
      <c r="AA1954" s="109">
        <v>1.377464136385953E-2</v>
      </c>
      <c r="AB1954" s="143">
        <f t="shared" si="70"/>
        <v>0</v>
      </c>
      <c r="AC1954" s="236" t="e">
        <v>#N/A</v>
      </c>
      <c r="AD1954" s="236">
        <v>1.377464136385953E-2</v>
      </c>
    </row>
    <row r="1955" spans="23:30" x14ac:dyDescent="0.2">
      <c r="W1955" s="144"/>
      <c r="X1955" s="113" t="str">
        <f t="shared" si="69"/>
        <v>1w</v>
      </c>
      <c r="Y1955" s="106">
        <f>_xll.qlCalendarAdvance(Calendar,Y1954,X1955,"f",FALSE)</f>
        <v>52909</v>
      </c>
      <c r="Z1955" s="108">
        <f>_xll.qlCalendarAdvance(Calendar,Y1955,0&amp;"D")</f>
        <v>52909</v>
      </c>
      <c r="AA1955" s="109">
        <v>1.3778653144926878E-2</v>
      </c>
      <c r="AB1955" s="143">
        <f t="shared" si="70"/>
        <v>0</v>
      </c>
      <c r="AC1955" s="236" t="e">
        <v>#N/A</v>
      </c>
      <c r="AD1955" s="236">
        <v>1.3778653144926878E-2</v>
      </c>
    </row>
    <row r="1956" spans="23:30" x14ac:dyDescent="0.2">
      <c r="W1956" s="144"/>
      <c r="X1956" s="113" t="str">
        <f t="shared" si="69"/>
        <v>1w</v>
      </c>
      <c r="Y1956" s="106">
        <f>_xll.qlCalendarAdvance(Calendar,Y1955,X1956,"f",FALSE)</f>
        <v>52916</v>
      </c>
      <c r="Z1956" s="108">
        <f>_xll.qlCalendarAdvance(Calendar,Y1956,0&amp;"D")</f>
        <v>52916</v>
      </c>
      <c r="AA1956" s="109">
        <v>1.3782679534628528E-2</v>
      </c>
      <c r="AB1956" s="143">
        <f t="shared" si="70"/>
        <v>0</v>
      </c>
      <c r="AC1956" s="236" t="e">
        <v>#N/A</v>
      </c>
      <c r="AD1956" s="236">
        <v>1.3782679534628528E-2</v>
      </c>
    </row>
    <row r="1957" spans="23:30" x14ac:dyDescent="0.2">
      <c r="W1957" s="144"/>
      <c r="X1957" s="113" t="str">
        <f t="shared" si="69"/>
        <v>1w</v>
      </c>
      <c r="Y1957" s="106">
        <f>_xll.qlCalendarAdvance(Calendar,Y1956,X1957,"f",FALSE)</f>
        <v>52923</v>
      </c>
      <c r="Z1957" s="108">
        <f>_xll.qlCalendarAdvance(Calendar,Y1957,0&amp;"D")</f>
        <v>52923</v>
      </c>
      <c r="AA1957" s="109">
        <v>1.378672053296448E-2</v>
      </c>
      <c r="AB1957" s="143">
        <f t="shared" si="70"/>
        <v>0</v>
      </c>
      <c r="AC1957" s="236" t="e">
        <v>#N/A</v>
      </c>
      <c r="AD1957" s="236">
        <v>1.378672053296448E-2</v>
      </c>
    </row>
    <row r="1958" spans="23:30" x14ac:dyDescent="0.2">
      <c r="W1958" s="144"/>
      <c r="X1958" s="113" t="str">
        <f t="shared" si="69"/>
        <v>1w</v>
      </c>
      <c r="Y1958" s="106">
        <f>_xll.qlCalendarAdvance(Calendar,Y1957,X1958,"f",FALSE)</f>
        <v>52930</v>
      </c>
      <c r="Z1958" s="108">
        <f>_xll.qlCalendarAdvance(Calendar,Y1958,0&amp;"D")</f>
        <v>52930</v>
      </c>
      <c r="AA1958" s="109">
        <v>1.3790776140014671E-2</v>
      </c>
      <c r="AB1958" s="143">
        <f t="shared" si="70"/>
        <v>-7.9936057773011271E-14</v>
      </c>
      <c r="AC1958" s="236" t="e">
        <v>#N/A</v>
      </c>
      <c r="AD1958" s="236">
        <v>1.3790776140094607E-2</v>
      </c>
    </row>
    <row r="1959" spans="23:30" x14ac:dyDescent="0.2">
      <c r="W1959" s="144"/>
      <c r="X1959" s="113" t="str">
        <f t="shared" si="69"/>
        <v>1w</v>
      </c>
      <c r="Y1959" s="106">
        <f>_xll.qlCalendarAdvance(Calendar,Y1958,X1959,"f",FALSE)</f>
        <v>52937</v>
      </c>
      <c r="Z1959" s="108">
        <f>_xll.qlCalendarAdvance(Calendar,Y1959,0&amp;"D")</f>
        <v>52937</v>
      </c>
      <c r="AA1959" s="109">
        <v>1.3794846355859036E-2</v>
      </c>
      <c r="AB1959" s="143">
        <f t="shared" si="70"/>
        <v>7.9936057773011271E-14</v>
      </c>
      <c r="AC1959" s="236" t="e">
        <v>#N/A</v>
      </c>
      <c r="AD1959" s="236">
        <v>1.37948463557791E-2</v>
      </c>
    </row>
    <row r="1960" spans="23:30" x14ac:dyDescent="0.2">
      <c r="W1960" s="144"/>
      <c r="X1960" s="113" t="str">
        <f t="shared" si="69"/>
        <v>1w</v>
      </c>
      <c r="Y1960" s="106">
        <f>_xll.qlCalendarAdvance(Calendar,Y1959,X1960,"f",FALSE)</f>
        <v>52944</v>
      </c>
      <c r="Z1960" s="108">
        <f>_xll.qlCalendarAdvance(Calendar,Y1960,0&amp;"D")</f>
        <v>52944</v>
      </c>
      <c r="AA1960" s="109">
        <v>1.3798931180177831E-2</v>
      </c>
      <c r="AB1960" s="143">
        <f t="shared" si="70"/>
        <v>7.9936057773011271E-14</v>
      </c>
      <c r="AC1960" s="236" t="e">
        <v>#N/A</v>
      </c>
      <c r="AD1960" s="236">
        <v>1.3798931180097895E-2</v>
      </c>
    </row>
    <row r="1961" spans="23:30" x14ac:dyDescent="0.2">
      <c r="W1961" s="144"/>
      <c r="X1961" s="113" t="str">
        <f t="shared" si="69"/>
        <v>1w</v>
      </c>
      <c r="Y1961" s="106">
        <f>_xll.qlCalendarAdvance(Calendar,Y1960,X1961,"f",FALSE)</f>
        <v>52951</v>
      </c>
      <c r="Z1961" s="108">
        <f>_xll.qlCalendarAdvance(Calendar,Y1961,0&amp;"D")</f>
        <v>52951</v>
      </c>
      <c r="AA1961" s="109">
        <v>1.3803030613370737E-2</v>
      </c>
      <c r="AB1961" s="143">
        <f t="shared" si="70"/>
        <v>7.9936057773011271E-14</v>
      </c>
      <c r="AC1961" s="236" t="e">
        <v>#N/A</v>
      </c>
      <c r="AD1961" s="236">
        <v>1.3803030613290801E-2</v>
      </c>
    </row>
    <row r="1962" spans="23:30" x14ac:dyDescent="0.2">
      <c r="W1962" s="144"/>
      <c r="X1962" s="113" t="str">
        <f t="shared" si="69"/>
        <v>1w</v>
      </c>
      <c r="Y1962" s="106">
        <f>_xll.qlCalendarAdvance(Calendar,Y1961,X1962,"f",FALSE)</f>
        <v>52958</v>
      </c>
      <c r="Z1962" s="108">
        <f>_xll.qlCalendarAdvance(Calendar,Y1962,0&amp;"D")</f>
        <v>52958</v>
      </c>
      <c r="AA1962" s="109">
        <v>1.3807144654878201E-2</v>
      </c>
      <c r="AB1962" s="143">
        <f t="shared" si="70"/>
        <v>-7.9936057773011271E-14</v>
      </c>
      <c r="AC1962" s="236" t="e">
        <v>#N/A</v>
      </c>
      <c r="AD1962" s="236">
        <v>1.3807144654958137E-2</v>
      </c>
    </row>
    <row r="1963" spans="23:30" x14ac:dyDescent="0.2">
      <c r="W1963" s="144"/>
      <c r="X1963" s="113" t="str">
        <f t="shared" si="69"/>
        <v>1w</v>
      </c>
      <c r="Y1963" s="106">
        <f>_xll.qlCalendarAdvance(Calendar,Y1962,X1963,"f",FALSE)</f>
        <v>52965</v>
      </c>
      <c r="Z1963" s="108">
        <f>_xll.qlCalendarAdvance(Calendar,Y1963,0&amp;"D")</f>
        <v>52965</v>
      </c>
      <c r="AA1963" s="109">
        <v>1.3811273305579519E-2</v>
      </c>
      <c r="AB1963" s="143">
        <f t="shared" si="70"/>
        <v>7.9936057773011271E-14</v>
      </c>
      <c r="AC1963" s="236" t="e">
        <v>#N/A</v>
      </c>
      <c r="AD1963" s="236">
        <v>1.3811273305499583E-2</v>
      </c>
    </row>
    <row r="1964" spans="23:30" x14ac:dyDescent="0.2">
      <c r="W1964" s="144"/>
      <c r="X1964" s="113" t="str">
        <f t="shared" si="69"/>
        <v>1w</v>
      </c>
      <c r="Y1964" s="106">
        <f>_xll.qlCalendarAdvance(Calendar,Y1963,X1964,"f",FALSE)</f>
        <v>52972</v>
      </c>
      <c r="Z1964" s="108">
        <f>_xll.qlCalendarAdvance(Calendar,Y1964,0&amp;"D")</f>
        <v>52972</v>
      </c>
      <c r="AA1964" s="109">
        <v>1.3815416564595395E-2</v>
      </c>
      <c r="AB1964" s="143">
        <f t="shared" si="70"/>
        <v>0</v>
      </c>
      <c r="AC1964" s="236" t="e">
        <v>#N/A</v>
      </c>
      <c r="AD1964" s="236">
        <v>1.3815416564595395E-2</v>
      </c>
    </row>
    <row r="1965" spans="23:30" x14ac:dyDescent="0.2">
      <c r="W1965" s="144"/>
      <c r="X1965" s="113" t="str">
        <f t="shared" si="69"/>
        <v>1w</v>
      </c>
      <c r="Y1965" s="106">
        <f>_xll.qlCalendarAdvance(Calendar,Y1964,X1965,"f",FALSE)</f>
        <v>52979</v>
      </c>
      <c r="Z1965" s="108">
        <f>_xll.qlCalendarAdvance(Calendar,Y1965,0&amp;"D")</f>
        <v>52979</v>
      </c>
      <c r="AA1965" s="109">
        <v>1.3819574432405446E-2</v>
      </c>
      <c r="AB1965" s="143">
        <f t="shared" si="70"/>
        <v>0</v>
      </c>
      <c r="AC1965" s="236" t="e">
        <v>#N/A</v>
      </c>
      <c r="AD1965" s="236">
        <v>1.3819574432405446E-2</v>
      </c>
    </row>
    <row r="1966" spans="23:30" x14ac:dyDescent="0.2">
      <c r="W1966" s="144"/>
      <c r="X1966" s="113" t="str">
        <f t="shared" si="69"/>
        <v>1w</v>
      </c>
      <c r="Y1966" s="106">
        <f>_xll.qlCalendarAdvance(Calendar,Y1965,X1966,"f",FALSE)</f>
        <v>52986</v>
      </c>
      <c r="Z1966" s="108">
        <f>_xll.qlCalendarAdvance(Calendar,Y1966,0&amp;"D")</f>
        <v>52986</v>
      </c>
      <c r="AA1966" s="109">
        <v>1.3823746908849799E-2</v>
      </c>
      <c r="AB1966" s="143">
        <f t="shared" si="70"/>
        <v>0</v>
      </c>
      <c r="AC1966" s="236" t="e">
        <v>#N/A</v>
      </c>
      <c r="AD1966" s="236">
        <v>1.3823746908849799E-2</v>
      </c>
    </row>
    <row r="1967" spans="23:30" x14ac:dyDescent="0.2">
      <c r="W1967" s="144"/>
      <c r="X1967" s="113" t="str">
        <f t="shared" si="69"/>
        <v>1w</v>
      </c>
      <c r="Y1967" s="106">
        <f>_xll.qlCalendarAdvance(Calendar,Y1966,X1967,"f",FALSE)</f>
        <v>52993</v>
      </c>
      <c r="Z1967" s="108">
        <f>_xll.qlCalendarAdvance(Calendar,Y1967,0&amp;"D")</f>
        <v>52993</v>
      </c>
      <c r="AA1967" s="109">
        <v>1.382793399400839E-2</v>
      </c>
      <c r="AB1967" s="143">
        <f t="shared" si="70"/>
        <v>-7.9936057773011271E-14</v>
      </c>
      <c r="AC1967" s="236" t="e">
        <v>#N/A</v>
      </c>
      <c r="AD1967" s="236">
        <v>1.3827933994088326E-2</v>
      </c>
    </row>
    <row r="1968" spans="23:30" x14ac:dyDescent="0.2">
      <c r="W1968" s="144"/>
      <c r="X1968" s="113" t="str">
        <f t="shared" si="69"/>
        <v>1w</v>
      </c>
      <c r="Y1968" s="106">
        <f>_xll.qlCalendarAdvance(Calendar,Y1967,X1968,"f",FALSE)</f>
        <v>53000</v>
      </c>
      <c r="Z1968" s="108">
        <f>_xll.qlCalendarAdvance(Calendar,Y1968,0&amp;"D")</f>
        <v>53000</v>
      </c>
      <c r="AA1968" s="109">
        <v>1.3832135687801284E-2</v>
      </c>
      <c r="AB1968" s="143">
        <f t="shared" si="70"/>
        <v>-7.9936057773011271E-14</v>
      </c>
      <c r="AC1968" s="236" t="e">
        <v>#N/A</v>
      </c>
      <c r="AD1968" s="236">
        <v>1.383213568788122E-2</v>
      </c>
    </row>
    <row r="1969" spans="23:30" x14ac:dyDescent="0.2">
      <c r="W1969" s="144"/>
      <c r="X1969" s="113" t="str">
        <f t="shared" si="69"/>
        <v>1w</v>
      </c>
      <c r="Y1969" s="106">
        <f>_xll.qlCalendarAdvance(Calendar,Y1968,X1969,"f",FALSE)</f>
        <v>53007</v>
      </c>
      <c r="Z1969" s="108">
        <f>_xll.qlCalendarAdvance(Calendar,Y1969,0&amp;"D")</f>
        <v>53007</v>
      </c>
      <c r="AA1969" s="109">
        <v>1.3836351990468287E-2</v>
      </c>
      <c r="AB1969" s="143">
        <f t="shared" si="70"/>
        <v>7.9936057773011271E-14</v>
      </c>
      <c r="AC1969" s="236" t="e">
        <v>#N/A</v>
      </c>
      <c r="AD1969" s="236">
        <v>1.3836351990388351E-2</v>
      </c>
    </row>
    <row r="1970" spans="23:30" x14ac:dyDescent="0.2">
      <c r="W1970" s="144"/>
      <c r="X1970" s="113" t="str">
        <f t="shared" si="69"/>
        <v>1w</v>
      </c>
      <c r="Y1970" s="106">
        <f>_xll.qlCalendarAdvance(Calendar,Y1969,X1970,"f",FALSE)</f>
        <v>53014</v>
      </c>
      <c r="Z1970" s="108">
        <f>_xll.qlCalendarAdvance(Calendar,Y1970,0&amp;"D")</f>
        <v>53014</v>
      </c>
      <c r="AA1970" s="109">
        <v>1.3840582901689658E-2</v>
      </c>
      <c r="AB1970" s="143">
        <f t="shared" si="70"/>
        <v>0</v>
      </c>
      <c r="AC1970" s="236" t="e">
        <v>#N/A</v>
      </c>
      <c r="AD1970" s="236">
        <v>1.3840582901689658E-2</v>
      </c>
    </row>
    <row r="1971" spans="23:30" x14ac:dyDescent="0.2">
      <c r="W1971" s="144"/>
      <c r="X1971" s="113" t="str">
        <f t="shared" si="69"/>
        <v>1w</v>
      </c>
      <c r="Y1971" s="106">
        <f>_xll.qlCalendarAdvance(Calendar,Y1970,X1971,"f",FALSE)</f>
        <v>53021</v>
      </c>
      <c r="Z1971" s="108">
        <f>_xll.qlCalendarAdvance(Calendar,Y1971,0&amp;"D")</f>
        <v>53021</v>
      </c>
      <c r="AA1971" s="109">
        <v>1.384482842154533E-2</v>
      </c>
      <c r="AB1971" s="143">
        <f t="shared" si="70"/>
        <v>0</v>
      </c>
      <c r="AC1971" s="236" t="e">
        <v>#N/A</v>
      </c>
      <c r="AD1971" s="236">
        <v>1.384482842154533E-2</v>
      </c>
    </row>
    <row r="1972" spans="23:30" x14ac:dyDescent="0.2">
      <c r="W1972" s="144"/>
      <c r="X1972" s="113" t="str">
        <f t="shared" si="69"/>
        <v>1w</v>
      </c>
      <c r="Y1972" s="106">
        <f>_xll.qlCalendarAdvance(Calendar,Y1971,X1972,"f",FALSE)</f>
        <v>53028</v>
      </c>
      <c r="Z1972" s="108">
        <f>_xll.qlCalendarAdvance(Calendar,Y1972,0&amp;"D")</f>
        <v>53028</v>
      </c>
      <c r="AA1972" s="109">
        <v>1.3849088550035304E-2</v>
      </c>
      <c r="AB1972" s="143">
        <f t="shared" si="70"/>
        <v>-7.9936057773011271E-14</v>
      </c>
      <c r="AC1972" s="236" t="e">
        <v>#N/A</v>
      </c>
      <c r="AD1972" s="236">
        <v>1.3849088550115241E-2</v>
      </c>
    </row>
    <row r="1973" spans="23:30" x14ac:dyDescent="0.2">
      <c r="W1973" s="144"/>
      <c r="X1973" s="113" t="str">
        <f t="shared" si="69"/>
        <v>1w</v>
      </c>
      <c r="Y1973" s="106">
        <f>_xll.qlCalendarAdvance(Calendar,Y1972,X1973,"f",FALSE)</f>
        <v>53035</v>
      </c>
      <c r="Z1973" s="108">
        <f>_xll.qlCalendarAdvance(Calendar,Y1973,0&amp;"D")</f>
        <v>53035</v>
      </c>
      <c r="AA1973" s="109">
        <v>1.3853363287319453E-2</v>
      </c>
      <c r="AB1973" s="143">
        <f t="shared" si="70"/>
        <v>0</v>
      </c>
      <c r="AC1973" s="236" t="e">
        <v>#N/A</v>
      </c>
      <c r="AD1973" s="236">
        <v>1.3853363287319453E-2</v>
      </c>
    </row>
    <row r="1974" spans="23:30" x14ac:dyDescent="0.2">
      <c r="W1974" s="144"/>
      <c r="X1974" s="113" t="str">
        <f t="shared" si="69"/>
        <v>1w</v>
      </c>
      <c r="Y1974" s="106">
        <f>_xll.qlCalendarAdvance(Calendar,Y1973,X1974,"f",FALSE)</f>
        <v>53042</v>
      </c>
      <c r="Z1974" s="108">
        <f>_xll.qlCalendarAdvance(Calendar,Y1974,0&amp;"D")</f>
        <v>53042</v>
      </c>
      <c r="AA1974" s="109">
        <v>1.3857652633317841E-2</v>
      </c>
      <c r="AB1974" s="143">
        <f t="shared" si="70"/>
        <v>0</v>
      </c>
      <c r="AC1974" s="236" t="e">
        <v>#N/A</v>
      </c>
      <c r="AD1974" s="236">
        <v>1.3857652633317841E-2</v>
      </c>
    </row>
    <row r="1975" spans="23:30" x14ac:dyDescent="0.2">
      <c r="W1975" s="144"/>
      <c r="X1975" s="113" t="str">
        <f t="shared" si="69"/>
        <v>1w</v>
      </c>
      <c r="Y1975" s="106">
        <f>_xll.qlCalendarAdvance(Calendar,Y1974,X1975,"f",FALSE)</f>
        <v>53049</v>
      </c>
      <c r="Z1975" s="108">
        <f>_xll.qlCalendarAdvance(Calendar,Y1975,0&amp;"D")</f>
        <v>53049</v>
      </c>
      <c r="AA1975" s="109">
        <v>1.386195658795053E-2</v>
      </c>
      <c r="AB1975" s="143">
        <f t="shared" si="70"/>
        <v>0</v>
      </c>
      <c r="AC1975" s="236" t="e">
        <v>#N/A</v>
      </c>
      <c r="AD1975" s="236">
        <v>1.386195658795053E-2</v>
      </c>
    </row>
    <row r="1976" spans="23:30" x14ac:dyDescent="0.2">
      <c r="W1976" s="144"/>
      <c r="X1976" s="113" t="str">
        <f t="shared" si="69"/>
        <v>1w</v>
      </c>
      <c r="Y1976" s="106">
        <f>_xll.qlCalendarAdvance(Calendar,Y1975,X1976,"f",FALSE)</f>
        <v>53056</v>
      </c>
      <c r="Z1976" s="108">
        <f>_xll.qlCalendarAdvance(Calendar,Y1976,0&amp;"D")</f>
        <v>53056</v>
      </c>
      <c r="AA1976" s="109">
        <v>1.3866275151217522E-2</v>
      </c>
      <c r="AB1976" s="143">
        <f t="shared" si="70"/>
        <v>-7.9936057773011271E-14</v>
      </c>
      <c r="AC1976" s="236" t="e">
        <v>#N/A</v>
      </c>
      <c r="AD1976" s="236">
        <v>1.3866275151297458E-2</v>
      </c>
    </row>
    <row r="1977" spans="23:30" x14ac:dyDescent="0.2">
      <c r="W1977" s="144"/>
      <c r="X1977" s="113" t="str">
        <f t="shared" si="69"/>
        <v>1w</v>
      </c>
      <c r="Y1977" s="106">
        <f>_xll.qlCalendarAdvance(Calendar,Y1976,X1977,"f",FALSE)</f>
        <v>53063</v>
      </c>
      <c r="Z1977" s="108">
        <f>_xll.qlCalendarAdvance(Calendar,Y1977,0&amp;"D")</f>
        <v>53063</v>
      </c>
      <c r="AA1977" s="109">
        <v>1.3870608323358624E-2</v>
      </c>
      <c r="AB1977" s="143">
        <f t="shared" si="70"/>
        <v>0</v>
      </c>
      <c r="AC1977" s="236" t="e">
        <v>#N/A</v>
      </c>
      <c r="AD1977" s="236">
        <v>1.3870608323358624E-2</v>
      </c>
    </row>
    <row r="1978" spans="23:30" x14ac:dyDescent="0.2">
      <c r="W1978" s="144"/>
      <c r="X1978" s="113" t="str">
        <f t="shared" si="69"/>
        <v>1w</v>
      </c>
      <c r="Y1978" s="106">
        <f>_xll.qlCalendarAdvance(Calendar,Y1977,X1978,"f",FALSE)</f>
        <v>53070</v>
      </c>
      <c r="Z1978" s="108">
        <f>_xll.qlCalendarAdvance(Calendar,Y1978,0&amp;"D")</f>
        <v>53070</v>
      </c>
      <c r="AA1978" s="109">
        <v>1.3874956103974156E-2</v>
      </c>
      <c r="AB1978" s="143">
        <f t="shared" si="70"/>
        <v>0</v>
      </c>
      <c r="AC1978" s="236" t="e">
        <v>#N/A</v>
      </c>
      <c r="AD1978" s="236">
        <v>1.3874956103974156E-2</v>
      </c>
    </row>
    <row r="1979" spans="23:30" x14ac:dyDescent="0.2">
      <c r="W1979" s="144"/>
      <c r="X1979" s="113" t="str">
        <f t="shared" si="69"/>
        <v>1w</v>
      </c>
      <c r="Y1979" s="106">
        <f>_xll.qlCalendarAdvance(Calendar,Y1978,X1979,"f",FALSE)</f>
        <v>53077</v>
      </c>
      <c r="Z1979" s="108">
        <f>_xll.qlCalendarAdvance(Calendar,Y1979,0&amp;"D")</f>
        <v>53077</v>
      </c>
      <c r="AA1979" s="109">
        <v>1.3879318493383863E-2</v>
      </c>
      <c r="AB1979" s="143">
        <f t="shared" si="70"/>
        <v>0</v>
      </c>
      <c r="AC1979" s="236" t="e">
        <v>#N/A</v>
      </c>
      <c r="AD1979" s="236">
        <v>1.3879318493383863E-2</v>
      </c>
    </row>
    <row r="1980" spans="23:30" x14ac:dyDescent="0.2">
      <c r="W1980" s="144"/>
      <c r="X1980" s="113" t="str">
        <f t="shared" si="69"/>
        <v>1w</v>
      </c>
      <c r="Y1980" s="106">
        <f>_xll.qlCalendarAdvance(Calendar,Y1979,X1980,"f",FALSE)</f>
        <v>53084</v>
      </c>
      <c r="Z1980" s="108">
        <f>_xll.qlCalendarAdvance(Calendar,Y1980,0&amp;"D")</f>
        <v>53084</v>
      </c>
      <c r="AA1980" s="109">
        <v>1.3883695491507808E-2</v>
      </c>
      <c r="AB1980" s="143">
        <f t="shared" si="70"/>
        <v>7.9936057773011271E-14</v>
      </c>
      <c r="AC1980" s="236" t="e">
        <v>#N/A</v>
      </c>
      <c r="AD1980" s="236">
        <v>1.3883695491427872E-2</v>
      </c>
    </row>
    <row r="1981" spans="23:30" x14ac:dyDescent="0.2">
      <c r="W1981" s="144"/>
      <c r="X1981" s="113" t="str">
        <f t="shared" si="69"/>
        <v>1w</v>
      </c>
      <c r="Y1981" s="106">
        <f>_xll.qlCalendarAdvance(Calendar,Y1980,X1981,"f",FALSE)</f>
        <v>53091</v>
      </c>
      <c r="Z1981" s="108">
        <f>_xll.qlCalendarAdvance(Calendar,Y1981,0&amp;"D")</f>
        <v>53091</v>
      </c>
      <c r="AA1981" s="109">
        <v>1.3888087098186119E-2</v>
      </c>
      <c r="AB1981" s="143">
        <f t="shared" si="70"/>
        <v>-7.9936057773011271E-14</v>
      </c>
      <c r="AC1981" s="236" t="e">
        <v>#N/A</v>
      </c>
      <c r="AD1981" s="236">
        <v>1.3888087098266055E-2</v>
      </c>
    </row>
    <row r="1982" spans="23:30" x14ac:dyDescent="0.2">
      <c r="W1982" s="144"/>
      <c r="X1982" s="113" t="str">
        <f t="shared" si="69"/>
        <v>1w</v>
      </c>
      <c r="Y1982" s="106">
        <f>_xll.qlCalendarAdvance(Calendar,Y1981,X1982,"f",FALSE)</f>
        <v>53098</v>
      </c>
      <c r="Z1982" s="108">
        <f>_xll.qlCalendarAdvance(Calendar,Y1982,0&amp;"D")</f>
        <v>53098</v>
      </c>
      <c r="AA1982" s="109">
        <v>1.3892493313578669E-2</v>
      </c>
      <c r="AB1982" s="143">
        <f t="shared" si="70"/>
        <v>0</v>
      </c>
      <c r="AC1982" s="236" t="e">
        <v>#N/A</v>
      </c>
      <c r="AD1982" s="236">
        <v>1.3892493313578669E-2</v>
      </c>
    </row>
    <row r="1983" spans="23:30" x14ac:dyDescent="0.2">
      <c r="W1983" s="144"/>
      <c r="X1983" s="113" t="str">
        <f t="shared" si="69"/>
        <v>1w</v>
      </c>
      <c r="Y1983" s="106">
        <f>_xll.qlCalendarAdvance(Calendar,Y1982,X1983,"f",FALSE)</f>
        <v>53105</v>
      </c>
      <c r="Z1983" s="108">
        <f>_xll.qlCalendarAdvance(Calendar,Y1983,0&amp;"D")</f>
        <v>53105</v>
      </c>
      <c r="AA1983" s="109">
        <v>1.3896914137765393E-2</v>
      </c>
      <c r="AB1983" s="143">
        <f t="shared" si="70"/>
        <v>-7.9936057773011271E-14</v>
      </c>
      <c r="AC1983" s="236" t="e">
        <v>#N/A</v>
      </c>
      <c r="AD1983" s="236">
        <v>1.3896914137845329E-2</v>
      </c>
    </row>
    <row r="1984" spans="23:30" x14ac:dyDescent="0.2">
      <c r="W1984" s="144"/>
      <c r="X1984" s="113" t="str">
        <f t="shared" si="69"/>
        <v>1w</v>
      </c>
      <c r="Y1984" s="106">
        <f>_xll.qlCalendarAdvance(Calendar,Y1983,X1984,"f",FALSE)</f>
        <v>53112</v>
      </c>
      <c r="Z1984" s="108">
        <f>_xll.qlCalendarAdvance(Calendar,Y1984,0&amp;"D")</f>
        <v>53112</v>
      </c>
      <c r="AA1984" s="109">
        <v>1.3901349570666355E-2</v>
      </c>
      <c r="AB1984" s="143">
        <f t="shared" si="70"/>
        <v>0</v>
      </c>
      <c r="AC1984" s="236" t="e">
        <v>#N/A</v>
      </c>
      <c r="AD1984" s="236">
        <v>1.3901349570666355E-2</v>
      </c>
    </row>
    <row r="1985" spans="23:30" x14ac:dyDescent="0.2">
      <c r="W1985" s="144"/>
      <c r="X1985" s="113" t="str">
        <f t="shared" si="69"/>
        <v>1w</v>
      </c>
      <c r="Y1985" s="106">
        <f>_xll.qlCalendarAdvance(Calendar,Y1984,X1985,"f",FALSE)</f>
        <v>53119</v>
      </c>
      <c r="Z1985" s="108">
        <f>_xll.qlCalendarAdvance(Calendar,Y1985,0&amp;"D")</f>
        <v>53119</v>
      </c>
      <c r="AA1985" s="109">
        <v>1.39057846588031E-2</v>
      </c>
      <c r="AB1985" s="143">
        <f t="shared" si="70"/>
        <v>0</v>
      </c>
      <c r="AC1985" s="236" t="e">
        <v>#N/A</v>
      </c>
      <c r="AD1985" s="236">
        <v>1.39057846588031E-2</v>
      </c>
    </row>
    <row r="1986" spans="23:30" x14ac:dyDescent="0.2">
      <c r="W1986" s="144"/>
      <c r="X1986" s="113" t="str">
        <f t="shared" si="69"/>
        <v>1w</v>
      </c>
      <c r="Y1986" s="106">
        <f>_xll.qlCalendarAdvance(Calendar,Y1985,X1986,"f",FALSE)</f>
        <v>53126</v>
      </c>
      <c r="Z1986" s="108">
        <f>_xll.qlCalendarAdvance(Calendar,Y1986,0&amp;"D")</f>
        <v>53126</v>
      </c>
      <c r="AA1986" s="109">
        <v>1.3910187194898782E-2</v>
      </c>
      <c r="AB1986" s="143">
        <f t="shared" si="70"/>
        <v>0</v>
      </c>
      <c r="AC1986" s="236" t="e">
        <v>#N/A</v>
      </c>
      <c r="AD1986" s="236">
        <v>1.3910187194898782E-2</v>
      </c>
    </row>
    <row r="1987" spans="23:30" x14ac:dyDescent="0.2">
      <c r="W1987" s="144"/>
      <c r="X1987" s="113" t="str">
        <f t="shared" si="69"/>
        <v>1w</v>
      </c>
      <c r="Y1987" s="106">
        <f>_xll.qlCalendarAdvance(Calendar,Y1986,X1987,"f",FALSE)</f>
        <v>53133</v>
      </c>
      <c r="Z1987" s="108">
        <f>_xll.qlCalendarAdvance(Calendar,Y1987,0&amp;"D")</f>
        <v>53133</v>
      </c>
      <c r="AA1987" s="109">
        <v>1.3914556028513658E-2</v>
      </c>
      <c r="AB1987" s="143">
        <f t="shared" si="70"/>
        <v>-7.9936057773011271E-14</v>
      </c>
      <c r="AC1987" s="236" t="e">
        <v>#N/A</v>
      </c>
      <c r="AD1987" s="236">
        <v>1.3914556028593594E-2</v>
      </c>
    </row>
    <row r="1988" spans="23:30" x14ac:dyDescent="0.2">
      <c r="W1988" s="144"/>
      <c r="X1988" s="113" t="str">
        <f t="shared" si="69"/>
        <v>1w</v>
      </c>
      <c r="Y1988" s="106">
        <f>_xll.qlCalendarAdvance(Calendar,Y1987,X1988,"f",FALSE)</f>
        <v>53140</v>
      </c>
      <c r="Z1988" s="108">
        <f>_xll.qlCalendarAdvance(Calendar,Y1988,0&amp;"D")</f>
        <v>53140</v>
      </c>
      <c r="AA1988" s="109">
        <v>1.3918891160047409E-2</v>
      </c>
      <c r="AB1988" s="143">
        <f t="shared" si="70"/>
        <v>0</v>
      </c>
      <c r="AC1988" s="236" t="e">
        <v>#N/A</v>
      </c>
      <c r="AD1988" s="236">
        <v>1.3918891160047409E-2</v>
      </c>
    </row>
    <row r="1989" spans="23:30" x14ac:dyDescent="0.2">
      <c r="W1989" s="144"/>
      <c r="X1989" s="113" t="str">
        <f t="shared" si="69"/>
        <v>1w</v>
      </c>
      <c r="Y1989" s="106">
        <f>_xll.qlCalendarAdvance(Calendar,Y1988,X1989,"f",FALSE)</f>
        <v>53147</v>
      </c>
      <c r="Z1989" s="108">
        <f>_xll.qlCalendarAdvance(Calendar,Y1989,0&amp;"D")</f>
        <v>53147</v>
      </c>
      <c r="AA1989" s="109">
        <v>1.3923192589020417E-2</v>
      </c>
      <c r="AB1989" s="143">
        <f t="shared" si="70"/>
        <v>-7.9936057773011271E-14</v>
      </c>
      <c r="AC1989" s="236" t="e">
        <v>#N/A</v>
      </c>
      <c r="AD1989" s="236">
        <v>1.3923192589100353E-2</v>
      </c>
    </row>
    <row r="1990" spans="23:30" x14ac:dyDescent="0.2">
      <c r="W1990" s="144"/>
      <c r="X1990" s="113" t="str">
        <f t="shared" si="69"/>
        <v>1w</v>
      </c>
      <c r="Y1990" s="106">
        <f>_xll.qlCalendarAdvance(Calendar,Y1989,X1990,"f",FALSE)</f>
        <v>53154</v>
      </c>
      <c r="Z1990" s="108">
        <f>_xll.qlCalendarAdvance(Calendar,Y1990,0&amp;"D")</f>
        <v>53154</v>
      </c>
      <c r="AA1990" s="109">
        <v>1.3927460315992235E-2</v>
      </c>
      <c r="AB1990" s="143">
        <f t="shared" si="70"/>
        <v>0</v>
      </c>
      <c r="AC1990" s="236" t="e">
        <v>#N/A</v>
      </c>
      <c r="AD1990" s="236">
        <v>1.3927460315992235E-2</v>
      </c>
    </row>
    <row r="1991" spans="23:30" x14ac:dyDescent="0.2">
      <c r="W1991" s="144"/>
      <c r="X1991" s="113" t="str">
        <f t="shared" si="69"/>
        <v>1w</v>
      </c>
      <c r="Y1991" s="106">
        <f>_xll.qlCalendarAdvance(Calendar,Y1990,X1991,"f",FALSE)</f>
        <v>53161</v>
      </c>
      <c r="Z1991" s="108">
        <f>_xll.qlCalendarAdvance(Calendar,Y1991,0&amp;"D")</f>
        <v>53161</v>
      </c>
      <c r="AA1991" s="109">
        <v>1.3931694340483247E-2</v>
      </c>
      <c r="AB1991" s="143">
        <f t="shared" si="70"/>
        <v>0</v>
      </c>
      <c r="AC1991" s="236" t="e">
        <v>#N/A</v>
      </c>
      <c r="AD1991" s="236">
        <v>1.3931694340483247E-2</v>
      </c>
    </row>
    <row r="1992" spans="23:30" x14ac:dyDescent="0.2">
      <c r="W1992" s="144"/>
      <c r="X1992" s="113" t="str">
        <f t="shared" si="69"/>
        <v>1w</v>
      </c>
      <c r="Y1992" s="106">
        <f>_xll.qlCalendarAdvance(Calendar,Y1991,X1992,"f",FALSE)</f>
        <v>53168</v>
      </c>
      <c r="Z1992" s="108">
        <f>_xll.qlCalendarAdvance(Calendar,Y1992,0&amp;"D")</f>
        <v>53168</v>
      </c>
      <c r="AA1992" s="109">
        <v>1.3935894662573389E-2</v>
      </c>
      <c r="AB1992" s="143">
        <f t="shared" si="70"/>
        <v>-7.9936057773011271E-14</v>
      </c>
      <c r="AC1992" s="236" t="e">
        <v>#N/A</v>
      </c>
      <c r="AD1992" s="236">
        <v>1.3935894662653325E-2</v>
      </c>
    </row>
    <row r="1993" spans="23:30" x14ac:dyDescent="0.2">
      <c r="W1993" s="144"/>
      <c r="X1993" s="113" t="str">
        <f t="shared" si="69"/>
        <v>1w</v>
      </c>
      <c r="Y1993" s="106">
        <f>_xll.qlCalendarAdvance(Calendar,Y1992,X1993,"f",FALSE)</f>
        <v>53175</v>
      </c>
      <c r="Z1993" s="108">
        <f>_xll.qlCalendarAdvance(Calendar,Y1993,0&amp;"D")</f>
        <v>53175</v>
      </c>
      <c r="AA1993" s="109">
        <v>1.3940061282342597E-2</v>
      </c>
      <c r="AB1993" s="143">
        <f t="shared" si="70"/>
        <v>-7.9936057773011271E-14</v>
      </c>
      <c r="AC1993" s="236" t="e">
        <v>#N/A</v>
      </c>
      <c r="AD1993" s="236">
        <v>1.3940061282422533E-2</v>
      </c>
    </row>
    <row r="1994" spans="23:30" x14ac:dyDescent="0.2">
      <c r="W1994" s="144"/>
      <c r="X1994" s="113" t="str">
        <f t="shared" si="69"/>
        <v>1w</v>
      </c>
      <c r="Y1994" s="106">
        <f>_xll.qlCalendarAdvance(Calendar,Y1993,X1994,"f",FALSE)</f>
        <v>53182</v>
      </c>
      <c r="Z1994" s="108">
        <f>_xll.qlCalendarAdvance(Calendar,Y1994,0&amp;"D")</f>
        <v>53182</v>
      </c>
      <c r="AA1994" s="109">
        <v>1.3944194199950743E-2</v>
      </c>
      <c r="AB1994" s="143">
        <f t="shared" si="70"/>
        <v>0</v>
      </c>
      <c r="AC1994" s="236" t="e">
        <v>#N/A</v>
      </c>
      <c r="AD1994" s="236">
        <v>1.3944194199950743E-2</v>
      </c>
    </row>
    <row r="1995" spans="23:30" x14ac:dyDescent="0.2">
      <c r="W1995" s="144"/>
      <c r="X1995" s="113" t="str">
        <f t="shared" si="69"/>
        <v>1w</v>
      </c>
      <c r="Y1995" s="106">
        <f>_xll.qlCalendarAdvance(Calendar,Y1994,X1995,"f",FALSE)</f>
        <v>53189</v>
      </c>
      <c r="Z1995" s="108">
        <f>_xll.qlCalendarAdvance(Calendar,Y1995,0&amp;"D")</f>
        <v>53189</v>
      </c>
      <c r="AA1995" s="109">
        <v>1.3948293415237956E-2</v>
      </c>
      <c r="AB1995" s="143">
        <f t="shared" si="70"/>
        <v>0</v>
      </c>
      <c r="AC1995" s="236" t="e">
        <v>#N/A</v>
      </c>
      <c r="AD1995" s="236">
        <v>1.3948293415237956E-2</v>
      </c>
    </row>
    <row r="1996" spans="23:30" x14ac:dyDescent="0.2">
      <c r="W1996" s="144"/>
      <c r="X1996" s="113" t="str">
        <f t="shared" si="69"/>
        <v>1w</v>
      </c>
      <c r="Y1996" s="106">
        <f>_xll.qlCalendarAdvance(Calendar,Y1995,X1996,"f",FALSE)</f>
        <v>53196</v>
      </c>
      <c r="Z1996" s="108">
        <f>_xll.qlCalendarAdvance(Calendar,Y1996,0&amp;"D")</f>
        <v>53196</v>
      </c>
      <c r="AA1996" s="109">
        <v>1.3952358928044362E-2</v>
      </c>
      <c r="AB1996" s="143">
        <f t="shared" si="70"/>
        <v>0</v>
      </c>
      <c r="AC1996" s="236" t="e">
        <v>#N/A</v>
      </c>
      <c r="AD1996" s="236">
        <v>1.3952358928044362E-2</v>
      </c>
    </row>
    <row r="1997" spans="23:30" x14ac:dyDescent="0.2">
      <c r="W1997" s="144"/>
      <c r="X1997" s="113" t="str">
        <f t="shared" ref="X1997:X2060" si="71">X1996</f>
        <v>1w</v>
      </c>
      <c r="Y1997" s="106">
        <f>_xll.qlCalendarAdvance(Calendar,Y1996,X1997,"f",FALSE)</f>
        <v>53203</v>
      </c>
      <c r="Z1997" s="108">
        <f>_xll.qlCalendarAdvance(Calendar,Y1997,0&amp;"D")</f>
        <v>53203</v>
      </c>
      <c r="AA1997" s="109">
        <v>1.3956390738529834E-2</v>
      </c>
      <c r="AB1997" s="143">
        <f t="shared" si="70"/>
        <v>-7.9936057773011271E-14</v>
      </c>
      <c r="AC1997" s="236" t="e">
        <v>#N/A</v>
      </c>
      <c r="AD1997" s="236">
        <v>1.395639073860977E-2</v>
      </c>
    </row>
    <row r="1998" spans="23:30" x14ac:dyDescent="0.2">
      <c r="W1998" s="144"/>
      <c r="X1998" s="113" t="str">
        <f t="shared" si="71"/>
        <v>1w</v>
      </c>
      <c r="Y1998" s="106">
        <f>_xll.qlCalendarAdvance(Calendar,Y1997,X1998,"f",FALSE)</f>
        <v>53210</v>
      </c>
      <c r="Z1998" s="108">
        <f>_xll.qlCalendarAdvance(Calendar,Y1998,0&amp;"D")</f>
        <v>53210</v>
      </c>
      <c r="AA1998" s="109">
        <v>1.3960388846774308E-2</v>
      </c>
      <c r="AB1998" s="143">
        <f t="shared" si="70"/>
        <v>0</v>
      </c>
      <c r="AC1998" s="236" t="e">
        <v>#N/A</v>
      </c>
      <c r="AD1998" s="236">
        <v>1.3960388846774308E-2</v>
      </c>
    </row>
    <row r="1999" spans="23:30" x14ac:dyDescent="0.2">
      <c r="W1999" s="144"/>
      <c r="X1999" s="113" t="str">
        <f t="shared" si="71"/>
        <v>1w</v>
      </c>
      <c r="Y1999" s="106">
        <f>_xll.qlCalendarAdvance(Calendar,Y1998,X1999,"f",FALSE)</f>
        <v>53217</v>
      </c>
      <c r="Z1999" s="108">
        <f>_xll.qlCalendarAdvance(Calendar,Y1999,0&amp;"D")</f>
        <v>53217</v>
      </c>
      <c r="AA1999" s="109">
        <v>1.3964353252697848E-2</v>
      </c>
      <c r="AB1999" s="143">
        <f t="shared" si="70"/>
        <v>0</v>
      </c>
      <c r="AC1999" s="236" t="e">
        <v>#N/A</v>
      </c>
      <c r="AD1999" s="236">
        <v>1.3964353252697848E-2</v>
      </c>
    </row>
    <row r="2000" spans="23:30" x14ac:dyDescent="0.2">
      <c r="W2000" s="144"/>
      <c r="X2000" s="113" t="str">
        <f t="shared" si="71"/>
        <v>1w</v>
      </c>
      <c r="Y2000" s="106">
        <f>_xll.qlCalendarAdvance(Calendar,Y1999,X2000,"f",FALSE)</f>
        <v>53224</v>
      </c>
      <c r="Z2000" s="108">
        <f>_xll.qlCalendarAdvance(Calendar,Y2000,0&amp;"D")</f>
        <v>53224</v>
      </c>
      <c r="AA2000" s="109">
        <v>1.3968283956220517E-2</v>
      </c>
      <c r="AB2000" s="143">
        <f t="shared" si="70"/>
        <v>-7.9936057773011271E-14</v>
      </c>
      <c r="AC2000" s="236" t="e">
        <v>#N/A</v>
      </c>
      <c r="AD2000" s="236">
        <v>1.3968283956300453E-2</v>
      </c>
    </row>
    <row r="2001" spans="23:30" x14ac:dyDescent="0.2">
      <c r="W2001" s="144"/>
      <c r="X2001" s="113" t="str">
        <f t="shared" si="71"/>
        <v>1w</v>
      </c>
      <c r="Y2001" s="106">
        <f>_xll.qlCalendarAdvance(Calendar,Y2000,X2001,"f",FALSE)</f>
        <v>53231</v>
      </c>
      <c r="Z2001" s="108">
        <f>_xll.qlCalendarAdvance(Calendar,Y2001,0&amp;"D")</f>
        <v>53231</v>
      </c>
      <c r="AA2001" s="109">
        <v>1.3972180957582125E-2</v>
      </c>
      <c r="AB2001" s="143">
        <f t="shared" si="70"/>
        <v>0</v>
      </c>
      <c r="AC2001" s="236" t="e">
        <v>#N/A</v>
      </c>
      <c r="AD2001" s="236">
        <v>1.3972180957582125E-2</v>
      </c>
    </row>
    <row r="2002" spans="23:30" x14ac:dyDescent="0.2">
      <c r="W2002" s="144"/>
      <c r="X2002" s="113" t="str">
        <f t="shared" si="71"/>
        <v>1w</v>
      </c>
      <c r="Y2002" s="106">
        <f>_xll.qlCalendarAdvance(Calendar,Y2001,X2002,"f",FALSE)</f>
        <v>53238</v>
      </c>
      <c r="Z2002" s="108">
        <f>_xll.qlCalendarAdvance(Calendar,Y2002,0&amp;"D")</f>
        <v>53238</v>
      </c>
      <c r="AA2002" s="109">
        <v>1.3976044256462927E-2</v>
      </c>
      <c r="AB2002" s="143">
        <f t="shared" si="70"/>
        <v>0</v>
      </c>
      <c r="AC2002" s="236" t="e">
        <v>#N/A</v>
      </c>
      <c r="AD2002" s="236">
        <v>1.3976044256462927E-2</v>
      </c>
    </row>
    <row r="2003" spans="23:30" x14ac:dyDescent="0.2">
      <c r="W2003" s="144"/>
      <c r="X2003" s="113" t="str">
        <f t="shared" si="71"/>
        <v>1w</v>
      </c>
      <c r="Y2003" s="106">
        <f>_xll.qlCalendarAdvance(Calendar,Y2002,X2003,"f",FALSE)</f>
        <v>53245</v>
      </c>
      <c r="Z2003" s="108">
        <f>_xll.qlCalendarAdvance(Calendar,Y2003,0&amp;"D")</f>
        <v>53245</v>
      </c>
      <c r="AA2003" s="109">
        <v>1.3979873853022795E-2</v>
      </c>
      <c r="AB2003" s="143">
        <f t="shared" si="70"/>
        <v>0</v>
      </c>
      <c r="AC2003" s="236" t="e">
        <v>#N/A</v>
      </c>
      <c r="AD2003" s="236">
        <v>1.3979873853022795E-2</v>
      </c>
    </row>
    <row r="2004" spans="23:30" x14ac:dyDescent="0.2">
      <c r="W2004" s="144"/>
      <c r="X2004" s="113" t="str">
        <f t="shared" si="71"/>
        <v>1w</v>
      </c>
      <c r="Y2004" s="106">
        <f>_xll.qlCalendarAdvance(Calendar,Y2003,X2004,"f",FALSE)</f>
        <v>53252</v>
      </c>
      <c r="Z2004" s="108">
        <f>_xll.qlCalendarAdvance(Calendar,Y2004,0&amp;"D")</f>
        <v>53252</v>
      </c>
      <c r="AA2004" s="109">
        <v>1.3983669747181793E-2</v>
      </c>
      <c r="AB2004" s="143">
        <f t="shared" si="70"/>
        <v>-7.9936057773011271E-14</v>
      </c>
      <c r="AC2004" s="236" t="e">
        <v>#N/A</v>
      </c>
      <c r="AD2004" s="236">
        <v>1.3983669747261729E-2</v>
      </c>
    </row>
    <row r="2005" spans="23:30" x14ac:dyDescent="0.2">
      <c r="W2005" s="144"/>
      <c r="X2005" s="113" t="str">
        <f t="shared" si="71"/>
        <v>1w</v>
      </c>
      <c r="Y2005" s="106">
        <f>_xll.qlCalendarAdvance(Calendar,Y2004,X2005,"f",FALSE)</f>
        <v>53259</v>
      </c>
      <c r="Z2005" s="108">
        <f>_xll.qlCalendarAdvance(Calendar,Y2005,0&amp;"D")</f>
        <v>53259</v>
      </c>
      <c r="AA2005" s="109">
        <v>1.3987431939179729E-2</v>
      </c>
      <c r="AB2005" s="143">
        <f t="shared" ref="AB2005:AB2068" si="72">AA2005-AD2005</f>
        <v>0</v>
      </c>
      <c r="AC2005" s="236" t="e">
        <v>#N/A</v>
      </c>
      <c r="AD2005" s="236">
        <v>1.3987431939179729E-2</v>
      </c>
    </row>
    <row r="2006" spans="23:30" x14ac:dyDescent="0.2">
      <c r="W2006" s="144"/>
      <c r="X2006" s="113" t="str">
        <f t="shared" si="71"/>
        <v>1w</v>
      </c>
      <c r="Y2006" s="106">
        <f>_xll.qlCalendarAdvance(Calendar,Y2005,X2006,"f",FALSE)</f>
        <v>53266</v>
      </c>
      <c r="Z2006" s="108">
        <f>_xll.qlCalendarAdvance(Calendar,Y2006,0&amp;"D")</f>
        <v>53266</v>
      </c>
      <c r="AA2006" s="109">
        <v>1.3991160428696858E-2</v>
      </c>
      <c r="AB2006" s="143">
        <f t="shared" si="72"/>
        <v>0</v>
      </c>
      <c r="AC2006" s="236" t="e">
        <v>#N/A</v>
      </c>
      <c r="AD2006" s="236">
        <v>1.3991160428696858E-2</v>
      </c>
    </row>
    <row r="2007" spans="23:30" x14ac:dyDescent="0.2">
      <c r="W2007" s="144"/>
      <c r="X2007" s="113" t="str">
        <f t="shared" si="71"/>
        <v>1w</v>
      </c>
      <c r="Y2007" s="106">
        <f>_xll.qlCalendarAdvance(Calendar,Y2006,X2007,"f",FALSE)</f>
        <v>53273</v>
      </c>
      <c r="Z2007" s="108">
        <f>_xll.qlCalendarAdvance(Calendar,Y2007,0&amp;"D")</f>
        <v>53273</v>
      </c>
      <c r="AA2007" s="109">
        <v>1.3994855216052926E-2</v>
      </c>
      <c r="AB2007" s="143">
        <f t="shared" si="72"/>
        <v>7.9936057773011271E-14</v>
      </c>
      <c r="AC2007" s="236" t="e">
        <v>#N/A</v>
      </c>
      <c r="AD2007" s="236">
        <v>1.399485521597299E-2</v>
      </c>
    </row>
    <row r="2008" spans="23:30" x14ac:dyDescent="0.2">
      <c r="W2008" s="144"/>
      <c r="X2008" s="113" t="str">
        <f t="shared" si="71"/>
        <v>1w</v>
      </c>
      <c r="Y2008" s="106">
        <f>_xll.qlCalendarAdvance(Calendar,Y2007,X2008,"f",FALSE)</f>
        <v>53280</v>
      </c>
      <c r="Z2008" s="108">
        <f>_xll.qlCalendarAdvance(Calendar,Y2008,0&amp;"D")</f>
        <v>53280</v>
      </c>
      <c r="AA2008" s="109">
        <v>1.3998516300848252E-2</v>
      </c>
      <c r="AB2008" s="143">
        <f t="shared" si="72"/>
        <v>7.9936057773011271E-14</v>
      </c>
      <c r="AC2008" s="236" t="e">
        <v>#N/A</v>
      </c>
      <c r="AD2008" s="236">
        <v>1.3998516300768316E-2</v>
      </c>
    </row>
    <row r="2009" spans="23:30" x14ac:dyDescent="0.2">
      <c r="W2009" s="144"/>
      <c r="X2009" s="113" t="str">
        <f t="shared" si="71"/>
        <v>1w</v>
      </c>
      <c r="Y2009" s="106">
        <f>_xll.qlCalendarAdvance(Calendar,Y2008,X2009,"f",FALSE)</f>
        <v>53287</v>
      </c>
      <c r="Z2009" s="108">
        <f>_xll.qlCalendarAdvance(Calendar,Y2009,0&amp;"D")</f>
        <v>53287</v>
      </c>
      <c r="AA2009" s="109">
        <v>1.4002143683402579E-2</v>
      </c>
      <c r="AB2009" s="143">
        <f t="shared" si="72"/>
        <v>0</v>
      </c>
      <c r="AC2009" s="236" t="e">
        <v>#N/A</v>
      </c>
      <c r="AD2009" s="236">
        <v>1.4002143683402579E-2</v>
      </c>
    </row>
    <row r="2010" spans="23:30" x14ac:dyDescent="0.2">
      <c r="W2010" s="144"/>
      <c r="X2010" s="113" t="str">
        <f t="shared" si="71"/>
        <v>1w</v>
      </c>
      <c r="Y2010" s="106">
        <f>_xll.qlCalendarAdvance(Calendar,Y2009,X2010,"f",FALSE)</f>
        <v>53294</v>
      </c>
      <c r="Z2010" s="108">
        <f>_xll.qlCalendarAdvance(Calendar,Y2010,0&amp;"D")</f>
        <v>53294</v>
      </c>
      <c r="AA2010" s="109">
        <v>1.4005737363556037E-2</v>
      </c>
      <c r="AB2010" s="143">
        <f t="shared" si="72"/>
        <v>0</v>
      </c>
      <c r="AC2010" s="236" t="e">
        <v>#N/A</v>
      </c>
      <c r="AD2010" s="236">
        <v>1.4005737363556037E-2</v>
      </c>
    </row>
    <row r="2011" spans="23:30" x14ac:dyDescent="0.2">
      <c r="W2011" s="144"/>
      <c r="X2011" s="113" t="str">
        <f t="shared" si="71"/>
        <v>1w</v>
      </c>
      <c r="Y2011" s="106">
        <f>_xll.qlCalendarAdvance(Calendar,Y2010,X2011,"f",FALSE)</f>
        <v>53301</v>
      </c>
      <c r="Z2011" s="108">
        <f>_xll.qlCalendarAdvance(Calendar,Y2011,0&amp;"D")</f>
        <v>53301</v>
      </c>
      <c r="AA2011" s="109">
        <v>1.400929734138856E-2</v>
      </c>
      <c r="AB2011" s="143">
        <f t="shared" si="72"/>
        <v>0</v>
      </c>
      <c r="AC2011" s="236" t="e">
        <v>#N/A</v>
      </c>
      <c r="AD2011" s="236">
        <v>1.400929734138856E-2</v>
      </c>
    </row>
    <row r="2012" spans="23:30" x14ac:dyDescent="0.2">
      <c r="W2012" s="144"/>
      <c r="X2012" s="113" t="str">
        <f t="shared" si="71"/>
        <v>1w</v>
      </c>
      <c r="Y2012" s="106">
        <f>_xll.qlCalendarAdvance(Calendar,Y2011,X2012,"f",FALSE)</f>
        <v>53308</v>
      </c>
      <c r="Z2012" s="108">
        <f>_xll.qlCalendarAdvance(Calendar,Y2012,0&amp;"D")</f>
        <v>53308</v>
      </c>
      <c r="AA2012" s="109">
        <v>1.401282361690015E-2</v>
      </c>
      <c r="AB2012" s="143">
        <f t="shared" si="72"/>
        <v>-7.9936057773011271E-14</v>
      </c>
      <c r="AC2012" s="236" t="e">
        <v>#N/A</v>
      </c>
      <c r="AD2012" s="236">
        <v>1.4012823616980086E-2</v>
      </c>
    </row>
    <row r="2013" spans="23:30" x14ac:dyDescent="0.2">
      <c r="W2013" s="144"/>
      <c r="X2013" s="113" t="str">
        <f t="shared" si="71"/>
        <v>1w</v>
      </c>
      <c r="Y2013" s="106">
        <f>_xll.qlCalendarAdvance(Calendar,Y2012,X2013,"f",FALSE)</f>
        <v>53315</v>
      </c>
      <c r="Z2013" s="108">
        <f>_xll.qlCalendarAdvance(Calendar,Y2013,0&amp;"D")</f>
        <v>53315</v>
      </c>
      <c r="AA2013" s="109">
        <v>1.4016316190170741E-2</v>
      </c>
      <c r="AB2013" s="143">
        <f t="shared" si="72"/>
        <v>0</v>
      </c>
      <c r="AC2013" s="236" t="e">
        <v>#N/A</v>
      </c>
      <c r="AD2013" s="236">
        <v>1.4016316190170741E-2</v>
      </c>
    </row>
    <row r="2014" spans="23:30" x14ac:dyDescent="0.2">
      <c r="W2014" s="144"/>
      <c r="X2014" s="113" t="str">
        <f t="shared" si="71"/>
        <v>1w</v>
      </c>
      <c r="Y2014" s="106">
        <f>_xll.qlCalendarAdvance(Calendar,Y2013,X2014,"f",FALSE)</f>
        <v>53323</v>
      </c>
      <c r="Z2014" s="108">
        <f>_xll.qlCalendarAdvance(Calendar,Y2014,0&amp;"D")</f>
        <v>53323</v>
      </c>
      <c r="AA2014" s="109">
        <v>1.402026643414267E-2</v>
      </c>
      <c r="AB2014" s="143">
        <f t="shared" si="72"/>
        <v>0</v>
      </c>
      <c r="AC2014" s="236" t="e">
        <v>#N/A</v>
      </c>
      <c r="AD2014" s="236">
        <v>1.402026643414267E-2</v>
      </c>
    </row>
    <row r="2015" spans="23:30" x14ac:dyDescent="0.2">
      <c r="W2015" s="144"/>
      <c r="X2015" s="113" t="str">
        <f t="shared" si="71"/>
        <v>1w</v>
      </c>
      <c r="Y2015" s="106">
        <f>_xll.qlCalendarAdvance(Calendar,Y2014,X2015,"f",FALSE)</f>
        <v>53330</v>
      </c>
      <c r="Z2015" s="108">
        <f>_xll.qlCalendarAdvance(Calendar,Y2015,0&amp;"D")</f>
        <v>53330</v>
      </c>
      <c r="AA2015" s="109">
        <v>1.4023686788142697E-2</v>
      </c>
      <c r="AB2015" s="143">
        <f t="shared" si="72"/>
        <v>0</v>
      </c>
      <c r="AC2015" s="236" t="e">
        <v>#N/A</v>
      </c>
      <c r="AD2015" s="236">
        <v>1.4023686788142697E-2</v>
      </c>
    </row>
    <row r="2016" spans="23:30" x14ac:dyDescent="0.2">
      <c r="W2016" s="144"/>
      <c r="X2016" s="113" t="str">
        <f t="shared" si="71"/>
        <v>1w</v>
      </c>
      <c r="Y2016" s="106">
        <f>_xll.qlCalendarAdvance(Calendar,Y2015,X2016,"f",FALSE)</f>
        <v>53337</v>
      </c>
      <c r="Z2016" s="108">
        <f>_xll.qlCalendarAdvance(Calendar,Y2016,0&amp;"D")</f>
        <v>53337</v>
      </c>
      <c r="AA2016" s="109">
        <v>1.4027073439581983E-2</v>
      </c>
      <c r="AB2016" s="143">
        <f t="shared" si="72"/>
        <v>-7.9936057773011271E-14</v>
      </c>
      <c r="AC2016" s="236" t="e">
        <v>#N/A</v>
      </c>
      <c r="AD2016" s="236">
        <v>1.4027073439661919E-2</v>
      </c>
    </row>
    <row r="2017" spans="23:30" x14ac:dyDescent="0.2">
      <c r="W2017" s="144"/>
      <c r="X2017" s="113" t="str">
        <f t="shared" si="71"/>
        <v>1w</v>
      </c>
      <c r="Y2017" s="106">
        <f>_xll.qlCalendarAdvance(Calendar,Y2016,X2017,"f",FALSE)</f>
        <v>53344</v>
      </c>
      <c r="Z2017" s="108">
        <f>_xll.qlCalendarAdvance(Calendar,Y2017,0&amp;"D")</f>
        <v>53344</v>
      </c>
      <c r="AA2017" s="109">
        <v>1.4030426388860207E-2</v>
      </c>
      <c r="AB2017" s="143">
        <f t="shared" si="72"/>
        <v>0</v>
      </c>
      <c r="AC2017" s="236" t="e">
        <v>#N/A</v>
      </c>
      <c r="AD2017" s="236">
        <v>1.4030426388860207E-2</v>
      </c>
    </row>
    <row r="2018" spans="23:30" x14ac:dyDescent="0.2">
      <c r="W2018" s="144"/>
      <c r="X2018" s="113" t="str">
        <f t="shared" si="71"/>
        <v>1w</v>
      </c>
      <c r="Y2018" s="106">
        <f>_xll.qlCalendarAdvance(Calendar,Y2017,X2018,"f",FALSE)</f>
        <v>53351</v>
      </c>
      <c r="Z2018" s="108">
        <f>_xll.qlCalendarAdvance(Calendar,Y2018,0&amp;"D")</f>
        <v>53351</v>
      </c>
      <c r="AA2018" s="109">
        <v>1.4033745635657624E-2</v>
      </c>
      <c r="AB2018" s="143">
        <f t="shared" si="72"/>
        <v>0</v>
      </c>
      <c r="AC2018" s="236" t="e">
        <v>#N/A</v>
      </c>
      <c r="AD2018" s="236">
        <v>1.4033745635657624E-2</v>
      </c>
    </row>
    <row r="2019" spans="23:30" x14ac:dyDescent="0.2">
      <c r="W2019" s="144"/>
      <c r="X2019" s="113" t="str">
        <f t="shared" si="71"/>
        <v>1w</v>
      </c>
      <c r="Y2019" s="106">
        <f>_xll.qlCalendarAdvance(Calendar,Y2018,X2019,"f",FALSE)</f>
        <v>53358</v>
      </c>
      <c r="Z2019" s="108">
        <f>_xll.qlCalendarAdvance(Calendar,Y2019,0&amp;"D")</f>
        <v>53358</v>
      </c>
      <c r="AA2019" s="109">
        <v>1.4037031180054171E-2</v>
      </c>
      <c r="AB2019" s="143">
        <f t="shared" si="72"/>
        <v>0</v>
      </c>
      <c r="AC2019" s="236" t="e">
        <v>#N/A</v>
      </c>
      <c r="AD2019" s="236">
        <v>1.4037031180054171E-2</v>
      </c>
    </row>
    <row r="2020" spans="23:30" x14ac:dyDescent="0.2">
      <c r="W2020" s="144"/>
      <c r="X2020" s="113" t="str">
        <f t="shared" si="71"/>
        <v>1w</v>
      </c>
      <c r="Y2020" s="106">
        <f>_xll.qlCalendarAdvance(Calendar,Y2019,X2020,"f",FALSE)</f>
        <v>53365</v>
      </c>
      <c r="Z2020" s="108">
        <f>_xll.qlCalendarAdvance(Calendar,Y2020,0&amp;"D")</f>
        <v>53365</v>
      </c>
      <c r="AA2020" s="109">
        <v>1.4040283022209721E-2</v>
      </c>
      <c r="AB2020" s="143">
        <f t="shared" si="72"/>
        <v>-7.9936057773011271E-14</v>
      </c>
      <c r="AC2020" s="236" t="e">
        <v>#N/A</v>
      </c>
      <c r="AD2020" s="236">
        <v>1.4040283022289657E-2</v>
      </c>
    </row>
    <row r="2021" spans="23:30" x14ac:dyDescent="0.2">
      <c r="W2021" s="144"/>
      <c r="X2021" s="113" t="str">
        <f t="shared" si="71"/>
        <v>1w</v>
      </c>
      <c r="Y2021" s="106">
        <f>_xll.qlCalendarAdvance(Calendar,Y2020,X2021,"f",FALSE)</f>
        <v>53372</v>
      </c>
      <c r="Z2021" s="108">
        <f>_xll.qlCalendarAdvance(Calendar,Y2021,0&amp;"D")</f>
        <v>53372</v>
      </c>
      <c r="AA2021" s="109">
        <v>1.4043501162044336E-2</v>
      </c>
      <c r="AB2021" s="143">
        <f t="shared" si="72"/>
        <v>0</v>
      </c>
      <c r="AC2021" s="236" t="e">
        <v>#N/A</v>
      </c>
      <c r="AD2021" s="236">
        <v>1.4043501162044336E-2</v>
      </c>
    </row>
    <row r="2022" spans="23:30" x14ac:dyDescent="0.2">
      <c r="W2022" s="144"/>
      <c r="X2022" s="113" t="str">
        <f t="shared" si="71"/>
        <v>1w</v>
      </c>
      <c r="Y2022" s="106">
        <f>_xll.qlCalendarAdvance(Calendar,Y2021,X2022,"f",FALSE)</f>
        <v>53379</v>
      </c>
      <c r="Z2022" s="108">
        <f>_xll.qlCalendarAdvance(Calendar,Y2022,0&amp;"D")</f>
        <v>53379</v>
      </c>
      <c r="AA2022" s="109">
        <v>1.4046685599558018E-2</v>
      </c>
      <c r="AB2022" s="143">
        <f t="shared" si="72"/>
        <v>0</v>
      </c>
      <c r="AC2022" s="236" t="e">
        <v>#N/A</v>
      </c>
      <c r="AD2022" s="236">
        <v>1.4046685599558018E-2</v>
      </c>
    </row>
    <row r="2023" spans="23:30" x14ac:dyDescent="0.2">
      <c r="W2023" s="144"/>
      <c r="X2023" s="113" t="str">
        <f t="shared" si="71"/>
        <v>1w</v>
      </c>
      <c r="Y2023" s="106">
        <f>_xll.qlCalendarAdvance(Calendar,Y2022,X2023,"f",FALSE)</f>
        <v>53386</v>
      </c>
      <c r="Z2023" s="108">
        <f>_xll.qlCalendarAdvance(Calendar,Y2023,0&amp;"D")</f>
        <v>53386</v>
      </c>
      <c r="AA2023" s="109">
        <v>1.4049836334510957E-2</v>
      </c>
      <c r="AB2023" s="143">
        <f t="shared" si="72"/>
        <v>-7.9936057773011271E-14</v>
      </c>
      <c r="AC2023" s="236" t="e">
        <v>#N/A</v>
      </c>
      <c r="AD2023" s="236">
        <v>1.4049836334590893E-2</v>
      </c>
    </row>
    <row r="2024" spans="23:30" x14ac:dyDescent="0.2">
      <c r="W2024" s="144"/>
      <c r="X2024" s="113" t="str">
        <f t="shared" si="71"/>
        <v>1w</v>
      </c>
      <c r="Y2024" s="106">
        <f>_xll.qlCalendarAdvance(Calendar,Y2023,X2024,"f",FALSE)</f>
        <v>53393</v>
      </c>
      <c r="Z2024" s="108">
        <f>_xll.qlCalendarAdvance(Calendar,Y2024,0&amp;"D")</f>
        <v>53393</v>
      </c>
      <c r="AA2024" s="109">
        <v>1.4052953367302834E-2</v>
      </c>
      <c r="AB2024" s="143">
        <f t="shared" si="72"/>
        <v>0</v>
      </c>
      <c r="AC2024" s="236" t="e">
        <v>#N/A</v>
      </c>
      <c r="AD2024" s="236">
        <v>1.4052953367302834E-2</v>
      </c>
    </row>
    <row r="2025" spans="23:30" x14ac:dyDescent="0.2">
      <c r="W2025" s="144"/>
      <c r="X2025" s="113" t="str">
        <f t="shared" si="71"/>
        <v>1w</v>
      </c>
      <c r="Y2025" s="106">
        <f>_xll.qlCalendarAdvance(Calendar,Y2024,X2025,"f",FALSE)</f>
        <v>53400</v>
      </c>
      <c r="Z2025" s="108">
        <f>_xll.qlCalendarAdvance(Calendar,Y2025,0&amp;"D")</f>
        <v>53400</v>
      </c>
      <c r="AA2025" s="109">
        <v>1.4056036697693841E-2</v>
      </c>
      <c r="AB2025" s="143">
        <f t="shared" si="72"/>
        <v>0</v>
      </c>
      <c r="AC2025" s="236" t="e">
        <v>#N/A</v>
      </c>
      <c r="AD2025" s="236">
        <v>1.4056036697693841E-2</v>
      </c>
    </row>
    <row r="2026" spans="23:30" x14ac:dyDescent="0.2">
      <c r="W2026" s="144"/>
      <c r="X2026" s="113" t="str">
        <f t="shared" si="71"/>
        <v>1w</v>
      </c>
      <c r="Y2026" s="106">
        <f>_xll.qlCalendarAdvance(Calendar,Y2025,X2026,"f",FALSE)</f>
        <v>53407</v>
      </c>
      <c r="Z2026" s="108">
        <f>_xll.qlCalendarAdvance(Calendar,Y2026,0&amp;"D")</f>
        <v>53407</v>
      </c>
      <c r="AA2026" s="109">
        <v>1.4059086325763914E-2</v>
      </c>
      <c r="AB2026" s="143">
        <f t="shared" si="72"/>
        <v>0</v>
      </c>
      <c r="AC2026" s="236" t="e">
        <v>#N/A</v>
      </c>
      <c r="AD2026" s="236">
        <v>1.4059086325763914E-2</v>
      </c>
    </row>
    <row r="2027" spans="23:30" x14ac:dyDescent="0.2">
      <c r="W2027" s="144"/>
      <c r="X2027" s="113" t="str">
        <f t="shared" si="71"/>
        <v>1w</v>
      </c>
      <c r="Y2027" s="106">
        <f>_xll.qlCalendarAdvance(Calendar,Y2026,X2027,"f",FALSE)</f>
        <v>53414</v>
      </c>
      <c r="Z2027" s="108">
        <f>_xll.qlCalendarAdvance(Calendar,Y2027,0&amp;"D")</f>
        <v>53414</v>
      </c>
      <c r="AA2027" s="109">
        <v>1.4062102251353181E-2</v>
      </c>
      <c r="AB2027" s="143">
        <f t="shared" si="72"/>
        <v>0</v>
      </c>
      <c r="AC2027" s="236" t="e">
        <v>#N/A</v>
      </c>
      <c r="AD2027" s="236">
        <v>1.4062102251353181E-2</v>
      </c>
    </row>
    <row r="2028" spans="23:30" x14ac:dyDescent="0.2">
      <c r="W2028" s="144"/>
      <c r="X2028" s="113" t="str">
        <f t="shared" si="71"/>
        <v>1w</v>
      </c>
      <c r="Y2028" s="106">
        <f>_xll.qlCalendarAdvance(Calendar,Y2027,X2028,"f",FALSE)</f>
        <v>53421</v>
      </c>
      <c r="Z2028" s="108">
        <f>_xll.qlCalendarAdvance(Calendar,Y2028,0&amp;"D")</f>
        <v>53421</v>
      </c>
      <c r="AA2028" s="109">
        <v>1.406508447470145E-2</v>
      </c>
      <c r="AB2028" s="143">
        <f t="shared" si="72"/>
        <v>0</v>
      </c>
      <c r="AC2028" s="236" t="e">
        <v>#N/A</v>
      </c>
      <c r="AD2028" s="236">
        <v>1.406508447470145E-2</v>
      </c>
    </row>
    <row r="2029" spans="23:30" x14ac:dyDescent="0.2">
      <c r="W2029" s="144"/>
      <c r="X2029" s="113" t="str">
        <f t="shared" si="71"/>
        <v>1w</v>
      </c>
      <c r="Y2029" s="106">
        <f>_xll.qlCalendarAdvance(Calendar,Y2028,X2029,"f",FALSE)</f>
        <v>53428</v>
      </c>
      <c r="Z2029" s="108">
        <f>_xll.qlCalendarAdvance(Calendar,Y2029,0&amp;"D")</f>
        <v>53428</v>
      </c>
      <c r="AA2029" s="109">
        <v>1.4068032995728785E-2</v>
      </c>
      <c r="AB2029" s="143">
        <f t="shared" si="72"/>
        <v>0</v>
      </c>
      <c r="AC2029" s="236" t="e">
        <v>#N/A</v>
      </c>
      <c r="AD2029" s="236">
        <v>1.4068032995728785E-2</v>
      </c>
    </row>
    <row r="2030" spans="23:30" x14ac:dyDescent="0.2">
      <c r="W2030" s="144"/>
      <c r="X2030" s="113" t="str">
        <f t="shared" si="71"/>
        <v>1w</v>
      </c>
      <c r="Y2030" s="106">
        <f>_xll.qlCalendarAdvance(Calendar,Y2029,X2030,"f",FALSE)</f>
        <v>53435</v>
      </c>
      <c r="Z2030" s="108">
        <f>_xll.qlCalendarAdvance(Calendar,Y2030,0&amp;"D")</f>
        <v>53435</v>
      </c>
      <c r="AA2030" s="109">
        <v>1.4070947814195378E-2</v>
      </c>
      <c r="AB2030" s="143">
        <f t="shared" si="72"/>
        <v>0</v>
      </c>
      <c r="AC2030" s="236" t="e">
        <v>#N/A</v>
      </c>
      <c r="AD2030" s="236">
        <v>1.4070947814195378E-2</v>
      </c>
    </row>
    <row r="2031" spans="23:30" x14ac:dyDescent="0.2">
      <c r="W2031" s="144"/>
      <c r="X2031" s="113" t="str">
        <f t="shared" si="71"/>
        <v>1w</v>
      </c>
      <c r="Y2031" s="106">
        <f>_xll.qlCalendarAdvance(Calendar,Y2030,X2031,"f",FALSE)</f>
        <v>53442</v>
      </c>
      <c r="Z2031" s="108">
        <f>_xll.qlCalendarAdvance(Calendar,Y2031,0&amp;"D")</f>
        <v>53442</v>
      </c>
      <c r="AA2031" s="109">
        <v>1.4073828930500909E-2</v>
      </c>
      <c r="AB2031" s="143">
        <f t="shared" si="72"/>
        <v>0</v>
      </c>
      <c r="AC2031" s="236" t="e">
        <v>#N/A</v>
      </c>
      <c r="AD2031" s="236">
        <v>1.4073828930500909E-2</v>
      </c>
    </row>
    <row r="2032" spans="23:30" x14ac:dyDescent="0.2">
      <c r="W2032" s="144"/>
      <c r="X2032" s="113" t="str">
        <f t="shared" si="71"/>
        <v>1w</v>
      </c>
      <c r="Y2032" s="106">
        <f>_xll.qlCalendarAdvance(Calendar,Y2031,X2032,"f",FALSE)</f>
        <v>53449</v>
      </c>
      <c r="Z2032" s="108">
        <f>_xll.qlCalendarAdvance(Calendar,Y2032,0&amp;"D")</f>
        <v>53449</v>
      </c>
      <c r="AA2032" s="109">
        <v>1.407667634440557E-2</v>
      </c>
      <c r="AB2032" s="143">
        <f t="shared" si="72"/>
        <v>0</v>
      </c>
      <c r="AC2032" s="236" t="e">
        <v>#N/A</v>
      </c>
      <c r="AD2032" s="236">
        <v>1.407667634440557E-2</v>
      </c>
    </row>
    <row r="2033" spans="23:30" x14ac:dyDescent="0.2">
      <c r="W2033" s="144"/>
      <c r="X2033" s="113" t="str">
        <f t="shared" si="71"/>
        <v>1w</v>
      </c>
      <c r="Y2033" s="106">
        <f>_xll.qlCalendarAdvance(Calendar,Y2032,X2033,"f",FALSE)</f>
        <v>53456</v>
      </c>
      <c r="Z2033" s="108">
        <f>_xll.qlCalendarAdvance(Calendar,Y2033,0&amp;"D")</f>
        <v>53456</v>
      </c>
      <c r="AA2033" s="109">
        <v>1.4079490055829424E-2</v>
      </c>
      <c r="AB2033" s="143">
        <f t="shared" si="72"/>
        <v>-7.9936057773011271E-14</v>
      </c>
      <c r="AC2033" s="236" t="e">
        <v>#N/A</v>
      </c>
      <c r="AD2033" s="236">
        <v>1.4079490055909361E-2</v>
      </c>
    </row>
    <row r="2034" spans="23:30" x14ac:dyDescent="0.2">
      <c r="W2034" s="144"/>
      <c r="X2034" s="113" t="str">
        <f t="shared" si="71"/>
        <v>1w</v>
      </c>
      <c r="Y2034" s="106">
        <f>_xll.qlCalendarAdvance(Calendar,Y2033,X2034,"f",FALSE)</f>
        <v>53463</v>
      </c>
      <c r="Z2034" s="108">
        <f>_xll.qlCalendarAdvance(Calendar,Y2034,0&amp;"D")</f>
        <v>53463</v>
      </c>
      <c r="AA2034" s="109">
        <v>1.4082270065012281E-2</v>
      </c>
      <c r="AB2034" s="143">
        <f t="shared" si="72"/>
        <v>0</v>
      </c>
      <c r="AC2034" s="236" t="e">
        <v>#N/A</v>
      </c>
      <c r="AD2034" s="236">
        <v>1.4082270065012281E-2</v>
      </c>
    </row>
    <row r="2035" spans="23:30" x14ac:dyDescent="0.2">
      <c r="W2035" s="144"/>
      <c r="X2035" s="113" t="str">
        <f t="shared" si="71"/>
        <v>1w</v>
      </c>
      <c r="Y2035" s="106">
        <f>_xll.qlCalendarAdvance(Calendar,Y2034,X2035,"f",FALSE)</f>
        <v>53470</v>
      </c>
      <c r="Z2035" s="108">
        <f>_xll.qlCalendarAdvance(Calendar,Y2035,0&amp;"D")</f>
        <v>53470</v>
      </c>
      <c r="AA2035" s="109">
        <v>1.4085016371794268E-2</v>
      </c>
      <c r="AB2035" s="143">
        <f t="shared" si="72"/>
        <v>0</v>
      </c>
      <c r="AC2035" s="236" t="e">
        <v>#N/A</v>
      </c>
      <c r="AD2035" s="236">
        <v>1.4085016371794268E-2</v>
      </c>
    </row>
    <row r="2036" spans="23:30" x14ac:dyDescent="0.2">
      <c r="W2036" s="144"/>
      <c r="X2036" s="113" t="str">
        <f t="shared" si="71"/>
        <v>1w</v>
      </c>
      <c r="Y2036" s="106">
        <f>_xll.qlCalendarAdvance(Calendar,Y2035,X2036,"f",FALSE)</f>
        <v>53477</v>
      </c>
      <c r="Z2036" s="108">
        <f>_xll.qlCalendarAdvance(Calendar,Y2036,0&amp;"D")</f>
        <v>53477</v>
      </c>
      <c r="AA2036" s="109">
        <v>1.408772897625532E-2</v>
      </c>
      <c r="AB2036" s="143">
        <f t="shared" si="72"/>
        <v>0</v>
      </c>
      <c r="AC2036" s="236" t="e">
        <v>#N/A</v>
      </c>
      <c r="AD2036" s="236">
        <v>1.408772897625532E-2</v>
      </c>
    </row>
    <row r="2037" spans="23:30" x14ac:dyDescent="0.2">
      <c r="W2037" s="144"/>
      <c r="X2037" s="113" t="str">
        <f t="shared" si="71"/>
        <v>1w</v>
      </c>
      <c r="Y2037" s="106">
        <f>_xll.qlCalendarAdvance(Calendar,Y2036,X2037,"f",FALSE)</f>
        <v>53484</v>
      </c>
      <c r="Z2037" s="108">
        <f>_xll.qlCalendarAdvance(Calendar,Y2037,0&amp;"D")</f>
        <v>53484</v>
      </c>
      <c r="AA2037" s="109">
        <v>1.4090407878315503E-2</v>
      </c>
      <c r="AB2037" s="143">
        <f t="shared" si="72"/>
        <v>0</v>
      </c>
      <c r="AC2037" s="236" t="e">
        <v>#N/A</v>
      </c>
      <c r="AD2037" s="236">
        <v>1.4090407878315503E-2</v>
      </c>
    </row>
    <row r="2038" spans="23:30" x14ac:dyDescent="0.2">
      <c r="W2038" s="144"/>
      <c r="X2038" s="113" t="str">
        <f t="shared" si="71"/>
        <v>1w</v>
      </c>
      <c r="Y2038" s="106">
        <f>_xll.qlCalendarAdvance(Calendar,Y2037,X2038,"f",FALSE)</f>
        <v>53491</v>
      </c>
      <c r="Z2038" s="108">
        <f>_xll.qlCalendarAdvance(Calendar,Y2038,0&amp;"D")</f>
        <v>53491</v>
      </c>
      <c r="AA2038" s="109">
        <v>1.4093053077894879E-2</v>
      </c>
      <c r="AB2038" s="143">
        <f t="shared" si="72"/>
        <v>-7.9936057773011271E-14</v>
      </c>
      <c r="AC2038" s="236" t="e">
        <v>#N/A</v>
      </c>
      <c r="AD2038" s="236">
        <v>1.4093053077974815E-2</v>
      </c>
    </row>
    <row r="2039" spans="23:30" x14ac:dyDescent="0.2">
      <c r="W2039" s="144"/>
      <c r="X2039" s="113" t="str">
        <f t="shared" si="71"/>
        <v>1w</v>
      </c>
      <c r="Y2039" s="106">
        <f>_xll.qlCalendarAdvance(Calendar,Y2038,X2039,"f",FALSE)</f>
        <v>53498</v>
      </c>
      <c r="Z2039" s="108">
        <f>_xll.qlCalendarAdvance(Calendar,Y2039,0&amp;"D")</f>
        <v>53498</v>
      </c>
      <c r="AA2039" s="109">
        <v>1.4095664575313194E-2</v>
      </c>
      <c r="AB2039" s="143">
        <f t="shared" si="72"/>
        <v>0</v>
      </c>
      <c r="AC2039" s="236" t="e">
        <v>#N/A</v>
      </c>
      <c r="AD2039" s="236">
        <v>1.4095664575313194E-2</v>
      </c>
    </row>
    <row r="2040" spans="23:30" x14ac:dyDescent="0.2">
      <c r="W2040" s="144"/>
      <c r="X2040" s="113" t="str">
        <f t="shared" si="71"/>
        <v>1w</v>
      </c>
      <c r="Y2040" s="106">
        <f>_xll.qlCalendarAdvance(Calendar,Y2039,X2040,"f",FALSE)</f>
        <v>53505</v>
      </c>
      <c r="Z2040" s="108">
        <f>_xll.qlCalendarAdvance(Calendar,Y2040,0&amp;"D")</f>
        <v>53505</v>
      </c>
      <c r="AA2040" s="109">
        <v>1.4098242370330638E-2</v>
      </c>
      <c r="AB2040" s="143">
        <f t="shared" si="72"/>
        <v>0</v>
      </c>
      <c r="AC2040" s="236" t="e">
        <v>#N/A</v>
      </c>
      <c r="AD2040" s="236">
        <v>1.4098242370330638E-2</v>
      </c>
    </row>
    <row r="2041" spans="23:30" x14ac:dyDescent="0.2">
      <c r="W2041" s="144"/>
      <c r="X2041" s="113" t="str">
        <f t="shared" si="71"/>
        <v>1w</v>
      </c>
      <c r="Y2041" s="106">
        <f>_xll.qlCalendarAdvance(Calendar,Y2040,X2041,"f",FALSE)</f>
        <v>53512</v>
      </c>
      <c r="Z2041" s="108">
        <f>_xll.qlCalendarAdvance(Calendar,Y2041,0&amp;"D")</f>
        <v>53512</v>
      </c>
      <c r="AA2041" s="109">
        <v>1.4100786462947212E-2</v>
      </c>
      <c r="AB2041" s="143">
        <f t="shared" si="72"/>
        <v>0</v>
      </c>
      <c r="AC2041" s="236" t="e">
        <v>#N/A</v>
      </c>
      <c r="AD2041" s="236">
        <v>1.4100786462947212E-2</v>
      </c>
    </row>
    <row r="2042" spans="23:30" x14ac:dyDescent="0.2">
      <c r="W2042" s="144"/>
      <c r="X2042" s="113" t="str">
        <f t="shared" si="71"/>
        <v>1w</v>
      </c>
      <c r="Y2042" s="106">
        <f>_xll.qlCalendarAdvance(Calendar,Y2041,X2042,"f",FALSE)</f>
        <v>53519</v>
      </c>
      <c r="Z2042" s="108">
        <f>_xll.qlCalendarAdvance(Calendar,Y2042,0&amp;"D")</f>
        <v>53519</v>
      </c>
      <c r="AA2042" s="109">
        <v>1.4103296853162917E-2</v>
      </c>
      <c r="AB2042" s="143">
        <f t="shared" si="72"/>
        <v>0</v>
      </c>
      <c r="AC2042" s="236" t="e">
        <v>#N/A</v>
      </c>
      <c r="AD2042" s="236">
        <v>1.4103296853162917E-2</v>
      </c>
    </row>
    <row r="2043" spans="23:30" x14ac:dyDescent="0.2">
      <c r="W2043" s="144"/>
      <c r="X2043" s="113" t="str">
        <f t="shared" si="71"/>
        <v>1w</v>
      </c>
      <c r="Y2043" s="106">
        <f>_xll.qlCalendarAdvance(Calendar,Y2042,X2043,"f",FALSE)</f>
        <v>53526</v>
      </c>
      <c r="Z2043" s="108">
        <f>_xll.qlCalendarAdvance(Calendar,Y2043,0&amp;"D")</f>
        <v>53526</v>
      </c>
      <c r="AA2043" s="109">
        <v>1.4105773540897815E-2</v>
      </c>
      <c r="AB2043" s="143">
        <f t="shared" si="72"/>
        <v>0</v>
      </c>
      <c r="AC2043" s="236" t="e">
        <v>#N/A</v>
      </c>
      <c r="AD2043" s="236">
        <v>1.4105773540897815E-2</v>
      </c>
    </row>
    <row r="2044" spans="23:30" x14ac:dyDescent="0.2">
      <c r="W2044" s="144"/>
      <c r="X2044" s="113" t="str">
        <f t="shared" si="71"/>
        <v>1w</v>
      </c>
      <c r="Y2044" s="106">
        <f>_xll.qlCalendarAdvance(Calendar,Y2043,X2044,"f",FALSE)</f>
        <v>53533</v>
      </c>
      <c r="Z2044" s="108">
        <f>_xll.qlCalendarAdvance(Calendar,Y2044,0&amp;"D")</f>
        <v>53533</v>
      </c>
      <c r="AA2044" s="109">
        <v>1.4108216526471651E-2</v>
      </c>
      <c r="AB2044" s="143">
        <f t="shared" si="72"/>
        <v>0</v>
      </c>
      <c r="AC2044" s="236" t="e">
        <v>#N/A</v>
      </c>
      <c r="AD2044" s="236">
        <v>1.4108216526471651E-2</v>
      </c>
    </row>
    <row r="2045" spans="23:30" x14ac:dyDescent="0.2">
      <c r="W2045" s="144"/>
      <c r="X2045" s="113" t="str">
        <f t="shared" si="71"/>
        <v>1w</v>
      </c>
      <c r="Y2045" s="106">
        <f>_xll.qlCalendarAdvance(Calendar,Y2044,X2045,"f",FALSE)</f>
        <v>53540</v>
      </c>
      <c r="Z2045" s="108">
        <f>_xll.qlCalendarAdvance(Calendar,Y2045,0&amp;"D")</f>
        <v>53540</v>
      </c>
      <c r="AA2045" s="109">
        <v>1.4110625809724553E-2</v>
      </c>
      <c r="AB2045" s="143">
        <f t="shared" si="72"/>
        <v>7.9936057773011271E-14</v>
      </c>
      <c r="AC2045" s="236" t="e">
        <v>#N/A</v>
      </c>
      <c r="AD2045" s="236">
        <v>1.4110625809644617E-2</v>
      </c>
    </row>
    <row r="2046" spans="23:30" x14ac:dyDescent="0.2">
      <c r="W2046" s="144"/>
      <c r="X2046" s="113" t="str">
        <f t="shared" si="71"/>
        <v>1w</v>
      </c>
      <c r="Y2046" s="106">
        <f>_xll.qlCalendarAdvance(Calendar,Y2045,X2046,"f",FALSE)</f>
        <v>53547</v>
      </c>
      <c r="Z2046" s="108">
        <f>_xll.qlCalendarAdvance(Calendar,Y2046,0&amp;"D")</f>
        <v>53547</v>
      </c>
      <c r="AA2046" s="109">
        <v>1.4113001390336777E-2</v>
      </c>
      <c r="AB2046" s="143">
        <f t="shared" si="72"/>
        <v>0</v>
      </c>
      <c r="AC2046" s="236" t="e">
        <v>#N/A</v>
      </c>
      <c r="AD2046" s="236">
        <v>1.4113001390336777E-2</v>
      </c>
    </row>
    <row r="2047" spans="23:30" x14ac:dyDescent="0.2">
      <c r="W2047" s="144"/>
      <c r="X2047" s="113" t="str">
        <f t="shared" si="71"/>
        <v>1w</v>
      </c>
      <c r="Y2047" s="106">
        <f>_xll.qlCalendarAdvance(Calendar,Y2046,X2047,"f",FALSE)</f>
        <v>53554</v>
      </c>
      <c r="Z2047" s="108">
        <f>_xll.qlCalendarAdvance(Calendar,Y2047,0&amp;"D")</f>
        <v>53554</v>
      </c>
      <c r="AA2047" s="109">
        <v>1.4115343268708003E-2</v>
      </c>
      <c r="AB2047" s="143">
        <f t="shared" si="72"/>
        <v>-7.9936057773011271E-14</v>
      </c>
      <c r="AC2047" s="236" t="e">
        <v>#N/A</v>
      </c>
      <c r="AD2047" s="236">
        <v>1.4115343268787939E-2</v>
      </c>
    </row>
    <row r="2048" spans="23:30" x14ac:dyDescent="0.2">
      <c r="W2048" s="144"/>
      <c r="X2048" s="113" t="str">
        <f t="shared" si="71"/>
        <v>1w</v>
      </c>
      <c r="Y2048" s="106">
        <f>_xll.qlCalendarAdvance(Calendar,Y2047,X2048,"f",FALSE)</f>
        <v>53561</v>
      </c>
      <c r="Z2048" s="108">
        <f>_xll.qlCalendarAdvance(Calendar,Y2048,0&amp;"D")</f>
        <v>53561</v>
      </c>
      <c r="AA2048" s="109">
        <v>1.4117651444758295E-2</v>
      </c>
      <c r="AB2048" s="143">
        <f t="shared" si="72"/>
        <v>0</v>
      </c>
      <c r="AC2048" s="236" t="e">
        <v>#N/A</v>
      </c>
      <c r="AD2048" s="236">
        <v>1.4117651444758295E-2</v>
      </c>
    </row>
    <row r="2049" spans="23:30" x14ac:dyDescent="0.2">
      <c r="W2049" s="144"/>
      <c r="X2049" s="113" t="str">
        <f t="shared" si="71"/>
        <v>1w</v>
      </c>
      <c r="Y2049" s="106">
        <f>_xll.qlCalendarAdvance(Calendar,Y2048,X2049,"f",FALSE)</f>
        <v>53568</v>
      </c>
      <c r="Z2049" s="108">
        <f>_xll.qlCalendarAdvance(Calendar,Y2049,0&amp;"D")</f>
        <v>53568</v>
      </c>
      <c r="AA2049" s="109">
        <v>1.411992591832778E-2</v>
      </c>
      <c r="AB2049" s="143">
        <f t="shared" si="72"/>
        <v>0</v>
      </c>
      <c r="AC2049" s="236" t="e">
        <v>#N/A</v>
      </c>
      <c r="AD2049" s="236">
        <v>1.411992591832778E-2</v>
      </c>
    </row>
    <row r="2050" spans="23:30" x14ac:dyDescent="0.2">
      <c r="W2050" s="144"/>
      <c r="X2050" s="113" t="str">
        <f t="shared" si="71"/>
        <v>1w</v>
      </c>
      <c r="Y2050" s="106">
        <f>_xll.qlCalendarAdvance(Calendar,Y2049,X2050,"f",FALSE)</f>
        <v>53575</v>
      </c>
      <c r="Z2050" s="108">
        <f>_xll.qlCalendarAdvance(Calendar,Y2050,0&amp;"D")</f>
        <v>53575</v>
      </c>
      <c r="AA2050" s="109">
        <v>1.4122166689656268E-2</v>
      </c>
      <c r="AB2050" s="143">
        <f t="shared" si="72"/>
        <v>0</v>
      </c>
      <c r="AC2050" s="236" t="e">
        <v>#N/A</v>
      </c>
      <c r="AD2050" s="236">
        <v>1.4122166689656268E-2</v>
      </c>
    </row>
    <row r="2051" spans="23:30" x14ac:dyDescent="0.2">
      <c r="W2051" s="144"/>
      <c r="X2051" s="113" t="str">
        <f t="shared" si="71"/>
        <v>1w</v>
      </c>
      <c r="Y2051" s="106">
        <f>_xll.qlCalendarAdvance(Calendar,Y2050,X2051,"f",FALSE)</f>
        <v>53582</v>
      </c>
      <c r="Z2051" s="108">
        <f>_xll.qlCalendarAdvance(Calendar,Y2051,0&amp;"D")</f>
        <v>53582</v>
      </c>
      <c r="AA2051" s="109">
        <v>1.412437375850395E-2</v>
      </c>
      <c r="AB2051" s="143">
        <f t="shared" si="72"/>
        <v>-7.9936057773011271E-14</v>
      </c>
      <c r="AC2051" s="236" t="e">
        <v>#N/A</v>
      </c>
      <c r="AD2051" s="236">
        <v>1.4124373758583886E-2</v>
      </c>
    </row>
    <row r="2052" spans="23:30" x14ac:dyDescent="0.2">
      <c r="W2052" s="144"/>
      <c r="X2052" s="113" t="str">
        <f t="shared" si="71"/>
        <v>1w</v>
      </c>
      <c r="Y2052" s="106">
        <f>_xll.qlCalendarAdvance(Calendar,Y2051,X2052,"f",FALSE)</f>
        <v>53589</v>
      </c>
      <c r="Z2052" s="108">
        <f>_xll.qlCalendarAdvance(Calendar,Y2052,0&amp;"D")</f>
        <v>53589</v>
      </c>
      <c r="AA2052" s="109">
        <v>1.4126547125110633E-2</v>
      </c>
      <c r="AB2052" s="143">
        <f t="shared" si="72"/>
        <v>7.9936057773011271E-14</v>
      </c>
      <c r="AC2052" s="236" t="e">
        <v>#N/A</v>
      </c>
      <c r="AD2052" s="236">
        <v>1.4126547125030697E-2</v>
      </c>
    </row>
    <row r="2053" spans="23:30" x14ac:dyDescent="0.2">
      <c r="W2053" s="144"/>
      <c r="X2053" s="113" t="str">
        <f t="shared" si="71"/>
        <v>1w</v>
      </c>
      <c r="Y2053" s="106">
        <f>_xll.qlCalendarAdvance(Calendar,Y2052,X2053,"f",FALSE)</f>
        <v>53596</v>
      </c>
      <c r="Z2053" s="108">
        <f>_xll.qlCalendarAdvance(Calendar,Y2053,0&amp;"D")</f>
        <v>53596</v>
      </c>
      <c r="AA2053" s="109">
        <v>1.4128686789236511E-2</v>
      </c>
      <c r="AB2053" s="143">
        <f t="shared" si="72"/>
        <v>0</v>
      </c>
      <c r="AC2053" s="236" t="e">
        <v>#N/A</v>
      </c>
      <c r="AD2053" s="236">
        <v>1.4128686789236511E-2</v>
      </c>
    </row>
    <row r="2054" spans="23:30" x14ac:dyDescent="0.2">
      <c r="W2054" s="144"/>
      <c r="X2054" s="113" t="str">
        <f t="shared" si="71"/>
        <v>1w</v>
      </c>
      <c r="Y2054" s="106">
        <f>_xll.qlCalendarAdvance(Calendar,Y2053,X2054,"f",FALSE)</f>
        <v>53603</v>
      </c>
      <c r="Z2054" s="108">
        <f>_xll.qlCalendarAdvance(Calendar,Y2054,0&amp;"D")</f>
        <v>53603</v>
      </c>
      <c r="AA2054" s="109">
        <v>1.4130792751041454E-2</v>
      </c>
      <c r="AB2054" s="143">
        <f t="shared" si="72"/>
        <v>0</v>
      </c>
      <c r="AC2054" s="236" t="e">
        <v>#N/A</v>
      </c>
      <c r="AD2054" s="236">
        <v>1.4130792751041454E-2</v>
      </c>
    </row>
    <row r="2055" spans="23:30" x14ac:dyDescent="0.2">
      <c r="W2055" s="144"/>
      <c r="X2055" s="113" t="str">
        <f t="shared" si="71"/>
        <v>1w</v>
      </c>
      <c r="Y2055" s="106">
        <f>_xll.qlCalendarAdvance(Calendar,Y2054,X2055,"f",FALSE)</f>
        <v>53610</v>
      </c>
      <c r="Z2055" s="108">
        <f>_xll.qlCalendarAdvance(Calendar,Y2055,0&amp;"D")</f>
        <v>53610</v>
      </c>
      <c r="AA2055" s="109">
        <v>1.4132865010285656E-2</v>
      </c>
      <c r="AB2055" s="143">
        <f t="shared" si="72"/>
        <v>-7.9936057773011271E-14</v>
      </c>
      <c r="AC2055" s="236" t="e">
        <v>#N/A</v>
      </c>
      <c r="AD2055" s="236">
        <v>1.4132865010365592E-2</v>
      </c>
    </row>
    <row r="2056" spans="23:30" x14ac:dyDescent="0.2">
      <c r="W2056" s="144"/>
      <c r="X2056" s="113" t="str">
        <f t="shared" si="71"/>
        <v>1w</v>
      </c>
      <c r="Y2056" s="106">
        <f>_xll.qlCalendarAdvance(Calendar,Y2055,X2056,"f",FALSE)</f>
        <v>53617</v>
      </c>
      <c r="Z2056" s="108">
        <f>_xll.qlCalendarAdvance(Calendar,Y2056,0&amp;"D")</f>
        <v>53617</v>
      </c>
      <c r="AA2056" s="109">
        <v>1.4134903567448731E-2</v>
      </c>
      <c r="AB2056" s="143">
        <f t="shared" si="72"/>
        <v>0</v>
      </c>
      <c r="AC2056" s="236" t="e">
        <v>#N/A</v>
      </c>
      <c r="AD2056" s="236">
        <v>1.4134903567448731E-2</v>
      </c>
    </row>
    <row r="2057" spans="23:30" x14ac:dyDescent="0.2">
      <c r="W2057" s="144"/>
      <c r="X2057" s="113" t="str">
        <f t="shared" si="71"/>
        <v>1w</v>
      </c>
      <c r="Y2057" s="106">
        <f>_xll.qlCalendarAdvance(Calendar,Y2056,X2057,"f",FALSE)</f>
        <v>53624</v>
      </c>
      <c r="Z2057" s="108">
        <f>_xll.qlCalendarAdvance(Calendar,Y2057,0&amp;"D")</f>
        <v>53624</v>
      </c>
      <c r="AA2057" s="109">
        <v>1.4136908421971128E-2</v>
      </c>
      <c r="AB2057" s="143">
        <f t="shared" si="72"/>
        <v>-7.9936057773011271E-14</v>
      </c>
      <c r="AC2057" s="236" t="e">
        <v>#N/A</v>
      </c>
      <c r="AD2057" s="236">
        <v>1.4136908422051064E-2</v>
      </c>
    </row>
    <row r="2058" spans="23:30" x14ac:dyDescent="0.2">
      <c r="W2058" s="144"/>
      <c r="X2058" s="113" t="str">
        <f t="shared" si="71"/>
        <v>1w</v>
      </c>
      <c r="Y2058" s="106">
        <f>_xll.qlCalendarAdvance(Calendar,Y2057,X2058,"f",FALSE)</f>
        <v>53631</v>
      </c>
      <c r="Z2058" s="108">
        <f>_xll.qlCalendarAdvance(Calendar,Y2058,0&amp;"D")</f>
        <v>53631</v>
      </c>
      <c r="AA2058" s="109">
        <v>1.4138879574332464E-2</v>
      </c>
      <c r="AB2058" s="143">
        <f t="shared" si="72"/>
        <v>0</v>
      </c>
      <c r="AC2058" s="236" t="e">
        <v>#N/A</v>
      </c>
      <c r="AD2058" s="236">
        <v>1.4138879574332464E-2</v>
      </c>
    </row>
    <row r="2059" spans="23:30" x14ac:dyDescent="0.2">
      <c r="W2059" s="144"/>
      <c r="X2059" s="113" t="str">
        <f t="shared" si="71"/>
        <v>1w</v>
      </c>
      <c r="Y2059" s="106">
        <f>_xll.qlCalendarAdvance(Calendar,Y2058,X2059,"f",FALSE)</f>
        <v>53638</v>
      </c>
      <c r="Z2059" s="108">
        <f>_xll.qlCalendarAdvance(Calendar,Y2059,0&amp;"D")</f>
        <v>53638</v>
      </c>
      <c r="AA2059" s="109">
        <v>1.4140817024133057E-2</v>
      </c>
      <c r="AB2059" s="143">
        <f t="shared" si="72"/>
        <v>0</v>
      </c>
      <c r="AC2059" s="236" t="e">
        <v>#N/A</v>
      </c>
      <c r="AD2059" s="236">
        <v>1.4140817024133057E-2</v>
      </c>
    </row>
    <row r="2060" spans="23:30" x14ac:dyDescent="0.2">
      <c r="W2060" s="144"/>
      <c r="X2060" s="113" t="str">
        <f t="shared" si="71"/>
        <v>1w</v>
      </c>
      <c r="Y2060" s="106">
        <f>_xll.qlCalendarAdvance(Calendar,Y2059,X2060,"f",FALSE)</f>
        <v>53645</v>
      </c>
      <c r="Z2060" s="108">
        <f>_xll.qlCalendarAdvance(Calendar,Y2060,0&amp;"D")</f>
        <v>53645</v>
      </c>
      <c r="AA2060" s="109">
        <v>1.4142720771692652E-2</v>
      </c>
      <c r="AB2060" s="143">
        <f t="shared" si="72"/>
        <v>0</v>
      </c>
      <c r="AC2060" s="236" t="e">
        <v>#N/A</v>
      </c>
      <c r="AD2060" s="236">
        <v>1.4142720771692652E-2</v>
      </c>
    </row>
    <row r="2061" spans="23:30" x14ac:dyDescent="0.2">
      <c r="W2061" s="144"/>
      <c r="X2061" s="113" t="str">
        <f t="shared" ref="X2061:X2124" si="73">X2060</f>
        <v>1w</v>
      </c>
      <c r="Y2061" s="106">
        <f>_xll.qlCalendarAdvance(Calendar,Y2060,X2061,"f",FALSE)</f>
        <v>53652</v>
      </c>
      <c r="Z2061" s="108">
        <f>_xll.qlCalendarAdvance(Calendar,Y2061,0&amp;"D")</f>
        <v>53652</v>
      </c>
      <c r="AA2061" s="109">
        <v>1.4144590816771441E-2</v>
      </c>
      <c r="AB2061" s="143">
        <f t="shared" si="72"/>
        <v>0</v>
      </c>
      <c r="AC2061" s="236" t="e">
        <v>#N/A</v>
      </c>
      <c r="AD2061" s="236">
        <v>1.4144590816771441E-2</v>
      </c>
    </row>
    <row r="2062" spans="23:30" x14ac:dyDescent="0.2">
      <c r="W2062" s="144"/>
      <c r="X2062" s="113" t="str">
        <f t="shared" si="73"/>
        <v>1w</v>
      </c>
      <c r="Y2062" s="106">
        <f>_xll.qlCalendarAdvance(Calendar,Y2061,X2062,"f",FALSE)</f>
        <v>53659</v>
      </c>
      <c r="Z2062" s="108">
        <f>_xll.qlCalendarAdvance(Calendar,Y2062,0&amp;"D")</f>
        <v>53659</v>
      </c>
      <c r="AA2062" s="109">
        <v>1.4146427159609232E-2</v>
      </c>
      <c r="AB2062" s="143">
        <f t="shared" si="72"/>
        <v>0</v>
      </c>
      <c r="AC2062" s="236" t="e">
        <v>#N/A</v>
      </c>
      <c r="AD2062" s="236">
        <v>1.4146427159609232E-2</v>
      </c>
    </row>
    <row r="2063" spans="23:30" x14ac:dyDescent="0.2">
      <c r="W2063" s="144"/>
      <c r="X2063" s="113" t="str">
        <f t="shared" si="73"/>
        <v>1w</v>
      </c>
      <c r="Y2063" s="106">
        <f>_xll.qlCalendarAdvance(Calendar,Y2062,X2063,"f",FALSE)</f>
        <v>53666</v>
      </c>
      <c r="Z2063" s="108">
        <f>_xll.qlCalendarAdvance(Calendar,Y2063,0&amp;"D")</f>
        <v>53666</v>
      </c>
      <c r="AA2063" s="109">
        <v>1.4148229800046153E-2</v>
      </c>
      <c r="AB2063" s="143">
        <f t="shared" si="72"/>
        <v>0</v>
      </c>
      <c r="AC2063" s="236" t="e">
        <v>#N/A</v>
      </c>
      <c r="AD2063" s="236">
        <v>1.4148229800046153E-2</v>
      </c>
    </row>
    <row r="2064" spans="23:30" x14ac:dyDescent="0.2">
      <c r="W2064" s="144"/>
      <c r="X2064" s="113" t="str">
        <f t="shared" si="73"/>
        <v>1w</v>
      </c>
      <c r="Y2064" s="106">
        <f>_xll.qlCalendarAdvance(Calendar,Y2063,X2064,"f",FALSE)</f>
        <v>53673</v>
      </c>
      <c r="Z2064" s="108">
        <f>_xll.qlCalendarAdvance(Calendar,Y2064,0&amp;"D")</f>
        <v>53673</v>
      </c>
      <c r="AA2064" s="109">
        <v>1.4149998737922331E-2</v>
      </c>
      <c r="AB2064" s="143">
        <f t="shared" si="72"/>
        <v>0</v>
      </c>
      <c r="AC2064" s="236" t="e">
        <v>#N/A</v>
      </c>
      <c r="AD2064" s="236">
        <v>1.4149998737922331E-2</v>
      </c>
    </row>
    <row r="2065" spans="23:30" x14ac:dyDescent="0.2">
      <c r="W2065" s="144"/>
      <c r="X2065" s="113" t="str">
        <f t="shared" si="73"/>
        <v>1w</v>
      </c>
      <c r="Y2065" s="106">
        <f>_xll.qlCalendarAdvance(Calendar,Y2064,X2065,"f",FALSE)</f>
        <v>53680</v>
      </c>
      <c r="Z2065" s="108">
        <f>_xll.qlCalendarAdvance(Calendar,Y2065,0&amp;"D")</f>
        <v>53680</v>
      </c>
      <c r="AA2065" s="109">
        <v>1.4151733973557512E-2</v>
      </c>
      <c r="AB2065" s="143">
        <f t="shared" si="72"/>
        <v>0</v>
      </c>
      <c r="AC2065" s="236" t="e">
        <v>#N/A</v>
      </c>
      <c r="AD2065" s="236">
        <v>1.4151733973557512E-2</v>
      </c>
    </row>
    <row r="2066" spans="23:30" x14ac:dyDescent="0.2">
      <c r="W2066" s="144"/>
      <c r="X2066" s="113" t="str">
        <f t="shared" si="73"/>
        <v>1w</v>
      </c>
      <c r="Y2066" s="106">
        <f>_xll.qlCalendarAdvance(Calendar,Y2065,X2066,"f",FALSE)</f>
        <v>53688</v>
      </c>
      <c r="Z2066" s="108">
        <f>_xll.qlCalendarAdvance(Calendar,Y2066,0&amp;"D")</f>
        <v>53688</v>
      </c>
      <c r="AA2066" s="109">
        <v>1.4153675831671819E-2</v>
      </c>
      <c r="AB2066" s="143">
        <f t="shared" si="72"/>
        <v>0</v>
      </c>
      <c r="AC2066" s="236" t="e">
        <v>#N/A</v>
      </c>
      <c r="AD2066" s="236">
        <v>1.4153675831671819E-2</v>
      </c>
    </row>
    <row r="2067" spans="23:30" x14ac:dyDescent="0.2">
      <c r="W2067" s="144"/>
      <c r="X2067" s="113" t="str">
        <f t="shared" si="73"/>
        <v>1w</v>
      </c>
      <c r="Y2067" s="106">
        <f>_xll.qlCalendarAdvance(Calendar,Y2066,X2067,"f",FALSE)</f>
        <v>53695</v>
      </c>
      <c r="Z2067" s="108">
        <f>_xll.qlCalendarAdvance(Calendar,Y2067,0&amp;"D")</f>
        <v>53695</v>
      </c>
      <c r="AA2067" s="109">
        <v>1.4155338847876564E-2</v>
      </c>
      <c r="AB2067" s="143">
        <f t="shared" si="72"/>
        <v>-7.9936057773011271E-14</v>
      </c>
      <c r="AC2067" s="236" t="e">
        <v>#N/A</v>
      </c>
      <c r="AD2067" s="236">
        <v>1.41553388479565E-2</v>
      </c>
    </row>
    <row r="2068" spans="23:30" x14ac:dyDescent="0.2">
      <c r="W2068" s="144"/>
      <c r="X2068" s="113" t="str">
        <f t="shared" si="73"/>
        <v>1w</v>
      </c>
      <c r="Y2068" s="106">
        <f>_xll.qlCalendarAdvance(Calendar,Y2067,X2068,"f",FALSE)</f>
        <v>53702</v>
      </c>
      <c r="Z2068" s="108">
        <f>_xll.qlCalendarAdvance(Calendar,Y2068,0&amp;"D")</f>
        <v>53702</v>
      </c>
      <c r="AA2068" s="109">
        <v>1.4156968161840311E-2</v>
      </c>
      <c r="AB2068" s="143">
        <f t="shared" si="72"/>
        <v>7.9936057773011271E-14</v>
      </c>
      <c r="AC2068" s="236" t="e">
        <v>#N/A</v>
      </c>
      <c r="AD2068" s="236">
        <v>1.4156968161760375E-2</v>
      </c>
    </row>
    <row r="2069" spans="23:30" x14ac:dyDescent="0.2">
      <c r="W2069" s="144"/>
      <c r="X2069" s="113" t="str">
        <f t="shared" si="73"/>
        <v>1w</v>
      </c>
      <c r="Y2069" s="106">
        <f>_xll.qlCalendarAdvance(Calendar,Y2068,X2069,"f",FALSE)</f>
        <v>53709</v>
      </c>
      <c r="Z2069" s="108">
        <f>_xll.qlCalendarAdvance(Calendar,Y2069,0&amp;"D")</f>
        <v>53709</v>
      </c>
      <c r="AA2069" s="109">
        <v>1.4158563773243316E-2</v>
      </c>
      <c r="AB2069" s="143">
        <f t="shared" ref="AB2069:AB2132" si="74">AA2069-AD2069</f>
        <v>0</v>
      </c>
      <c r="AC2069" s="236" t="e">
        <v>#N/A</v>
      </c>
      <c r="AD2069" s="236">
        <v>1.4158563773243316E-2</v>
      </c>
    </row>
    <row r="2070" spans="23:30" x14ac:dyDescent="0.2">
      <c r="W2070" s="144"/>
      <c r="X2070" s="113" t="str">
        <f t="shared" si="73"/>
        <v>1w</v>
      </c>
      <c r="Y2070" s="106">
        <f>_xll.qlCalendarAdvance(Calendar,Y2069,X2070,"f",FALSE)</f>
        <v>53716</v>
      </c>
      <c r="Z2070" s="108">
        <f>_xll.qlCalendarAdvance(Calendar,Y2070,0&amp;"D")</f>
        <v>53716</v>
      </c>
      <c r="AA2070" s="109">
        <v>1.416012568224545E-2</v>
      </c>
      <c r="AB2070" s="143">
        <f t="shared" si="74"/>
        <v>0</v>
      </c>
      <c r="AC2070" s="236" t="e">
        <v>#N/A</v>
      </c>
      <c r="AD2070" s="236">
        <v>1.416012568224545E-2</v>
      </c>
    </row>
    <row r="2071" spans="23:30" x14ac:dyDescent="0.2">
      <c r="W2071" s="144"/>
      <c r="X2071" s="113" t="str">
        <f t="shared" si="73"/>
        <v>1w</v>
      </c>
      <c r="Y2071" s="106">
        <f>_xll.qlCalendarAdvance(Calendar,Y2070,X2071,"f",FALSE)</f>
        <v>53723</v>
      </c>
      <c r="Z2071" s="108">
        <f>_xll.qlCalendarAdvance(Calendar,Y2071,0&amp;"D")</f>
        <v>53723</v>
      </c>
      <c r="AA2071" s="109">
        <v>1.4161653888926651E-2</v>
      </c>
      <c r="AB2071" s="143">
        <f t="shared" si="74"/>
        <v>0</v>
      </c>
      <c r="AC2071" s="236" t="e">
        <v>#N/A</v>
      </c>
      <c r="AD2071" s="236">
        <v>1.4161653888926651E-2</v>
      </c>
    </row>
    <row r="2072" spans="23:30" x14ac:dyDescent="0.2">
      <c r="W2072" s="144"/>
      <c r="X2072" s="113" t="str">
        <f t="shared" si="73"/>
        <v>1w</v>
      </c>
      <c r="Y2072" s="106">
        <f>_xll.qlCalendarAdvance(Calendar,Y2071,X2072,"f",FALSE)</f>
        <v>53730</v>
      </c>
      <c r="Z2072" s="108">
        <f>_xll.qlCalendarAdvance(Calendar,Y2072,0&amp;"D")</f>
        <v>53730</v>
      </c>
      <c r="AA2072" s="109">
        <v>1.4163148393206981E-2</v>
      </c>
      <c r="AB2072" s="143">
        <f t="shared" si="74"/>
        <v>-7.9936057773011271E-14</v>
      </c>
      <c r="AC2072" s="236" t="e">
        <v>#N/A</v>
      </c>
      <c r="AD2072" s="236">
        <v>1.4163148393286917E-2</v>
      </c>
    </row>
    <row r="2073" spans="23:30" x14ac:dyDescent="0.2">
      <c r="W2073" s="144"/>
      <c r="X2073" s="113" t="str">
        <f t="shared" si="73"/>
        <v>1w</v>
      </c>
      <c r="Y2073" s="106">
        <f>_xll.qlCalendarAdvance(Calendar,Y2072,X2073,"f",FALSE)</f>
        <v>53737</v>
      </c>
      <c r="Z2073" s="108">
        <f>_xll.qlCalendarAdvance(Calendar,Y2073,0&amp;"D")</f>
        <v>53737</v>
      </c>
      <c r="AA2073" s="109">
        <v>1.4164609195006506E-2</v>
      </c>
      <c r="AB2073" s="143">
        <f t="shared" si="74"/>
        <v>-7.9936057773011271E-14</v>
      </c>
      <c r="AC2073" s="236" t="e">
        <v>#N/A</v>
      </c>
      <c r="AD2073" s="236">
        <v>1.4164609195086442E-2</v>
      </c>
    </row>
    <row r="2074" spans="23:30" x14ac:dyDescent="0.2">
      <c r="W2074" s="144"/>
      <c r="X2074" s="113" t="str">
        <f t="shared" si="73"/>
        <v>1w</v>
      </c>
      <c r="Y2074" s="106">
        <f>_xll.qlCalendarAdvance(Calendar,Y2073,X2074,"f",FALSE)</f>
        <v>53744</v>
      </c>
      <c r="Z2074" s="108">
        <f>_xll.qlCalendarAdvance(Calendar,Y2074,0&amp;"D")</f>
        <v>53744</v>
      </c>
      <c r="AA2074" s="109">
        <v>1.4166036294724904E-2</v>
      </c>
      <c r="AB2074" s="143">
        <f t="shared" si="74"/>
        <v>0</v>
      </c>
      <c r="AC2074" s="236" t="e">
        <v>#N/A</v>
      </c>
      <c r="AD2074" s="236">
        <v>1.4166036294724904E-2</v>
      </c>
    </row>
    <row r="2075" spans="23:30" x14ac:dyDescent="0.2">
      <c r="W2075" s="144"/>
      <c r="X2075" s="113" t="str">
        <f t="shared" si="73"/>
        <v>1w</v>
      </c>
      <c r="Y2075" s="106">
        <f>_xll.qlCalendarAdvance(Calendar,Y2074,X2075,"f",FALSE)</f>
        <v>53751</v>
      </c>
      <c r="Z2075" s="108">
        <f>_xll.qlCalendarAdvance(Calendar,Y2075,0&amp;"D")</f>
        <v>53751</v>
      </c>
      <c r="AA2075" s="109">
        <v>1.416742969188256E-2</v>
      </c>
      <c r="AB2075" s="143">
        <f t="shared" si="74"/>
        <v>7.9936057773011271E-14</v>
      </c>
      <c r="AC2075" s="236" t="e">
        <v>#N/A</v>
      </c>
      <c r="AD2075" s="236">
        <v>1.4167429691802624E-2</v>
      </c>
    </row>
    <row r="2076" spans="23:30" x14ac:dyDescent="0.2">
      <c r="W2076" s="144"/>
      <c r="X2076" s="113" t="str">
        <f t="shared" si="73"/>
        <v>1w</v>
      </c>
      <c r="Y2076" s="106">
        <f>_xll.qlCalendarAdvance(Calendar,Y2075,X2076,"f",FALSE)</f>
        <v>53758</v>
      </c>
      <c r="Z2076" s="108">
        <f>_xll.qlCalendarAdvance(Calendar,Y2076,0&amp;"D")</f>
        <v>53758</v>
      </c>
      <c r="AA2076" s="109">
        <v>1.4168789386559411E-2</v>
      </c>
      <c r="AB2076" s="143">
        <f t="shared" si="74"/>
        <v>0</v>
      </c>
      <c r="AC2076" s="236" t="e">
        <v>#N/A</v>
      </c>
      <c r="AD2076" s="236">
        <v>1.4168789386559411E-2</v>
      </c>
    </row>
    <row r="2077" spans="23:30" x14ac:dyDescent="0.2">
      <c r="W2077" s="144"/>
      <c r="X2077" s="113" t="str">
        <f t="shared" si="73"/>
        <v>1w</v>
      </c>
      <c r="Y2077" s="106">
        <f>_xll.qlCalendarAdvance(Calendar,Y2076,X2077,"f",FALSE)</f>
        <v>53765</v>
      </c>
      <c r="Z2077" s="108">
        <f>_xll.qlCalendarAdvance(Calendar,Y2077,0&amp;"D")</f>
        <v>53765</v>
      </c>
      <c r="AA2077" s="109">
        <v>1.4170115378995263E-2</v>
      </c>
      <c r="AB2077" s="143">
        <f t="shared" si="74"/>
        <v>7.9936057773011271E-14</v>
      </c>
      <c r="AC2077" s="236" t="e">
        <v>#N/A</v>
      </c>
      <c r="AD2077" s="236">
        <v>1.4170115378915327E-2</v>
      </c>
    </row>
    <row r="2078" spans="23:30" x14ac:dyDescent="0.2">
      <c r="W2078" s="144"/>
      <c r="X2078" s="113" t="str">
        <f t="shared" si="73"/>
        <v>1w</v>
      </c>
      <c r="Y2078" s="106">
        <f>_xll.qlCalendarAdvance(Calendar,Y2077,X2078,"f",FALSE)</f>
        <v>53772</v>
      </c>
      <c r="Z2078" s="108">
        <f>_xll.qlCalendarAdvance(Calendar,Y2078,0&amp;"D")</f>
        <v>53772</v>
      </c>
      <c r="AA2078" s="109">
        <v>1.4171407668870373E-2</v>
      </c>
      <c r="AB2078" s="143">
        <f t="shared" si="74"/>
        <v>0</v>
      </c>
      <c r="AC2078" s="236" t="e">
        <v>#N/A</v>
      </c>
      <c r="AD2078" s="236">
        <v>1.4171407668870373E-2</v>
      </c>
    </row>
    <row r="2079" spans="23:30" x14ac:dyDescent="0.2">
      <c r="W2079" s="144"/>
      <c r="X2079" s="113" t="str">
        <f t="shared" si="73"/>
        <v>1w</v>
      </c>
      <c r="Y2079" s="106">
        <f>_xll.qlCalendarAdvance(Calendar,Y2078,X2079,"f",FALSE)</f>
        <v>53779</v>
      </c>
      <c r="Z2079" s="108">
        <f>_xll.qlCalendarAdvance(Calendar,Y2079,0&amp;"D")</f>
        <v>53779</v>
      </c>
      <c r="AA2079" s="109">
        <v>1.4172666256504485E-2</v>
      </c>
      <c r="AB2079" s="143">
        <f t="shared" si="74"/>
        <v>0</v>
      </c>
      <c r="AC2079" s="236" t="e">
        <v>#N/A</v>
      </c>
      <c r="AD2079" s="236">
        <v>1.4172666256504485E-2</v>
      </c>
    </row>
    <row r="2080" spans="23:30" x14ac:dyDescent="0.2">
      <c r="W2080" s="144"/>
      <c r="X2080" s="113" t="str">
        <f t="shared" si="73"/>
        <v>1w</v>
      </c>
      <c r="Y2080" s="106">
        <f>_xll.qlCalendarAdvance(Calendar,Y2079,X2080,"f",FALSE)</f>
        <v>53786</v>
      </c>
      <c r="Z2080" s="108">
        <f>_xll.qlCalendarAdvance(Calendar,Y2080,0&amp;"D")</f>
        <v>53786</v>
      </c>
      <c r="AA2080" s="109">
        <v>1.4173891141737727E-2</v>
      </c>
      <c r="AB2080" s="143">
        <f t="shared" si="74"/>
        <v>7.9936057773011271E-14</v>
      </c>
      <c r="AC2080" s="236" t="e">
        <v>#N/A</v>
      </c>
      <c r="AD2080" s="236">
        <v>1.4173891141657791E-2</v>
      </c>
    </row>
    <row r="2081" spans="23:30" x14ac:dyDescent="0.2">
      <c r="W2081" s="144"/>
      <c r="X2081" s="113" t="str">
        <f t="shared" si="73"/>
        <v>1w</v>
      </c>
      <c r="Y2081" s="106">
        <f>_xll.qlCalendarAdvance(Calendar,Y2080,X2081,"f",FALSE)</f>
        <v>53793</v>
      </c>
      <c r="Z2081" s="108">
        <f>_xll.qlCalendarAdvance(Calendar,Y2081,0&amp;"D")</f>
        <v>53793</v>
      </c>
      <c r="AA2081" s="109">
        <v>1.4176532175145695E-2</v>
      </c>
      <c r="AB2081" s="143">
        <f t="shared" si="74"/>
        <v>1.5987211554602254E-14</v>
      </c>
      <c r="AC2081" s="236" t="e">
        <v>#N/A</v>
      </c>
      <c r="AD2081" s="236">
        <v>1.4176532175129708E-2</v>
      </c>
    </row>
    <row r="2082" spans="23:30" x14ac:dyDescent="0.2">
      <c r="W2082" s="144"/>
      <c r="X2082" s="113" t="str">
        <f t="shared" si="73"/>
        <v>1w</v>
      </c>
      <c r="Y2082" s="106">
        <f>_xll.qlCalendarAdvance(Calendar,Y2081,X2082,"f",FALSE)</f>
        <v>53800</v>
      </c>
      <c r="Z2082" s="108">
        <f>_xll.qlCalendarAdvance(Calendar,Y2082,0&amp;"D")</f>
        <v>53800</v>
      </c>
      <c r="AA2082" s="109">
        <v>1.4176239804921664E-2</v>
      </c>
      <c r="AB2082" s="143">
        <f t="shared" si="74"/>
        <v>-7.9936057773011271E-14</v>
      </c>
      <c r="AC2082" s="236" t="e">
        <v>#N/A</v>
      </c>
      <c r="AD2082" s="236">
        <v>1.41762398050016E-2</v>
      </c>
    </row>
    <row r="2083" spans="23:30" x14ac:dyDescent="0.2">
      <c r="W2083" s="144"/>
      <c r="X2083" s="113" t="str">
        <f t="shared" si="73"/>
        <v>1w</v>
      </c>
      <c r="Y2083" s="106">
        <f>_xll.qlCalendarAdvance(Calendar,Y2082,X2083,"f",FALSE)</f>
        <v>53807</v>
      </c>
      <c r="Z2083" s="108">
        <f>_xll.qlCalendarAdvance(Calendar,Y2083,0&amp;"D")</f>
        <v>53807</v>
      </c>
      <c r="AA2083" s="109">
        <v>1.4177363582952296E-2</v>
      </c>
      <c r="AB2083" s="143">
        <f t="shared" si="74"/>
        <v>0</v>
      </c>
      <c r="AC2083" s="236" t="e">
        <v>#N/A</v>
      </c>
      <c r="AD2083" s="236">
        <v>1.4177363582952296E-2</v>
      </c>
    </row>
    <row r="2084" spans="23:30" x14ac:dyDescent="0.2">
      <c r="W2084" s="144"/>
      <c r="X2084" s="113" t="str">
        <f t="shared" si="73"/>
        <v>1w</v>
      </c>
      <c r="Y2084" s="106">
        <f>_xll.qlCalendarAdvance(Calendar,Y2083,X2084,"f",FALSE)</f>
        <v>53814</v>
      </c>
      <c r="Z2084" s="108">
        <f>_xll.qlCalendarAdvance(Calendar,Y2084,0&amp;"D")</f>
        <v>53814</v>
      </c>
      <c r="AA2084" s="109">
        <v>1.4178453658661994E-2</v>
      </c>
      <c r="AB2084" s="143">
        <f t="shared" si="74"/>
        <v>0</v>
      </c>
      <c r="AC2084" s="236" t="e">
        <v>#N/A</v>
      </c>
      <c r="AD2084" s="236">
        <v>1.4178453658661994E-2</v>
      </c>
    </row>
    <row r="2085" spans="23:30" x14ac:dyDescent="0.2">
      <c r="W2085" s="144"/>
      <c r="X2085" s="113" t="str">
        <f t="shared" si="73"/>
        <v>1w</v>
      </c>
      <c r="Y2085" s="106">
        <f>_xll.qlCalendarAdvance(Calendar,Y2084,X2085,"f",FALSE)</f>
        <v>53821</v>
      </c>
      <c r="Z2085" s="108">
        <f>_xll.qlCalendarAdvance(Calendar,Y2085,0&amp;"D")</f>
        <v>53821</v>
      </c>
      <c r="AA2085" s="109">
        <v>1.4179510031970821E-2</v>
      </c>
      <c r="AB2085" s="143">
        <f t="shared" si="74"/>
        <v>0</v>
      </c>
      <c r="AC2085" s="236" t="e">
        <v>#N/A</v>
      </c>
      <c r="AD2085" s="236">
        <v>1.4179510031970821E-2</v>
      </c>
    </row>
    <row r="2086" spans="23:30" x14ac:dyDescent="0.2">
      <c r="W2086" s="144"/>
      <c r="X2086" s="113" t="str">
        <f t="shared" si="73"/>
        <v>1w</v>
      </c>
      <c r="Y2086" s="106">
        <f>_xll.qlCalendarAdvance(Calendar,Y2085,X2086,"f",FALSE)</f>
        <v>53828</v>
      </c>
      <c r="Z2086" s="108">
        <f>_xll.qlCalendarAdvance(Calendar,Y2086,0&amp;"D")</f>
        <v>53828</v>
      </c>
      <c r="AA2086" s="109">
        <v>1.4180532702798843E-2</v>
      </c>
      <c r="AB2086" s="143">
        <f t="shared" si="74"/>
        <v>0</v>
      </c>
      <c r="AC2086" s="236" t="e">
        <v>#N/A</v>
      </c>
      <c r="AD2086" s="236">
        <v>1.4180532702798843E-2</v>
      </c>
    </row>
    <row r="2087" spans="23:30" x14ac:dyDescent="0.2">
      <c r="W2087" s="144"/>
      <c r="X2087" s="113" t="str">
        <f t="shared" si="73"/>
        <v>1w</v>
      </c>
      <c r="Y2087" s="106">
        <f>_xll.qlCalendarAdvance(Calendar,Y2086,X2087,"f",FALSE)</f>
        <v>53835</v>
      </c>
      <c r="Z2087" s="108">
        <f>_xll.qlCalendarAdvance(Calendar,Y2087,0&amp;"D")</f>
        <v>53835</v>
      </c>
      <c r="AA2087" s="109">
        <v>1.4181521671225994E-2</v>
      </c>
      <c r="AB2087" s="143">
        <f t="shared" si="74"/>
        <v>0</v>
      </c>
      <c r="AC2087" s="236" t="e">
        <v>#N/A</v>
      </c>
      <c r="AD2087" s="236">
        <v>1.4181521671225994E-2</v>
      </c>
    </row>
    <row r="2088" spans="23:30" x14ac:dyDescent="0.2">
      <c r="W2088" s="144"/>
      <c r="X2088" s="113" t="str">
        <f t="shared" si="73"/>
        <v>1w</v>
      </c>
      <c r="Y2088" s="106">
        <f>_xll.qlCalendarAdvance(Calendar,Y2087,X2088,"f",FALSE)</f>
        <v>53842</v>
      </c>
      <c r="Z2088" s="108">
        <f>_xll.qlCalendarAdvance(Calendar,Y2088,0&amp;"D")</f>
        <v>53842</v>
      </c>
      <c r="AA2088" s="109">
        <v>1.4182476937412147E-2</v>
      </c>
      <c r="AB2088" s="143">
        <f t="shared" si="74"/>
        <v>0</v>
      </c>
      <c r="AC2088" s="236" t="e">
        <v>#N/A</v>
      </c>
      <c r="AD2088" s="236">
        <v>1.4182476937412147E-2</v>
      </c>
    </row>
    <row r="2089" spans="23:30" x14ac:dyDescent="0.2">
      <c r="W2089" s="144"/>
      <c r="X2089" s="113" t="str">
        <f t="shared" si="73"/>
        <v>1w</v>
      </c>
      <c r="Y2089" s="106">
        <f>_xll.qlCalendarAdvance(Calendar,Y2088,X2089,"f",FALSE)</f>
        <v>53849</v>
      </c>
      <c r="Z2089" s="108">
        <f>_xll.qlCalendarAdvance(Calendar,Y2089,0&amp;"D")</f>
        <v>53849</v>
      </c>
      <c r="AA2089" s="109">
        <v>1.4183398501117495E-2</v>
      </c>
      <c r="AB2089" s="143">
        <f t="shared" si="74"/>
        <v>7.9936057773011271E-14</v>
      </c>
      <c r="AC2089" s="236" t="e">
        <v>#N/A</v>
      </c>
      <c r="AD2089" s="236">
        <v>1.4183398501037559E-2</v>
      </c>
    </row>
    <row r="2090" spans="23:30" x14ac:dyDescent="0.2">
      <c r="W2090" s="144"/>
      <c r="X2090" s="113" t="str">
        <f t="shared" si="73"/>
        <v>1w</v>
      </c>
      <c r="Y2090" s="106">
        <f>_xll.qlCalendarAdvance(Calendar,Y2089,X2090,"f",FALSE)</f>
        <v>53856</v>
      </c>
      <c r="Z2090" s="108">
        <f>_xll.qlCalendarAdvance(Calendar,Y2090,0&amp;"D")</f>
        <v>53856</v>
      </c>
      <c r="AA2090" s="109">
        <v>1.4184286362421972E-2</v>
      </c>
      <c r="AB2090" s="143">
        <f t="shared" si="74"/>
        <v>7.9936057773011271E-14</v>
      </c>
      <c r="AC2090" s="236" t="e">
        <v>#N/A</v>
      </c>
      <c r="AD2090" s="236">
        <v>1.4184286362342036E-2</v>
      </c>
    </row>
    <row r="2091" spans="23:30" x14ac:dyDescent="0.2">
      <c r="W2091" s="144"/>
      <c r="X2091" s="113" t="str">
        <f t="shared" si="73"/>
        <v>1w</v>
      </c>
      <c r="Y2091" s="106">
        <f>_xll.qlCalendarAdvance(Calendar,Y2090,X2091,"f",FALSE)</f>
        <v>53863</v>
      </c>
      <c r="Z2091" s="108">
        <f>_xll.qlCalendarAdvance(Calendar,Y2091,0&amp;"D")</f>
        <v>53863</v>
      </c>
      <c r="AA2091" s="109">
        <v>1.4185140521325579E-2</v>
      </c>
      <c r="AB2091" s="143">
        <f t="shared" si="74"/>
        <v>0</v>
      </c>
      <c r="AC2091" s="236" t="e">
        <v>#N/A</v>
      </c>
      <c r="AD2091" s="236">
        <v>1.4185140521325579E-2</v>
      </c>
    </row>
    <row r="2092" spans="23:30" x14ac:dyDescent="0.2">
      <c r="W2092" s="144"/>
      <c r="X2092" s="113" t="str">
        <f t="shared" si="73"/>
        <v>1w</v>
      </c>
      <c r="Y2092" s="106">
        <f>_xll.qlCalendarAdvance(Calendar,Y2091,X2092,"f",FALSE)</f>
        <v>53870</v>
      </c>
      <c r="Z2092" s="108">
        <f>_xll.qlCalendarAdvance(Calendar,Y2092,0&amp;"D")</f>
        <v>53870</v>
      </c>
      <c r="AA2092" s="109">
        <v>1.4185960977828316E-2</v>
      </c>
      <c r="AB2092" s="143">
        <f t="shared" si="74"/>
        <v>0</v>
      </c>
      <c r="AC2092" s="236" t="e">
        <v>#N/A</v>
      </c>
      <c r="AD2092" s="236">
        <v>1.4185960977828316E-2</v>
      </c>
    </row>
    <row r="2093" spans="23:30" x14ac:dyDescent="0.2">
      <c r="W2093" s="144"/>
      <c r="X2093" s="113" t="str">
        <f t="shared" si="73"/>
        <v>1w</v>
      </c>
      <c r="Y2093" s="106">
        <f>_xll.qlCalendarAdvance(Calendar,Y2092,X2093,"f",FALSE)</f>
        <v>53877</v>
      </c>
      <c r="Z2093" s="108">
        <f>_xll.qlCalendarAdvance(Calendar,Y2093,0&amp;"D")</f>
        <v>53877</v>
      </c>
      <c r="AA2093" s="109">
        <v>1.4186747731930183E-2</v>
      </c>
      <c r="AB2093" s="143">
        <f t="shared" si="74"/>
        <v>0</v>
      </c>
      <c r="AC2093" s="236" t="e">
        <v>#N/A</v>
      </c>
      <c r="AD2093" s="236">
        <v>1.4186747731930183E-2</v>
      </c>
    </row>
    <row r="2094" spans="23:30" x14ac:dyDescent="0.2">
      <c r="W2094" s="144"/>
      <c r="X2094" s="113" t="str">
        <f t="shared" si="73"/>
        <v>1w</v>
      </c>
      <c r="Y2094" s="106">
        <f>_xll.qlCalendarAdvance(Calendar,Y2093,X2094,"f",FALSE)</f>
        <v>53884</v>
      </c>
      <c r="Z2094" s="108">
        <f>_xll.qlCalendarAdvance(Calendar,Y2094,0&amp;"D")</f>
        <v>53884</v>
      </c>
      <c r="AA2094" s="109">
        <v>1.418750078363118E-2</v>
      </c>
      <c r="AB2094" s="143">
        <f t="shared" si="74"/>
        <v>0</v>
      </c>
      <c r="AC2094" s="236" t="e">
        <v>#N/A</v>
      </c>
      <c r="AD2094" s="236">
        <v>1.418750078363118E-2</v>
      </c>
    </row>
    <row r="2095" spans="23:30" x14ac:dyDescent="0.2">
      <c r="W2095" s="144"/>
      <c r="X2095" s="113" t="str">
        <f t="shared" si="73"/>
        <v>1w</v>
      </c>
      <c r="Y2095" s="106">
        <f>_xll.qlCalendarAdvance(Calendar,Y2094,X2095,"f",FALSE)</f>
        <v>53891</v>
      </c>
      <c r="Z2095" s="108">
        <f>_xll.qlCalendarAdvance(Calendar,Y2095,0&amp;"D")</f>
        <v>53891</v>
      </c>
      <c r="AA2095" s="109">
        <v>1.4188220133091178E-2</v>
      </c>
      <c r="AB2095" s="143">
        <f t="shared" si="74"/>
        <v>0</v>
      </c>
      <c r="AC2095" s="236" t="e">
        <v>#N/A</v>
      </c>
      <c r="AD2095" s="236">
        <v>1.4188220133091178E-2</v>
      </c>
    </row>
    <row r="2096" spans="23:30" x14ac:dyDescent="0.2">
      <c r="W2096" s="144"/>
      <c r="X2096" s="113" t="str">
        <f t="shared" si="73"/>
        <v>1w</v>
      </c>
      <c r="Y2096" s="106">
        <f>_xll.qlCalendarAdvance(Calendar,Y2095,X2096,"f",FALSE)</f>
        <v>53898</v>
      </c>
      <c r="Z2096" s="108">
        <f>_xll.qlCalendarAdvance(Calendar,Y2096,0&amp;"D")</f>
        <v>53898</v>
      </c>
      <c r="AA2096" s="109">
        <v>1.4188905780070371E-2</v>
      </c>
      <c r="AB2096" s="143">
        <f t="shared" si="74"/>
        <v>7.9936057773011271E-14</v>
      </c>
      <c r="AC2096" s="236" t="e">
        <v>#N/A</v>
      </c>
      <c r="AD2096" s="236">
        <v>1.4188905779990435E-2</v>
      </c>
    </row>
    <row r="2097" spans="23:30" x14ac:dyDescent="0.2">
      <c r="W2097" s="144"/>
      <c r="X2097" s="113" t="str">
        <f t="shared" si="73"/>
        <v>1w</v>
      </c>
      <c r="Y2097" s="106">
        <f>_xll.qlCalendarAdvance(Calendar,Y2096,X2097,"f",FALSE)</f>
        <v>53905</v>
      </c>
      <c r="Z2097" s="108">
        <f>_xll.qlCalendarAdvance(Calendar,Y2097,0&amp;"D")</f>
        <v>53905</v>
      </c>
      <c r="AA2097" s="109">
        <v>1.4189557724488822E-2</v>
      </c>
      <c r="AB2097" s="143">
        <f t="shared" si="74"/>
        <v>0</v>
      </c>
      <c r="AC2097" s="236" t="e">
        <v>#N/A</v>
      </c>
      <c r="AD2097" s="236">
        <v>1.4189557724488822E-2</v>
      </c>
    </row>
    <row r="2098" spans="23:30" x14ac:dyDescent="0.2">
      <c r="W2098" s="144"/>
      <c r="X2098" s="113" t="str">
        <f t="shared" si="73"/>
        <v>1w</v>
      </c>
      <c r="Y2098" s="106">
        <f>_xll.qlCalendarAdvance(Calendar,Y2097,X2098,"f",FALSE)</f>
        <v>53912</v>
      </c>
      <c r="Z2098" s="108">
        <f>_xll.qlCalendarAdvance(Calendar,Y2098,0&amp;"D")</f>
        <v>53912</v>
      </c>
      <c r="AA2098" s="109">
        <v>1.419017596674621E-2</v>
      </c>
      <c r="AB2098" s="143">
        <f t="shared" si="74"/>
        <v>7.9936057773011271E-14</v>
      </c>
      <c r="AC2098" s="236" t="e">
        <v>#N/A</v>
      </c>
      <c r="AD2098" s="236">
        <v>1.4190175966666274E-2</v>
      </c>
    </row>
    <row r="2099" spans="23:30" x14ac:dyDescent="0.2">
      <c r="W2099" s="144"/>
      <c r="X2099" s="113" t="str">
        <f t="shared" si="73"/>
        <v>1w</v>
      </c>
      <c r="Y2099" s="106">
        <f>_xll.qlCalendarAdvance(Calendar,Y2098,X2099,"f",FALSE)</f>
        <v>53919</v>
      </c>
      <c r="Z2099" s="108">
        <f>_xll.qlCalendarAdvance(Calendar,Y2099,0&amp;"D")</f>
        <v>53919</v>
      </c>
      <c r="AA2099" s="109">
        <v>1.4190760506362921E-2</v>
      </c>
      <c r="AB2099" s="143">
        <f t="shared" si="74"/>
        <v>-7.9936057773011271E-14</v>
      </c>
      <c r="AC2099" s="236" t="e">
        <v>#N/A</v>
      </c>
      <c r="AD2099" s="236">
        <v>1.4190760506442857E-2</v>
      </c>
    </row>
    <row r="2100" spans="23:30" x14ac:dyDescent="0.2">
      <c r="W2100" s="144"/>
      <c r="X2100" s="113" t="str">
        <f t="shared" si="73"/>
        <v>1w</v>
      </c>
      <c r="Y2100" s="106">
        <f>_xll.qlCalendarAdvance(Calendar,Y2099,X2100,"f",FALSE)</f>
        <v>53926</v>
      </c>
      <c r="Z2100" s="108">
        <f>_xll.qlCalendarAdvance(Calendar,Y2100,0&amp;"D")</f>
        <v>53926</v>
      </c>
      <c r="AA2100" s="109">
        <v>1.4191311343898505E-2</v>
      </c>
      <c r="AB2100" s="143">
        <f t="shared" si="74"/>
        <v>0</v>
      </c>
      <c r="AC2100" s="236" t="e">
        <v>#N/A</v>
      </c>
      <c r="AD2100" s="236">
        <v>1.4191311343898505E-2</v>
      </c>
    </row>
    <row r="2101" spans="23:30" x14ac:dyDescent="0.2">
      <c r="W2101" s="144"/>
      <c r="X2101" s="113" t="str">
        <f t="shared" si="73"/>
        <v>1w</v>
      </c>
      <c r="Y2101" s="106">
        <f>_xll.qlCalendarAdvance(Calendar,Y2100,X2101,"f",FALSE)</f>
        <v>53933</v>
      </c>
      <c r="Z2101" s="108">
        <f>_xll.qlCalendarAdvance(Calendar,Y2101,0&amp;"D")</f>
        <v>53933</v>
      </c>
      <c r="AA2101" s="109">
        <v>1.4191828478793411E-2</v>
      </c>
      <c r="AB2101" s="143">
        <f t="shared" si="74"/>
        <v>0</v>
      </c>
      <c r="AC2101" s="236" t="e">
        <v>#N/A</v>
      </c>
      <c r="AD2101" s="236">
        <v>1.4191828478793411E-2</v>
      </c>
    </row>
    <row r="2102" spans="23:30" x14ac:dyDescent="0.2">
      <c r="W2102" s="144"/>
      <c r="X2102" s="113" t="str">
        <f t="shared" si="73"/>
        <v>1w</v>
      </c>
      <c r="Y2102" s="106">
        <f>_xll.qlCalendarAdvance(Calendar,Y2101,X2102,"f",FALSE)</f>
        <v>53940</v>
      </c>
      <c r="Z2102" s="108">
        <f>_xll.qlCalendarAdvance(Calendar,Y2102,0&amp;"D")</f>
        <v>53940</v>
      </c>
      <c r="AA2102" s="109">
        <v>1.4192311911367383E-2</v>
      </c>
      <c r="AB2102" s="143">
        <f t="shared" si="74"/>
        <v>-7.9936057773011271E-14</v>
      </c>
      <c r="AC2102" s="236" t="e">
        <v>#N/A</v>
      </c>
      <c r="AD2102" s="236">
        <v>1.419231191144732E-2</v>
      </c>
    </row>
    <row r="2103" spans="23:30" x14ac:dyDescent="0.2">
      <c r="W2103" s="144"/>
      <c r="X2103" s="113" t="str">
        <f t="shared" si="73"/>
        <v>1w</v>
      </c>
      <c r="Y2103" s="106">
        <f>_xll.qlCalendarAdvance(Calendar,Y2102,X2103,"f",FALSE)</f>
        <v>53947</v>
      </c>
      <c r="Z2103" s="108">
        <f>_xll.qlCalendarAdvance(Calendar,Y2103,0&amp;"D")</f>
        <v>53947</v>
      </c>
      <c r="AA2103" s="109">
        <v>1.4192761641700358E-2</v>
      </c>
      <c r="AB2103" s="143">
        <f t="shared" si="74"/>
        <v>0</v>
      </c>
      <c r="AC2103" s="236" t="e">
        <v>#N/A</v>
      </c>
      <c r="AD2103" s="236">
        <v>1.4192761641700358E-2</v>
      </c>
    </row>
    <row r="2104" spans="23:30" x14ac:dyDescent="0.2">
      <c r="W2104" s="144"/>
      <c r="X2104" s="113" t="str">
        <f t="shared" si="73"/>
        <v>1w</v>
      </c>
      <c r="Y2104" s="106">
        <f>_xll.qlCalendarAdvance(Calendar,Y2103,X2104,"f",FALSE)</f>
        <v>53954</v>
      </c>
      <c r="Z2104" s="108">
        <f>_xll.qlCalendarAdvance(Calendar,Y2104,0&amp;"D")</f>
        <v>53954</v>
      </c>
      <c r="AA2104" s="109">
        <v>1.419317766947259E-2</v>
      </c>
      <c r="AB2104" s="143">
        <f t="shared" si="74"/>
        <v>0</v>
      </c>
      <c r="AC2104" s="236" t="e">
        <v>#N/A</v>
      </c>
      <c r="AD2104" s="236">
        <v>1.419317766947259E-2</v>
      </c>
    </row>
    <row r="2105" spans="23:30" x14ac:dyDescent="0.2">
      <c r="W2105" s="144"/>
      <c r="X2105" s="113" t="str">
        <f t="shared" si="73"/>
        <v>1w</v>
      </c>
      <c r="Y2105" s="106">
        <f>_xll.qlCalendarAdvance(Calendar,Y2104,X2105,"f",FALSE)</f>
        <v>53961</v>
      </c>
      <c r="Z2105" s="108">
        <f>_xll.qlCalendarAdvance(Calendar,Y2105,0&amp;"D")</f>
        <v>53961</v>
      </c>
      <c r="AA2105" s="109">
        <v>1.4193559995003824E-2</v>
      </c>
      <c r="AB2105" s="143">
        <f t="shared" si="74"/>
        <v>7.9936057773011271E-14</v>
      </c>
      <c r="AC2105" s="236" t="e">
        <v>#N/A</v>
      </c>
      <c r="AD2105" s="236">
        <v>1.4193559994923888E-2</v>
      </c>
    </row>
    <row r="2106" spans="23:30" x14ac:dyDescent="0.2">
      <c r="W2106" s="144"/>
      <c r="X2106" s="113" t="str">
        <f t="shared" si="73"/>
        <v>1w</v>
      </c>
      <c r="Y2106" s="106">
        <f>_xll.qlCalendarAdvance(Calendar,Y2105,X2106,"f",FALSE)</f>
        <v>53968</v>
      </c>
      <c r="Z2106" s="108">
        <f>_xll.qlCalendarAdvance(Calendar,Y2106,0&amp;"D")</f>
        <v>53968</v>
      </c>
      <c r="AA2106" s="109">
        <v>1.4193908617974316E-2</v>
      </c>
      <c r="AB2106" s="143">
        <f t="shared" si="74"/>
        <v>0</v>
      </c>
      <c r="AC2106" s="236" t="e">
        <v>#N/A</v>
      </c>
      <c r="AD2106" s="236">
        <v>1.4193908617974316E-2</v>
      </c>
    </row>
    <row r="2107" spans="23:30" x14ac:dyDescent="0.2">
      <c r="W2107" s="144"/>
      <c r="X2107" s="113" t="str">
        <f t="shared" si="73"/>
        <v>1w</v>
      </c>
      <c r="Y2107" s="106">
        <f>_xll.qlCalendarAdvance(Calendar,Y2106,X2107,"f",FALSE)</f>
        <v>53975</v>
      </c>
      <c r="Z2107" s="108">
        <f>_xll.qlCalendarAdvance(Calendar,Y2107,0&amp;"D")</f>
        <v>53975</v>
      </c>
      <c r="AA2107" s="109">
        <v>1.419422353870381E-2</v>
      </c>
      <c r="AB2107" s="143">
        <f t="shared" si="74"/>
        <v>7.9936057773011271E-14</v>
      </c>
      <c r="AC2107" s="236" t="e">
        <v>#N/A</v>
      </c>
      <c r="AD2107" s="236">
        <v>1.4194223538623874E-2</v>
      </c>
    </row>
    <row r="2108" spans="23:30" x14ac:dyDescent="0.2">
      <c r="W2108" s="144"/>
      <c r="X2108" s="113" t="str">
        <f t="shared" si="73"/>
        <v>1w</v>
      </c>
      <c r="Y2108" s="106">
        <f>_xll.qlCalendarAdvance(Calendar,Y2107,X2108,"f",FALSE)</f>
        <v>53982</v>
      </c>
      <c r="Z2108" s="108">
        <f>_xll.qlCalendarAdvance(Calendar,Y2108,0&amp;"D")</f>
        <v>53982</v>
      </c>
      <c r="AA2108" s="109">
        <v>1.4194504756872561E-2</v>
      </c>
      <c r="AB2108" s="143">
        <f t="shared" si="74"/>
        <v>7.9936057773011271E-14</v>
      </c>
      <c r="AC2108" s="236" t="e">
        <v>#N/A</v>
      </c>
      <c r="AD2108" s="236">
        <v>1.4194504756792625E-2</v>
      </c>
    </row>
    <row r="2109" spans="23:30" x14ac:dyDescent="0.2">
      <c r="W2109" s="144"/>
      <c r="X2109" s="113" t="str">
        <f t="shared" si="73"/>
        <v>1w</v>
      </c>
      <c r="Y2109" s="106">
        <f>_xll.qlCalendarAdvance(Calendar,Y2108,X2109,"f",FALSE)</f>
        <v>53989</v>
      </c>
      <c r="Z2109" s="108">
        <f>_xll.qlCalendarAdvance(Calendar,Y2109,0&amp;"D")</f>
        <v>53989</v>
      </c>
      <c r="AA2109" s="109">
        <v>1.4194752272720379E-2</v>
      </c>
      <c r="AB2109" s="143">
        <f t="shared" si="74"/>
        <v>0</v>
      </c>
      <c r="AC2109" s="236" t="e">
        <v>#N/A</v>
      </c>
      <c r="AD2109" s="236">
        <v>1.4194752272720379E-2</v>
      </c>
    </row>
    <row r="2110" spans="23:30" x14ac:dyDescent="0.2">
      <c r="W2110" s="144"/>
      <c r="X2110" s="113" t="str">
        <f t="shared" si="73"/>
        <v>1w</v>
      </c>
      <c r="Y2110" s="106">
        <f>_xll.qlCalendarAdvance(Calendar,Y2109,X2110,"f",FALSE)</f>
        <v>53996</v>
      </c>
      <c r="Z2110" s="108">
        <f>_xll.qlCalendarAdvance(Calendar,Y2110,0&amp;"D")</f>
        <v>53996</v>
      </c>
      <c r="AA2110" s="109">
        <v>1.4194966086167327E-2</v>
      </c>
      <c r="AB2110" s="143">
        <f t="shared" si="74"/>
        <v>0</v>
      </c>
      <c r="AC2110" s="236" t="e">
        <v>#N/A</v>
      </c>
      <c r="AD2110" s="236">
        <v>1.4194966086167327E-2</v>
      </c>
    </row>
    <row r="2111" spans="23:30" x14ac:dyDescent="0.2">
      <c r="W2111" s="144"/>
      <c r="X2111" s="113" t="str">
        <f t="shared" si="73"/>
        <v>1w</v>
      </c>
      <c r="Y2111" s="106">
        <f>_xll.qlCalendarAdvance(Calendar,Y2110,X2111,"f",FALSE)</f>
        <v>54003</v>
      </c>
      <c r="Z2111" s="108">
        <f>_xll.qlCalendarAdvance(Calendar,Y2111,0&amp;"D")</f>
        <v>54003</v>
      </c>
      <c r="AA2111" s="109">
        <v>1.419514619729334E-2</v>
      </c>
      <c r="AB2111" s="143">
        <f t="shared" si="74"/>
        <v>7.9936057773011271E-14</v>
      </c>
      <c r="AC2111" s="236" t="e">
        <v>#N/A</v>
      </c>
      <c r="AD2111" s="236">
        <v>1.4195146197213404E-2</v>
      </c>
    </row>
    <row r="2112" spans="23:30" x14ac:dyDescent="0.2">
      <c r="W2112" s="144"/>
      <c r="X2112" s="113" t="str">
        <f t="shared" si="73"/>
        <v>1w</v>
      </c>
      <c r="Y2112" s="106">
        <f>_xll.qlCalendarAdvance(Calendar,Y2111,X2112,"f",FALSE)</f>
        <v>54010</v>
      </c>
      <c r="Z2112" s="108">
        <f>_xll.qlCalendarAdvance(Calendar,Y2112,0&amp;"D")</f>
        <v>54010</v>
      </c>
      <c r="AA2112" s="109">
        <v>1.4195292605778675E-2</v>
      </c>
      <c r="AB2112" s="143">
        <f t="shared" si="74"/>
        <v>0</v>
      </c>
      <c r="AC2112" s="236" t="e">
        <v>#N/A</v>
      </c>
      <c r="AD2112" s="236">
        <v>1.4195292605778675E-2</v>
      </c>
    </row>
    <row r="2113" spans="23:30" x14ac:dyDescent="0.2">
      <c r="W2113" s="144"/>
      <c r="X2113" s="113" t="str">
        <f t="shared" si="73"/>
        <v>1w</v>
      </c>
      <c r="Y2113" s="106">
        <f>_xll.qlCalendarAdvance(Calendar,Y2112,X2113,"f",FALSE)</f>
        <v>54017</v>
      </c>
      <c r="Z2113" s="108">
        <f>_xll.qlCalendarAdvance(Calendar,Y2113,0&amp;"D")</f>
        <v>54017</v>
      </c>
      <c r="AA2113" s="109">
        <v>1.4195405312182885E-2</v>
      </c>
      <c r="AB2113" s="143">
        <f t="shared" si="74"/>
        <v>0</v>
      </c>
      <c r="AC2113" s="236" t="e">
        <v>#N/A</v>
      </c>
      <c r="AD2113" s="236">
        <v>1.4195405312182885E-2</v>
      </c>
    </row>
    <row r="2114" spans="23:30" x14ac:dyDescent="0.2">
      <c r="W2114" s="144"/>
      <c r="X2114" s="113" t="str">
        <f t="shared" si="73"/>
        <v>1w</v>
      </c>
      <c r="Y2114" s="106">
        <f>_xll.qlCalendarAdvance(Calendar,Y2113,X2114,"f",FALSE)</f>
        <v>54024</v>
      </c>
      <c r="Z2114" s="108">
        <f>_xll.qlCalendarAdvance(Calendar,Y2114,0&amp;"D")</f>
        <v>54024</v>
      </c>
      <c r="AA2114" s="109">
        <v>1.4195484316106288E-2</v>
      </c>
      <c r="AB2114" s="143">
        <f t="shared" si="74"/>
        <v>7.9936057773011271E-14</v>
      </c>
      <c r="AC2114" s="236" t="e">
        <v>#N/A</v>
      </c>
      <c r="AD2114" s="236">
        <v>1.4195484316026352E-2</v>
      </c>
    </row>
    <row r="2115" spans="23:30" x14ac:dyDescent="0.2">
      <c r="W2115" s="144"/>
      <c r="X2115" s="113" t="str">
        <f t="shared" si="73"/>
        <v>1w</v>
      </c>
      <c r="Y2115" s="106">
        <f>_xll.qlCalendarAdvance(Calendar,Y2114,X2115,"f",FALSE)</f>
        <v>54031</v>
      </c>
      <c r="Z2115" s="108">
        <f>_xll.qlCalendarAdvance(Calendar,Y2115,0&amp;"D")</f>
        <v>54031</v>
      </c>
      <c r="AA2115" s="109">
        <v>1.4195529617548885E-2</v>
      </c>
      <c r="AB2115" s="143">
        <f t="shared" si="74"/>
        <v>0</v>
      </c>
      <c r="AC2115" s="236" t="e">
        <v>#N/A</v>
      </c>
      <c r="AD2115" s="236">
        <v>1.4195529617548885E-2</v>
      </c>
    </row>
    <row r="2116" spans="23:30" x14ac:dyDescent="0.2">
      <c r="W2116" s="144"/>
      <c r="X2116" s="113" t="str">
        <f t="shared" si="73"/>
        <v>1w</v>
      </c>
      <c r="Y2116" s="106">
        <f>_xll.qlCalendarAdvance(Calendar,Y2115,X2116,"f",FALSE)</f>
        <v>54038</v>
      </c>
      <c r="Z2116" s="108">
        <f>_xll.qlCalendarAdvance(Calendar,Y2116,0&amp;"D")</f>
        <v>54038</v>
      </c>
      <c r="AA2116" s="109">
        <v>1.4195541216590613E-2</v>
      </c>
      <c r="AB2116" s="143">
        <f t="shared" si="74"/>
        <v>0</v>
      </c>
      <c r="AC2116" s="236" t="e">
        <v>#N/A</v>
      </c>
      <c r="AD2116" s="236">
        <v>1.4195541216590613E-2</v>
      </c>
    </row>
    <row r="2117" spans="23:30" x14ac:dyDescent="0.2">
      <c r="W2117" s="144"/>
      <c r="X2117" s="113" t="str">
        <f t="shared" si="73"/>
        <v>1w</v>
      </c>
      <c r="Y2117" s="106">
        <f>_xll.qlCalendarAdvance(Calendar,Y2116,X2117,"f",FALSE)</f>
        <v>54045</v>
      </c>
      <c r="Z2117" s="108">
        <f>_xll.qlCalendarAdvance(Calendar,Y2117,0&amp;"D")</f>
        <v>54045</v>
      </c>
      <c r="AA2117" s="109">
        <v>1.4195519113311406E-2</v>
      </c>
      <c r="AB2117" s="143">
        <f t="shared" si="74"/>
        <v>0</v>
      </c>
      <c r="AC2117" s="236" t="e">
        <v>#N/A</v>
      </c>
      <c r="AD2117" s="236">
        <v>1.4195519113311406E-2</v>
      </c>
    </row>
    <row r="2118" spans="23:30" x14ac:dyDescent="0.2">
      <c r="W2118" s="144"/>
      <c r="X2118" s="113" t="str">
        <f t="shared" si="73"/>
        <v>1w</v>
      </c>
      <c r="Y2118" s="106">
        <f>_xll.qlCalendarAdvance(Calendar,Y2117,X2118,"f",FALSE)</f>
        <v>54053</v>
      </c>
      <c r="Z2118" s="108">
        <f>_xll.qlCalendarAdvance(Calendar,Y2118,0&amp;"D")</f>
        <v>54053</v>
      </c>
      <c r="AA2118" s="109">
        <v>1.4196000702506595E-2</v>
      </c>
      <c r="AB2118" s="143">
        <f t="shared" si="74"/>
        <v>2.6645352591003757E-14</v>
      </c>
      <c r="AC2118" s="236" t="e">
        <v>#N/A</v>
      </c>
      <c r="AD2118" s="236">
        <v>1.4196000702479949E-2</v>
      </c>
    </row>
    <row r="2119" spans="23:30" x14ac:dyDescent="0.2">
      <c r="W2119" s="144"/>
      <c r="X2119" s="113" t="str">
        <f t="shared" si="73"/>
        <v>1w</v>
      </c>
      <c r="Y2119" s="106">
        <f>_xll.qlCalendarAdvance(Calendar,Y2118,X2119,"f",FALSE)</f>
        <v>54060</v>
      </c>
      <c r="Z2119" s="108">
        <f>_xll.qlCalendarAdvance(Calendar,Y2119,0&amp;"D")</f>
        <v>54060</v>
      </c>
      <c r="AA2119" s="109">
        <v>1.4195901557334523E-2</v>
      </c>
      <c r="AB2119" s="143">
        <f t="shared" si="74"/>
        <v>2.6645352591003757E-14</v>
      </c>
      <c r="AC2119" s="236" t="e">
        <v>#N/A</v>
      </c>
      <c r="AD2119" s="236">
        <v>1.4195901557307877E-2</v>
      </c>
    </row>
    <row r="2120" spans="23:30" x14ac:dyDescent="0.2">
      <c r="W2120" s="144"/>
      <c r="X2120" s="113" t="str">
        <f t="shared" si="73"/>
        <v>1w</v>
      </c>
      <c r="Y2120" s="106">
        <f>_xll.qlCalendarAdvance(Calendar,Y2119,X2120,"f",FALSE)</f>
        <v>54067</v>
      </c>
      <c r="Z2120" s="108">
        <f>_xll.qlCalendarAdvance(Calendar,Y2120,0&amp;"D")</f>
        <v>54067</v>
      </c>
      <c r="AA2120" s="109">
        <v>1.41957687070704E-2</v>
      </c>
      <c r="AB2120" s="143">
        <f t="shared" si="74"/>
        <v>0</v>
      </c>
      <c r="AC2120" s="236" t="e">
        <v>#N/A</v>
      </c>
      <c r="AD2120" s="236">
        <v>1.41957687070704E-2</v>
      </c>
    </row>
    <row r="2121" spans="23:30" x14ac:dyDescent="0.2">
      <c r="W2121" s="144"/>
      <c r="X2121" s="113" t="str">
        <f t="shared" si="73"/>
        <v>1w</v>
      </c>
      <c r="Y2121" s="106">
        <f>_xll.qlCalendarAdvance(Calendar,Y2120,X2121,"f",FALSE)</f>
        <v>54074</v>
      </c>
      <c r="Z2121" s="108">
        <f>_xll.qlCalendarAdvance(Calendar,Y2121,0&amp;"D")</f>
        <v>54074</v>
      </c>
      <c r="AA2121" s="109">
        <v>1.4195602151794162E-2</v>
      </c>
      <c r="AB2121" s="143">
        <f t="shared" si="74"/>
        <v>0</v>
      </c>
      <c r="AC2121" s="236" t="e">
        <v>#N/A</v>
      </c>
      <c r="AD2121" s="236">
        <v>1.4195602151794162E-2</v>
      </c>
    </row>
    <row r="2122" spans="23:30" x14ac:dyDescent="0.2">
      <c r="W2122" s="144"/>
      <c r="X2122" s="113" t="str">
        <f t="shared" si="73"/>
        <v>1w</v>
      </c>
      <c r="Y2122" s="106">
        <f>_xll.qlCalendarAdvance(Calendar,Y2121,X2122,"f",FALSE)</f>
        <v>54081</v>
      </c>
      <c r="Z2122" s="108">
        <f>_xll.qlCalendarAdvance(Calendar,Y2122,0&amp;"D")</f>
        <v>54081</v>
      </c>
      <c r="AA2122" s="109">
        <v>1.4195401891479165E-2</v>
      </c>
      <c r="AB2122" s="143">
        <f t="shared" si="74"/>
        <v>0</v>
      </c>
      <c r="AC2122" s="236" t="e">
        <v>#N/A</v>
      </c>
      <c r="AD2122" s="236">
        <v>1.4195401891479165E-2</v>
      </c>
    </row>
    <row r="2123" spans="23:30" x14ac:dyDescent="0.2">
      <c r="W2123" s="144"/>
      <c r="X2123" s="113" t="str">
        <f t="shared" si="73"/>
        <v>1w</v>
      </c>
      <c r="Y2123" s="106">
        <f>_xll.qlCalendarAdvance(Calendar,Y2122,X2123,"f",FALSE)</f>
        <v>54088</v>
      </c>
      <c r="Z2123" s="108">
        <f>_xll.qlCalendarAdvance(Calendar,Y2123,0&amp;"D")</f>
        <v>54088</v>
      </c>
      <c r="AA2123" s="109">
        <v>1.4195167926125407E-2</v>
      </c>
      <c r="AB2123" s="143">
        <f t="shared" si="74"/>
        <v>0</v>
      </c>
      <c r="AC2123" s="236" t="e">
        <v>#N/A</v>
      </c>
      <c r="AD2123" s="236">
        <v>1.4195167926125407E-2</v>
      </c>
    </row>
    <row r="2124" spans="23:30" x14ac:dyDescent="0.2">
      <c r="W2124" s="144"/>
      <c r="X2124" s="113" t="str">
        <f t="shared" si="73"/>
        <v>1w</v>
      </c>
      <c r="Y2124" s="106">
        <f>_xll.qlCalendarAdvance(Calendar,Y2123,X2124,"f",FALSE)</f>
        <v>54095</v>
      </c>
      <c r="Z2124" s="108">
        <f>_xll.qlCalendarAdvance(Calendar,Y2124,0&amp;"D")</f>
        <v>54095</v>
      </c>
      <c r="AA2124" s="109">
        <v>1.4194900255706244E-2</v>
      </c>
      <c r="AB2124" s="143">
        <f t="shared" si="74"/>
        <v>2.6645352591003757E-14</v>
      </c>
      <c r="AC2124" s="236" t="e">
        <v>#N/A</v>
      </c>
      <c r="AD2124" s="236">
        <v>1.4194900255679599E-2</v>
      </c>
    </row>
    <row r="2125" spans="23:30" x14ac:dyDescent="0.2">
      <c r="W2125" s="144"/>
      <c r="X2125" s="113" t="str">
        <f t="shared" ref="X2125:X2188" si="75">X2124</f>
        <v>1w</v>
      </c>
      <c r="Y2125" s="106">
        <f>_xll.qlCalendarAdvance(Calendar,Y2124,X2125,"f",FALSE)</f>
        <v>54102</v>
      </c>
      <c r="Z2125" s="108">
        <f>_xll.qlCalendarAdvance(Calendar,Y2125,0&amp;"D")</f>
        <v>54102</v>
      </c>
      <c r="AA2125" s="109">
        <v>1.4194598880221676E-2</v>
      </c>
      <c r="AB2125" s="143">
        <f t="shared" si="74"/>
        <v>0</v>
      </c>
      <c r="AC2125" s="236" t="e">
        <v>#N/A</v>
      </c>
      <c r="AD2125" s="236">
        <v>1.4194598880221676E-2</v>
      </c>
    </row>
    <row r="2126" spans="23:30" x14ac:dyDescent="0.2">
      <c r="W2126" s="144"/>
      <c r="X2126" s="113" t="str">
        <f t="shared" si="75"/>
        <v>1w</v>
      </c>
      <c r="Y2126" s="106">
        <f>_xll.qlCalendarAdvance(Calendar,Y2125,X2126,"f",FALSE)</f>
        <v>54109</v>
      </c>
      <c r="Z2126" s="108">
        <f>_xll.qlCalendarAdvance(Calendar,Y2126,0&amp;"D")</f>
        <v>54109</v>
      </c>
      <c r="AA2126" s="109">
        <v>1.4194263799698348E-2</v>
      </c>
      <c r="AB2126" s="143">
        <f t="shared" si="74"/>
        <v>0</v>
      </c>
      <c r="AC2126" s="236" t="e">
        <v>#N/A</v>
      </c>
      <c r="AD2126" s="236">
        <v>1.4194263799698348E-2</v>
      </c>
    </row>
    <row r="2127" spans="23:30" x14ac:dyDescent="0.2">
      <c r="W2127" s="144"/>
      <c r="X2127" s="113" t="str">
        <f t="shared" si="75"/>
        <v>1w</v>
      </c>
      <c r="Y2127" s="106">
        <f>_xll.qlCalendarAdvance(Calendar,Y2126,X2127,"f",FALSE)</f>
        <v>54116</v>
      </c>
      <c r="Z2127" s="108">
        <f>_xll.qlCalendarAdvance(Calendar,Y2127,0&amp;"D")</f>
        <v>54116</v>
      </c>
      <c r="AA2127" s="109">
        <v>1.4193895014109614E-2</v>
      </c>
      <c r="AB2127" s="143">
        <f t="shared" si="74"/>
        <v>0</v>
      </c>
      <c r="AC2127" s="236" t="e">
        <v>#N/A</v>
      </c>
      <c r="AD2127" s="236">
        <v>1.4193895014109614E-2</v>
      </c>
    </row>
    <row r="2128" spans="23:30" x14ac:dyDescent="0.2">
      <c r="W2128" s="144"/>
      <c r="X2128" s="113" t="str">
        <f t="shared" si="75"/>
        <v>1w</v>
      </c>
      <c r="Y2128" s="106">
        <f>_xll.qlCalendarAdvance(Calendar,Y2127,X2128,"f",FALSE)</f>
        <v>54123</v>
      </c>
      <c r="Z2128" s="108">
        <f>_xll.qlCalendarAdvance(Calendar,Y2128,0&amp;"D")</f>
        <v>54123</v>
      </c>
      <c r="AA2128" s="109">
        <v>1.4193492523482121E-2</v>
      </c>
      <c r="AB2128" s="143">
        <f t="shared" si="74"/>
        <v>0</v>
      </c>
      <c r="AC2128" s="236" t="e">
        <v>#N/A</v>
      </c>
      <c r="AD2128" s="236">
        <v>1.4193492523482121E-2</v>
      </c>
    </row>
    <row r="2129" spans="23:30" x14ac:dyDescent="0.2">
      <c r="W2129" s="144"/>
      <c r="X2129" s="113" t="str">
        <f t="shared" si="75"/>
        <v>1w</v>
      </c>
      <c r="Y2129" s="106">
        <f>_xll.qlCalendarAdvance(Calendar,Y2128,X2129,"f",FALSE)</f>
        <v>54130</v>
      </c>
      <c r="Z2129" s="108">
        <f>_xll.qlCalendarAdvance(Calendar,Y2129,0&amp;"D")</f>
        <v>54130</v>
      </c>
      <c r="AA2129" s="109">
        <v>1.4193056327815867E-2</v>
      </c>
      <c r="AB2129" s="143">
        <f t="shared" si="74"/>
        <v>0</v>
      </c>
      <c r="AC2129" s="236" t="e">
        <v>#N/A</v>
      </c>
      <c r="AD2129" s="236">
        <v>1.4193056327815867E-2</v>
      </c>
    </row>
    <row r="2130" spans="23:30" x14ac:dyDescent="0.2">
      <c r="W2130" s="144"/>
      <c r="X2130" s="113" t="str">
        <f t="shared" si="75"/>
        <v>1w</v>
      </c>
      <c r="Y2130" s="106">
        <f>_xll.qlCalendarAdvance(Calendar,Y2129,X2130,"f",FALSE)</f>
        <v>54137</v>
      </c>
      <c r="Z2130" s="108">
        <f>_xll.qlCalendarAdvance(Calendar,Y2130,0&amp;"D")</f>
        <v>54137</v>
      </c>
      <c r="AA2130" s="109">
        <v>1.4192586427030918E-2</v>
      </c>
      <c r="AB2130" s="143">
        <f t="shared" si="74"/>
        <v>-2.6645352591003757E-14</v>
      </c>
      <c r="AC2130" s="236" t="e">
        <v>#N/A</v>
      </c>
      <c r="AD2130" s="236">
        <v>1.4192586427057563E-2</v>
      </c>
    </row>
    <row r="2131" spans="23:30" x14ac:dyDescent="0.2">
      <c r="W2131" s="144"/>
      <c r="X2131" s="113" t="str">
        <f t="shared" si="75"/>
        <v>1w</v>
      </c>
      <c r="Y2131" s="106">
        <f>_xll.qlCalendarAdvance(Calendar,Y2130,X2131,"f",FALSE)</f>
        <v>54144</v>
      </c>
      <c r="Z2131" s="108">
        <f>_xll.qlCalendarAdvance(Calendar,Y2131,0&amp;"D")</f>
        <v>54144</v>
      </c>
      <c r="AA2131" s="109">
        <v>1.4192082821287144E-2</v>
      </c>
      <c r="AB2131" s="143">
        <f t="shared" si="74"/>
        <v>0</v>
      </c>
      <c r="AC2131" s="236" t="e">
        <v>#N/A</v>
      </c>
      <c r="AD2131" s="236">
        <v>1.4192082821287144E-2</v>
      </c>
    </row>
    <row r="2132" spans="23:30" x14ac:dyDescent="0.2">
      <c r="W2132" s="144"/>
      <c r="X2132" s="113" t="str">
        <f t="shared" si="75"/>
        <v>1w</v>
      </c>
      <c r="Y2132" s="106">
        <f>_xll.qlCalendarAdvance(Calendar,Y2131,X2132,"f",FALSE)</f>
        <v>54155</v>
      </c>
      <c r="Z2132" s="108">
        <f>_xll.qlCalendarAdvance(Calendar,Y2132,0&amp;"D")</f>
        <v>54155</v>
      </c>
      <c r="AA2132" s="109">
        <v>1.4190745757121093E-2</v>
      </c>
      <c r="AB2132" s="143">
        <f t="shared" si="74"/>
        <v>-7.9936057773011271E-14</v>
      </c>
      <c r="AC2132" s="236" t="e">
        <v>#N/A</v>
      </c>
      <c r="AD2132" s="236">
        <v>1.4190745757201029E-2</v>
      </c>
    </row>
    <row r="2133" spans="23:30" x14ac:dyDescent="0.2">
      <c r="W2133" s="144"/>
      <c r="X2133" s="113" t="str">
        <f t="shared" si="75"/>
        <v>1w</v>
      </c>
      <c r="Y2133" s="106">
        <f>_xll.qlCalendarAdvance(Calendar,Y2132,X2133,"f",FALSE)</f>
        <v>54162</v>
      </c>
      <c r="Z2133" s="108">
        <f>_xll.qlCalendarAdvance(Calendar,Y2133,0&amp;"D")</f>
        <v>54162</v>
      </c>
      <c r="AA2133" s="109">
        <v>1.4190160342444358E-2</v>
      </c>
      <c r="AB2133" s="143">
        <f t="shared" ref="AB2133:AB2196" si="76">AA2133-AD2133</f>
        <v>0</v>
      </c>
      <c r="AC2133" s="236" t="e">
        <v>#N/A</v>
      </c>
      <c r="AD2133" s="236">
        <v>1.4190160342444358E-2</v>
      </c>
    </row>
    <row r="2134" spans="23:30" x14ac:dyDescent="0.2">
      <c r="W2134" s="144"/>
      <c r="X2134" s="113" t="str">
        <f t="shared" si="75"/>
        <v>1w</v>
      </c>
      <c r="Y2134" s="106">
        <f>_xll.qlCalendarAdvance(Calendar,Y2133,X2134,"f",FALSE)</f>
        <v>54169</v>
      </c>
      <c r="Z2134" s="108">
        <f>_xll.qlCalendarAdvance(Calendar,Y2134,0&amp;"D")</f>
        <v>54169</v>
      </c>
      <c r="AA2134" s="109">
        <v>1.4189541225286817E-2</v>
      </c>
      <c r="AB2134" s="143">
        <f t="shared" si="76"/>
        <v>7.9936057773011271E-14</v>
      </c>
      <c r="AC2134" s="236" t="e">
        <v>#N/A</v>
      </c>
      <c r="AD2134" s="236">
        <v>1.4189541225206881E-2</v>
      </c>
    </row>
    <row r="2135" spans="23:30" x14ac:dyDescent="0.2">
      <c r="W2135" s="144"/>
      <c r="X2135" s="113" t="str">
        <f t="shared" si="75"/>
        <v>1w</v>
      </c>
      <c r="Y2135" s="106">
        <f>_xll.qlCalendarAdvance(Calendar,Y2134,X2135,"f",FALSE)</f>
        <v>54176</v>
      </c>
      <c r="Z2135" s="108">
        <f>_xll.qlCalendarAdvance(Calendar,Y2135,0&amp;"D")</f>
        <v>54176</v>
      </c>
      <c r="AA2135" s="109">
        <v>1.4188888405808342E-2</v>
      </c>
      <c r="AB2135" s="143">
        <f t="shared" si="76"/>
        <v>0</v>
      </c>
      <c r="AC2135" s="236" t="e">
        <v>#N/A</v>
      </c>
      <c r="AD2135" s="236">
        <v>1.4188888405808342E-2</v>
      </c>
    </row>
    <row r="2136" spans="23:30" x14ac:dyDescent="0.2">
      <c r="W2136" s="144"/>
      <c r="X2136" s="113" t="str">
        <f t="shared" si="75"/>
        <v>1w</v>
      </c>
      <c r="Y2136" s="106">
        <f>_xll.qlCalendarAdvance(Calendar,Y2135,X2136,"f",FALSE)</f>
        <v>54183</v>
      </c>
      <c r="Z2136" s="108">
        <f>_xll.qlCalendarAdvance(Calendar,Y2136,0&amp;"D")</f>
        <v>54183</v>
      </c>
      <c r="AA2136" s="109">
        <v>1.4188201883769125E-2</v>
      </c>
      <c r="AB2136" s="143">
        <f t="shared" si="76"/>
        <v>-7.9936057773011271E-14</v>
      </c>
      <c r="AC2136" s="236" t="e">
        <v>#N/A</v>
      </c>
      <c r="AD2136" s="236">
        <v>1.4188201883849061E-2</v>
      </c>
    </row>
    <row r="2137" spans="23:30" x14ac:dyDescent="0.2">
      <c r="W2137" s="144"/>
      <c r="X2137" s="113" t="str">
        <f t="shared" si="75"/>
        <v>1w</v>
      </c>
      <c r="Y2137" s="106">
        <f>_xll.qlCalendarAdvance(Calendar,Y2136,X2137,"f",FALSE)</f>
        <v>54190</v>
      </c>
      <c r="Z2137" s="108">
        <f>_xll.qlCalendarAdvance(Calendar,Y2137,0&amp;"D")</f>
        <v>54190</v>
      </c>
      <c r="AA2137" s="109">
        <v>1.418748165948891E-2</v>
      </c>
      <c r="AB2137" s="143">
        <f t="shared" si="76"/>
        <v>0</v>
      </c>
      <c r="AC2137" s="236" t="e">
        <v>#N/A</v>
      </c>
      <c r="AD2137" s="236">
        <v>1.418748165948891E-2</v>
      </c>
    </row>
    <row r="2138" spans="23:30" x14ac:dyDescent="0.2">
      <c r="W2138" s="144"/>
      <c r="X2138" s="113" t="str">
        <f t="shared" si="75"/>
        <v>1w</v>
      </c>
      <c r="Y2138" s="106">
        <f>_xll.qlCalendarAdvance(Calendar,Y2137,X2138,"f",FALSE)</f>
        <v>54197</v>
      </c>
      <c r="Z2138" s="108">
        <f>_xll.qlCalendarAdvance(Calendar,Y2138,0&amp;"D")</f>
        <v>54197</v>
      </c>
      <c r="AA2138" s="109">
        <v>1.4186727732807825E-2</v>
      </c>
      <c r="AB2138" s="143">
        <f t="shared" si="76"/>
        <v>0</v>
      </c>
      <c r="AC2138" s="236" t="e">
        <v>#N/A</v>
      </c>
      <c r="AD2138" s="236">
        <v>1.4186727732807825E-2</v>
      </c>
    </row>
    <row r="2139" spans="23:30" x14ac:dyDescent="0.2">
      <c r="W2139" s="144"/>
      <c r="X2139" s="113" t="str">
        <f t="shared" si="75"/>
        <v>1w</v>
      </c>
      <c r="Y2139" s="106">
        <f>_xll.qlCalendarAdvance(Calendar,Y2138,X2139,"f",FALSE)</f>
        <v>54204</v>
      </c>
      <c r="Z2139" s="108">
        <f>_xll.qlCalendarAdvance(Calendar,Y2139,0&amp;"D")</f>
        <v>54204</v>
      </c>
      <c r="AA2139" s="109">
        <v>1.4185940103725869E-2</v>
      </c>
      <c r="AB2139" s="143">
        <f t="shared" si="76"/>
        <v>0</v>
      </c>
      <c r="AC2139" s="236" t="e">
        <v>#N/A</v>
      </c>
      <c r="AD2139" s="236">
        <v>1.4185940103725869E-2</v>
      </c>
    </row>
    <row r="2140" spans="23:30" x14ac:dyDescent="0.2">
      <c r="W2140" s="144"/>
      <c r="X2140" s="113" t="str">
        <f t="shared" si="75"/>
        <v>1w</v>
      </c>
      <c r="Y2140" s="106">
        <f>_xll.qlCalendarAdvance(Calendar,Y2139,X2140,"f",FALSE)</f>
        <v>54211</v>
      </c>
      <c r="Z2140" s="108">
        <f>_xll.qlCalendarAdvance(Calendar,Y2140,0&amp;"D")</f>
        <v>54211</v>
      </c>
      <c r="AA2140" s="109">
        <v>1.4185118772243044E-2</v>
      </c>
      <c r="AB2140" s="143">
        <f t="shared" si="76"/>
        <v>7.9936057773011271E-14</v>
      </c>
      <c r="AC2140" s="236" t="e">
        <v>#N/A</v>
      </c>
      <c r="AD2140" s="236">
        <v>1.4185118772163108E-2</v>
      </c>
    </row>
    <row r="2141" spans="23:30" x14ac:dyDescent="0.2">
      <c r="W2141" s="144"/>
      <c r="X2141" s="113" t="str">
        <f t="shared" si="75"/>
        <v>1w</v>
      </c>
      <c r="Y2141" s="106">
        <f>_xll.qlCalendarAdvance(Calendar,Y2140,X2141,"f",FALSE)</f>
        <v>54218</v>
      </c>
      <c r="Z2141" s="108">
        <f>_xll.qlCalendarAdvance(Calendar,Y2141,0&amp;"D")</f>
        <v>54218</v>
      </c>
      <c r="AA2141" s="109">
        <v>1.4184263738359348E-2</v>
      </c>
      <c r="AB2141" s="143">
        <f t="shared" si="76"/>
        <v>0</v>
      </c>
      <c r="AC2141" s="236" t="e">
        <v>#N/A</v>
      </c>
      <c r="AD2141" s="236">
        <v>1.4184263738359348E-2</v>
      </c>
    </row>
    <row r="2142" spans="23:30" x14ac:dyDescent="0.2">
      <c r="W2142" s="144"/>
      <c r="X2142" s="113" t="str">
        <f t="shared" si="75"/>
        <v>1w</v>
      </c>
      <c r="Y2142" s="106">
        <f>_xll.qlCalendarAdvance(Calendar,Y2141,X2142,"f",FALSE)</f>
        <v>54225</v>
      </c>
      <c r="Z2142" s="108">
        <f>_xll.qlCalendarAdvance(Calendar,Y2142,0&amp;"D")</f>
        <v>54225</v>
      </c>
      <c r="AA2142" s="109">
        <v>1.4183375002074783E-2</v>
      </c>
      <c r="AB2142" s="143">
        <f t="shared" si="76"/>
        <v>-7.9936057773011271E-14</v>
      </c>
      <c r="AC2142" s="236" t="e">
        <v>#N/A</v>
      </c>
      <c r="AD2142" s="236">
        <v>1.4183375002154719E-2</v>
      </c>
    </row>
    <row r="2143" spans="23:30" x14ac:dyDescent="0.2">
      <c r="W2143" s="144"/>
      <c r="X2143" s="113" t="str">
        <f t="shared" si="75"/>
        <v>1w</v>
      </c>
      <c r="Y2143" s="106">
        <f>_xll.qlCalendarAdvance(Calendar,Y2142,X2143,"f",FALSE)</f>
        <v>54232</v>
      </c>
      <c r="Z2143" s="108">
        <f>_xll.qlCalendarAdvance(Calendar,Y2143,0&amp;"D")</f>
        <v>54232</v>
      </c>
      <c r="AA2143" s="109">
        <v>1.4182452563549219E-2</v>
      </c>
      <c r="AB2143" s="143">
        <f t="shared" si="76"/>
        <v>0</v>
      </c>
      <c r="AC2143" s="236" t="e">
        <v>#N/A</v>
      </c>
      <c r="AD2143" s="236">
        <v>1.4182452563549219E-2</v>
      </c>
    </row>
    <row r="2144" spans="23:30" x14ac:dyDescent="0.2">
      <c r="W2144" s="144"/>
      <c r="X2144" s="113" t="str">
        <f t="shared" si="75"/>
        <v>1w</v>
      </c>
      <c r="Y2144" s="106">
        <f>_xll.qlCalendarAdvance(Calendar,Y2143,X2144,"f",FALSE)</f>
        <v>54239</v>
      </c>
      <c r="Z2144" s="108">
        <f>_xll.qlCalendarAdvance(Calendar,Y2144,0&amp;"D")</f>
        <v>54239</v>
      </c>
      <c r="AA2144" s="109">
        <v>1.4181496422382978E-2</v>
      </c>
      <c r="AB2144" s="143">
        <f t="shared" si="76"/>
        <v>0</v>
      </c>
      <c r="AC2144" s="236" t="e">
        <v>#N/A</v>
      </c>
      <c r="AD2144" s="236">
        <v>1.4181496422382978E-2</v>
      </c>
    </row>
    <row r="2145" spans="23:30" x14ac:dyDescent="0.2">
      <c r="W2145" s="144"/>
      <c r="X2145" s="113" t="str">
        <f t="shared" si="75"/>
        <v>1w</v>
      </c>
      <c r="Y2145" s="106">
        <f>_xll.qlCalendarAdvance(Calendar,Y2144,X2145,"f",FALSE)</f>
        <v>54246</v>
      </c>
      <c r="Z2145" s="108">
        <f>_xll.qlCalendarAdvance(Calendar,Y2145,0&amp;"D")</f>
        <v>54246</v>
      </c>
      <c r="AA2145" s="109">
        <v>1.4180506578975738E-2</v>
      </c>
      <c r="AB2145" s="143">
        <f t="shared" si="76"/>
        <v>0</v>
      </c>
      <c r="AC2145" s="236" t="e">
        <v>#N/A</v>
      </c>
      <c r="AD2145" s="236">
        <v>1.4180506578975738E-2</v>
      </c>
    </row>
    <row r="2146" spans="23:30" x14ac:dyDescent="0.2">
      <c r="W2146" s="144"/>
      <c r="X2146" s="113" t="str">
        <f t="shared" si="75"/>
        <v>1w</v>
      </c>
      <c r="Y2146" s="106">
        <f>_xll.qlCalendarAdvance(Calendar,Y2145,X2146,"f",FALSE)</f>
        <v>54253</v>
      </c>
      <c r="Z2146" s="108">
        <f>_xll.qlCalendarAdvance(Calendar,Y2146,0&amp;"D")</f>
        <v>54253</v>
      </c>
      <c r="AA2146" s="109">
        <v>1.4179483033247564E-2</v>
      </c>
      <c r="AB2146" s="143">
        <f t="shared" si="76"/>
        <v>7.9936057773011271E-14</v>
      </c>
      <c r="AC2146" s="236" t="e">
        <v>#N/A</v>
      </c>
      <c r="AD2146" s="236">
        <v>1.4179483033167628E-2</v>
      </c>
    </row>
    <row r="2147" spans="23:30" x14ac:dyDescent="0.2">
      <c r="W2147" s="144"/>
      <c r="X2147" s="113" t="str">
        <f t="shared" si="75"/>
        <v>1w</v>
      </c>
      <c r="Y2147" s="106">
        <f>_xll.qlCalendarAdvance(Calendar,Y2146,X2147,"f",FALSE)</f>
        <v>54260</v>
      </c>
      <c r="Z2147" s="108">
        <f>_xll.qlCalendarAdvance(Calendar,Y2147,0&amp;"D")</f>
        <v>54260</v>
      </c>
      <c r="AA2147" s="109">
        <v>1.4178425784878712E-2</v>
      </c>
      <c r="AB2147" s="143">
        <f t="shared" si="76"/>
        <v>0</v>
      </c>
      <c r="AC2147" s="236" t="e">
        <v>#N/A</v>
      </c>
      <c r="AD2147" s="236">
        <v>1.4178425784878712E-2</v>
      </c>
    </row>
    <row r="2148" spans="23:30" x14ac:dyDescent="0.2">
      <c r="W2148" s="144"/>
      <c r="X2148" s="113" t="str">
        <f t="shared" si="75"/>
        <v>1w</v>
      </c>
      <c r="Y2148" s="106">
        <f>_xll.qlCalendarAdvance(Calendar,Y2147,X2148,"f",FALSE)</f>
        <v>54267</v>
      </c>
      <c r="Z2148" s="108">
        <f>_xll.qlCalendarAdvance(Calendar,Y2148,0&amp;"D")</f>
        <v>54267</v>
      </c>
      <c r="AA2148" s="109">
        <v>1.4177334834188926E-2</v>
      </c>
      <c r="AB2148" s="143">
        <f t="shared" si="76"/>
        <v>0</v>
      </c>
      <c r="AC2148" s="236" t="e">
        <v>#N/A</v>
      </c>
      <c r="AD2148" s="236">
        <v>1.4177334834188926E-2</v>
      </c>
    </row>
    <row r="2149" spans="23:30" x14ac:dyDescent="0.2">
      <c r="W2149" s="144"/>
      <c r="X2149" s="113" t="str">
        <f t="shared" si="75"/>
        <v>1w</v>
      </c>
      <c r="Y2149" s="106">
        <f>_xll.qlCalendarAdvance(Calendar,Y2148,X2149,"f",FALSE)</f>
        <v>54274</v>
      </c>
      <c r="Z2149" s="108">
        <f>_xll.qlCalendarAdvance(Calendar,Y2149,0&amp;"D")</f>
        <v>54274</v>
      </c>
      <c r="AA2149" s="109">
        <v>1.4176210181258142E-2</v>
      </c>
      <c r="AB2149" s="143">
        <f t="shared" si="76"/>
        <v>0</v>
      </c>
      <c r="AC2149" s="236" t="e">
        <v>#N/A</v>
      </c>
      <c r="AD2149" s="236">
        <v>1.4176210181258142E-2</v>
      </c>
    </row>
    <row r="2150" spans="23:30" x14ac:dyDescent="0.2">
      <c r="W2150" s="144"/>
      <c r="X2150" s="113" t="str">
        <f t="shared" si="75"/>
        <v>1w</v>
      </c>
      <c r="Y2150" s="106">
        <f>_xll.qlCalendarAdvance(Calendar,Y2149,X2150,"f",FALSE)</f>
        <v>54281</v>
      </c>
      <c r="Z2150" s="108">
        <f>_xll.qlCalendarAdvance(Calendar,Y2150,0&amp;"D")</f>
        <v>54281</v>
      </c>
      <c r="AA2150" s="109">
        <v>1.4175051825926488E-2</v>
      </c>
      <c r="AB2150" s="143">
        <f t="shared" si="76"/>
        <v>0</v>
      </c>
      <c r="AC2150" s="236" t="e">
        <v>#N/A</v>
      </c>
      <c r="AD2150" s="236">
        <v>1.4175051825926488E-2</v>
      </c>
    </row>
    <row r="2151" spans="23:30" x14ac:dyDescent="0.2">
      <c r="W2151" s="144"/>
      <c r="X2151" s="113" t="str">
        <f t="shared" si="75"/>
        <v>1w</v>
      </c>
      <c r="Y2151" s="106">
        <f>_xll.qlCalendarAdvance(Calendar,Y2150,X2151,"f",FALSE)</f>
        <v>54288</v>
      </c>
      <c r="Z2151" s="108">
        <f>_xll.qlCalendarAdvance(Calendar,Y2151,0&amp;"D")</f>
        <v>54288</v>
      </c>
      <c r="AA2151" s="109">
        <v>1.4173859768034092E-2</v>
      </c>
      <c r="AB2151" s="143">
        <f t="shared" si="76"/>
        <v>0</v>
      </c>
      <c r="AC2151" s="236" t="e">
        <v>#N/A</v>
      </c>
      <c r="AD2151" s="236">
        <v>1.4173859768034092E-2</v>
      </c>
    </row>
    <row r="2152" spans="23:30" x14ac:dyDescent="0.2">
      <c r="W2152" s="144"/>
      <c r="X2152" s="113" t="str">
        <f t="shared" si="75"/>
        <v>1w</v>
      </c>
      <c r="Y2152" s="106">
        <f>_xll.qlCalendarAdvance(Calendar,Y2151,X2152,"f",FALSE)</f>
        <v>54295</v>
      </c>
      <c r="Z2152" s="108">
        <f>_xll.qlCalendarAdvance(Calendar,Y2152,0&amp;"D")</f>
        <v>54295</v>
      </c>
      <c r="AA2152" s="109">
        <v>1.4172634007900697E-2</v>
      </c>
      <c r="AB2152" s="143">
        <f t="shared" si="76"/>
        <v>0</v>
      </c>
      <c r="AC2152" s="236" t="e">
        <v>#N/A</v>
      </c>
      <c r="AD2152" s="236">
        <v>1.4172634007900697E-2</v>
      </c>
    </row>
    <row r="2153" spans="23:30" x14ac:dyDescent="0.2">
      <c r="W2153" s="144"/>
      <c r="X2153" s="113" t="str">
        <f t="shared" si="75"/>
        <v>1w</v>
      </c>
      <c r="Y2153" s="106">
        <f>_xll.qlCalendarAdvance(Calendar,Y2152,X2153,"f",FALSE)</f>
        <v>54302</v>
      </c>
      <c r="Z2153" s="108">
        <f>_xll.qlCalendarAdvance(Calendar,Y2153,0&amp;"D")</f>
        <v>54302</v>
      </c>
      <c r="AA2153" s="109">
        <v>1.4171374545286497E-2</v>
      </c>
      <c r="AB2153" s="143">
        <f t="shared" si="76"/>
        <v>-7.9936057773011271E-14</v>
      </c>
      <c r="AC2153" s="236" t="e">
        <v>#N/A</v>
      </c>
      <c r="AD2153" s="236">
        <v>1.4171374545366433E-2</v>
      </c>
    </row>
    <row r="2154" spans="23:30" x14ac:dyDescent="0.2">
      <c r="W2154" s="144"/>
      <c r="X2154" s="113" t="str">
        <f t="shared" si="75"/>
        <v>1w</v>
      </c>
      <c r="Y2154" s="106">
        <f>_xll.qlCalendarAdvance(Calendar,Y2153,X2154,"f",FALSE)</f>
        <v>54309</v>
      </c>
      <c r="Z2154" s="108">
        <f>_xll.qlCalendarAdvance(Calendar,Y2154,0&amp;"D")</f>
        <v>54309</v>
      </c>
      <c r="AA2154" s="109">
        <v>1.4170081380431299E-2</v>
      </c>
      <c r="AB2154" s="143">
        <f t="shared" si="76"/>
        <v>-7.9936057773011271E-14</v>
      </c>
      <c r="AC2154" s="236" t="e">
        <v>#N/A</v>
      </c>
      <c r="AD2154" s="236">
        <v>1.4170081380511235E-2</v>
      </c>
    </row>
    <row r="2155" spans="23:30" x14ac:dyDescent="0.2">
      <c r="W2155" s="144"/>
      <c r="X2155" s="113" t="str">
        <f t="shared" si="75"/>
        <v>1w</v>
      </c>
      <c r="Y2155" s="106">
        <f>_xll.qlCalendarAdvance(Calendar,Y2154,X2155,"f",FALSE)</f>
        <v>54316</v>
      </c>
      <c r="Z2155" s="108">
        <f>_xll.qlCalendarAdvance(Calendar,Y2155,0&amp;"D")</f>
        <v>54316</v>
      </c>
      <c r="AA2155" s="109">
        <v>1.4168754513095294E-2</v>
      </c>
      <c r="AB2155" s="143">
        <f t="shared" si="76"/>
        <v>0</v>
      </c>
      <c r="AC2155" s="236" t="e">
        <v>#N/A</v>
      </c>
      <c r="AD2155" s="236">
        <v>1.4168754513095294E-2</v>
      </c>
    </row>
    <row r="2156" spans="23:30" x14ac:dyDescent="0.2">
      <c r="W2156" s="144"/>
      <c r="X2156" s="113" t="str">
        <f t="shared" si="75"/>
        <v>1w</v>
      </c>
      <c r="Y2156" s="106">
        <f>_xll.qlCalendarAdvance(Calendar,Y2155,X2156,"f",FALSE)</f>
        <v>54323</v>
      </c>
      <c r="Z2156" s="108">
        <f>_xll.qlCalendarAdvance(Calendar,Y2156,0&amp;"D")</f>
        <v>54323</v>
      </c>
      <c r="AA2156" s="109">
        <v>1.4167393943438356E-2</v>
      </c>
      <c r="AB2156" s="143">
        <f t="shared" si="76"/>
        <v>0</v>
      </c>
      <c r="AC2156" s="236" t="e">
        <v>#N/A</v>
      </c>
      <c r="AD2156" s="236">
        <v>1.4167393943438356E-2</v>
      </c>
    </row>
    <row r="2157" spans="23:30" x14ac:dyDescent="0.2">
      <c r="W2157" s="144"/>
      <c r="X2157" s="113" t="str">
        <f t="shared" si="75"/>
        <v>1w</v>
      </c>
      <c r="Y2157" s="106">
        <f>_xll.qlCalendarAdvance(Calendar,Y2156,X2157,"f",FALSE)</f>
        <v>54330</v>
      </c>
      <c r="Z2157" s="108">
        <f>_xll.qlCalendarAdvance(Calendar,Y2157,0&amp;"D")</f>
        <v>54330</v>
      </c>
      <c r="AA2157" s="109">
        <v>1.4165999671380547E-2</v>
      </c>
      <c r="AB2157" s="143">
        <f t="shared" si="76"/>
        <v>0</v>
      </c>
      <c r="AC2157" s="236" t="e">
        <v>#N/A</v>
      </c>
      <c r="AD2157" s="236">
        <v>1.4165999671380547E-2</v>
      </c>
    </row>
    <row r="2158" spans="23:30" x14ac:dyDescent="0.2">
      <c r="W2158" s="144"/>
      <c r="X2158" s="113" t="str">
        <f t="shared" si="75"/>
        <v>1w</v>
      </c>
      <c r="Y2158" s="106">
        <f>_xll.qlCalendarAdvance(Calendar,Y2157,X2158,"f",FALSE)</f>
        <v>54337</v>
      </c>
      <c r="Z2158" s="108">
        <f>_xll.qlCalendarAdvance(Calendar,Y2158,0&amp;"D")</f>
        <v>54337</v>
      </c>
      <c r="AA2158" s="109">
        <v>1.4164571696841932E-2</v>
      </c>
      <c r="AB2158" s="143">
        <f t="shared" si="76"/>
        <v>0</v>
      </c>
      <c r="AC2158" s="236" t="e">
        <v>#N/A</v>
      </c>
      <c r="AD2158" s="236">
        <v>1.4164571696841932E-2</v>
      </c>
    </row>
    <row r="2159" spans="23:30" x14ac:dyDescent="0.2">
      <c r="W2159" s="144"/>
      <c r="X2159" s="113" t="str">
        <f t="shared" si="75"/>
        <v>1w</v>
      </c>
      <c r="Y2159" s="106">
        <f>_xll.qlCalendarAdvance(Calendar,Y2158,X2159,"f",FALSE)</f>
        <v>54344</v>
      </c>
      <c r="Z2159" s="108">
        <f>_xll.qlCalendarAdvance(Calendar,Y2159,0&amp;"D")</f>
        <v>54344</v>
      </c>
      <c r="AA2159" s="109">
        <v>1.4163110020062319E-2</v>
      </c>
      <c r="AB2159" s="143">
        <f t="shared" si="76"/>
        <v>7.9936057773011271E-14</v>
      </c>
      <c r="AC2159" s="236" t="e">
        <v>#N/A</v>
      </c>
      <c r="AD2159" s="236">
        <v>1.4163110019982383E-2</v>
      </c>
    </row>
    <row r="2160" spans="23:30" x14ac:dyDescent="0.2">
      <c r="W2160" s="144"/>
      <c r="X2160" s="113" t="str">
        <f t="shared" si="75"/>
        <v>1w</v>
      </c>
      <c r="Y2160" s="106">
        <f>_xll.qlCalendarAdvance(Calendar,Y2159,X2160,"f",FALSE)</f>
        <v>54351</v>
      </c>
      <c r="Z2160" s="108">
        <f>_xll.qlCalendarAdvance(Calendar,Y2160,0&amp;"D")</f>
        <v>54351</v>
      </c>
      <c r="AA2160" s="109">
        <v>1.4161614640721965E-2</v>
      </c>
      <c r="AB2160" s="143">
        <f t="shared" si="76"/>
        <v>0</v>
      </c>
      <c r="AC2160" s="236" t="e">
        <v>#N/A</v>
      </c>
      <c r="AD2160" s="236">
        <v>1.4161614640721965E-2</v>
      </c>
    </row>
    <row r="2161" spans="23:30" x14ac:dyDescent="0.2">
      <c r="W2161" s="144"/>
      <c r="X2161" s="113" t="str">
        <f t="shared" si="75"/>
        <v>1w</v>
      </c>
      <c r="Y2161" s="106">
        <f>_xll.qlCalendarAdvance(Calendar,Y2160,X2161,"f",FALSE)</f>
        <v>54358</v>
      </c>
      <c r="Z2161" s="108">
        <f>_xll.qlCalendarAdvance(Calendar,Y2161,0&amp;"D")</f>
        <v>54358</v>
      </c>
      <c r="AA2161" s="109">
        <v>1.4160085559140612E-2</v>
      </c>
      <c r="AB2161" s="143">
        <f t="shared" si="76"/>
        <v>0</v>
      </c>
      <c r="AC2161" s="236" t="e">
        <v>#N/A</v>
      </c>
      <c r="AD2161" s="236">
        <v>1.4160085559140612E-2</v>
      </c>
    </row>
    <row r="2162" spans="23:30" x14ac:dyDescent="0.2">
      <c r="W2162" s="144"/>
      <c r="X2162" s="113" t="str">
        <f t="shared" si="75"/>
        <v>1w</v>
      </c>
      <c r="Y2162" s="106">
        <f>_xll.qlCalendarAdvance(Calendar,Y2161,X2162,"f",FALSE)</f>
        <v>54365</v>
      </c>
      <c r="Z2162" s="108">
        <f>_xll.qlCalendarAdvance(Calendar,Y2162,0&amp;"D")</f>
        <v>54365</v>
      </c>
      <c r="AA2162" s="109">
        <v>1.4158522775078453E-2</v>
      </c>
      <c r="AB2162" s="143">
        <f t="shared" si="76"/>
        <v>0</v>
      </c>
      <c r="AC2162" s="236" t="e">
        <v>#N/A</v>
      </c>
      <c r="AD2162" s="236">
        <v>1.4158522775078453E-2</v>
      </c>
    </row>
    <row r="2163" spans="23:30" x14ac:dyDescent="0.2">
      <c r="W2163" s="144"/>
      <c r="X2163" s="113" t="str">
        <f t="shared" si="75"/>
        <v>1w</v>
      </c>
      <c r="Y2163" s="106">
        <f>_xll.qlCalendarAdvance(Calendar,Y2162,X2163,"f",FALSE)</f>
        <v>54372</v>
      </c>
      <c r="Z2163" s="108">
        <f>_xll.qlCalendarAdvance(Calendar,Y2163,0&amp;"D")</f>
        <v>54372</v>
      </c>
      <c r="AA2163" s="109">
        <v>1.415692628869536E-2</v>
      </c>
      <c r="AB2163" s="143">
        <f t="shared" si="76"/>
        <v>0</v>
      </c>
      <c r="AC2163" s="236" t="e">
        <v>#N/A</v>
      </c>
      <c r="AD2163" s="236">
        <v>1.415692628869536E-2</v>
      </c>
    </row>
    <row r="2164" spans="23:30" x14ac:dyDescent="0.2">
      <c r="W2164" s="144"/>
      <c r="X2164" s="113" t="str">
        <f t="shared" si="75"/>
        <v>1w</v>
      </c>
      <c r="Y2164" s="106">
        <f>_xll.qlCalendarAdvance(Calendar,Y2163,X2164,"f",FALSE)</f>
        <v>54379</v>
      </c>
      <c r="Z2164" s="108">
        <f>_xll.qlCalendarAdvance(Calendar,Y2164,0&amp;"D")</f>
        <v>54379</v>
      </c>
      <c r="AA2164" s="109">
        <v>1.4155296099991332E-2</v>
      </c>
      <c r="AB2164" s="143">
        <f t="shared" si="76"/>
        <v>7.9936057773011271E-14</v>
      </c>
      <c r="AC2164" s="236" t="e">
        <v>#N/A</v>
      </c>
      <c r="AD2164" s="236">
        <v>1.4155296099911396E-2</v>
      </c>
    </row>
    <row r="2165" spans="23:30" x14ac:dyDescent="0.2">
      <c r="W2165" s="144"/>
      <c r="X2165" s="113" t="str">
        <f t="shared" si="75"/>
        <v>1w</v>
      </c>
      <c r="Y2165" s="106">
        <f>_xll.qlCalendarAdvance(Calendar,Y2164,X2165,"f",FALSE)</f>
        <v>54386</v>
      </c>
      <c r="Z2165" s="108">
        <f>_xll.qlCalendarAdvance(Calendar,Y2165,0&amp;"D")</f>
        <v>54386</v>
      </c>
      <c r="AA2165" s="109">
        <v>1.4153632208726563E-2</v>
      </c>
      <c r="AB2165" s="143">
        <f t="shared" si="76"/>
        <v>0</v>
      </c>
      <c r="AC2165" s="236" t="e">
        <v>#N/A</v>
      </c>
      <c r="AD2165" s="236">
        <v>1.4153632208726563E-2</v>
      </c>
    </row>
    <row r="2166" spans="23:30" x14ac:dyDescent="0.2">
      <c r="W2166" s="144"/>
      <c r="X2166" s="113" t="str">
        <f t="shared" si="75"/>
        <v>1w</v>
      </c>
      <c r="Y2166" s="106">
        <f>_xll.qlCalendarAdvance(Calendar,Y2165,X2166,"f",FALSE)</f>
        <v>54393</v>
      </c>
      <c r="Z2166" s="108">
        <f>_xll.qlCalendarAdvance(Calendar,Y2166,0&amp;"D")</f>
        <v>54393</v>
      </c>
      <c r="AA2166" s="109">
        <v>1.415193461514086E-2</v>
      </c>
      <c r="AB2166" s="143">
        <f t="shared" si="76"/>
        <v>0</v>
      </c>
      <c r="AC2166" s="236" t="e">
        <v>#N/A</v>
      </c>
      <c r="AD2166" s="236">
        <v>1.415193461514086E-2</v>
      </c>
    </row>
    <row r="2167" spans="23:30" x14ac:dyDescent="0.2">
      <c r="W2167" s="144"/>
      <c r="X2167" s="113" t="str">
        <f t="shared" si="75"/>
        <v>1w</v>
      </c>
      <c r="Y2167" s="106">
        <f>_xll.qlCalendarAdvance(Calendar,Y2166,X2167,"f",FALSE)</f>
        <v>54400</v>
      </c>
      <c r="Z2167" s="108">
        <f>_xll.qlCalendarAdvance(Calendar,Y2167,0&amp;"D")</f>
        <v>54400</v>
      </c>
      <c r="AA2167" s="109">
        <v>1.4150203319314159E-2</v>
      </c>
      <c r="AB2167" s="143">
        <f t="shared" si="76"/>
        <v>7.9936057773011271E-14</v>
      </c>
      <c r="AC2167" s="236" t="e">
        <v>#N/A</v>
      </c>
      <c r="AD2167" s="236">
        <v>1.4150203319234222E-2</v>
      </c>
    </row>
    <row r="2168" spans="23:30" x14ac:dyDescent="0.2">
      <c r="W2168" s="144"/>
      <c r="X2168" s="113" t="str">
        <f t="shared" si="75"/>
        <v>1w</v>
      </c>
      <c r="Y2168" s="106">
        <f>_xll.qlCalendarAdvance(Calendar,Y2167,X2168,"f",FALSE)</f>
        <v>54407</v>
      </c>
      <c r="Z2168" s="108">
        <f>_xll.qlCalendarAdvance(Calendar,Y2168,0&amp;"D")</f>
        <v>54407</v>
      </c>
      <c r="AA2168" s="109">
        <v>1.4148438320926715E-2</v>
      </c>
      <c r="AB2168" s="143">
        <f t="shared" si="76"/>
        <v>0</v>
      </c>
      <c r="AC2168" s="236" t="e">
        <v>#N/A</v>
      </c>
      <c r="AD2168" s="236">
        <v>1.4148438320926715E-2</v>
      </c>
    </row>
    <row r="2169" spans="23:30" x14ac:dyDescent="0.2">
      <c r="W2169" s="144"/>
      <c r="X2169" s="113" t="str">
        <f t="shared" si="75"/>
        <v>1w</v>
      </c>
      <c r="Y2169" s="106">
        <f>_xll.qlCalendarAdvance(Calendar,Y2168,X2169,"f",FALSE)</f>
        <v>54414</v>
      </c>
      <c r="Z2169" s="108">
        <f>_xll.qlCalendarAdvance(Calendar,Y2169,0&amp;"D")</f>
        <v>54414</v>
      </c>
      <c r="AA2169" s="109">
        <v>1.4146639620218338E-2</v>
      </c>
      <c r="AB2169" s="143">
        <f t="shared" si="76"/>
        <v>0</v>
      </c>
      <c r="AC2169" s="236" t="e">
        <v>#N/A</v>
      </c>
      <c r="AD2169" s="236">
        <v>1.4146639620218338E-2</v>
      </c>
    </row>
    <row r="2170" spans="23:30" x14ac:dyDescent="0.2">
      <c r="W2170" s="144"/>
      <c r="X2170" s="113" t="str">
        <f t="shared" si="75"/>
        <v>1w</v>
      </c>
      <c r="Y2170" s="106">
        <f>_xll.qlCalendarAdvance(Calendar,Y2169,X2170,"f",FALSE)</f>
        <v>54421</v>
      </c>
      <c r="Z2170" s="108">
        <f>_xll.qlCalendarAdvance(Calendar,Y2170,0&amp;"D")</f>
        <v>54421</v>
      </c>
      <c r="AA2170" s="109">
        <v>1.414480721710909E-2</v>
      </c>
      <c r="AB2170" s="143">
        <f t="shared" si="76"/>
        <v>0</v>
      </c>
      <c r="AC2170" s="236" t="e">
        <v>#N/A</v>
      </c>
      <c r="AD2170" s="236">
        <v>1.414480721710909E-2</v>
      </c>
    </row>
    <row r="2171" spans="23:30" x14ac:dyDescent="0.2">
      <c r="W2171" s="144"/>
      <c r="X2171" s="113" t="str">
        <f t="shared" si="75"/>
        <v>1w</v>
      </c>
      <c r="Y2171" s="106">
        <f>_xll.qlCalendarAdvance(Calendar,Y2170,X2171,"f",FALSE)</f>
        <v>54428</v>
      </c>
      <c r="Z2171" s="108">
        <f>_xll.qlCalendarAdvance(Calendar,Y2171,0&amp;"D")</f>
        <v>54428</v>
      </c>
      <c r="AA2171" s="109">
        <v>1.4142941111678908E-2</v>
      </c>
      <c r="AB2171" s="143">
        <f t="shared" si="76"/>
        <v>0</v>
      </c>
      <c r="AC2171" s="236" t="e">
        <v>#N/A</v>
      </c>
      <c r="AD2171" s="236">
        <v>1.4142941111678908E-2</v>
      </c>
    </row>
    <row r="2172" spans="23:30" x14ac:dyDescent="0.2">
      <c r="W2172" s="144"/>
      <c r="X2172" s="113" t="str">
        <f t="shared" si="75"/>
        <v>1w</v>
      </c>
      <c r="Y2172" s="106">
        <f>_xll.qlCalendarAdvance(Calendar,Y2171,X2172,"f",FALSE)</f>
        <v>54435</v>
      </c>
      <c r="Z2172" s="108">
        <f>_xll.qlCalendarAdvance(Calendar,Y2172,0&amp;"D")</f>
        <v>54435</v>
      </c>
      <c r="AA2172" s="109">
        <v>1.4141041303847857E-2</v>
      </c>
      <c r="AB2172" s="143">
        <f t="shared" si="76"/>
        <v>0</v>
      </c>
      <c r="AC2172" s="236" t="e">
        <v>#N/A</v>
      </c>
      <c r="AD2172" s="236">
        <v>1.4141041303847857E-2</v>
      </c>
    </row>
    <row r="2173" spans="23:30" x14ac:dyDescent="0.2">
      <c r="W2173" s="144"/>
      <c r="X2173" s="113" t="str">
        <f t="shared" si="75"/>
        <v>1w</v>
      </c>
      <c r="Y2173" s="106">
        <f>_xll.qlCalendarAdvance(Calendar,Y2172,X2173,"f",FALSE)</f>
        <v>54442</v>
      </c>
      <c r="Z2173" s="108">
        <f>_xll.qlCalendarAdvance(Calendar,Y2173,0&amp;"D")</f>
        <v>54442</v>
      </c>
      <c r="AA2173" s="109">
        <v>1.4139107793615935E-2</v>
      </c>
      <c r="AB2173" s="143">
        <f t="shared" si="76"/>
        <v>0</v>
      </c>
      <c r="AC2173" s="236" t="e">
        <v>#N/A</v>
      </c>
      <c r="AD2173" s="236">
        <v>1.4139107793615935E-2</v>
      </c>
    </row>
    <row r="2174" spans="23:30" x14ac:dyDescent="0.2">
      <c r="W2174" s="144"/>
      <c r="X2174" s="113" t="str">
        <f t="shared" si="75"/>
        <v>1w</v>
      </c>
      <c r="Y2174" s="106">
        <f>_xll.qlCalendarAdvance(Calendar,Y2173,X2174,"f",FALSE)</f>
        <v>54449</v>
      </c>
      <c r="Z2174" s="108">
        <f>_xll.qlCalendarAdvance(Calendar,Y2174,0&amp;"D")</f>
        <v>54449</v>
      </c>
      <c r="AA2174" s="109">
        <v>1.4137140580983143E-2</v>
      </c>
      <c r="AB2174" s="143">
        <f t="shared" si="76"/>
        <v>0</v>
      </c>
      <c r="AC2174" s="236" t="e">
        <v>#N/A</v>
      </c>
      <c r="AD2174" s="236">
        <v>1.4137140580983143E-2</v>
      </c>
    </row>
    <row r="2175" spans="23:30" x14ac:dyDescent="0.2">
      <c r="W2175" s="144"/>
      <c r="X2175" s="113" t="str">
        <f t="shared" si="75"/>
        <v>1w</v>
      </c>
      <c r="Y2175" s="106">
        <f>_xll.qlCalendarAdvance(Calendar,Y2174,X2175,"f",FALSE)</f>
        <v>54456</v>
      </c>
      <c r="Z2175" s="108">
        <f>_xll.qlCalendarAdvance(Calendar,Y2175,0&amp;"D")</f>
        <v>54456</v>
      </c>
      <c r="AA2175" s="109">
        <v>1.4135139666029417E-2</v>
      </c>
      <c r="AB2175" s="143">
        <f t="shared" si="76"/>
        <v>-7.9936057773011271E-14</v>
      </c>
      <c r="AC2175" s="236" t="e">
        <v>#N/A</v>
      </c>
      <c r="AD2175" s="236">
        <v>1.4135139666109353E-2</v>
      </c>
    </row>
    <row r="2176" spans="23:30" x14ac:dyDescent="0.2">
      <c r="W2176" s="144"/>
      <c r="X2176" s="113" t="str">
        <f t="shared" si="75"/>
        <v>1w</v>
      </c>
      <c r="Y2176" s="106">
        <f>_xll.qlCalendarAdvance(Calendar,Y2175,X2176,"f",FALSE)</f>
        <v>54463</v>
      </c>
      <c r="Z2176" s="108">
        <f>_xll.qlCalendarAdvance(Calendar,Y2176,0&amp;"D")</f>
        <v>54463</v>
      </c>
      <c r="AA2176" s="109">
        <v>1.4133105048754757E-2</v>
      </c>
      <c r="AB2176" s="143">
        <f t="shared" si="76"/>
        <v>7.9936057773011271E-14</v>
      </c>
      <c r="AC2176" s="236" t="e">
        <v>#N/A</v>
      </c>
      <c r="AD2176" s="236">
        <v>1.4133105048674821E-2</v>
      </c>
    </row>
    <row r="2177" spans="23:30" x14ac:dyDescent="0.2">
      <c r="W2177" s="144"/>
      <c r="X2177" s="113" t="str">
        <f t="shared" si="75"/>
        <v>1w</v>
      </c>
      <c r="Y2177" s="106">
        <f>_xll.qlCalendarAdvance(Calendar,Y2176,X2177,"f",FALSE)</f>
        <v>54470</v>
      </c>
      <c r="Z2177" s="108">
        <f>_xll.qlCalendarAdvance(Calendar,Y2177,0&amp;"D")</f>
        <v>54470</v>
      </c>
      <c r="AA2177" s="109">
        <v>1.4131036728999291E-2</v>
      </c>
      <c r="AB2177" s="143">
        <f t="shared" si="76"/>
        <v>0</v>
      </c>
      <c r="AC2177" s="236" t="e">
        <v>#N/A</v>
      </c>
      <c r="AD2177" s="236">
        <v>1.4131036728999291E-2</v>
      </c>
    </row>
    <row r="2178" spans="23:30" x14ac:dyDescent="0.2">
      <c r="W2178" s="144"/>
      <c r="X2178" s="113" t="str">
        <f t="shared" si="75"/>
        <v>1w</v>
      </c>
      <c r="Y2178" s="106">
        <f>_xll.qlCalendarAdvance(Calendar,Y2177,X2178,"f",FALSE)</f>
        <v>54477</v>
      </c>
      <c r="Z2178" s="108">
        <f>_xll.qlCalendarAdvance(Calendar,Y2178,0&amp;"D")</f>
        <v>54477</v>
      </c>
      <c r="AA2178" s="109">
        <v>1.4128934706842955E-2</v>
      </c>
      <c r="AB2178" s="143">
        <f t="shared" si="76"/>
        <v>0</v>
      </c>
      <c r="AC2178" s="236" t="e">
        <v>#N/A</v>
      </c>
      <c r="AD2178" s="236">
        <v>1.4128934706842955E-2</v>
      </c>
    </row>
    <row r="2179" spans="23:30" x14ac:dyDescent="0.2">
      <c r="W2179" s="144"/>
      <c r="X2179" s="113" t="str">
        <f t="shared" si="75"/>
        <v>1w</v>
      </c>
      <c r="Y2179" s="106">
        <f>_xll.qlCalendarAdvance(Calendar,Y2178,X2179,"f",FALSE)</f>
        <v>54484</v>
      </c>
      <c r="Z2179" s="108">
        <f>_xll.qlCalendarAdvance(Calendar,Y2179,0&amp;"D")</f>
        <v>54484</v>
      </c>
      <c r="AA2179" s="109">
        <v>1.4126798982365685E-2</v>
      </c>
      <c r="AB2179" s="143">
        <f t="shared" si="76"/>
        <v>0</v>
      </c>
      <c r="AC2179" s="236" t="e">
        <v>#N/A</v>
      </c>
      <c r="AD2179" s="236">
        <v>1.4126798982365685E-2</v>
      </c>
    </row>
    <row r="2180" spans="23:30" x14ac:dyDescent="0.2">
      <c r="W2180" s="144"/>
      <c r="X2180" s="113" t="str">
        <f t="shared" si="75"/>
        <v>1w</v>
      </c>
      <c r="Y2180" s="106">
        <f>_xll.qlCalendarAdvance(Calendar,Y2179,X2180,"f",FALSE)</f>
        <v>54491</v>
      </c>
      <c r="Z2180" s="108">
        <f>_xll.qlCalendarAdvance(Calendar,Y2180,0&amp;"D")</f>
        <v>54491</v>
      </c>
      <c r="AA2180" s="109">
        <v>1.4124629555487545E-2</v>
      </c>
      <c r="AB2180" s="143">
        <f t="shared" si="76"/>
        <v>0</v>
      </c>
      <c r="AC2180" s="236" t="e">
        <v>#N/A</v>
      </c>
      <c r="AD2180" s="236">
        <v>1.4124629555487545E-2</v>
      </c>
    </row>
    <row r="2181" spans="23:30" x14ac:dyDescent="0.2">
      <c r="W2181" s="144"/>
      <c r="X2181" s="113" t="str">
        <f t="shared" si="75"/>
        <v>1w</v>
      </c>
      <c r="Y2181" s="106">
        <f>_xll.qlCalendarAdvance(Calendar,Y2180,X2181,"f",FALSE)</f>
        <v>54498</v>
      </c>
      <c r="Z2181" s="108">
        <f>_xll.qlCalendarAdvance(Calendar,Y2181,0&amp;"D")</f>
        <v>54498</v>
      </c>
      <c r="AA2181" s="109">
        <v>1.4122426426368406E-2</v>
      </c>
      <c r="AB2181" s="143">
        <f t="shared" si="76"/>
        <v>7.9936057773011271E-14</v>
      </c>
      <c r="AC2181" s="236" t="e">
        <v>#N/A</v>
      </c>
      <c r="AD2181" s="236">
        <v>1.412242642628847E-2</v>
      </c>
    </row>
    <row r="2182" spans="23:30" x14ac:dyDescent="0.2">
      <c r="W2182" s="144"/>
      <c r="X2182" s="113" t="str">
        <f t="shared" si="75"/>
        <v>1w</v>
      </c>
      <c r="Y2182" s="106">
        <f>_xll.qlCalendarAdvance(Calendar,Y2181,X2182,"f",FALSE)</f>
        <v>54505</v>
      </c>
      <c r="Z2182" s="108">
        <f>_xll.qlCalendarAdvance(Calendar,Y2182,0&amp;"D")</f>
        <v>54505</v>
      </c>
      <c r="AA2182" s="109">
        <v>1.4120189594768462E-2</v>
      </c>
      <c r="AB2182" s="143">
        <f t="shared" si="76"/>
        <v>7.9936057773011271E-14</v>
      </c>
      <c r="AC2182" s="236" t="e">
        <v>#N/A</v>
      </c>
      <c r="AD2182" s="236">
        <v>1.4120189594688526E-2</v>
      </c>
    </row>
    <row r="2183" spans="23:30" x14ac:dyDescent="0.2">
      <c r="W2183" s="144"/>
      <c r="X2183" s="113" t="str">
        <f t="shared" si="75"/>
        <v>1w</v>
      </c>
      <c r="Y2183" s="106">
        <f>_xll.qlCalendarAdvance(Calendar,Y2182,X2183,"f",FALSE)</f>
        <v>54512</v>
      </c>
      <c r="Z2183" s="108">
        <f>_xll.qlCalendarAdvance(Calendar,Y2183,0&amp;"D")</f>
        <v>54512</v>
      </c>
      <c r="AA2183" s="109">
        <v>1.4117919060687711E-2</v>
      </c>
      <c r="AB2183" s="143">
        <f t="shared" si="76"/>
        <v>0</v>
      </c>
      <c r="AC2183" s="236" t="e">
        <v>#N/A</v>
      </c>
      <c r="AD2183" s="236">
        <v>1.4117919060687711E-2</v>
      </c>
    </row>
    <row r="2184" spans="23:30" x14ac:dyDescent="0.2">
      <c r="W2184" s="144"/>
      <c r="X2184" s="113" t="str">
        <f t="shared" si="75"/>
        <v>1w</v>
      </c>
      <c r="Y2184" s="106">
        <f>_xll.qlCalendarAdvance(Calendar,Y2183,X2184,"f",FALSE)</f>
        <v>54519</v>
      </c>
      <c r="Z2184" s="108">
        <f>_xll.qlCalendarAdvance(Calendar,Y2184,0&amp;"D")</f>
        <v>54519</v>
      </c>
      <c r="AA2184" s="109">
        <v>1.4115614824365963E-2</v>
      </c>
      <c r="AB2184" s="143">
        <f t="shared" si="76"/>
        <v>0</v>
      </c>
      <c r="AC2184" s="236" t="e">
        <v>#N/A</v>
      </c>
      <c r="AD2184" s="236">
        <v>1.4115614824365963E-2</v>
      </c>
    </row>
    <row r="2185" spans="23:30" x14ac:dyDescent="0.2">
      <c r="W2185" s="144"/>
      <c r="X2185" s="113" t="str">
        <f t="shared" si="75"/>
        <v>1w</v>
      </c>
      <c r="Y2185" s="106">
        <f>_xll.qlCalendarAdvance(Calendar,Y2184,X2185,"f",FALSE)</f>
        <v>54526</v>
      </c>
      <c r="Z2185" s="108">
        <f>_xll.qlCalendarAdvance(Calendar,Y2185,0&amp;"D")</f>
        <v>54526</v>
      </c>
      <c r="AA2185" s="109">
        <v>1.4113276885643344E-2</v>
      </c>
      <c r="AB2185" s="143">
        <f t="shared" si="76"/>
        <v>0</v>
      </c>
      <c r="AC2185" s="236" t="e">
        <v>#N/A</v>
      </c>
      <c r="AD2185" s="236">
        <v>1.4113276885643344E-2</v>
      </c>
    </row>
    <row r="2186" spans="23:30" x14ac:dyDescent="0.2">
      <c r="W2186" s="144"/>
      <c r="X2186" s="113" t="str">
        <f t="shared" si="75"/>
        <v>1w</v>
      </c>
      <c r="Y2186" s="106">
        <f>_xll.qlCalendarAdvance(Calendar,Y2185,X2186,"f",FALSE)</f>
        <v>54533</v>
      </c>
      <c r="Z2186" s="108">
        <f>_xll.qlCalendarAdvance(Calendar,Y2186,0&amp;"D")</f>
        <v>54533</v>
      </c>
      <c r="AA2186" s="109">
        <v>1.4110905244519856E-2</v>
      </c>
      <c r="AB2186" s="143">
        <f t="shared" si="76"/>
        <v>0</v>
      </c>
      <c r="AC2186" s="236" t="e">
        <v>#N/A</v>
      </c>
      <c r="AD2186" s="236">
        <v>1.4110905244519856E-2</v>
      </c>
    </row>
    <row r="2187" spans="23:30" x14ac:dyDescent="0.2">
      <c r="W2187" s="144"/>
      <c r="X2187" s="113" t="str">
        <f t="shared" si="75"/>
        <v>1w</v>
      </c>
      <c r="Y2187" s="106">
        <f>_xll.qlCalendarAdvance(Calendar,Y2186,X2187,"f",FALSE)</f>
        <v>54540</v>
      </c>
      <c r="Z2187" s="108">
        <f>_xll.qlCalendarAdvance(Calendar,Y2187,0&amp;"D")</f>
        <v>54540</v>
      </c>
      <c r="AA2187" s="109">
        <v>1.4108499901075433E-2</v>
      </c>
      <c r="AB2187" s="143">
        <f t="shared" si="76"/>
        <v>0</v>
      </c>
      <c r="AC2187" s="236" t="e">
        <v>#N/A</v>
      </c>
      <c r="AD2187" s="236">
        <v>1.4108499901075433E-2</v>
      </c>
    </row>
    <row r="2188" spans="23:30" x14ac:dyDescent="0.2">
      <c r="W2188" s="144"/>
      <c r="X2188" s="113" t="str">
        <f t="shared" si="75"/>
        <v>1w</v>
      </c>
      <c r="Y2188" s="106">
        <f>_xll.qlCalendarAdvance(Calendar,Y2187,X2188,"f",FALSE)</f>
        <v>54547</v>
      </c>
      <c r="Z2188" s="108">
        <f>_xll.qlCalendarAdvance(Calendar,Y2188,0&amp;"D")</f>
        <v>54547</v>
      </c>
      <c r="AA2188" s="109">
        <v>1.410606085523014E-2</v>
      </c>
      <c r="AB2188" s="143">
        <f t="shared" si="76"/>
        <v>0</v>
      </c>
      <c r="AC2188" s="236" t="e">
        <v>#N/A</v>
      </c>
      <c r="AD2188" s="236">
        <v>1.410606085523014E-2</v>
      </c>
    </row>
    <row r="2189" spans="23:30" x14ac:dyDescent="0.2">
      <c r="W2189" s="144"/>
      <c r="X2189" s="113" t="str">
        <f t="shared" ref="X2189:X2252" si="77">X2188</f>
        <v>1w</v>
      </c>
      <c r="Y2189" s="106">
        <f>_xll.qlCalendarAdvance(Calendar,Y2188,X2189,"f",FALSE)</f>
        <v>54554</v>
      </c>
      <c r="Z2189" s="108">
        <f>_xll.qlCalendarAdvance(Calendar,Y2189,0&amp;"D")</f>
        <v>54554</v>
      </c>
      <c r="AA2189" s="109">
        <v>1.4103588107063914E-2</v>
      </c>
      <c r="AB2189" s="143">
        <f t="shared" si="76"/>
        <v>0</v>
      </c>
      <c r="AC2189" s="236" t="e">
        <v>#N/A</v>
      </c>
      <c r="AD2189" s="236">
        <v>1.4103588107063914E-2</v>
      </c>
    </row>
    <row r="2190" spans="23:30" x14ac:dyDescent="0.2">
      <c r="W2190" s="144"/>
      <c r="X2190" s="113" t="str">
        <f t="shared" si="77"/>
        <v>1w</v>
      </c>
      <c r="Y2190" s="106">
        <f>_xll.qlCalendarAdvance(Calendar,Y2189,X2190,"f",FALSE)</f>
        <v>54561</v>
      </c>
      <c r="Z2190" s="108">
        <f>_xll.qlCalendarAdvance(Calendar,Y2190,0&amp;"D")</f>
        <v>54561</v>
      </c>
      <c r="AA2190" s="109">
        <v>1.4101081656496817E-2</v>
      </c>
      <c r="AB2190" s="143">
        <f t="shared" si="76"/>
        <v>-7.9936057773011271E-14</v>
      </c>
      <c r="AC2190" s="236" t="e">
        <v>#N/A</v>
      </c>
      <c r="AD2190" s="236">
        <v>1.4101081656576753E-2</v>
      </c>
    </row>
    <row r="2191" spans="23:30" x14ac:dyDescent="0.2">
      <c r="W2191" s="144"/>
      <c r="X2191" s="113" t="str">
        <f t="shared" si="77"/>
        <v>1w</v>
      </c>
      <c r="Y2191" s="106">
        <f>_xll.qlCalendarAdvance(Calendar,Y2190,X2191,"f",FALSE)</f>
        <v>54568</v>
      </c>
      <c r="Z2191" s="108">
        <f>_xll.qlCalendarAdvance(Calendar,Y2191,0&amp;"D")</f>
        <v>54568</v>
      </c>
      <c r="AA2191" s="109">
        <v>1.409854150352885E-2</v>
      </c>
      <c r="AB2191" s="143">
        <f t="shared" si="76"/>
        <v>0</v>
      </c>
      <c r="AC2191" s="236" t="e">
        <v>#N/A</v>
      </c>
      <c r="AD2191" s="236">
        <v>1.409854150352885E-2</v>
      </c>
    </row>
    <row r="2192" spans="23:30" x14ac:dyDescent="0.2">
      <c r="W2192" s="144"/>
      <c r="X2192" s="113" t="str">
        <f t="shared" si="77"/>
        <v>1w</v>
      </c>
      <c r="Y2192" s="106">
        <f>_xll.qlCalendarAdvance(Calendar,Y2191,X2192,"f",FALSE)</f>
        <v>54575</v>
      </c>
      <c r="Z2192" s="108">
        <f>_xll.qlCalendarAdvance(Calendar,Y2192,0&amp;"D")</f>
        <v>54575</v>
      </c>
      <c r="AA2192" s="109">
        <v>1.4095967648239949E-2</v>
      </c>
      <c r="AB2192" s="143">
        <f t="shared" si="76"/>
        <v>-7.9936057773011271E-14</v>
      </c>
      <c r="AC2192" s="236" t="e">
        <v>#N/A</v>
      </c>
      <c r="AD2192" s="236">
        <v>1.4095967648319885E-2</v>
      </c>
    </row>
    <row r="2193" spans="23:30" x14ac:dyDescent="0.2">
      <c r="W2193" s="144"/>
      <c r="X2193" s="113" t="str">
        <f t="shared" si="77"/>
        <v>1w</v>
      </c>
      <c r="Y2193" s="106">
        <f>_xll.qlCalendarAdvance(Calendar,Y2192,X2193,"f",FALSE)</f>
        <v>54582</v>
      </c>
      <c r="Z2193" s="108">
        <f>_xll.qlCalendarAdvance(Calendar,Y2193,0&amp;"D")</f>
        <v>54582</v>
      </c>
      <c r="AA2193" s="109">
        <v>1.4093360090630114E-2</v>
      </c>
      <c r="AB2193" s="143">
        <f t="shared" si="76"/>
        <v>0</v>
      </c>
      <c r="AC2193" s="236" t="e">
        <v>#N/A</v>
      </c>
      <c r="AD2193" s="236">
        <v>1.4093360090630114E-2</v>
      </c>
    </row>
    <row r="2194" spans="23:30" x14ac:dyDescent="0.2">
      <c r="W2194" s="144"/>
      <c r="X2194" s="113" t="str">
        <f t="shared" si="77"/>
        <v>1w</v>
      </c>
      <c r="Y2194" s="106">
        <f>_xll.qlCalendarAdvance(Calendar,Y2193,X2194,"f",FALSE)</f>
        <v>54589</v>
      </c>
      <c r="Z2194" s="108">
        <f>_xll.qlCalendarAdvance(Calendar,Y2194,0&amp;"D")</f>
        <v>54589</v>
      </c>
      <c r="AA2194" s="109">
        <v>1.4090718830619409E-2</v>
      </c>
      <c r="AB2194" s="143">
        <f t="shared" si="76"/>
        <v>7.9936057773011271E-14</v>
      </c>
      <c r="AC2194" s="236" t="e">
        <v>#N/A</v>
      </c>
      <c r="AD2194" s="236">
        <v>1.4090718830539473E-2</v>
      </c>
    </row>
    <row r="2195" spans="23:30" x14ac:dyDescent="0.2">
      <c r="W2195" s="144"/>
      <c r="X2195" s="113" t="str">
        <f t="shared" si="77"/>
        <v>1w</v>
      </c>
      <c r="Y2195" s="106">
        <f>_xll.qlCalendarAdvance(Calendar,Y2194,X2195,"f",FALSE)</f>
        <v>54596</v>
      </c>
      <c r="Z2195" s="108">
        <f>_xll.qlCalendarAdvance(Calendar,Y2195,0&amp;"D")</f>
        <v>54596</v>
      </c>
      <c r="AA2195" s="109">
        <v>1.4088043868127897E-2</v>
      </c>
      <c r="AB2195" s="143">
        <f t="shared" si="76"/>
        <v>-7.9936057773011271E-14</v>
      </c>
      <c r="AC2195" s="236" t="e">
        <v>#N/A</v>
      </c>
      <c r="AD2195" s="236">
        <v>1.4088043868207833E-2</v>
      </c>
    </row>
    <row r="2196" spans="23:30" x14ac:dyDescent="0.2">
      <c r="W2196" s="144"/>
      <c r="X2196" s="113" t="str">
        <f t="shared" si="77"/>
        <v>1w</v>
      </c>
      <c r="Y2196" s="106">
        <f>_xll.qlCalendarAdvance(Calendar,Y2195,X2196,"f",FALSE)</f>
        <v>54603</v>
      </c>
      <c r="Z2196" s="108">
        <f>_xll.qlCalendarAdvance(Calendar,Y2196,0&amp;"D")</f>
        <v>54603</v>
      </c>
      <c r="AA2196" s="109">
        <v>1.4085335203395388E-2</v>
      </c>
      <c r="AB2196" s="143">
        <f t="shared" si="76"/>
        <v>7.9936057773011271E-14</v>
      </c>
      <c r="AC2196" s="236" t="e">
        <v>#N/A</v>
      </c>
      <c r="AD2196" s="236">
        <v>1.4085335203315452E-2</v>
      </c>
    </row>
    <row r="2197" spans="23:30" x14ac:dyDescent="0.2">
      <c r="W2197" s="144"/>
      <c r="X2197" s="113" t="str">
        <f t="shared" si="77"/>
        <v>1w</v>
      </c>
      <c r="Y2197" s="106">
        <f>_xll.qlCalendarAdvance(Calendar,Y2196,X2197,"f",FALSE)</f>
        <v>54610</v>
      </c>
      <c r="Z2197" s="108">
        <f>_xll.qlCalendarAdvance(Calendar,Y2197,0&amp;"D")</f>
        <v>54610</v>
      </c>
      <c r="AA2197" s="109">
        <v>1.4082592836341945E-2</v>
      </c>
      <c r="AB2197" s="143">
        <f t="shared" ref="AB2197:AB2260" si="78">AA2197-AD2197</f>
        <v>7.9936057773011271E-14</v>
      </c>
      <c r="AC2197" s="236" t="e">
        <v>#N/A</v>
      </c>
      <c r="AD2197" s="236">
        <v>1.4082592836262009E-2</v>
      </c>
    </row>
    <row r="2198" spans="23:30" x14ac:dyDescent="0.2">
      <c r="W2198" s="144"/>
      <c r="X2198" s="113" t="str">
        <f t="shared" si="77"/>
        <v>1w</v>
      </c>
      <c r="Y2198" s="106">
        <f>_xll.qlCalendarAdvance(Calendar,Y2197,X2198,"f",FALSE)</f>
        <v>54617</v>
      </c>
      <c r="Z2198" s="108">
        <f>_xll.qlCalendarAdvance(Calendar,Y2198,0&amp;"D")</f>
        <v>54617</v>
      </c>
      <c r="AA2198" s="109">
        <v>1.407981676672776E-2</v>
      </c>
      <c r="AB2198" s="143">
        <f t="shared" si="78"/>
        <v>0</v>
      </c>
      <c r="AC2198" s="236" t="e">
        <v>#N/A</v>
      </c>
      <c r="AD2198" s="236">
        <v>1.407981676672776E-2</v>
      </c>
    </row>
    <row r="2199" spans="23:30" x14ac:dyDescent="0.2">
      <c r="W2199" s="144"/>
      <c r="X2199" s="113" t="str">
        <f t="shared" si="77"/>
        <v>1w</v>
      </c>
      <c r="Y2199" s="106">
        <f>_xll.qlCalendarAdvance(Calendar,Y2198,X2199,"f",FALSE)</f>
        <v>54624</v>
      </c>
      <c r="Z2199" s="108">
        <f>_xll.qlCalendarAdvance(Calendar,Y2199,0&amp;"D")</f>
        <v>54624</v>
      </c>
      <c r="AA2199" s="109">
        <v>1.4077006994872576E-2</v>
      </c>
      <c r="AB2199" s="143">
        <f t="shared" si="78"/>
        <v>-7.9936057773011271E-14</v>
      </c>
      <c r="AC2199" s="236" t="e">
        <v>#N/A</v>
      </c>
      <c r="AD2199" s="236">
        <v>1.4077006994952512E-2</v>
      </c>
    </row>
    <row r="2200" spans="23:30" x14ac:dyDescent="0.2">
      <c r="W2200" s="144"/>
      <c r="X2200" s="113" t="str">
        <f t="shared" si="77"/>
        <v>1w</v>
      </c>
      <c r="Y2200" s="106">
        <f>_xll.qlCalendarAdvance(Calendar,Y2199,X2200,"f",FALSE)</f>
        <v>54631</v>
      </c>
      <c r="Z2200" s="108">
        <f>_xll.qlCalendarAdvance(Calendar,Y2200,0&amp;"D")</f>
        <v>54631</v>
      </c>
      <c r="AA2200" s="109">
        <v>1.4074163520776395E-2</v>
      </c>
      <c r="AB2200" s="143">
        <f t="shared" si="78"/>
        <v>7.9936057773011271E-14</v>
      </c>
      <c r="AC2200" s="236" t="e">
        <v>#N/A</v>
      </c>
      <c r="AD2200" s="236">
        <v>1.4074163520696459E-2</v>
      </c>
    </row>
    <row r="2201" spans="23:30" x14ac:dyDescent="0.2">
      <c r="W2201" s="144"/>
      <c r="X2201" s="113" t="str">
        <f t="shared" si="77"/>
        <v>1w</v>
      </c>
      <c r="Y2201" s="106">
        <f>_xll.qlCalendarAdvance(Calendar,Y2200,X2201,"f",FALSE)</f>
        <v>54638</v>
      </c>
      <c r="Z2201" s="108">
        <f>_xll.qlCalendarAdvance(Calendar,Y2201,0&amp;"D")</f>
        <v>54638</v>
      </c>
      <c r="AA2201" s="109">
        <v>1.4071286344199407E-2</v>
      </c>
      <c r="AB2201" s="143">
        <f t="shared" si="78"/>
        <v>0</v>
      </c>
      <c r="AC2201" s="236" t="e">
        <v>#N/A</v>
      </c>
      <c r="AD2201" s="236">
        <v>1.4071286344199407E-2</v>
      </c>
    </row>
    <row r="2202" spans="23:30" x14ac:dyDescent="0.2">
      <c r="W2202" s="144"/>
      <c r="X2202" s="113" t="str">
        <f t="shared" si="77"/>
        <v>1w</v>
      </c>
      <c r="Y2202" s="106">
        <f>_xll.qlCalendarAdvance(Calendar,Y2201,X2202,"f",FALSE)</f>
        <v>54645</v>
      </c>
      <c r="Z2202" s="108">
        <f>_xll.qlCalendarAdvance(Calendar,Y2202,0&amp;"D")</f>
        <v>54645</v>
      </c>
      <c r="AA2202" s="109">
        <v>1.4068375465141614E-2</v>
      </c>
      <c r="AB2202" s="143">
        <f t="shared" si="78"/>
        <v>-7.9936057773011271E-14</v>
      </c>
      <c r="AC2202" s="236" t="e">
        <v>#N/A</v>
      </c>
      <c r="AD2202" s="236">
        <v>1.406837546522155E-2</v>
      </c>
    </row>
    <row r="2203" spans="23:30" x14ac:dyDescent="0.2">
      <c r="W2203" s="144"/>
      <c r="X2203" s="113" t="str">
        <f t="shared" si="77"/>
        <v>1w</v>
      </c>
      <c r="Y2203" s="106">
        <f>_xll.qlCalendarAdvance(Calendar,Y2202,X2203,"f",FALSE)</f>
        <v>54652</v>
      </c>
      <c r="Z2203" s="108">
        <f>_xll.qlCalendarAdvance(Calendar,Y2203,0&amp;"D")</f>
        <v>54652</v>
      </c>
      <c r="AA2203" s="109">
        <v>1.4065430884002694E-2</v>
      </c>
      <c r="AB2203" s="143">
        <f t="shared" si="78"/>
        <v>7.9936057773011271E-14</v>
      </c>
      <c r="AC2203" s="236" t="e">
        <v>#N/A</v>
      </c>
      <c r="AD2203" s="236">
        <v>1.4065430883922758E-2</v>
      </c>
    </row>
    <row r="2204" spans="23:30" x14ac:dyDescent="0.2">
      <c r="W2204" s="144"/>
      <c r="X2204" s="113" t="str">
        <f t="shared" si="77"/>
        <v>1w</v>
      </c>
      <c r="Y2204" s="106">
        <f>_xll.qlCalendarAdvance(Calendar,Y2203,X2204,"f",FALSE)</f>
        <v>54659</v>
      </c>
      <c r="Z2204" s="108">
        <f>_xll.qlCalendarAdvance(Calendar,Y2204,0&amp;"D")</f>
        <v>54659</v>
      </c>
      <c r="AA2204" s="109">
        <v>1.4062452600303033E-2</v>
      </c>
      <c r="AB2204" s="143">
        <f t="shared" si="78"/>
        <v>7.9936057773011271E-14</v>
      </c>
      <c r="AC2204" s="236" t="e">
        <v>#N/A</v>
      </c>
      <c r="AD2204" s="236">
        <v>1.4062452600223097E-2</v>
      </c>
    </row>
    <row r="2205" spans="23:30" x14ac:dyDescent="0.2">
      <c r="W2205" s="144"/>
      <c r="X2205" s="113" t="str">
        <f t="shared" si="77"/>
        <v>1w</v>
      </c>
      <c r="Y2205" s="106">
        <f>_xll.qlCalendarAdvance(Calendar,Y2204,X2205,"f",FALSE)</f>
        <v>54666</v>
      </c>
      <c r="Z2205" s="108">
        <f>_xll.qlCalendarAdvance(Calendar,Y2205,0&amp;"D")</f>
        <v>54666</v>
      </c>
      <c r="AA2205" s="109">
        <v>1.4059440614202501E-2</v>
      </c>
      <c r="AB2205" s="143">
        <f t="shared" si="78"/>
        <v>7.9936057773011271E-14</v>
      </c>
      <c r="AC2205" s="236" t="e">
        <v>#N/A</v>
      </c>
      <c r="AD2205" s="236">
        <v>1.4059440614122565E-2</v>
      </c>
    </row>
    <row r="2206" spans="23:30" x14ac:dyDescent="0.2">
      <c r="W2206" s="144"/>
      <c r="X2206" s="113" t="str">
        <f t="shared" si="77"/>
        <v>1w</v>
      </c>
      <c r="Y2206" s="106">
        <f>_xll.qlCalendarAdvance(Calendar,Y2205,X2206,"f",FALSE)</f>
        <v>54673</v>
      </c>
      <c r="Z2206" s="108">
        <f>_xll.qlCalendarAdvance(Calendar,Y2206,0&amp;"D")</f>
        <v>54673</v>
      </c>
      <c r="AA2206" s="109">
        <v>1.4056394925940907E-2</v>
      </c>
      <c r="AB2206" s="143">
        <f t="shared" si="78"/>
        <v>0</v>
      </c>
      <c r="AC2206" s="236" t="e">
        <v>#N/A</v>
      </c>
      <c r="AD2206" s="236">
        <v>1.4056394925940907E-2</v>
      </c>
    </row>
    <row r="2207" spans="23:30" x14ac:dyDescent="0.2">
      <c r="W2207" s="144"/>
      <c r="X2207" s="113" t="str">
        <f t="shared" si="77"/>
        <v>1w</v>
      </c>
      <c r="Y2207" s="106">
        <f>_xll.qlCalendarAdvance(Calendar,Y2206,X2207,"f",FALSE)</f>
        <v>54680</v>
      </c>
      <c r="Z2207" s="108">
        <f>_xll.qlCalendarAdvance(Calendar,Y2207,0&amp;"D")</f>
        <v>54680</v>
      </c>
      <c r="AA2207" s="109">
        <v>1.4053315535118571E-2</v>
      </c>
      <c r="AB2207" s="143">
        <f t="shared" si="78"/>
        <v>-7.9936057773011271E-14</v>
      </c>
      <c r="AC2207" s="236" t="e">
        <v>#N/A</v>
      </c>
      <c r="AD2207" s="236">
        <v>1.4053315535198507E-2</v>
      </c>
    </row>
    <row r="2208" spans="23:30" x14ac:dyDescent="0.2">
      <c r="W2208" s="144"/>
      <c r="X2208" s="113" t="str">
        <f t="shared" si="77"/>
        <v>1w</v>
      </c>
      <c r="Y2208" s="106">
        <f>_xll.qlCalendarAdvance(Calendar,Y2207,X2208,"f",FALSE)</f>
        <v>54687</v>
      </c>
      <c r="Z2208" s="108">
        <f>_xll.qlCalendarAdvance(Calendar,Y2208,0&amp;"D")</f>
        <v>54687</v>
      </c>
      <c r="AA2208" s="109">
        <v>1.4050202442135173E-2</v>
      </c>
      <c r="AB2208" s="143">
        <f t="shared" si="78"/>
        <v>0</v>
      </c>
      <c r="AC2208" s="236" t="e">
        <v>#N/A</v>
      </c>
      <c r="AD2208" s="236">
        <v>1.4050202442135173E-2</v>
      </c>
    </row>
    <row r="2209" spans="23:30" x14ac:dyDescent="0.2">
      <c r="W2209" s="144"/>
      <c r="X2209" s="113" t="str">
        <f t="shared" si="77"/>
        <v>1w</v>
      </c>
      <c r="Y2209" s="106">
        <f>_xll.qlCalendarAdvance(Calendar,Y2208,X2209,"f",FALSE)</f>
        <v>54694</v>
      </c>
      <c r="Z2209" s="108">
        <f>_xll.qlCalendarAdvance(Calendar,Y2209,0&amp;"D")</f>
        <v>54694</v>
      </c>
      <c r="AA2209" s="109">
        <v>1.4047055646750906E-2</v>
      </c>
      <c r="AB2209" s="143">
        <f t="shared" si="78"/>
        <v>7.9936057773011271E-14</v>
      </c>
      <c r="AC2209" s="236" t="e">
        <v>#N/A</v>
      </c>
      <c r="AD2209" s="236">
        <v>1.404705564667097E-2</v>
      </c>
    </row>
    <row r="2210" spans="23:30" x14ac:dyDescent="0.2">
      <c r="W2210" s="144"/>
      <c r="X2210" s="113" t="str">
        <f t="shared" si="77"/>
        <v>1w</v>
      </c>
      <c r="Y2210" s="106">
        <f>_xll.qlCalendarAdvance(Calendar,Y2209,X2210,"f",FALSE)</f>
        <v>54701</v>
      </c>
      <c r="Z2210" s="108">
        <f>_xll.qlCalendarAdvance(Calendar,Y2210,0&amp;"D")</f>
        <v>54701</v>
      </c>
      <c r="AA2210" s="109">
        <v>1.4043875148885832E-2</v>
      </c>
      <c r="AB2210" s="143">
        <f t="shared" si="78"/>
        <v>0</v>
      </c>
      <c r="AC2210" s="236" t="e">
        <v>#N/A</v>
      </c>
      <c r="AD2210" s="236">
        <v>1.4043875148885832E-2</v>
      </c>
    </row>
    <row r="2211" spans="23:30" x14ac:dyDescent="0.2">
      <c r="W2211" s="144"/>
      <c r="X2211" s="113" t="str">
        <f t="shared" si="77"/>
        <v>1w</v>
      </c>
      <c r="Y2211" s="106">
        <f>_xll.qlCalendarAdvance(Calendar,Y2210,X2211,"f",FALSE)</f>
        <v>54708</v>
      </c>
      <c r="Z2211" s="108">
        <f>_xll.qlCalendarAdvance(Calendar,Y2211,0&amp;"D")</f>
        <v>54708</v>
      </c>
      <c r="AA2211" s="109">
        <v>1.4040660948859696E-2</v>
      </c>
      <c r="AB2211" s="143">
        <f t="shared" si="78"/>
        <v>0</v>
      </c>
      <c r="AC2211" s="236" t="e">
        <v>#N/A</v>
      </c>
      <c r="AD2211" s="236">
        <v>1.4040660948859696E-2</v>
      </c>
    </row>
    <row r="2212" spans="23:30" x14ac:dyDescent="0.2">
      <c r="W2212" s="144"/>
      <c r="X2212" s="113" t="str">
        <f t="shared" si="77"/>
        <v>1w</v>
      </c>
      <c r="Y2212" s="106">
        <f>_xll.qlCalendarAdvance(Calendar,Y2211,X2212,"f",FALSE)</f>
        <v>54715</v>
      </c>
      <c r="Z2212" s="108">
        <f>_xll.qlCalendarAdvance(Calendar,Y2212,0&amp;"D")</f>
        <v>54715</v>
      </c>
      <c r="AA2212" s="109">
        <v>1.4037413046352754E-2</v>
      </c>
      <c r="AB2212" s="143">
        <f t="shared" si="78"/>
        <v>0</v>
      </c>
      <c r="AC2212" s="236" t="e">
        <v>#N/A</v>
      </c>
      <c r="AD2212" s="236">
        <v>1.4037413046352754E-2</v>
      </c>
    </row>
    <row r="2213" spans="23:30" x14ac:dyDescent="0.2">
      <c r="W2213" s="144"/>
      <c r="X2213" s="113" t="str">
        <f t="shared" si="77"/>
        <v>1w</v>
      </c>
      <c r="Y2213" s="106">
        <f>_xll.qlCalendarAdvance(Calendar,Y2212,X2213,"f",FALSE)</f>
        <v>54722</v>
      </c>
      <c r="Z2213" s="108">
        <f>_xll.qlCalendarAdvance(Calendar,Y2213,0&amp;"D")</f>
        <v>54722</v>
      </c>
      <c r="AA2213" s="109">
        <v>1.4034131441524877E-2</v>
      </c>
      <c r="AB2213" s="143">
        <f t="shared" si="78"/>
        <v>0</v>
      </c>
      <c r="AC2213" s="236" t="e">
        <v>#N/A</v>
      </c>
      <c r="AD2213" s="236">
        <v>1.4034131441524877E-2</v>
      </c>
    </row>
    <row r="2214" spans="23:30" x14ac:dyDescent="0.2">
      <c r="W2214" s="144"/>
      <c r="X2214" s="113" t="str">
        <f t="shared" si="77"/>
        <v>1w</v>
      </c>
      <c r="Y2214" s="106">
        <f>_xll.qlCalendarAdvance(Calendar,Y2213,X2214,"f",FALSE)</f>
        <v>54729</v>
      </c>
      <c r="Z2214" s="108">
        <f>_xll.qlCalendarAdvance(Calendar,Y2214,0&amp;"D")</f>
        <v>54729</v>
      </c>
      <c r="AA2214" s="109">
        <v>1.4030816134376067E-2</v>
      </c>
      <c r="AB2214" s="143">
        <f t="shared" si="78"/>
        <v>0</v>
      </c>
      <c r="AC2214" s="236" t="e">
        <v>#N/A</v>
      </c>
      <c r="AD2214" s="236">
        <v>1.4030816134376067E-2</v>
      </c>
    </row>
    <row r="2215" spans="23:30" x14ac:dyDescent="0.2">
      <c r="W2215" s="144"/>
      <c r="X2215" s="113" t="str">
        <f t="shared" si="77"/>
        <v>1w</v>
      </c>
      <c r="Y2215" s="106">
        <f>_xll.qlCalendarAdvance(Calendar,Y2214,X2215,"f",FALSE)</f>
        <v>54736</v>
      </c>
      <c r="Z2215" s="108">
        <f>_xll.qlCalendarAdvance(Calendar,Y2215,0&amp;"D")</f>
        <v>54736</v>
      </c>
      <c r="AA2215" s="109">
        <v>1.4027467124826387E-2</v>
      </c>
      <c r="AB2215" s="143">
        <f t="shared" si="78"/>
        <v>0</v>
      </c>
      <c r="AC2215" s="236" t="e">
        <v>#N/A</v>
      </c>
      <c r="AD2215" s="236">
        <v>1.4027467124826387E-2</v>
      </c>
    </row>
    <row r="2216" spans="23:30" x14ac:dyDescent="0.2">
      <c r="W2216" s="144"/>
      <c r="X2216" s="113" t="str">
        <f t="shared" si="77"/>
        <v>1w</v>
      </c>
      <c r="Y2216" s="106">
        <f>_xll.qlCalendarAdvance(Calendar,Y2215,X2216,"f",FALSE)</f>
        <v>54743</v>
      </c>
      <c r="Z2216" s="108">
        <f>_xll.qlCalendarAdvance(Calendar,Y2216,0&amp;"D")</f>
        <v>54743</v>
      </c>
      <c r="AA2216" s="109">
        <v>1.4024084412875837E-2</v>
      </c>
      <c r="AB2216" s="143">
        <f t="shared" si="78"/>
        <v>-7.9936057773011271E-14</v>
      </c>
      <c r="AC2216" s="236" t="e">
        <v>#N/A</v>
      </c>
      <c r="AD2216" s="236">
        <v>1.4024084412955773E-2</v>
      </c>
    </row>
    <row r="2217" spans="23:30" x14ac:dyDescent="0.2">
      <c r="W2217" s="144"/>
      <c r="X2217" s="113" t="str">
        <f t="shared" si="77"/>
        <v>1w</v>
      </c>
      <c r="Y2217" s="106">
        <f>_xll.qlCalendarAdvance(Calendar,Y2216,X2217,"f",FALSE)</f>
        <v>54750</v>
      </c>
      <c r="Z2217" s="108">
        <f>_xll.qlCalendarAdvance(Calendar,Y2217,0&amp;"D")</f>
        <v>54750</v>
      </c>
      <c r="AA2217" s="109">
        <v>1.4020667998764225E-2</v>
      </c>
      <c r="AB2217" s="143">
        <f t="shared" si="78"/>
        <v>7.9936057773011271E-14</v>
      </c>
      <c r="AC2217" s="236" t="e">
        <v>#N/A</v>
      </c>
      <c r="AD2217" s="236">
        <v>1.4020667998684289E-2</v>
      </c>
    </row>
    <row r="2218" spans="23:30" x14ac:dyDescent="0.2">
      <c r="W2218" s="144"/>
      <c r="X2218" s="113" t="str">
        <f t="shared" si="77"/>
        <v>1w</v>
      </c>
      <c r="Y2218" s="106">
        <f>_xll.qlCalendarAdvance(Calendar,Y2217,X2218,"f",FALSE)</f>
        <v>54757</v>
      </c>
      <c r="Z2218" s="108">
        <f>_xll.qlCalendarAdvance(Calendar,Y2218,0&amp;"D")</f>
        <v>54757</v>
      </c>
      <c r="AA2218" s="109">
        <v>1.4017217882171806E-2</v>
      </c>
      <c r="AB2218" s="143">
        <f t="shared" si="78"/>
        <v>0</v>
      </c>
      <c r="AC2218" s="236" t="e">
        <v>#N/A</v>
      </c>
      <c r="AD2218" s="236">
        <v>1.4017217882171806E-2</v>
      </c>
    </row>
    <row r="2219" spans="23:30" x14ac:dyDescent="0.2">
      <c r="W2219" s="144"/>
      <c r="X2219" s="113" t="str">
        <f t="shared" si="77"/>
        <v>1w</v>
      </c>
      <c r="Y2219" s="106">
        <f>_xll.qlCalendarAdvance(Calendar,Y2218,X2219,"f",FALSE)</f>
        <v>54764</v>
      </c>
      <c r="Z2219" s="108">
        <f>_xll.qlCalendarAdvance(Calendar,Y2219,0&amp;"D")</f>
        <v>54764</v>
      </c>
      <c r="AA2219" s="109">
        <v>1.401373406333839E-2</v>
      </c>
      <c r="AB2219" s="143">
        <f t="shared" si="78"/>
        <v>7.9936057773011271E-14</v>
      </c>
      <c r="AC2219" s="236" t="e">
        <v>#N/A</v>
      </c>
      <c r="AD2219" s="236">
        <v>1.4013734063258454E-2</v>
      </c>
    </row>
    <row r="2220" spans="23:30" x14ac:dyDescent="0.2">
      <c r="W2220" s="144"/>
      <c r="X2220" s="113" t="str">
        <f t="shared" si="77"/>
        <v>1w</v>
      </c>
      <c r="Y2220" s="106">
        <f>_xll.qlCalendarAdvance(Calendar,Y2219,X2220,"f",FALSE)</f>
        <v>54771</v>
      </c>
      <c r="Z2220" s="108">
        <f>_xll.qlCalendarAdvance(Calendar,Y2220,0&amp;"D")</f>
        <v>54771</v>
      </c>
      <c r="AA2220" s="109">
        <v>1.4010216542024168E-2</v>
      </c>
      <c r="AB2220" s="143">
        <f t="shared" si="78"/>
        <v>7.9936057773011271E-14</v>
      </c>
      <c r="AC2220" s="236" t="e">
        <v>#N/A</v>
      </c>
      <c r="AD2220" s="236">
        <v>1.4010216541944231E-2</v>
      </c>
    </row>
    <row r="2221" spans="23:30" x14ac:dyDescent="0.2">
      <c r="W2221" s="144"/>
      <c r="X2221" s="113" t="str">
        <f t="shared" si="77"/>
        <v>1w</v>
      </c>
      <c r="Y2221" s="106">
        <f>_xll.qlCalendarAdvance(Calendar,Y2220,X2221,"f",FALSE)</f>
        <v>54778</v>
      </c>
      <c r="Z2221" s="108">
        <f>_xll.qlCalendarAdvance(Calendar,Y2221,0&amp;"D")</f>
        <v>54778</v>
      </c>
      <c r="AA2221" s="109">
        <v>1.4006665318468947E-2</v>
      </c>
      <c r="AB2221" s="143">
        <f t="shared" si="78"/>
        <v>0</v>
      </c>
      <c r="AC2221" s="236" t="e">
        <v>#N/A</v>
      </c>
      <c r="AD2221" s="236">
        <v>1.4006665318468947E-2</v>
      </c>
    </row>
    <row r="2222" spans="23:30" x14ac:dyDescent="0.2">
      <c r="W2222" s="144"/>
      <c r="X2222" s="113" t="str">
        <f t="shared" si="77"/>
        <v>1w</v>
      </c>
      <c r="Y2222" s="106">
        <f>_xll.qlCalendarAdvance(Calendar,Y2221,X2222,"f",FALSE)</f>
        <v>54785</v>
      </c>
      <c r="Z2222" s="108">
        <f>_xll.qlCalendarAdvance(Calendar,Y2222,0&amp;"D")</f>
        <v>54785</v>
      </c>
      <c r="AA2222" s="109">
        <v>1.4003080392512857E-2</v>
      </c>
      <c r="AB2222" s="143">
        <f t="shared" si="78"/>
        <v>0</v>
      </c>
      <c r="AC2222" s="236" t="e">
        <v>#N/A</v>
      </c>
      <c r="AD2222" s="236">
        <v>1.4003080392512857E-2</v>
      </c>
    </row>
    <row r="2223" spans="23:30" x14ac:dyDescent="0.2">
      <c r="W2223" s="144"/>
      <c r="X2223" s="113" t="str">
        <f t="shared" si="77"/>
        <v>1w</v>
      </c>
      <c r="Y2223" s="106">
        <f>_xll.qlCalendarAdvance(Calendar,Y2222,X2223,"f",FALSE)</f>
        <v>54792</v>
      </c>
      <c r="Z2223" s="108">
        <f>_xll.qlCalendarAdvance(Calendar,Y2223,0&amp;"D")</f>
        <v>54792</v>
      </c>
      <c r="AA2223" s="109">
        <v>1.3999461764235832E-2</v>
      </c>
      <c r="AB2223" s="143">
        <f t="shared" si="78"/>
        <v>7.9936057773011271E-14</v>
      </c>
      <c r="AC2223" s="236" t="e">
        <v>#N/A</v>
      </c>
      <c r="AD2223" s="236">
        <v>1.3999461764155896E-2</v>
      </c>
    </row>
    <row r="2224" spans="23:30" x14ac:dyDescent="0.2">
      <c r="W2224" s="144"/>
      <c r="X2224" s="113" t="str">
        <f t="shared" si="77"/>
        <v>1w</v>
      </c>
      <c r="Y2224" s="106">
        <f>_xll.qlCalendarAdvance(Calendar,Y2223,X2224,"f",FALSE)</f>
        <v>54799</v>
      </c>
      <c r="Z2224" s="108">
        <f>_xll.qlCalendarAdvance(Calendar,Y2224,0&amp;"D")</f>
        <v>54799</v>
      </c>
      <c r="AA2224" s="109">
        <v>1.3995809433557937E-2</v>
      </c>
      <c r="AB2224" s="143">
        <f t="shared" si="78"/>
        <v>0</v>
      </c>
      <c r="AC2224" s="236" t="e">
        <v>#N/A</v>
      </c>
      <c r="AD2224" s="236">
        <v>1.3995809433557937E-2</v>
      </c>
    </row>
    <row r="2225" spans="23:30" x14ac:dyDescent="0.2">
      <c r="W2225" s="144"/>
      <c r="X2225" s="113" t="str">
        <f t="shared" si="77"/>
        <v>1w</v>
      </c>
      <c r="Y2225" s="106">
        <f>_xll.qlCalendarAdvance(Calendar,Y2224,X2225,"f",FALSE)</f>
        <v>54806</v>
      </c>
      <c r="Z2225" s="108">
        <f>_xll.qlCalendarAdvance(Calendar,Y2225,0&amp;"D")</f>
        <v>54806</v>
      </c>
      <c r="AA2225" s="109">
        <v>1.3992123400639045E-2</v>
      </c>
      <c r="AB2225" s="143">
        <f t="shared" si="78"/>
        <v>0</v>
      </c>
      <c r="AC2225" s="236" t="e">
        <v>#N/A</v>
      </c>
      <c r="AD2225" s="236">
        <v>1.3992123400639045E-2</v>
      </c>
    </row>
    <row r="2226" spans="23:30" x14ac:dyDescent="0.2">
      <c r="W2226" s="144"/>
      <c r="X2226" s="113" t="str">
        <f t="shared" si="77"/>
        <v>1w</v>
      </c>
      <c r="Y2226" s="106">
        <f>_xll.qlCalendarAdvance(Calendar,Y2225,X2226,"f",FALSE)</f>
        <v>54813</v>
      </c>
      <c r="Z2226" s="108">
        <f>_xll.qlCalendarAdvance(Calendar,Y2226,0&amp;"D")</f>
        <v>54813</v>
      </c>
      <c r="AA2226" s="109">
        <v>1.3988403665399218E-2</v>
      </c>
      <c r="AB2226" s="143">
        <f t="shared" si="78"/>
        <v>7.9936057773011271E-14</v>
      </c>
      <c r="AC2226" s="236" t="e">
        <v>#N/A</v>
      </c>
      <c r="AD2226" s="236">
        <v>1.3988403665319282E-2</v>
      </c>
    </row>
    <row r="2227" spans="23:30" x14ac:dyDescent="0.2">
      <c r="W2227" s="144"/>
      <c r="X2227" s="113" t="str">
        <f t="shared" si="77"/>
        <v>1w</v>
      </c>
      <c r="Y2227" s="106">
        <f>_xll.qlCalendarAdvance(Calendar,Y2226,X2227,"f",FALSE)</f>
        <v>54820</v>
      </c>
      <c r="Z2227" s="108">
        <f>_xll.qlCalendarAdvance(Calendar,Y2227,0&amp;"D")</f>
        <v>54820</v>
      </c>
      <c r="AA2227" s="109">
        <v>1.3984650227758522E-2</v>
      </c>
      <c r="AB2227" s="143">
        <f t="shared" si="78"/>
        <v>0</v>
      </c>
      <c r="AC2227" s="236" t="e">
        <v>#N/A</v>
      </c>
      <c r="AD2227" s="236">
        <v>1.3984650227758522E-2</v>
      </c>
    </row>
    <row r="2228" spans="23:30" x14ac:dyDescent="0.2">
      <c r="W2228" s="144"/>
      <c r="X2228" s="113" t="str">
        <f t="shared" si="77"/>
        <v>1w</v>
      </c>
      <c r="Y2228" s="106">
        <f>_xll.qlCalendarAdvance(Calendar,Y2227,X2228,"f",FALSE)</f>
        <v>54827</v>
      </c>
      <c r="Z2228" s="108">
        <f>_xll.qlCalendarAdvance(Calendar,Y2228,0&amp;"D")</f>
        <v>54827</v>
      </c>
      <c r="AA2228" s="109">
        <v>1.3980863087716955E-2</v>
      </c>
      <c r="AB2228" s="143">
        <f t="shared" si="78"/>
        <v>-7.9936057773011271E-14</v>
      </c>
      <c r="AC2228" s="236" t="e">
        <v>#N/A</v>
      </c>
      <c r="AD2228" s="236">
        <v>1.3980863087796891E-2</v>
      </c>
    </row>
    <row r="2229" spans="23:30" x14ac:dyDescent="0.2">
      <c r="W2229" s="144"/>
      <c r="X2229" s="113" t="str">
        <f t="shared" si="77"/>
        <v>1w</v>
      </c>
      <c r="Y2229" s="106">
        <f>_xll.qlCalendarAdvance(Calendar,Y2228,X2229,"f",FALSE)</f>
        <v>54834</v>
      </c>
      <c r="Z2229" s="108">
        <f>_xll.qlCalendarAdvance(Calendar,Y2229,0&amp;"D")</f>
        <v>54834</v>
      </c>
      <c r="AA2229" s="109">
        <v>1.397704224543439E-2</v>
      </c>
      <c r="AB2229" s="143">
        <f t="shared" si="78"/>
        <v>0</v>
      </c>
      <c r="AC2229" s="236" t="e">
        <v>#N/A</v>
      </c>
      <c r="AD2229" s="236">
        <v>1.397704224543439E-2</v>
      </c>
    </row>
    <row r="2230" spans="23:30" x14ac:dyDescent="0.2">
      <c r="W2230" s="144"/>
      <c r="X2230" s="113" t="str">
        <f t="shared" si="77"/>
        <v>1w</v>
      </c>
      <c r="Y2230" s="106">
        <f>_xll.qlCalendarAdvance(Calendar,Y2229,X2230,"f",FALSE)</f>
        <v>54841</v>
      </c>
      <c r="Z2230" s="108">
        <f>_xll.qlCalendarAdvance(Calendar,Y2230,0&amp;"D")</f>
        <v>54841</v>
      </c>
      <c r="AA2230" s="109">
        <v>1.3973187700910827E-2</v>
      </c>
      <c r="AB2230" s="143">
        <f t="shared" si="78"/>
        <v>0</v>
      </c>
      <c r="AC2230" s="236" t="e">
        <v>#N/A</v>
      </c>
      <c r="AD2230" s="236">
        <v>1.3973187700910827E-2</v>
      </c>
    </row>
    <row r="2231" spans="23:30" x14ac:dyDescent="0.2">
      <c r="W2231" s="144"/>
      <c r="X2231" s="113" t="str">
        <f t="shared" si="77"/>
        <v>1w</v>
      </c>
      <c r="Y2231" s="106">
        <f>_xll.qlCalendarAdvance(Calendar,Y2230,X2231,"f",FALSE)</f>
        <v>54848</v>
      </c>
      <c r="Z2231" s="108">
        <f>_xll.qlCalendarAdvance(Calendar,Y2231,0&amp;"D")</f>
        <v>54848</v>
      </c>
      <c r="AA2231" s="109">
        <v>1.3969299453906459E-2</v>
      </c>
      <c r="AB2231" s="143">
        <f t="shared" si="78"/>
        <v>0</v>
      </c>
      <c r="AC2231" s="236" t="e">
        <v>#N/A</v>
      </c>
      <c r="AD2231" s="236">
        <v>1.3969299453906459E-2</v>
      </c>
    </row>
    <row r="2232" spans="23:30" x14ac:dyDescent="0.2">
      <c r="W2232" s="144"/>
      <c r="X2232" s="113" t="str">
        <f t="shared" si="77"/>
        <v>1w</v>
      </c>
      <c r="Y2232" s="106">
        <f>_xll.qlCalendarAdvance(Calendar,Y2231,X2232,"f",FALSE)</f>
        <v>54855</v>
      </c>
      <c r="Z2232" s="108">
        <f>_xll.qlCalendarAdvance(Calendar,Y2232,0&amp;"D")</f>
        <v>54855</v>
      </c>
      <c r="AA2232" s="109">
        <v>1.3965377504661092E-2</v>
      </c>
      <c r="AB2232" s="143">
        <f t="shared" si="78"/>
        <v>0</v>
      </c>
      <c r="AC2232" s="236" t="e">
        <v>#N/A</v>
      </c>
      <c r="AD2232" s="236">
        <v>1.3965377504661092E-2</v>
      </c>
    </row>
    <row r="2233" spans="23:30" x14ac:dyDescent="0.2">
      <c r="W2233" s="144"/>
      <c r="X2233" s="113" t="str">
        <f t="shared" si="77"/>
        <v>1w</v>
      </c>
      <c r="Y2233" s="106">
        <f>_xll.qlCalendarAdvance(Calendar,Y2232,X2233,"f",FALSE)</f>
        <v>54862</v>
      </c>
      <c r="Z2233" s="108">
        <f>_xll.qlCalendarAdvance(Calendar,Y2233,0&amp;"D")</f>
        <v>54862</v>
      </c>
      <c r="AA2233" s="109">
        <v>1.3961421853094791E-2</v>
      </c>
      <c r="AB2233" s="143">
        <f t="shared" si="78"/>
        <v>7.9936057773011271E-14</v>
      </c>
      <c r="AC2233" s="236" t="e">
        <v>#N/A</v>
      </c>
      <c r="AD2233" s="236">
        <v>1.3961421853014855E-2</v>
      </c>
    </row>
    <row r="2234" spans="23:30" x14ac:dyDescent="0.2">
      <c r="W2234" s="144"/>
      <c r="X2234" s="113" t="str">
        <f t="shared" si="77"/>
        <v>1w</v>
      </c>
      <c r="Y2234" s="106">
        <f>_xll.qlCalendarAdvance(Calendar,Y2233,X2234,"f",FALSE)</f>
        <v>54869</v>
      </c>
      <c r="Z2234" s="108">
        <f>_xll.qlCalendarAdvance(Calendar,Y2234,0&amp;"D")</f>
        <v>54869</v>
      </c>
      <c r="AA2234" s="109">
        <v>1.3957432499207556E-2</v>
      </c>
      <c r="AB2234" s="143">
        <f t="shared" si="78"/>
        <v>7.9936057773011271E-14</v>
      </c>
      <c r="AC2234" s="236" t="e">
        <v>#N/A</v>
      </c>
      <c r="AD2234" s="236">
        <v>1.395743249912762E-2</v>
      </c>
    </row>
    <row r="2235" spans="23:30" x14ac:dyDescent="0.2">
      <c r="W2235" s="144"/>
      <c r="X2235" s="113" t="str">
        <f t="shared" si="77"/>
        <v>1w</v>
      </c>
      <c r="Y2235" s="106">
        <f>_xll.qlCalendarAdvance(Calendar,Y2234,X2235,"f",FALSE)</f>
        <v>54876</v>
      </c>
      <c r="Z2235" s="108">
        <f>_xll.qlCalendarAdvance(Calendar,Y2235,0&amp;"D")</f>
        <v>54876</v>
      </c>
      <c r="AA2235" s="109">
        <v>1.3953409442839515E-2</v>
      </c>
      <c r="AB2235" s="143">
        <f t="shared" si="78"/>
        <v>7.9936057773011271E-14</v>
      </c>
      <c r="AC2235" s="236" t="e">
        <v>#N/A</v>
      </c>
      <c r="AD2235" s="236">
        <v>1.3953409442759579E-2</v>
      </c>
    </row>
    <row r="2236" spans="23:30" x14ac:dyDescent="0.2">
      <c r="W2236" s="144"/>
      <c r="X2236" s="113" t="str">
        <f t="shared" si="77"/>
        <v>1w</v>
      </c>
      <c r="Y2236" s="106">
        <f>_xll.qlCalendarAdvance(Calendar,Y2235,X2236,"f",FALSE)</f>
        <v>54883</v>
      </c>
      <c r="Z2236" s="108">
        <f>_xll.qlCalendarAdvance(Calendar,Y2236,0&amp;"D")</f>
        <v>54883</v>
      </c>
      <c r="AA2236" s="109">
        <v>1.3949352684230476E-2</v>
      </c>
      <c r="AB2236" s="143">
        <f t="shared" si="78"/>
        <v>7.9936057773011271E-14</v>
      </c>
      <c r="AC2236" s="236" t="e">
        <v>#N/A</v>
      </c>
      <c r="AD2236" s="236">
        <v>1.394935268415054E-2</v>
      </c>
    </row>
    <row r="2237" spans="23:30" x14ac:dyDescent="0.2">
      <c r="W2237" s="144"/>
      <c r="X2237" s="113" t="str">
        <f t="shared" si="77"/>
        <v>1w</v>
      </c>
      <c r="Y2237" s="106">
        <f>_xll.qlCalendarAdvance(Calendar,Y2236,X2237,"f",FALSE)</f>
        <v>54890</v>
      </c>
      <c r="Z2237" s="108">
        <f>_xll.qlCalendarAdvance(Calendar,Y2237,0&amp;"D")</f>
        <v>54890</v>
      </c>
      <c r="AA2237" s="109">
        <v>1.3945262223380439E-2</v>
      </c>
      <c r="AB2237" s="143">
        <f t="shared" si="78"/>
        <v>0</v>
      </c>
      <c r="AC2237" s="236" t="e">
        <v>#N/A</v>
      </c>
      <c r="AD2237" s="236">
        <v>1.3945262223380439E-2</v>
      </c>
    </row>
    <row r="2238" spans="23:30" x14ac:dyDescent="0.2">
      <c r="W2238" s="144"/>
      <c r="X2238" s="113" t="str">
        <f t="shared" si="77"/>
        <v>1w</v>
      </c>
      <c r="Y2238" s="106">
        <f>_xll.qlCalendarAdvance(Calendar,Y2237,X2238,"f",FALSE)</f>
        <v>54897</v>
      </c>
      <c r="Z2238" s="108">
        <f>_xll.qlCalendarAdvance(Calendar,Y2238,0&amp;"D")</f>
        <v>54897</v>
      </c>
      <c r="AA2238" s="109">
        <v>1.3941138060049596E-2</v>
      </c>
      <c r="AB2238" s="143">
        <f t="shared" si="78"/>
        <v>7.9936057773011271E-14</v>
      </c>
      <c r="AC2238" s="236" t="e">
        <v>#N/A</v>
      </c>
      <c r="AD2238" s="236">
        <v>1.394113805996966E-2</v>
      </c>
    </row>
    <row r="2239" spans="23:30" x14ac:dyDescent="0.2">
      <c r="W2239" s="144"/>
      <c r="X2239" s="113" t="str">
        <f t="shared" si="77"/>
        <v>1w</v>
      </c>
      <c r="Y2239" s="106">
        <f>_xll.qlCalendarAdvance(Calendar,Y2238,X2239,"f",FALSE)</f>
        <v>54904</v>
      </c>
      <c r="Z2239" s="108">
        <f>_xll.qlCalendarAdvance(Calendar,Y2239,0&amp;"D")</f>
        <v>54904</v>
      </c>
      <c r="AA2239" s="109">
        <v>1.3936980194397819E-2</v>
      </c>
      <c r="AB2239" s="143">
        <f t="shared" si="78"/>
        <v>-7.9936057773011271E-14</v>
      </c>
      <c r="AC2239" s="236" t="e">
        <v>#N/A</v>
      </c>
      <c r="AD2239" s="236">
        <v>1.3936980194477755E-2</v>
      </c>
    </row>
    <row r="2240" spans="23:30" x14ac:dyDescent="0.2">
      <c r="W2240" s="144"/>
      <c r="X2240" s="113" t="str">
        <f t="shared" si="77"/>
        <v>1w</v>
      </c>
      <c r="Y2240" s="106">
        <f>_xll.qlCalendarAdvance(Calendar,Y2239,X2240,"f",FALSE)</f>
        <v>54911</v>
      </c>
      <c r="Z2240" s="108">
        <f>_xll.qlCalendarAdvance(Calendar,Y2240,0&amp;"D")</f>
        <v>54911</v>
      </c>
      <c r="AA2240" s="109">
        <v>1.393278862658498E-2</v>
      </c>
      <c r="AB2240" s="143">
        <f t="shared" si="78"/>
        <v>0</v>
      </c>
      <c r="AC2240" s="236" t="e">
        <v>#N/A</v>
      </c>
      <c r="AD2240" s="236">
        <v>1.393278862658498E-2</v>
      </c>
    </row>
    <row r="2241" spans="23:30" x14ac:dyDescent="0.2">
      <c r="W2241" s="144"/>
      <c r="X2241" s="113" t="str">
        <f t="shared" si="77"/>
        <v>1w</v>
      </c>
      <c r="Y2241" s="106">
        <f>_xll.qlCalendarAdvance(Calendar,Y2240,X2241,"f",FALSE)</f>
        <v>54918</v>
      </c>
      <c r="Z2241" s="108">
        <f>_xll.qlCalendarAdvance(Calendar,Y2241,0&amp;"D")</f>
        <v>54918</v>
      </c>
      <c r="AA2241" s="109">
        <v>1.3928563356291335E-2</v>
      </c>
      <c r="AB2241" s="143">
        <f t="shared" si="78"/>
        <v>-7.9936057773011271E-14</v>
      </c>
      <c r="AC2241" s="236" t="e">
        <v>#N/A</v>
      </c>
      <c r="AD2241" s="236">
        <v>1.3928563356371271E-2</v>
      </c>
    </row>
    <row r="2242" spans="23:30" x14ac:dyDescent="0.2">
      <c r="W2242" s="144"/>
      <c r="X2242" s="113" t="str">
        <f t="shared" si="77"/>
        <v>1w</v>
      </c>
      <c r="Y2242" s="106">
        <f>_xll.qlCalendarAdvance(Calendar,Y2241,X2242,"f",FALSE)</f>
        <v>54925</v>
      </c>
      <c r="Z2242" s="108">
        <f>_xll.qlCalendarAdvance(Calendar,Y2242,0&amp;"D")</f>
        <v>54925</v>
      </c>
      <c r="AA2242" s="109">
        <v>1.3924304383756692E-2</v>
      </c>
      <c r="AB2242" s="143">
        <f t="shared" si="78"/>
        <v>0</v>
      </c>
      <c r="AC2242" s="236" t="e">
        <v>#N/A</v>
      </c>
      <c r="AD2242" s="236">
        <v>1.3924304383756692E-2</v>
      </c>
    </row>
    <row r="2243" spans="23:30" x14ac:dyDescent="0.2">
      <c r="W2243" s="144"/>
      <c r="X2243" s="113" t="str">
        <f t="shared" si="77"/>
        <v>1w</v>
      </c>
      <c r="Y2243" s="106">
        <f>_xll.qlCalendarAdvance(Calendar,Y2242,X2243,"f",FALSE)</f>
        <v>54932</v>
      </c>
      <c r="Z2243" s="108">
        <f>_xll.qlCalendarAdvance(Calendar,Y2243,0&amp;"D")</f>
        <v>54932</v>
      </c>
      <c r="AA2243" s="109">
        <v>1.3920011709060987E-2</v>
      </c>
      <c r="AB2243" s="143">
        <f t="shared" si="78"/>
        <v>0</v>
      </c>
      <c r="AC2243" s="236" t="e">
        <v>#N/A</v>
      </c>
      <c r="AD2243" s="236">
        <v>1.3920011709060987E-2</v>
      </c>
    </row>
    <row r="2244" spans="23:30" x14ac:dyDescent="0.2">
      <c r="W2244" s="144"/>
      <c r="X2244" s="113" t="str">
        <f t="shared" si="77"/>
        <v>1w</v>
      </c>
      <c r="Y2244" s="106">
        <f>_xll.qlCalendarAdvance(Calendar,Y2243,X2244,"f",FALSE)</f>
        <v>54939</v>
      </c>
      <c r="Z2244" s="108">
        <f>_xll.qlCalendarAdvance(Calendar,Y2244,0&amp;"D")</f>
        <v>54939</v>
      </c>
      <c r="AA2244" s="109">
        <v>1.3915685331804539E-2</v>
      </c>
      <c r="AB2244" s="143">
        <f t="shared" si="78"/>
        <v>0</v>
      </c>
      <c r="AC2244" s="236" t="e">
        <v>#N/A</v>
      </c>
      <c r="AD2244" s="236">
        <v>1.3915685331804539E-2</v>
      </c>
    </row>
    <row r="2245" spans="23:30" x14ac:dyDescent="0.2">
      <c r="W2245" s="144"/>
      <c r="X2245" s="113" t="str">
        <f t="shared" si="77"/>
        <v>1w</v>
      </c>
      <c r="Y2245" s="106">
        <f>_xll.qlCalendarAdvance(Calendar,Y2244,X2245,"f",FALSE)</f>
        <v>54946</v>
      </c>
      <c r="Z2245" s="108">
        <f>_xll.qlCalendarAdvance(Calendar,Y2245,0&amp;"D")</f>
        <v>54946</v>
      </c>
      <c r="AA2245" s="109">
        <v>1.3911325252307094E-2</v>
      </c>
      <c r="AB2245" s="143">
        <f t="shared" si="78"/>
        <v>7.9936057773011271E-14</v>
      </c>
      <c r="AC2245" s="236" t="e">
        <v>#N/A</v>
      </c>
      <c r="AD2245" s="236">
        <v>1.3911325252227158E-2</v>
      </c>
    </row>
    <row r="2246" spans="23:30" x14ac:dyDescent="0.2">
      <c r="W2246" s="144"/>
      <c r="X2246" s="113" t="str">
        <f t="shared" si="77"/>
        <v>1w</v>
      </c>
      <c r="Y2246" s="106">
        <f>_xll.qlCalendarAdvance(Calendar,Y2245,X2246,"f",FALSE)</f>
        <v>54953</v>
      </c>
      <c r="Z2246" s="108">
        <f>_xll.qlCalendarAdvance(Calendar,Y2246,0&amp;"D")</f>
        <v>54953</v>
      </c>
      <c r="AA2246" s="109">
        <v>1.3906931470568651E-2</v>
      </c>
      <c r="AB2246" s="143">
        <f t="shared" si="78"/>
        <v>0</v>
      </c>
      <c r="AC2246" s="236" t="e">
        <v>#N/A</v>
      </c>
      <c r="AD2246" s="236">
        <v>1.3906931470568651E-2</v>
      </c>
    </row>
    <row r="2247" spans="23:30" x14ac:dyDescent="0.2">
      <c r="W2247" s="144"/>
      <c r="X2247" s="113" t="str">
        <f t="shared" si="77"/>
        <v>1w</v>
      </c>
      <c r="Y2247" s="106">
        <f>_xll.qlCalendarAdvance(Calendar,Y2246,X2247,"f",FALSE)</f>
        <v>54960</v>
      </c>
      <c r="Z2247" s="108">
        <f>_xll.qlCalendarAdvance(Calendar,Y2247,0&amp;"D")</f>
        <v>54960</v>
      </c>
      <c r="AA2247" s="109">
        <v>1.3902503986349402E-2</v>
      </c>
      <c r="AB2247" s="143">
        <f t="shared" si="78"/>
        <v>-7.9936057773011271E-14</v>
      </c>
      <c r="AC2247" s="236" t="e">
        <v>#N/A</v>
      </c>
      <c r="AD2247" s="236">
        <v>1.3902503986429338E-2</v>
      </c>
    </row>
    <row r="2248" spans="23:30" x14ac:dyDescent="0.2">
      <c r="W2248" s="144"/>
      <c r="X2248" s="113" t="str">
        <f t="shared" si="77"/>
        <v>1w</v>
      </c>
      <c r="Y2248" s="106">
        <f>_xll.qlCalendarAdvance(Calendar,Y2247,X2248,"f",FALSE)</f>
        <v>54967</v>
      </c>
      <c r="Z2248" s="108">
        <f>_xll.qlCalendarAdvance(Calendar,Y2248,0&amp;"D")</f>
        <v>54967</v>
      </c>
      <c r="AA2248" s="109">
        <v>1.389804279996909E-2</v>
      </c>
      <c r="AB2248" s="143">
        <f t="shared" si="78"/>
        <v>-7.9936057773011271E-14</v>
      </c>
      <c r="AC2248" s="236" t="e">
        <v>#N/A</v>
      </c>
      <c r="AD2248" s="236">
        <v>1.3898042800049026E-2</v>
      </c>
    </row>
    <row r="2249" spans="23:30" x14ac:dyDescent="0.2">
      <c r="W2249" s="144"/>
      <c r="X2249" s="113" t="str">
        <f t="shared" si="77"/>
        <v>1w</v>
      </c>
      <c r="Y2249" s="106">
        <f>_xll.qlCalendarAdvance(Calendar,Y2248,X2249,"f",FALSE)</f>
        <v>54974</v>
      </c>
      <c r="Z2249" s="108">
        <f>_xll.qlCalendarAdvance(Calendar,Y2249,0&amp;"D")</f>
        <v>54974</v>
      </c>
      <c r="AA2249" s="109">
        <v>1.3893547911347781E-2</v>
      </c>
      <c r="AB2249" s="143">
        <f t="shared" si="78"/>
        <v>7.9936057773011271E-14</v>
      </c>
      <c r="AC2249" s="236" t="e">
        <v>#N/A</v>
      </c>
      <c r="AD2249" s="236">
        <v>1.3893547911267845E-2</v>
      </c>
    </row>
    <row r="2250" spans="23:30" x14ac:dyDescent="0.2">
      <c r="W2250" s="144"/>
      <c r="X2250" s="113" t="str">
        <f t="shared" si="77"/>
        <v>1w</v>
      </c>
      <c r="Y2250" s="106">
        <f>_xll.qlCalendarAdvance(Calendar,Y2249,X2250,"f",FALSE)</f>
        <v>54981</v>
      </c>
      <c r="Z2250" s="108">
        <f>_xll.qlCalendarAdvance(Calendar,Y2250,0&amp;"D")</f>
        <v>54981</v>
      </c>
      <c r="AA2250" s="109">
        <v>1.388901932016573E-2</v>
      </c>
      <c r="AB2250" s="143">
        <f t="shared" si="78"/>
        <v>-7.9936057773011271E-14</v>
      </c>
      <c r="AC2250" s="236" t="e">
        <v>#N/A</v>
      </c>
      <c r="AD2250" s="236">
        <v>1.3889019320245666E-2</v>
      </c>
    </row>
    <row r="2251" spans="23:30" x14ac:dyDescent="0.2">
      <c r="W2251" s="144"/>
      <c r="X2251" s="113" t="str">
        <f t="shared" si="77"/>
        <v>1w</v>
      </c>
      <c r="Y2251" s="106">
        <f>_xll.qlCalendarAdvance(Calendar,Y2250,X2251,"f",FALSE)</f>
        <v>54988</v>
      </c>
      <c r="Z2251" s="108">
        <f>_xll.qlCalendarAdvance(Calendar,Y2251,0&amp;"D")</f>
        <v>54988</v>
      </c>
      <c r="AA2251" s="109">
        <v>1.3884457026902552E-2</v>
      </c>
      <c r="AB2251" s="143">
        <f t="shared" si="78"/>
        <v>0</v>
      </c>
      <c r="AC2251" s="236" t="e">
        <v>#N/A</v>
      </c>
      <c r="AD2251" s="236">
        <v>1.3884457026902552E-2</v>
      </c>
    </row>
    <row r="2252" spans="23:30" x14ac:dyDescent="0.2">
      <c r="W2252" s="144"/>
      <c r="X2252" s="113" t="str">
        <f t="shared" si="77"/>
        <v>1w</v>
      </c>
      <c r="Y2252" s="106">
        <f>_xll.qlCalendarAdvance(Calendar,Y2251,X2252,"f",FALSE)</f>
        <v>54995</v>
      </c>
      <c r="Z2252" s="108">
        <f>_xll.qlCalendarAdvance(Calendar,Y2252,0&amp;"D")</f>
        <v>54995</v>
      </c>
      <c r="AA2252" s="109">
        <v>1.3879861031238505E-2</v>
      </c>
      <c r="AB2252" s="143">
        <f t="shared" si="78"/>
        <v>0</v>
      </c>
      <c r="AC2252" s="236" t="e">
        <v>#N/A</v>
      </c>
      <c r="AD2252" s="236">
        <v>1.3879861031238505E-2</v>
      </c>
    </row>
    <row r="2253" spans="23:30" x14ac:dyDescent="0.2">
      <c r="W2253" s="144"/>
      <c r="X2253" s="113" t="str">
        <f t="shared" ref="X2253:X2316" si="79">X2252</f>
        <v>1w</v>
      </c>
      <c r="Y2253" s="106">
        <f>_xll.qlCalendarAdvance(Calendar,Y2252,X2253,"f",FALSE)</f>
        <v>55002</v>
      </c>
      <c r="Z2253" s="108">
        <f>_xll.qlCalendarAdvance(Calendar,Y2253,0&amp;"D")</f>
        <v>55002</v>
      </c>
      <c r="AA2253" s="109">
        <v>1.3875231333253524E-2</v>
      </c>
      <c r="AB2253" s="143">
        <f t="shared" si="78"/>
        <v>0</v>
      </c>
      <c r="AC2253" s="236" t="e">
        <v>#N/A</v>
      </c>
      <c r="AD2253" s="236">
        <v>1.3875231333253524E-2</v>
      </c>
    </row>
    <row r="2254" spans="23:30" x14ac:dyDescent="0.2">
      <c r="W2254" s="144"/>
      <c r="X2254" s="113" t="str">
        <f t="shared" si="79"/>
        <v>1w</v>
      </c>
      <c r="Y2254" s="106">
        <f>_xll.qlCalendarAdvance(Calendar,Y2253,X2254,"f",FALSE)</f>
        <v>55009</v>
      </c>
      <c r="Z2254" s="108">
        <f>_xll.qlCalendarAdvance(Calendar,Y2254,0&amp;"D")</f>
        <v>55009</v>
      </c>
      <c r="AA2254" s="109">
        <v>1.387056793310748E-2</v>
      </c>
      <c r="AB2254" s="143">
        <f t="shared" si="78"/>
        <v>0</v>
      </c>
      <c r="AC2254" s="236" t="e">
        <v>#N/A</v>
      </c>
      <c r="AD2254" s="236">
        <v>1.387056793310748E-2</v>
      </c>
    </row>
    <row r="2255" spans="23:30" x14ac:dyDescent="0.2">
      <c r="W2255" s="144"/>
      <c r="X2255" s="113" t="str">
        <f t="shared" si="79"/>
        <v>1w</v>
      </c>
      <c r="Y2255" s="106">
        <f>_xll.qlCalendarAdvance(Calendar,Y2254,X2255,"f",FALSE)</f>
        <v>55016</v>
      </c>
      <c r="Z2255" s="108">
        <f>_xll.qlCalendarAdvance(Calendar,Y2255,0&amp;"D")</f>
        <v>55016</v>
      </c>
      <c r="AA2255" s="109">
        <v>1.3865870830480631E-2</v>
      </c>
      <c r="AB2255" s="143">
        <f t="shared" si="78"/>
        <v>0</v>
      </c>
      <c r="AC2255" s="236" t="e">
        <v>#N/A</v>
      </c>
      <c r="AD2255" s="236">
        <v>1.3865870830480631E-2</v>
      </c>
    </row>
    <row r="2256" spans="23:30" x14ac:dyDescent="0.2">
      <c r="W2256" s="144"/>
      <c r="X2256" s="113" t="str">
        <f t="shared" si="79"/>
        <v>1w</v>
      </c>
      <c r="Y2256" s="106">
        <f>_xll.qlCalendarAdvance(Calendar,Y2255,X2256,"f",FALSE)</f>
        <v>55023</v>
      </c>
      <c r="Z2256" s="108">
        <f>_xll.qlCalendarAdvance(Calendar,Y2256,0&amp;"D")</f>
        <v>55023</v>
      </c>
      <c r="AA2256" s="109">
        <v>1.3861140025532848E-2</v>
      </c>
      <c r="AB2256" s="143">
        <f t="shared" si="78"/>
        <v>0</v>
      </c>
      <c r="AC2256" s="236" t="e">
        <v>#N/A</v>
      </c>
      <c r="AD2256" s="236">
        <v>1.3861140025532848E-2</v>
      </c>
    </row>
    <row r="2257" spans="23:30" x14ac:dyDescent="0.2">
      <c r="W2257" s="144"/>
      <c r="X2257" s="113" t="str">
        <f t="shared" si="79"/>
        <v>1w</v>
      </c>
      <c r="Y2257" s="106">
        <f>_xll.qlCalendarAdvance(Calendar,Y2256,X2257,"f",FALSE)</f>
        <v>55030</v>
      </c>
      <c r="Z2257" s="108">
        <f>_xll.qlCalendarAdvance(Calendar,Y2257,0&amp;"D")</f>
        <v>55030</v>
      </c>
      <c r="AA2257" s="109">
        <v>1.3856375518424002E-2</v>
      </c>
      <c r="AB2257" s="143">
        <f t="shared" si="78"/>
        <v>0</v>
      </c>
      <c r="AC2257" s="236" t="e">
        <v>#N/A</v>
      </c>
      <c r="AD2257" s="236">
        <v>1.3856375518424002E-2</v>
      </c>
    </row>
    <row r="2258" spans="23:30" x14ac:dyDescent="0.2">
      <c r="W2258" s="144"/>
      <c r="X2258" s="113" t="str">
        <f t="shared" si="79"/>
        <v>1w</v>
      </c>
      <c r="Y2258" s="106">
        <f>_xll.qlCalendarAdvance(Calendar,Y2257,X2258,"f",FALSE)</f>
        <v>55037</v>
      </c>
      <c r="Z2258" s="108">
        <f>_xll.qlCalendarAdvance(Calendar,Y2258,0&amp;"D")</f>
        <v>55037</v>
      </c>
      <c r="AA2258" s="109">
        <v>1.3851577308914287E-2</v>
      </c>
      <c r="AB2258" s="143">
        <f t="shared" si="78"/>
        <v>0</v>
      </c>
      <c r="AC2258" s="236" t="e">
        <v>#N/A</v>
      </c>
      <c r="AD2258" s="236">
        <v>1.3851577308914287E-2</v>
      </c>
    </row>
    <row r="2259" spans="23:30" x14ac:dyDescent="0.2">
      <c r="W2259" s="144"/>
      <c r="X2259" s="113" t="str">
        <f t="shared" si="79"/>
        <v>1w</v>
      </c>
      <c r="Y2259" s="106">
        <f>_xll.qlCalendarAdvance(Calendar,Y2258,X2259,"f",FALSE)</f>
        <v>55044</v>
      </c>
      <c r="Z2259" s="108">
        <f>_xll.qlCalendarAdvance(Calendar,Y2259,0&amp;"D")</f>
        <v>55044</v>
      </c>
      <c r="AA2259" s="109">
        <v>1.3846745397083637E-2</v>
      </c>
      <c r="AB2259" s="143">
        <f t="shared" si="78"/>
        <v>-7.9936057773011271E-14</v>
      </c>
      <c r="AC2259" s="236" t="e">
        <v>#N/A</v>
      </c>
      <c r="AD2259" s="236">
        <v>1.3846745397163573E-2</v>
      </c>
    </row>
    <row r="2260" spans="23:30" x14ac:dyDescent="0.2">
      <c r="W2260" s="144"/>
      <c r="X2260" s="113" t="str">
        <f t="shared" si="79"/>
        <v>1w</v>
      </c>
      <c r="Y2260" s="106">
        <f>_xll.qlCalendarAdvance(Calendar,Y2259,X2260,"f",FALSE)</f>
        <v>55051</v>
      </c>
      <c r="Z2260" s="108">
        <f>_xll.qlCalendarAdvance(Calendar,Y2260,0&amp;"D")</f>
        <v>55051</v>
      </c>
      <c r="AA2260" s="109">
        <v>1.3841879783171862E-2</v>
      </c>
      <c r="AB2260" s="143">
        <f t="shared" si="78"/>
        <v>7.9936057773011271E-14</v>
      </c>
      <c r="AC2260" s="236" t="e">
        <v>#N/A</v>
      </c>
      <c r="AD2260" s="236">
        <v>1.3841879783091926E-2</v>
      </c>
    </row>
    <row r="2261" spans="23:30" x14ac:dyDescent="0.2">
      <c r="W2261" s="144"/>
      <c r="X2261" s="113" t="str">
        <f t="shared" si="79"/>
        <v>1w</v>
      </c>
      <c r="Y2261" s="106">
        <f>_xll.qlCalendarAdvance(Calendar,Y2260,X2261,"f",FALSE)</f>
        <v>55058</v>
      </c>
      <c r="Z2261" s="108">
        <f>_xll.qlCalendarAdvance(Calendar,Y2261,0&amp;"D")</f>
        <v>55058</v>
      </c>
      <c r="AA2261" s="109">
        <v>1.3836980466779281E-2</v>
      </c>
      <c r="AB2261" s="143">
        <f t="shared" ref="AB2261:AB2324" si="80">AA2261-AD2261</f>
        <v>0</v>
      </c>
      <c r="AC2261" s="236" t="e">
        <v>#N/A</v>
      </c>
      <c r="AD2261" s="236">
        <v>1.3836980466779281E-2</v>
      </c>
    </row>
    <row r="2262" spans="23:30" x14ac:dyDescent="0.2">
      <c r="W2262" s="144"/>
      <c r="X2262" s="113" t="str">
        <f t="shared" si="79"/>
        <v>1w</v>
      </c>
      <c r="Y2262" s="106">
        <f>_xll.qlCalendarAdvance(Calendar,Y2261,X2262,"f",FALSE)</f>
        <v>55065</v>
      </c>
      <c r="Z2262" s="108">
        <f>_xll.qlCalendarAdvance(Calendar,Y2262,0&amp;"D")</f>
        <v>55065</v>
      </c>
      <c r="AA2262" s="109">
        <v>1.3832047448145701E-2</v>
      </c>
      <c r="AB2262" s="143">
        <f t="shared" si="80"/>
        <v>0</v>
      </c>
      <c r="AC2262" s="236" t="e">
        <v>#N/A</v>
      </c>
      <c r="AD2262" s="236">
        <v>1.3832047448145701E-2</v>
      </c>
    </row>
    <row r="2263" spans="23:30" x14ac:dyDescent="0.2">
      <c r="W2263" s="144"/>
      <c r="X2263" s="113" t="str">
        <f t="shared" si="79"/>
        <v>1w</v>
      </c>
      <c r="Y2263" s="106">
        <f>_xll.qlCalendarAdvance(Calendar,Y2262,X2263,"f",FALSE)</f>
        <v>55072</v>
      </c>
      <c r="Z2263" s="108">
        <f>_xll.qlCalendarAdvance(Calendar,Y2263,0&amp;"D")</f>
        <v>55072</v>
      </c>
      <c r="AA2263" s="109">
        <v>1.3827080727111252E-2</v>
      </c>
      <c r="AB2263" s="143">
        <f t="shared" si="80"/>
        <v>0</v>
      </c>
      <c r="AC2263" s="236" t="e">
        <v>#N/A</v>
      </c>
      <c r="AD2263" s="236">
        <v>1.3827080727111252E-2</v>
      </c>
    </row>
    <row r="2264" spans="23:30" x14ac:dyDescent="0.2">
      <c r="W2264" s="144"/>
      <c r="X2264" s="113" t="str">
        <f t="shared" si="79"/>
        <v>1w</v>
      </c>
      <c r="Y2264" s="106">
        <f>_xll.qlCalendarAdvance(Calendar,Y2263,X2264,"f",FALSE)</f>
        <v>55079</v>
      </c>
      <c r="Z2264" s="108">
        <f>_xll.qlCalendarAdvance(Calendar,Y2264,0&amp;"D")</f>
        <v>55079</v>
      </c>
      <c r="AA2264" s="109">
        <v>1.382208030391574E-2</v>
      </c>
      <c r="AB2264" s="143">
        <f t="shared" si="80"/>
        <v>0</v>
      </c>
      <c r="AC2264" s="236" t="e">
        <v>#N/A</v>
      </c>
      <c r="AD2264" s="236">
        <v>1.382208030391574E-2</v>
      </c>
    </row>
    <row r="2265" spans="23:30" x14ac:dyDescent="0.2">
      <c r="W2265" s="144"/>
      <c r="X2265" s="113" t="str">
        <f t="shared" si="79"/>
        <v>1w</v>
      </c>
      <c r="Y2265" s="106">
        <f>_xll.qlCalendarAdvance(Calendar,Y2264,X2265,"f",FALSE)</f>
        <v>55086</v>
      </c>
      <c r="Z2265" s="108">
        <f>_xll.qlCalendarAdvance(Calendar,Y2265,0&amp;"D")</f>
        <v>55086</v>
      </c>
      <c r="AA2265" s="109">
        <v>1.3817046178559167E-2</v>
      </c>
      <c r="AB2265" s="143">
        <f t="shared" si="80"/>
        <v>7.9936057773011271E-14</v>
      </c>
      <c r="AC2265" s="236" t="e">
        <v>#N/A</v>
      </c>
      <c r="AD2265" s="236">
        <v>1.3817046178479231E-2</v>
      </c>
    </row>
    <row r="2266" spans="23:30" x14ac:dyDescent="0.2">
      <c r="W2266" s="144"/>
      <c r="X2266" s="113" t="str">
        <f t="shared" si="79"/>
        <v>1w</v>
      </c>
      <c r="Y2266" s="106">
        <f>_xll.qlCalendarAdvance(Calendar,Y2265,X2266,"f",FALSE)</f>
        <v>55093</v>
      </c>
      <c r="Z2266" s="108">
        <f>_xll.qlCalendarAdvance(Calendar,Y2266,0&amp;"D")</f>
        <v>55093</v>
      </c>
      <c r="AA2266" s="109">
        <v>1.3811978350561915E-2</v>
      </c>
      <c r="AB2266" s="143">
        <f t="shared" si="80"/>
        <v>-7.9936057773011271E-14</v>
      </c>
      <c r="AC2266" s="236" t="e">
        <v>#N/A</v>
      </c>
      <c r="AD2266" s="236">
        <v>1.3811978350641851E-2</v>
      </c>
    </row>
    <row r="2267" spans="23:30" x14ac:dyDescent="0.2">
      <c r="W2267" s="144"/>
      <c r="X2267" s="113" t="str">
        <f t="shared" si="79"/>
        <v>1w</v>
      </c>
      <c r="Y2267" s="106">
        <f>_xll.qlCalendarAdvance(Calendar,Y2266,X2267,"f",FALSE)</f>
        <v>55100</v>
      </c>
      <c r="Z2267" s="108">
        <f>_xll.qlCalendarAdvance(Calendar,Y2267,0&amp;"D")</f>
        <v>55100</v>
      </c>
      <c r="AA2267" s="109">
        <v>1.3806876820483538E-2</v>
      </c>
      <c r="AB2267" s="143">
        <f t="shared" si="80"/>
        <v>-7.9936057773011271E-14</v>
      </c>
      <c r="AC2267" s="236" t="e">
        <v>#N/A</v>
      </c>
      <c r="AD2267" s="236">
        <v>1.3806876820563474E-2</v>
      </c>
    </row>
    <row r="2268" spans="23:30" x14ac:dyDescent="0.2">
      <c r="W2268" s="144"/>
      <c r="X2268" s="113" t="str">
        <f t="shared" si="79"/>
        <v>1w</v>
      </c>
      <c r="Y2268" s="106">
        <f>_xll.qlCalendarAdvance(Calendar,Y2267,X2268,"f",FALSE)</f>
        <v>55107</v>
      </c>
      <c r="Z2268" s="108">
        <f>_xll.qlCalendarAdvance(Calendar,Y2268,0&amp;"D")</f>
        <v>55107</v>
      </c>
      <c r="AA2268" s="109">
        <v>1.3801741588164163E-2</v>
      </c>
      <c r="AB2268" s="143">
        <f t="shared" si="80"/>
        <v>-7.9936057773011271E-14</v>
      </c>
      <c r="AC2268" s="236" t="e">
        <v>#N/A</v>
      </c>
      <c r="AD2268" s="236">
        <v>1.3801741588244099E-2</v>
      </c>
    </row>
    <row r="2269" spans="23:30" x14ac:dyDescent="0.2">
      <c r="W2269" s="144"/>
      <c r="X2269" s="113" t="str">
        <f t="shared" si="79"/>
        <v>1w</v>
      </c>
      <c r="Y2269" s="106">
        <f>_xll.qlCalendarAdvance(Calendar,Y2268,X2269,"f",FALSE)</f>
        <v>55114</v>
      </c>
      <c r="Z2269" s="108">
        <f>_xll.qlCalendarAdvance(Calendar,Y2269,0&amp;"D")</f>
        <v>55114</v>
      </c>
      <c r="AA2269" s="109">
        <v>1.3796572653603789E-2</v>
      </c>
      <c r="AB2269" s="143">
        <f t="shared" si="80"/>
        <v>7.9936057773011271E-14</v>
      </c>
      <c r="AC2269" s="236" t="e">
        <v>#N/A</v>
      </c>
      <c r="AD2269" s="236">
        <v>1.3796572653523853E-2</v>
      </c>
    </row>
    <row r="2270" spans="23:30" x14ac:dyDescent="0.2">
      <c r="W2270" s="144"/>
      <c r="X2270" s="113" t="str">
        <f t="shared" si="79"/>
        <v>1w</v>
      </c>
      <c r="Y2270" s="106">
        <f>_xll.qlCalendarAdvance(Calendar,Y2269,X2270,"f",FALSE)</f>
        <v>55121</v>
      </c>
      <c r="Z2270" s="108">
        <f>_xll.qlCalendarAdvance(Calendar,Y2270,0&amp;"D")</f>
        <v>55121</v>
      </c>
      <c r="AA2270" s="109">
        <v>1.3791370016482674E-2</v>
      </c>
      <c r="AB2270" s="143">
        <f t="shared" si="80"/>
        <v>0</v>
      </c>
      <c r="AC2270" s="236" t="e">
        <v>#N/A</v>
      </c>
      <c r="AD2270" s="236">
        <v>1.3791370016482674E-2</v>
      </c>
    </row>
    <row r="2271" spans="23:30" x14ac:dyDescent="0.2">
      <c r="W2271" s="144"/>
      <c r="X2271" s="113" t="str">
        <f t="shared" si="79"/>
        <v>1w</v>
      </c>
      <c r="Y2271" s="106">
        <f>_xll.qlCalendarAdvance(Calendar,Y2270,X2271,"f",FALSE)</f>
        <v>55128</v>
      </c>
      <c r="Z2271" s="108">
        <f>_xll.qlCalendarAdvance(Calendar,Y2271,0&amp;"D")</f>
        <v>55128</v>
      </c>
      <c r="AA2271" s="109">
        <v>1.3786133677360368E-2</v>
      </c>
      <c r="AB2271" s="143">
        <f t="shared" si="80"/>
        <v>7.9936057773011271E-14</v>
      </c>
      <c r="AC2271" s="236" t="e">
        <v>#N/A</v>
      </c>
      <c r="AD2271" s="236">
        <v>1.3786133677280432E-2</v>
      </c>
    </row>
    <row r="2272" spans="23:30" x14ac:dyDescent="0.2">
      <c r="W2272" s="144"/>
      <c r="X2272" s="113" t="str">
        <f t="shared" si="79"/>
        <v>1w</v>
      </c>
      <c r="Y2272" s="106">
        <f>_xll.qlCalendarAdvance(Calendar,Y2271,X2272,"f",FALSE)</f>
        <v>55135</v>
      </c>
      <c r="Z2272" s="108">
        <f>_xll.qlCalendarAdvance(Calendar,Y2272,0&amp;"D")</f>
        <v>55135</v>
      </c>
      <c r="AA2272" s="109">
        <v>1.3780863635757257E-2</v>
      </c>
      <c r="AB2272" s="143">
        <f t="shared" si="80"/>
        <v>0</v>
      </c>
      <c r="AC2272" s="236" t="e">
        <v>#N/A</v>
      </c>
      <c r="AD2272" s="236">
        <v>1.3780863635757257E-2</v>
      </c>
    </row>
    <row r="2273" spans="23:30" x14ac:dyDescent="0.2">
      <c r="W2273" s="144"/>
      <c r="X2273" s="113" t="str">
        <f t="shared" si="79"/>
        <v>1w</v>
      </c>
      <c r="Y2273" s="106">
        <f>_xll.qlCalendarAdvance(Calendar,Y2272,X2273,"f",FALSE)</f>
        <v>55142</v>
      </c>
      <c r="Z2273" s="108">
        <f>_xll.qlCalendarAdvance(Calendar,Y2273,0&amp;"D")</f>
        <v>55142</v>
      </c>
      <c r="AA2273" s="109">
        <v>1.3775559892073019E-2</v>
      </c>
      <c r="AB2273" s="143">
        <f t="shared" si="80"/>
        <v>0</v>
      </c>
      <c r="AC2273" s="236" t="e">
        <v>#N/A</v>
      </c>
      <c r="AD2273" s="236">
        <v>1.3775559892073019E-2</v>
      </c>
    </row>
    <row r="2274" spans="23:30" x14ac:dyDescent="0.2">
      <c r="W2274" s="144"/>
      <c r="X2274" s="113" t="str">
        <f t="shared" si="79"/>
        <v>1w</v>
      </c>
      <c r="Y2274" s="106">
        <f>_xll.qlCalendarAdvance(Calendar,Y2273,X2274,"f",FALSE)</f>
        <v>55149</v>
      </c>
      <c r="Z2274" s="108">
        <f>_xll.qlCalendarAdvance(Calendar,Y2274,0&amp;"D")</f>
        <v>55149</v>
      </c>
      <c r="AA2274" s="109">
        <v>1.3770222445907976E-2</v>
      </c>
      <c r="AB2274" s="143">
        <f t="shared" si="80"/>
        <v>-7.9936057773011271E-14</v>
      </c>
      <c r="AC2274" s="236" t="e">
        <v>#N/A</v>
      </c>
      <c r="AD2274" s="236">
        <v>1.3770222445987912E-2</v>
      </c>
    </row>
    <row r="2275" spans="23:30" x14ac:dyDescent="0.2">
      <c r="W2275" s="144"/>
      <c r="X2275" s="113" t="str">
        <f t="shared" si="79"/>
        <v>1w</v>
      </c>
      <c r="Y2275" s="106">
        <f>_xll.qlCalendarAdvance(Calendar,Y2274,X2275,"f",FALSE)</f>
        <v>55156</v>
      </c>
      <c r="Z2275" s="108">
        <f>_xll.qlCalendarAdvance(Calendar,Y2275,0&amp;"D")</f>
        <v>55156</v>
      </c>
      <c r="AA2275" s="109">
        <v>1.3764851297661806E-2</v>
      </c>
      <c r="AB2275" s="143">
        <f t="shared" si="80"/>
        <v>0</v>
      </c>
      <c r="AC2275" s="236" t="e">
        <v>#N/A</v>
      </c>
      <c r="AD2275" s="236">
        <v>1.3764851297661806E-2</v>
      </c>
    </row>
    <row r="2276" spans="23:30" x14ac:dyDescent="0.2">
      <c r="W2276" s="144"/>
      <c r="X2276" s="113" t="str">
        <f t="shared" si="79"/>
        <v>1w</v>
      </c>
      <c r="Y2276" s="106">
        <f>_xll.qlCalendarAdvance(Calendar,Y2275,X2276,"f",FALSE)</f>
        <v>55163</v>
      </c>
      <c r="Z2276" s="108">
        <f>_xll.qlCalendarAdvance(Calendar,Y2276,0&amp;"D")</f>
        <v>55163</v>
      </c>
      <c r="AA2276" s="109">
        <v>1.3759446447094703E-2</v>
      </c>
      <c r="AB2276" s="143">
        <f t="shared" si="80"/>
        <v>7.9936057773011271E-14</v>
      </c>
      <c r="AC2276" s="236" t="e">
        <v>#N/A</v>
      </c>
      <c r="AD2276" s="236">
        <v>1.3759446447014767E-2</v>
      </c>
    </row>
    <row r="2277" spans="23:30" x14ac:dyDescent="0.2">
      <c r="W2277" s="144"/>
      <c r="X2277" s="113" t="str">
        <f t="shared" si="79"/>
        <v>1w</v>
      </c>
      <c r="Y2277" s="106">
        <f>_xll.qlCalendarAdvance(Calendar,Y2276,X2277,"f",FALSE)</f>
        <v>55170</v>
      </c>
      <c r="Z2277" s="108">
        <f>_xll.qlCalendarAdvance(Calendar,Y2277,0&amp;"D")</f>
        <v>55170</v>
      </c>
      <c r="AA2277" s="109">
        <v>1.375400789412673E-2</v>
      </c>
      <c r="AB2277" s="143">
        <f t="shared" si="80"/>
        <v>0</v>
      </c>
      <c r="AC2277" s="236" t="e">
        <v>#N/A</v>
      </c>
      <c r="AD2277" s="236">
        <v>1.375400789412673E-2</v>
      </c>
    </row>
    <row r="2278" spans="23:30" x14ac:dyDescent="0.2">
      <c r="W2278" s="144"/>
      <c r="X2278" s="113" t="str">
        <f t="shared" si="79"/>
        <v>1w</v>
      </c>
      <c r="Y2278" s="106">
        <f>_xll.qlCalendarAdvance(Calendar,Y2277,X2278,"f",FALSE)</f>
        <v>55177</v>
      </c>
      <c r="Z2278" s="108">
        <f>_xll.qlCalendarAdvance(Calendar,Y2278,0&amp;"D")</f>
        <v>55177</v>
      </c>
      <c r="AA2278" s="109">
        <v>1.3748535638917758E-2</v>
      </c>
      <c r="AB2278" s="143">
        <f t="shared" si="80"/>
        <v>-7.9936057773011271E-14</v>
      </c>
      <c r="AC2278" s="236" t="e">
        <v>#N/A</v>
      </c>
      <c r="AD2278" s="236">
        <v>1.3748535638997694E-2</v>
      </c>
    </row>
    <row r="2279" spans="23:30" x14ac:dyDescent="0.2">
      <c r="W2279" s="144"/>
      <c r="X2279" s="113" t="str">
        <f t="shared" si="79"/>
        <v>1w</v>
      </c>
      <c r="Y2279" s="106">
        <f>_xll.qlCalendarAdvance(Calendar,Y2278,X2279,"f",FALSE)</f>
        <v>55184</v>
      </c>
      <c r="Z2279" s="108">
        <f>_xll.qlCalendarAdvance(Calendar,Y2279,0&amp;"D")</f>
        <v>55184</v>
      </c>
      <c r="AA2279" s="109">
        <v>1.3743029681547725E-2</v>
      </c>
      <c r="AB2279" s="143">
        <f t="shared" si="80"/>
        <v>0</v>
      </c>
      <c r="AC2279" s="236" t="e">
        <v>#N/A</v>
      </c>
      <c r="AD2279" s="236">
        <v>1.3743029681547725E-2</v>
      </c>
    </row>
    <row r="2280" spans="23:30" x14ac:dyDescent="0.2">
      <c r="W2280" s="144"/>
      <c r="X2280" s="113" t="str">
        <f t="shared" si="79"/>
        <v>1w</v>
      </c>
      <c r="Y2280" s="106">
        <f>_xll.qlCalendarAdvance(Calendar,Y2279,X2280,"f",FALSE)</f>
        <v>55191</v>
      </c>
      <c r="Z2280" s="108">
        <f>_xll.qlCalendarAdvance(Calendar,Y2280,0&amp;"D")</f>
        <v>55191</v>
      </c>
      <c r="AA2280" s="109">
        <v>1.3737490021856757E-2</v>
      </c>
      <c r="AB2280" s="143">
        <f t="shared" si="80"/>
        <v>0</v>
      </c>
      <c r="AC2280" s="236" t="e">
        <v>#N/A</v>
      </c>
      <c r="AD2280" s="236">
        <v>1.3737490021856757E-2</v>
      </c>
    </row>
    <row r="2281" spans="23:30" x14ac:dyDescent="0.2">
      <c r="W2281" s="144"/>
      <c r="X2281" s="113" t="str">
        <f t="shared" si="79"/>
        <v>1w</v>
      </c>
      <c r="Y2281" s="106">
        <f>_xll.qlCalendarAdvance(Calendar,Y2280,X2281,"f",FALSE)</f>
        <v>55198</v>
      </c>
      <c r="Z2281" s="108">
        <f>_xll.qlCalendarAdvance(Calendar,Y2281,0&amp;"D")</f>
        <v>55198</v>
      </c>
      <c r="AA2281" s="109">
        <v>1.3731916659844856E-2</v>
      </c>
      <c r="AB2281" s="143">
        <f t="shared" si="80"/>
        <v>0</v>
      </c>
      <c r="AC2281" s="236" t="e">
        <v>#N/A</v>
      </c>
      <c r="AD2281" s="236">
        <v>1.3731916659844856E-2</v>
      </c>
    </row>
    <row r="2282" spans="23:30" x14ac:dyDescent="0.2">
      <c r="W2282" s="144"/>
      <c r="X2282" s="113" t="str">
        <f t="shared" si="79"/>
        <v>1w</v>
      </c>
      <c r="Y2282" s="106">
        <f>_xll.qlCalendarAdvance(Calendar,Y2281,X2282,"f",FALSE)</f>
        <v>55205</v>
      </c>
      <c r="Z2282" s="108">
        <f>_xll.qlCalendarAdvance(Calendar,Y2282,0&amp;"D")</f>
        <v>55205</v>
      </c>
      <c r="AA2282" s="109">
        <v>1.3726309595671893E-2</v>
      </c>
      <c r="AB2282" s="143">
        <f t="shared" si="80"/>
        <v>7.9936057773011271E-14</v>
      </c>
      <c r="AC2282" s="236" t="e">
        <v>#N/A</v>
      </c>
      <c r="AD2282" s="236">
        <v>1.3726309595591957E-2</v>
      </c>
    </row>
    <row r="2283" spans="23:30" x14ac:dyDescent="0.2">
      <c r="W2283" s="144"/>
      <c r="X2283" s="113" t="str">
        <f t="shared" si="79"/>
        <v>1w</v>
      </c>
      <c r="Y2283" s="106">
        <f>_xll.qlCalendarAdvance(Calendar,Y2282,X2283,"f",FALSE)</f>
        <v>55212</v>
      </c>
      <c r="Z2283" s="108">
        <f>_xll.qlCalendarAdvance(Calendar,Y2283,0&amp;"D")</f>
        <v>55212</v>
      </c>
      <c r="AA2283" s="109">
        <v>1.3720668829257932E-2</v>
      </c>
      <c r="AB2283" s="143">
        <f t="shared" si="80"/>
        <v>0</v>
      </c>
      <c r="AC2283" s="236" t="e">
        <v>#N/A</v>
      </c>
      <c r="AD2283" s="236">
        <v>1.3720668829257932E-2</v>
      </c>
    </row>
    <row r="2284" spans="23:30" x14ac:dyDescent="0.2">
      <c r="W2284" s="144"/>
      <c r="X2284" s="113" t="str">
        <f t="shared" si="79"/>
        <v>1w</v>
      </c>
      <c r="Y2284" s="106">
        <f>_xll.qlCalendarAdvance(Calendar,Y2283,X2284,"f",FALSE)</f>
        <v>55219</v>
      </c>
      <c r="Z2284" s="108">
        <f>_xll.qlCalendarAdvance(Calendar,Y2284,0&amp;"D")</f>
        <v>55219</v>
      </c>
      <c r="AA2284" s="109">
        <v>1.3714994360523036E-2</v>
      </c>
      <c r="AB2284" s="143">
        <f t="shared" si="80"/>
        <v>0</v>
      </c>
      <c r="AC2284" s="236" t="e">
        <v>#N/A</v>
      </c>
      <c r="AD2284" s="236">
        <v>1.3714994360523036E-2</v>
      </c>
    </row>
    <row r="2285" spans="23:30" x14ac:dyDescent="0.2">
      <c r="W2285" s="144"/>
      <c r="X2285" s="113" t="str">
        <f t="shared" si="79"/>
        <v>1w</v>
      </c>
      <c r="Y2285" s="106">
        <f>_xll.qlCalendarAdvance(Calendar,Y2284,X2285,"f",FALSE)</f>
        <v>55226</v>
      </c>
      <c r="Z2285" s="108">
        <f>_xll.qlCalendarAdvance(Calendar,Y2285,0&amp;"D")</f>
        <v>55226</v>
      </c>
      <c r="AA2285" s="109">
        <v>1.3709286189467207E-2</v>
      </c>
      <c r="AB2285" s="143">
        <f t="shared" si="80"/>
        <v>0</v>
      </c>
      <c r="AC2285" s="236" t="e">
        <v>#N/A</v>
      </c>
      <c r="AD2285" s="236">
        <v>1.3709286189467207E-2</v>
      </c>
    </row>
    <row r="2286" spans="23:30" x14ac:dyDescent="0.2">
      <c r="W2286" s="144"/>
      <c r="X2286" s="113" t="str">
        <f t="shared" si="79"/>
        <v>1w</v>
      </c>
      <c r="Y2286" s="106">
        <f>_xll.qlCalendarAdvance(Calendar,Y2285,X2286,"f",FALSE)</f>
        <v>55233</v>
      </c>
      <c r="Z2286" s="108">
        <f>_xll.qlCalendarAdvance(Calendar,Y2286,0&amp;"D")</f>
        <v>55233</v>
      </c>
      <c r="AA2286" s="109">
        <v>1.3703544316250316E-2</v>
      </c>
      <c r="AB2286" s="143">
        <f t="shared" si="80"/>
        <v>0</v>
      </c>
      <c r="AC2286" s="236" t="e">
        <v>#N/A</v>
      </c>
      <c r="AD2286" s="236">
        <v>1.3703544316250316E-2</v>
      </c>
    </row>
    <row r="2287" spans="23:30" x14ac:dyDescent="0.2">
      <c r="W2287" s="144"/>
      <c r="X2287" s="113" t="str">
        <f t="shared" si="79"/>
        <v>1w</v>
      </c>
      <c r="Y2287" s="106">
        <f>_xll.qlCalendarAdvance(Calendar,Y2286,X2287,"f",FALSE)</f>
        <v>55240</v>
      </c>
      <c r="Z2287" s="108">
        <f>_xll.qlCalendarAdvance(Calendar,Y2287,0&amp;"D")</f>
        <v>55240</v>
      </c>
      <c r="AA2287" s="109">
        <v>1.369776874071249E-2</v>
      </c>
      <c r="AB2287" s="143">
        <f t="shared" si="80"/>
        <v>0</v>
      </c>
      <c r="AC2287" s="236" t="e">
        <v>#N/A</v>
      </c>
      <c r="AD2287" s="236">
        <v>1.369776874071249E-2</v>
      </c>
    </row>
    <row r="2288" spans="23:30" x14ac:dyDescent="0.2">
      <c r="W2288" s="144"/>
      <c r="X2288" s="113" t="str">
        <f t="shared" si="79"/>
        <v>1w</v>
      </c>
      <c r="Y2288" s="106">
        <f>_xll.qlCalendarAdvance(Calendar,Y2287,X2288,"f",FALSE)</f>
        <v>55247</v>
      </c>
      <c r="Z2288" s="108">
        <f>_xll.qlCalendarAdvance(Calendar,Y2288,0&amp;"D")</f>
        <v>55247</v>
      </c>
      <c r="AA2288" s="109">
        <v>1.3691959462933667E-2</v>
      </c>
      <c r="AB2288" s="143">
        <f t="shared" si="80"/>
        <v>0</v>
      </c>
      <c r="AC2288" s="236" t="e">
        <v>#N/A</v>
      </c>
      <c r="AD2288" s="236">
        <v>1.3691959462933667E-2</v>
      </c>
    </row>
    <row r="2289" spans="23:30" x14ac:dyDescent="0.2">
      <c r="W2289" s="144"/>
      <c r="X2289" s="113" t="str">
        <f t="shared" si="79"/>
        <v>1w</v>
      </c>
      <c r="Y2289" s="106">
        <f>_xll.qlCalendarAdvance(Calendar,Y2288,X2289,"f",FALSE)</f>
        <v>55254</v>
      </c>
      <c r="Z2289" s="108">
        <f>_xll.qlCalendarAdvance(Calendar,Y2289,0&amp;"D")</f>
        <v>55254</v>
      </c>
      <c r="AA2289" s="109">
        <v>1.3686116482913846E-2</v>
      </c>
      <c r="AB2289" s="143">
        <f t="shared" si="80"/>
        <v>-7.9936057773011271E-14</v>
      </c>
      <c r="AC2289" s="236" t="e">
        <v>#N/A</v>
      </c>
      <c r="AD2289" s="236">
        <v>1.3686116482993782E-2</v>
      </c>
    </row>
    <row r="2290" spans="23:30" x14ac:dyDescent="0.2">
      <c r="W2290" s="144"/>
      <c r="X2290" s="113" t="str">
        <f t="shared" si="79"/>
        <v>1w</v>
      </c>
      <c r="Y2290" s="106">
        <f>_xll.qlCalendarAdvance(Calendar,Y2289,X2290,"f",FALSE)</f>
        <v>55261</v>
      </c>
      <c r="Z2290" s="108">
        <f>_xll.qlCalendarAdvance(Calendar,Y2290,0&amp;"D")</f>
        <v>55261</v>
      </c>
      <c r="AA2290" s="109">
        <v>1.3680239800653027E-2</v>
      </c>
      <c r="AB2290" s="143">
        <f t="shared" si="80"/>
        <v>-7.9936057773011271E-14</v>
      </c>
      <c r="AC2290" s="236" t="e">
        <v>#N/A</v>
      </c>
      <c r="AD2290" s="236">
        <v>1.3680239800732963E-2</v>
      </c>
    </row>
    <row r="2291" spans="23:30" x14ac:dyDescent="0.2">
      <c r="W2291" s="144"/>
      <c r="X2291" s="113" t="str">
        <f t="shared" si="79"/>
        <v>1w</v>
      </c>
      <c r="Y2291" s="106">
        <f>_xll.qlCalendarAdvance(Calendar,Y2290,X2291,"f",FALSE)</f>
        <v>55268</v>
      </c>
      <c r="Z2291" s="108">
        <f>_xll.qlCalendarAdvance(Calendar,Y2291,0&amp;"D")</f>
        <v>55268</v>
      </c>
      <c r="AA2291" s="109">
        <v>1.367432941615121E-2</v>
      </c>
      <c r="AB2291" s="143">
        <f t="shared" si="80"/>
        <v>0</v>
      </c>
      <c r="AC2291" s="236" t="e">
        <v>#N/A</v>
      </c>
      <c r="AD2291" s="236">
        <v>1.367432941615121E-2</v>
      </c>
    </row>
    <row r="2292" spans="23:30" x14ac:dyDescent="0.2">
      <c r="W2292" s="144"/>
      <c r="X2292" s="113" t="str">
        <f t="shared" si="79"/>
        <v>1w</v>
      </c>
      <c r="Y2292" s="106">
        <f>_xll.qlCalendarAdvance(Calendar,Y2291,X2292,"f",FALSE)</f>
        <v>55275</v>
      </c>
      <c r="Z2292" s="108">
        <f>_xll.qlCalendarAdvance(Calendar,Y2292,0&amp;"D")</f>
        <v>55275</v>
      </c>
      <c r="AA2292" s="109">
        <v>1.3668385329248522E-2</v>
      </c>
      <c r="AB2292" s="143">
        <f t="shared" si="80"/>
        <v>-7.9936057773011271E-14</v>
      </c>
      <c r="AC2292" s="236" t="e">
        <v>#N/A</v>
      </c>
      <c r="AD2292" s="236">
        <v>1.3668385329328459E-2</v>
      </c>
    </row>
    <row r="2293" spans="23:30" x14ac:dyDescent="0.2">
      <c r="W2293" s="144"/>
      <c r="X2293" s="113" t="str">
        <f t="shared" si="79"/>
        <v>1w</v>
      </c>
      <c r="Y2293" s="106">
        <f>_xll.qlCalendarAdvance(Calendar,Y2292,X2293,"f",FALSE)</f>
        <v>55282</v>
      </c>
      <c r="Z2293" s="108">
        <f>_xll.qlCalendarAdvance(Calendar,Y2293,0&amp;"D")</f>
        <v>55282</v>
      </c>
      <c r="AA2293" s="109">
        <v>1.3662407540264709E-2</v>
      </c>
      <c r="AB2293" s="143">
        <f t="shared" si="80"/>
        <v>0</v>
      </c>
      <c r="AC2293" s="236" t="e">
        <v>#N/A</v>
      </c>
      <c r="AD2293" s="236">
        <v>1.3662407540264709E-2</v>
      </c>
    </row>
    <row r="2294" spans="23:30" x14ac:dyDescent="0.2">
      <c r="W2294" s="144"/>
      <c r="X2294" s="113" t="str">
        <f t="shared" si="79"/>
        <v>1w</v>
      </c>
      <c r="Y2294" s="106">
        <f>_xll.qlCalendarAdvance(Calendar,Y2293,X2294,"f",FALSE)</f>
        <v>55289</v>
      </c>
      <c r="Z2294" s="108">
        <f>_xll.qlCalendarAdvance(Calendar,Y2294,0&amp;"D")</f>
        <v>55289</v>
      </c>
      <c r="AA2294" s="109">
        <v>1.3656396049119834E-2</v>
      </c>
      <c r="AB2294" s="143">
        <f t="shared" si="80"/>
        <v>0</v>
      </c>
      <c r="AC2294" s="236" t="e">
        <v>#N/A</v>
      </c>
      <c r="AD2294" s="236">
        <v>1.3656396049119834E-2</v>
      </c>
    </row>
    <row r="2295" spans="23:30" x14ac:dyDescent="0.2">
      <c r="W2295" s="144"/>
      <c r="X2295" s="113" t="str">
        <f t="shared" si="79"/>
        <v>1w</v>
      </c>
      <c r="Y2295" s="106">
        <f>_xll.qlCalendarAdvance(Calendar,Y2294,X2295,"f",FALSE)</f>
        <v>55296</v>
      </c>
      <c r="Z2295" s="108">
        <f>_xll.qlCalendarAdvance(Calendar,Y2295,0&amp;"D")</f>
        <v>55296</v>
      </c>
      <c r="AA2295" s="109">
        <v>1.3650350855733961E-2</v>
      </c>
      <c r="AB2295" s="143">
        <f t="shared" si="80"/>
        <v>0</v>
      </c>
      <c r="AC2295" s="236" t="e">
        <v>#N/A</v>
      </c>
      <c r="AD2295" s="236">
        <v>1.3650350855733961E-2</v>
      </c>
    </row>
    <row r="2296" spans="23:30" x14ac:dyDescent="0.2">
      <c r="W2296" s="144"/>
      <c r="X2296" s="113" t="str">
        <f t="shared" si="79"/>
        <v>1w</v>
      </c>
      <c r="Y2296" s="106">
        <f>_xll.qlCalendarAdvance(Calendar,Y2295,X2296,"f",FALSE)</f>
        <v>55303</v>
      </c>
      <c r="Z2296" s="108">
        <f>_xll.qlCalendarAdvance(Calendar,Y2296,0&amp;"D")</f>
        <v>55303</v>
      </c>
      <c r="AA2296" s="109">
        <v>1.3644271959867282E-2</v>
      </c>
      <c r="AB2296" s="143">
        <f t="shared" si="80"/>
        <v>0</v>
      </c>
      <c r="AC2296" s="236" t="e">
        <v>#N/A</v>
      </c>
      <c r="AD2296" s="236">
        <v>1.3644271959867282E-2</v>
      </c>
    </row>
    <row r="2297" spans="23:30" x14ac:dyDescent="0.2">
      <c r="W2297" s="144"/>
      <c r="X2297" s="113" t="str">
        <f t="shared" si="79"/>
        <v>1w</v>
      </c>
      <c r="Y2297" s="106">
        <f>_xll.qlCalendarAdvance(Calendar,Y2296,X2297,"f",FALSE)</f>
        <v>55310</v>
      </c>
      <c r="Z2297" s="108">
        <f>_xll.qlCalendarAdvance(Calendar,Y2297,0&amp;"D")</f>
        <v>55310</v>
      </c>
      <c r="AA2297" s="109">
        <v>1.3638159361919477E-2</v>
      </c>
      <c r="AB2297" s="143">
        <f t="shared" si="80"/>
        <v>0</v>
      </c>
      <c r="AC2297" s="236" t="e">
        <v>#N/A</v>
      </c>
      <c r="AD2297" s="236">
        <v>1.3638159361919477E-2</v>
      </c>
    </row>
    <row r="2298" spans="23:30" x14ac:dyDescent="0.2">
      <c r="W2298" s="144"/>
      <c r="X2298" s="113" t="str">
        <f t="shared" si="79"/>
        <v>1w</v>
      </c>
      <c r="Y2298" s="106">
        <f>_xll.qlCalendarAdvance(Calendar,Y2297,X2298,"f",FALSE)</f>
        <v>55317</v>
      </c>
      <c r="Z2298" s="108">
        <f>_xll.qlCalendarAdvance(Calendar,Y2298,0&amp;"D")</f>
        <v>55317</v>
      </c>
      <c r="AA2298" s="109">
        <v>1.3632013061730675E-2</v>
      </c>
      <c r="AB2298" s="143">
        <f t="shared" si="80"/>
        <v>7.9936057773011271E-14</v>
      </c>
      <c r="AC2298" s="236" t="e">
        <v>#N/A</v>
      </c>
      <c r="AD2298" s="236">
        <v>1.3632013061650738E-2</v>
      </c>
    </row>
    <row r="2299" spans="23:30" x14ac:dyDescent="0.2">
      <c r="W2299" s="144"/>
      <c r="X2299" s="113" t="str">
        <f t="shared" si="79"/>
        <v>1w</v>
      </c>
      <c r="Y2299" s="106">
        <f>_xll.qlCalendarAdvance(Calendar,Y2298,X2299,"f",FALSE)</f>
        <v>55324</v>
      </c>
      <c r="Z2299" s="108">
        <f>_xll.qlCalendarAdvance(Calendar,Y2299,0&amp;"D")</f>
        <v>55324</v>
      </c>
      <c r="AA2299" s="109">
        <v>1.3625833059141002E-2</v>
      </c>
      <c r="AB2299" s="143">
        <f t="shared" si="80"/>
        <v>-7.9936057773011271E-14</v>
      </c>
      <c r="AC2299" s="236" t="e">
        <v>#N/A</v>
      </c>
      <c r="AD2299" s="236">
        <v>1.3625833059220938E-2</v>
      </c>
    </row>
    <row r="2300" spans="23:30" x14ac:dyDescent="0.2">
      <c r="W2300" s="144"/>
      <c r="X2300" s="113" t="str">
        <f t="shared" si="79"/>
        <v>1w</v>
      </c>
      <c r="Y2300" s="106">
        <f>_xll.qlCalendarAdvance(Calendar,Y2299,X2300,"f",FALSE)</f>
        <v>55331</v>
      </c>
      <c r="Z2300" s="108">
        <f>_xll.qlCalendarAdvance(Calendar,Y2300,0&amp;"D")</f>
        <v>55331</v>
      </c>
      <c r="AA2300" s="109">
        <v>1.3619619354470203E-2</v>
      </c>
      <c r="AB2300" s="143">
        <f t="shared" si="80"/>
        <v>-7.9936057773011271E-14</v>
      </c>
      <c r="AC2300" s="236" t="e">
        <v>#N/A</v>
      </c>
      <c r="AD2300" s="236">
        <v>1.3619619354550139E-2</v>
      </c>
    </row>
    <row r="2301" spans="23:30" x14ac:dyDescent="0.2">
      <c r="W2301" s="144"/>
      <c r="X2301" s="113" t="str">
        <f t="shared" si="79"/>
        <v>1w</v>
      </c>
      <c r="Y2301" s="106">
        <f>_xll.qlCalendarAdvance(Calendar,Y2300,X2301,"f",FALSE)</f>
        <v>55338</v>
      </c>
      <c r="Z2301" s="108">
        <f>_xll.qlCalendarAdvance(Calendar,Y2301,0&amp;"D")</f>
        <v>55338</v>
      </c>
      <c r="AA2301" s="109">
        <v>1.3613371947638342E-2</v>
      </c>
      <c r="AB2301" s="143">
        <f t="shared" si="80"/>
        <v>0</v>
      </c>
      <c r="AC2301" s="236" t="e">
        <v>#N/A</v>
      </c>
      <c r="AD2301" s="236">
        <v>1.3613371947638342E-2</v>
      </c>
    </row>
    <row r="2302" spans="23:30" x14ac:dyDescent="0.2">
      <c r="W2302" s="144"/>
      <c r="X2302" s="113" t="str">
        <f t="shared" si="79"/>
        <v>1w</v>
      </c>
      <c r="Y2302" s="106">
        <f>_xll.qlCalendarAdvance(Calendar,Y2301,X2302,"f",FALSE)</f>
        <v>55345</v>
      </c>
      <c r="Z2302" s="108">
        <f>_xll.qlCalendarAdvance(Calendar,Y2302,0&amp;"D")</f>
        <v>55345</v>
      </c>
      <c r="AA2302" s="109">
        <v>1.3607090838485547E-2</v>
      </c>
      <c r="AB2302" s="143">
        <f t="shared" si="80"/>
        <v>0</v>
      </c>
      <c r="AC2302" s="236" t="e">
        <v>#N/A</v>
      </c>
      <c r="AD2302" s="236">
        <v>1.3607090838485547E-2</v>
      </c>
    </row>
    <row r="2303" spans="23:30" x14ac:dyDescent="0.2">
      <c r="W2303" s="144"/>
      <c r="X2303" s="113" t="str">
        <f t="shared" si="79"/>
        <v>1w</v>
      </c>
      <c r="Y2303" s="106">
        <f>_xll.qlCalendarAdvance(Calendar,Y2302,X2303,"f",FALSE)</f>
        <v>55352</v>
      </c>
      <c r="Z2303" s="108">
        <f>_xll.qlCalendarAdvance(Calendar,Y2303,0&amp;"D")</f>
        <v>55352</v>
      </c>
      <c r="AA2303" s="109">
        <v>1.3600776027091754E-2</v>
      </c>
      <c r="AB2303" s="143">
        <f t="shared" si="80"/>
        <v>0</v>
      </c>
      <c r="AC2303" s="236" t="e">
        <v>#N/A</v>
      </c>
      <c r="AD2303" s="236">
        <v>1.3600776027091754E-2</v>
      </c>
    </row>
    <row r="2304" spans="23:30" x14ac:dyDescent="0.2">
      <c r="W2304" s="144"/>
      <c r="X2304" s="113" t="str">
        <f t="shared" si="79"/>
        <v>1w</v>
      </c>
      <c r="Y2304" s="106">
        <f>_xll.qlCalendarAdvance(Calendar,Y2303,X2304,"f",FALSE)</f>
        <v>55359</v>
      </c>
      <c r="Z2304" s="108">
        <f>_xll.qlCalendarAdvance(Calendar,Y2304,0&amp;"D")</f>
        <v>55359</v>
      </c>
      <c r="AA2304" s="109">
        <v>1.35944275135369E-2</v>
      </c>
      <c r="AB2304" s="143">
        <f t="shared" si="80"/>
        <v>0</v>
      </c>
      <c r="AC2304" s="236" t="e">
        <v>#N/A</v>
      </c>
      <c r="AD2304" s="236">
        <v>1.35944275135369E-2</v>
      </c>
    </row>
    <row r="2305" spans="23:30" x14ac:dyDescent="0.2">
      <c r="W2305" s="144"/>
      <c r="X2305" s="113" t="str">
        <f t="shared" si="79"/>
        <v>1w</v>
      </c>
      <c r="Y2305" s="106">
        <f>_xll.qlCalendarAdvance(Calendar,Y2304,X2305,"f",FALSE)</f>
        <v>55366</v>
      </c>
      <c r="Z2305" s="108">
        <f>_xll.qlCalendarAdvance(Calendar,Y2305,0&amp;"D")</f>
        <v>55366</v>
      </c>
      <c r="AA2305" s="109">
        <v>1.3588045297661111E-2</v>
      </c>
      <c r="AB2305" s="143">
        <f t="shared" si="80"/>
        <v>0</v>
      </c>
      <c r="AC2305" s="236" t="e">
        <v>#N/A</v>
      </c>
      <c r="AD2305" s="236">
        <v>1.3588045297661111E-2</v>
      </c>
    </row>
    <row r="2306" spans="23:30" x14ac:dyDescent="0.2">
      <c r="W2306" s="144"/>
      <c r="X2306" s="113" t="str">
        <f t="shared" si="79"/>
        <v>1w</v>
      </c>
      <c r="Y2306" s="106">
        <f>_xll.qlCalendarAdvance(Calendar,Y2305,X2306,"f",FALSE)</f>
        <v>55373</v>
      </c>
      <c r="Z2306" s="108">
        <f>_xll.qlCalendarAdvance(Calendar,Y2306,0&amp;"D")</f>
        <v>55373</v>
      </c>
      <c r="AA2306" s="109">
        <v>1.3581629379704196E-2</v>
      </c>
      <c r="AB2306" s="143">
        <f t="shared" si="80"/>
        <v>7.9936057773011271E-14</v>
      </c>
      <c r="AC2306" s="236" t="e">
        <v>#N/A</v>
      </c>
      <c r="AD2306" s="236">
        <v>1.358162937962426E-2</v>
      </c>
    </row>
    <row r="2307" spans="23:30" x14ac:dyDescent="0.2">
      <c r="W2307" s="144"/>
      <c r="X2307" s="113" t="str">
        <f t="shared" si="79"/>
        <v>1w</v>
      </c>
      <c r="Y2307" s="106">
        <f>_xll.qlCalendarAdvance(Calendar,Y2306,X2307,"f",FALSE)</f>
        <v>55380</v>
      </c>
      <c r="Z2307" s="108">
        <f>_xll.qlCalendarAdvance(Calendar,Y2307,0&amp;"D")</f>
        <v>55380</v>
      </c>
      <c r="AA2307" s="109">
        <v>1.3575179759266476E-2</v>
      </c>
      <c r="AB2307" s="143">
        <f t="shared" si="80"/>
        <v>0</v>
      </c>
      <c r="AC2307" s="236" t="e">
        <v>#N/A</v>
      </c>
      <c r="AD2307" s="236">
        <v>1.3575179759266476E-2</v>
      </c>
    </row>
    <row r="2308" spans="23:30" x14ac:dyDescent="0.2">
      <c r="W2308" s="144"/>
      <c r="X2308" s="113" t="str">
        <f t="shared" si="79"/>
        <v>1w</v>
      </c>
      <c r="Y2308" s="106">
        <f>_xll.qlCalendarAdvance(Calendar,Y2307,X2308,"f",FALSE)</f>
        <v>55387</v>
      </c>
      <c r="Z2308" s="108">
        <f>_xll.qlCalendarAdvance(Calendar,Y2308,0&amp;"D")</f>
        <v>55387</v>
      </c>
      <c r="AA2308" s="109">
        <v>1.3568696436827565E-2</v>
      </c>
      <c r="AB2308" s="143">
        <f t="shared" si="80"/>
        <v>0</v>
      </c>
      <c r="AC2308" s="236" t="e">
        <v>#N/A</v>
      </c>
      <c r="AD2308" s="236">
        <v>1.3568696436827565E-2</v>
      </c>
    </row>
    <row r="2309" spans="23:30" x14ac:dyDescent="0.2">
      <c r="W2309" s="144"/>
      <c r="X2309" s="113" t="str">
        <f t="shared" si="79"/>
        <v>1w</v>
      </c>
      <c r="Y2309" s="106">
        <f>_xll.qlCalendarAdvance(Calendar,Y2308,X2309,"f",FALSE)</f>
        <v>55394</v>
      </c>
      <c r="Z2309" s="108">
        <f>_xll.qlCalendarAdvance(Calendar,Y2309,0&amp;"D")</f>
        <v>55394</v>
      </c>
      <c r="AA2309" s="109">
        <v>1.3562179412067721E-2</v>
      </c>
      <c r="AB2309" s="143">
        <f t="shared" si="80"/>
        <v>0</v>
      </c>
      <c r="AC2309" s="236" t="e">
        <v>#N/A</v>
      </c>
      <c r="AD2309" s="236">
        <v>1.3562179412067721E-2</v>
      </c>
    </row>
    <row r="2310" spans="23:30" x14ac:dyDescent="0.2">
      <c r="W2310" s="144"/>
      <c r="X2310" s="113" t="str">
        <f t="shared" si="79"/>
        <v>1w</v>
      </c>
      <c r="Y2310" s="106">
        <f>_xll.qlCalendarAdvance(Calendar,Y2309,X2310,"f",FALSE)</f>
        <v>55401</v>
      </c>
      <c r="Z2310" s="108">
        <f>_xll.qlCalendarAdvance(Calendar,Y2310,0&amp;"D")</f>
        <v>55401</v>
      </c>
      <c r="AA2310" s="109">
        <v>1.3555628685146814E-2</v>
      </c>
      <c r="AB2310" s="143">
        <f t="shared" si="80"/>
        <v>0</v>
      </c>
      <c r="AC2310" s="236" t="e">
        <v>#N/A</v>
      </c>
      <c r="AD2310" s="236">
        <v>1.3555628685146814E-2</v>
      </c>
    </row>
    <row r="2311" spans="23:30" x14ac:dyDescent="0.2">
      <c r="W2311" s="144"/>
      <c r="X2311" s="113" t="str">
        <f t="shared" si="79"/>
        <v>1w</v>
      </c>
      <c r="Y2311" s="106">
        <f>_xll.qlCalendarAdvance(Calendar,Y2310,X2311,"f",FALSE)</f>
        <v>55408</v>
      </c>
      <c r="Z2311" s="108">
        <f>_xll.qlCalendarAdvance(Calendar,Y2311,0&amp;"D")</f>
        <v>55408</v>
      </c>
      <c r="AA2311" s="109">
        <v>1.3549044255904974E-2</v>
      </c>
      <c r="AB2311" s="143">
        <f t="shared" si="80"/>
        <v>-7.9936057773011271E-14</v>
      </c>
      <c r="AC2311" s="236" t="e">
        <v>#N/A</v>
      </c>
      <c r="AD2311" s="236">
        <v>1.354904425598491E-2</v>
      </c>
    </row>
    <row r="2312" spans="23:30" x14ac:dyDescent="0.2">
      <c r="W2312" s="144"/>
      <c r="X2312" s="113" t="str">
        <f t="shared" si="79"/>
        <v>1w</v>
      </c>
      <c r="Y2312" s="106">
        <f>_xll.qlCalendarAdvance(Calendar,Y2311,X2312,"f",FALSE)</f>
        <v>55415</v>
      </c>
      <c r="Z2312" s="108">
        <f>_xll.qlCalendarAdvance(Calendar,Y2312,0&amp;"D")</f>
        <v>55415</v>
      </c>
      <c r="AA2312" s="109">
        <v>1.354242612474188E-2</v>
      </c>
      <c r="AB2312" s="143">
        <f t="shared" si="80"/>
        <v>7.9936057773011271E-14</v>
      </c>
      <c r="AC2312" s="236" t="e">
        <v>#N/A</v>
      </c>
      <c r="AD2312" s="236">
        <v>1.3542426124661944E-2</v>
      </c>
    </row>
    <row r="2313" spans="23:30" x14ac:dyDescent="0.2">
      <c r="W2313" s="144"/>
      <c r="X2313" s="113" t="str">
        <f t="shared" si="79"/>
        <v>1w</v>
      </c>
      <c r="Y2313" s="106">
        <f>_xll.qlCalendarAdvance(Calendar,Y2312,X2313,"f",FALSE)</f>
        <v>55422</v>
      </c>
      <c r="Z2313" s="108">
        <f>_xll.qlCalendarAdvance(Calendar,Y2313,0&amp;"D")</f>
        <v>55422</v>
      </c>
      <c r="AA2313" s="109">
        <v>1.3535774291097979E-2</v>
      </c>
      <c r="AB2313" s="143">
        <f t="shared" si="80"/>
        <v>0</v>
      </c>
      <c r="AC2313" s="236" t="e">
        <v>#N/A</v>
      </c>
      <c r="AD2313" s="236">
        <v>1.3535774291097979E-2</v>
      </c>
    </row>
    <row r="2314" spans="23:30" x14ac:dyDescent="0.2">
      <c r="W2314" s="144"/>
      <c r="X2314" s="113" t="str">
        <f t="shared" si="79"/>
        <v>1w</v>
      </c>
      <c r="Y2314" s="106">
        <f>_xll.qlCalendarAdvance(Calendar,Y2313,X2314,"f",FALSE)</f>
        <v>55429</v>
      </c>
      <c r="Z2314" s="108">
        <f>_xll.qlCalendarAdvance(Calendar,Y2314,0&amp;"D")</f>
        <v>55429</v>
      </c>
      <c r="AA2314" s="109">
        <v>1.3529088755213081E-2</v>
      </c>
      <c r="AB2314" s="143">
        <f t="shared" si="80"/>
        <v>-7.9936057773011271E-14</v>
      </c>
      <c r="AC2314" s="236" t="e">
        <v>#N/A</v>
      </c>
      <c r="AD2314" s="236">
        <v>1.3529088755293017E-2</v>
      </c>
    </row>
    <row r="2315" spans="23:30" x14ac:dyDescent="0.2">
      <c r="W2315" s="144"/>
      <c r="X2315" s="113" t="str">
        <f t="shared" si="79"/>
        <v>1w</v>
      </c>
      <c r="Y2315" s="106">
        <f>_xll.qlCalendarAdvance(Calendar,Y2314,X2315,"f",FALSE)</f>
        <v>55436</v>
      </c>
      <c r="Z2315" s="108">
        <f>_xll.qlCalendarAdvance(Calendar,Y2315,0&amp;"D")</f>
        <v>55436</v>
      </c>
      <c r="AA2315" s="109">
        <v>1.3522369517326993E-2</v>
      </c>
      <c r="AB2315" s="143">
        <f t="shared" si="80"/>
        <v>0</v>
      </c>
      <c r="AC2315" s="236" t="e">
        <v>#N/A</v>
      </c>
      <c r="AD2315" s="236">
        <v>1.3522369517326993E-2</v>
      </c>
    </row>
    <row r="2316" spans="23:30" x14ac:dyDescent="0.2">
      <c r="W2316" s="144"/>
      <c r="X2316" s="113" t="str">
        <f t="shared" si="79"/>
        <v>1w</v>
      </c>
      <c r="Y2316" s="106">
        <f>_xll.qlCalendarAdvance(Calendar,Y2315,X2316,"f",FALSE)</f>
        <v>55443</v>
      </c>
      <c r="Z2316" s="108">
        <f>_xll.qlCalendarAdvance(Calendar,Y2316,0&amp;"D")</f>
        <v>55443</v>
      </c>
      <c r="AA2316" s="109">
        <v>1.3515616577199907E-2</v>
      </c>
      <c r="AB2316" s="143">
        <f t="shared" si="80"/>
        <v>7.9936057773011271E-14</v>
      </c>
      <c r="AC2316" s="236" t="e">
        <v>#N/A</v>
      </c>
      <c r="AD2316" s="236">
        <v>1.3515616577119971E-2</v>
      </c>
    </row>
    <row r="2317" spans="23:30" x14ac:dyDescent="0.2">
      <c r="W2317" s="144"/>
      <c r="X2317" s="113" t="str">
        <f t="shared" ref="X2317:X2380" si="81">X2316</f>
        <v>1w</v>
      </c>
      <c r="Y2317" s="106">
        <f>_xll.qlCalendarAdvance(Calendar,Y2316,X2317,"f",FALSE)</f>
        <v>55450</v>
      </c>
      <c r="Z2317" s="108">
        <f>_xll.qlCalendarAdvance(Calendar,Y2317,0&amp;"D")</f>
        <v>55450</v>
      </c>
      <c r="AA2317" s="109">
        <v>1.3508829934751887E-2</v>
      </c>
      <c r="AB2317" s="143">
        <f t="shared" si="80"/>
        <v>7.9936057773011271E-14</v>
      </c>
      <c r="AC2317" s="236" t="e">
        <v>#N/A</v>
      </c>
      <c r="AD2317" s="236">
        <v>1.3508829934671951E-2</v>
      </c>
    </row>
    <row r="2318" spans="23:30" x14ac:dyDescent="0.2">
      <c r="W2318" s="144"/>
      <c r="X2318" s="113" t="str">
        <f t="shared" si="81"/>
        <v>1w</v>
      </c>
      <c r="Y2318" s="106">
        <f>_xll.qlCalendarAdvance(Calendar,Y2317,X2318,"f",FALSE)</f>
        <v>55457</v>
      </c>
      <c r="Z2318" s="108">
        <f>_xll.qlCalendarAdvance(Calendar,Y2318,0&amp;"D")</f>
        <v>55457</v>
      </c>
      <c r="AA2318" s="109">
        <v>1.3502009590222741E-2</v>
      </c>
      <c r="AB2318" s="143">
        <f t="shared" si="80"/>
        <v>7.9936057773011271E-14</v>
      </c>
      <c r="AC2318" s="236" t="e">
        <v>#N/A</v>
      </c>
      <c r="AD2318" s="236">
        <v>1.3502009590142805E-2</v>
      </c>
    </row>
    <row r="2319" spans="23:30" x14ac:dyDescent="0.2">
      <c r="W2319" s="144"/>
      <c r="X2319" s="113" t="str">
        <f t="shared" si="81"/>
        <v>1w</v>
      </c>
      <c r="Y2319" s="106">
        <f>_xll.qlCalendarAdvance(Calendar,Y2318,X2319,"f",FALSE)</f>
        <v>55464</v>
      </c>
      <c r="Z2319" s="108">
        <f>_xll.qlCalendarAdvance(Calendar,Y2319,0&amp;"D")</f>
        <v>55464</v>
      </c>
      <c r="AA2319" s="109">
        <v>1.3495155543452597E-2</v>
      </c>
      <c r="AB2319" s="143">
        <f t="shared" si="80"/>
        <v>7.9936057773011271E-14</v>
      </c>
      <c r="AC2319" s="236" t="e">
        <v>#N/A</v>
      </c>
      <c r="AD2319" s="236">
        <v>1.3495155543372661E-2</v>
      </c>
    </row>
    <row r="2320" spans="23:30" x14ac:dyDescent="0.2">
      <c r="W2320" s="144"/>
      <c r="X2320" s="113" t="str">
        <f t="shared" si="81"/>
        <v>1w</v>
      </c>
      <c r="Y2320" s="106">
        <f>_xll.qlCalendarAdvance(Calendar,Y2319,X2320,"f",FALSE)</f>
        <v>55471</v>
      </c>
      <c r="Z2320" s="108">
        <f>_xll.qlCalendarAdvance(Calendar,Y2320,0&amp;"D")</f>
        <v>55471</v>
      </c>
      <c r="AA2320" s="109">
        <v>1.3488267794441455E-2</v>
      </c>
      <c r="AB2320" s="143">
        <f t="shared" si="80"/>
        <v>0</v>
      </c>
      <c r="AC2320" s="236" t="e">
        <v>#N/A</v>
      </c>
      <c r="AD2320" s="236">
        <v>1.3488267794441455E-2</v>
      </c>
    </row>
    <row r="2321" spans="23:30" x14ac:dyDescent="0.2">
      <c r="W2321" s="144"/>
      <c r="X2321" s="113" t="str">
        <f t="shared" si="81"/>
        <v>1w</v>
      </c>
      <c r="Y2321" s="106">
        <f>_xll.qlCalendarAdvance(Calendar,Y2320,X2321,"f",FALSE)</f>
        <v>55478</v>
      </c>
      <c r="Z2321" s="108">
        <f>_xll.qlCalendarAdvance(Calendar,Y2321,0&amp;"D")</f>
        <v>55478</v>
      </c>
      <c r="AA2321" s="109">
        <v>1.3481346343109379E-2</v>
      </c>
      <c r="AB2321" s="143">
        <f t="shared" si="80"/>
        <v>-7.9936057773011271E-14</v>
      </c>
      <c r="AC2321" s="236" t="e">
        <v>#N/A</v>
      </c>
      <c r="AD2321" s="236">
        <v>1.3481346343189315E-2</v>
      </c>
    </row>
    <row r="2322" spans="23:30" x14ac:dyDescent="0.2">
      <c r="W2322" s="144"/>
      <c r="X2322" s="113" t="str">
        <f t="shared" si="81"/>
        <v>1w</v>
      </c>
      <c r="Y2322" s="106">
        <f>_xll.qlCalendarAdvance(Calendar,Y2321,X2322,"f",FALSE)</f>
        <v>55485</v>
      </c>
      <c r="Z2322" s="108">
        <f>_xll.qlCalendarAdvance(Calendar,Y2322,0&amp;"D")</f>
        <v>55485</v>
      </c>
      <c r="AA2322" s="109">
        <v>1.347439118985605E-2</v>
      </c>
      <c r="AB2322" s="143">
        <f t="shared" si="80"/>
        <v>0</v>
      </c>
      <c r="AC2322" s="236" t="e">
        <v>#N/A</v>
      </c>
      <c r="AD2322" s="236">
        <v>1.347439118985605E-2</v>
      </c>
    </row>
    <row r="2323" spans="23:30" x14ac:dyDescent="0.2">
      <c r="W2323" s="144"/>
      <c r="X2323" s="113" t="str">
        <f t="shared" si="81"/>
        <v>1w</v>
      </c>
      <c r="Y2323" s="106">
        <f>_xll.qlCalendarAdvance(Calendar,Y2322,X2323,"f",FALSE)</f>
        <v>55492</v>
      </c>
      <c r="Z2323" s="108">
        <f>_xll.qlCalendarAdvance(Calendar,Y2323,0&amp;"D")</f>
        <v>55492</v>
      </c>
      <c r="AA2323" s="109">
        <v>1.3467402334121914E-2</v>
      </c>
      <c r="AB2323" s="143">
        <f t="shared" si="80"/>
        <v>-7.9936057773011271E-14</v>
      </c>
      <c r="AC2323" s="236" t="e">
        <v>#N/A</v>
      </c>
      <c r="AD2323" s="236">
        <v>1.346740233420185E-2</v>
      </c>
    </row>
    <row r="2324" spans="23:30" x14ac:dyDescent="0.2">
      <c r="W2324" s="144"/>
      <c r="X2324" s="113" t="str">
        <f t="shared" si="81"/>
        <v>1w</v>
      </c>
      <c r="Y2324" s="106">
        <f>_xll.qlCalendarAdvance(Calendar,Y2323,X2324,"f",FALSE)</f>
        <v>55499</v>
      </c>
      <c r="Z2324" s="108">
        <f>_xll.qlCalendarAdvance(Calendar,Y2324,0&amp;"D")</f>
        <v>55499</v>
      </c>
      <c r="AA2324" s="109">
        <v>1.3460379776546461E-2</v>
      </c>
      <c r="AB2324" s="143">
        <f t="shared" si="80"/>
        <v>7.9936057773011271E-14</v>
      </c>
      <c r="AC2324" s="236" t="e">
        <v>#N/A</v>
      </c>
      <c r="AD2324" s="236">
        <v>1.3460379776466525E-2</v>
      </c>
    </row>
    <row r="2325" spans="23:30" x14ac:dyDescent="0.2">
      <c r="W2325" s="144"/>
      <c r="X2325" s="113" t="str">
        <f t="shared" si="81"/>
        <v>1w</v>
      </c>
      <c r="Y2325" s="106">
        <f>_xll.qlCalendarAdvance(Calendar,Y2324,X2325,"f",FALSE)</f>
        <v>55506</v>
      </c>
      <c r="Z2325" s="108">
        <f>_xll.qlCalendarAdvance(Calendar,Y2325,0&amp;"D")</f>
        <v>55506</v>
      </c>
      <c r="AA2325" s="109">
        <v>1.3453323516570137E-2</v>
      </c>
      <c r="AB2325" s="143">
        <f t="shared" ref="AB2325:AB2388" si="82">AA2325-AD2325</f>
        <v>0</v>
      </c>
      <c r="AC2325" s="236" t="e">
        <v>#N/A</v>
      </c>
      <c r="AD2325" s="236">
        <v>1.3453323516570137E-2</v>
      </c>
    </row>
    <row r="2326" spans="23:30" x14ac:dyDescent="0.2">
      <c r="W2326" s="144"/>
      <c r="X2326" s="113" t="str">
        <f t="shared" si="81"/>
        <v>1w</v>
      </c>
      <c r="Y2326" s="106">
        <f>_xll.qlCalendarAdvance(Calendar,Y2325,X2326,"f",FALSE)</f>
        <v>55514</v>
      </c>
      <c r="Z2326" s="108">
        <f>_xll.qlCalendarAdvance(Calendar,Y2326,0&amp;"D")</f>
        <v>55514</v>
      </c>
      <c r="AA2326" s="109">
        <v>1.3445217951471022E-2</v>
      </c>
      <c r="AB2326" s="143">
        <f t="shared" si="82"/>
        <v>0</v>
      </c>
      <c r="AC2326" s="236" t="e">
        <v>#N/A</v>
      </c>
      <c r="AD2326" s="236">
        <v>1.3445217951471022E-2</v>
      </c>
    </row>
    <row r="2327" spans="23:30" x14ac:dyDescent="0.2">
      <c r="W2327" s="144"/>
      <c r="X2327" s="113" t="str">
        <f t="shared" si="81"/>
        <v>1w</v>
      </c>
      <c r="Y2327" s="106">
        <f>_xll.qlCalendarAdvance(Calendar,Y2326,X2327,"f",FALSE)</f>
        <v>55521</v>
      </c>
      <c r="Z2327" s="108">
        <f>_xll.qlCalendarAdvance(Calendar,Y2327,0&amp;"D")</f>
        <v>55521</v>
      </c>
      <c r="AA2327" s="109">
        <v>1.3438089472543879E-2</v>
      </c>
      <c r="AB2327" s="143">
        <f t="shared" si="82"/>
        <v>0</v>
      </c>
      <c r="AC2327" s="236" t="e">
        <v>#N/A</v>
      </c>
      <c r="AD2327" s="236">
        <v>1.3438089472543879E-2</v>
      </c>
    </row>
    <row r="2328" spans="23:30" x14ac:dyDescent="0.2">
      <c r="W2328" s="144"/>
      <c r="X2328" s="113" t="str">
        <f t="shared" si="81"/>
        <v>1w</v>
      </c>
      <c r="Y2328" s="106">
        <f>_xll.qlCalendarAdvance(Calendar,Y2327,X2328,"f",FALSE)</f>
        <v>55528</v>
      </c>
      <c r="Z2328" s="108">
        <f>_xll.qlCalendarAdvance(Calendar,Y2328,0&amp;"D")</f>
        <v>55528</v>
      </c>
      <c r="AA2328" s="109">
        <v>1.3430927291455674E-2</v>
      </c>
      <c r="AB2328" s="143">
        <f t="shared" si="82"/>
        <v>0</v>
      </c>
      <c r="AC2328" s="236" t="e">
        <v>#N/A</v>
      </c>
      <c r="AD2328" s="236">
        <v>1.3430927291455674E-2</v>
      </c>
    </row>
    <row r="2329" spans="23:30" x14ac:dyDescent="0.2">
      <c r="W2329" s="144"/>
      <c r="X2329" s="113" t="str">
        <f t="shared" si="81"/>
        <v>1w</v>
      </c>
      <c r="Y2329" s="106">
        <f>_xll.qlCalendarAdvance(Calendar,Y2328,X2329,"f",FALSE)</f>
        <v>55535</v>
      </c>
      <c r="Z2329" s="108">
        <f>_xll.qlCalendarAdvance(Calendar,Y2329,0&amp;"D")</f>
        <v>55535</v>
      </c>
      <c r="AA2329" s="109">
        <v>1.3423731408206407E-2</v>
      </c>
      <c r="AB2329" s="143">
        <f t="shared" si="82"/>
        <v>0</v>
      </c>
      <c r="AC2329" s="236" t="e">
        <v>#N/A</v>
      </c>
      <c r="AD2329" s="236">
        <v>1.3423731408206407E-2</v>
      </c>
    </row>
    <row r="2330" spans="23:30" x14ac:dyDescent="0.2">
      <c r="W2330" s="144"/>
      <c r="X2330" s="113" t="str">
        <f t="shared" si="81"/>
        <v>1w</v>
      </c>
      <c r="Y2330" s="106">
        <f>_xll.qlCalendarAdvance(Calendar,Y2329,X2330,"f",FALSE)</f>
        <v>55542</v>
      </c>
      <c r="Z2330" s="108">
        <f>_xll.qlCalendarAdvance(Calendar,Y2330,0&amp;"D")</f>
        <v>55542</v>
      </c>
      <c r="AA2330" s="109">
        <v>1.3416501822716143E-2</v>
      </c>
      <c r="AB2330" s="143">
        <f t="shared" si="82"/>
        <v>0</v>
      </c>
      <c r="AC2330" s="236" t="e">
        <v>#N/A</v>
      </c>
      <c r="AD2330" s="236">
        <v>1.3416501822716143E-2</v>
      </c>
    </row>
    <row r="2331" spans="23:30" x14ac:dyDescent="0.2">
      <c r="W2331" s="144"/>
      <c r="X2331" s="113" t="str">
        <f t="shared" si="81"/>
        <v>1w</v>
      </c>
      <c r="Y2331" s="106">
        <f>_xll.qlCalendarAdvance(Calendar,Y2330,X2331,"f",FALSE)</f>
        <v>55549</v>
      </c>
      <c r="Z2331" s="108">
        <f>_xll.qlCalendarAdvance(Calendar,Y2331,0&amp;"D")</f>
        <v>55549</v>
      </c>
      <c r="AA2331" s="109">
        <v>1.3409238535144752E-2</v>
      </c>
      <c r="AB2331" s="143">
        <f t="shared" si="82"/>
        <v>7.9936057773011271E-14</v>
      </c>
      <c r="AC2331" s="236" t="e">
        <v>#N/A</v>
      </c>
      <c r="AD2331" s="236">
        <v>1.3409238535064816E-2</v>
      </c>
    </row>
    <row r="2332" spans="23:30" x14ac:dyDescent="0.2">
      <c r="W2332" s="144"/>
      <c r="X2332" s="113" t="str">
        <f t="shared" si="81"/>
        <v>1w</v>
      </c>
      <c r="Y2332" s="106">
        <f>_xll.qlCalendarAdvance(Calendar,Y2331,X2332,"f",FALSE)</f>
        <v>55556</v>
      </c>
      <c r="Z2332" s="108">
        <f>_xll.qlCalendarAdvance(Calendar,Y2332,0&amp;"D")</f>
        <v>55556</v>
      </c>
      <c r="AA2332" s="109">
        <v>1.3401941545412299E-2</v>
      </c>
      <c r="AB2332" s="143">
        <f t="shared" si="82"/>
        <v>7.9936057773011271E-14</v>
      </c>
      <c r="AC2332" s="236" t="e">
        <v>#N/A</v>
      </c>
      <c r="AD2332" s="236">
        <v>1.3401941545332363E-2</v>
      </c>
    </row>
    <row r="2333" spans="23:30" x14ac:dyDescent="0.2">
      <c r="W2333" s="144"/>
      <c r="X2333" s="113" t="str">
        <f t="shared" si="81"/>
        <v>1w</v>
      </c>
      <c r="Y2333" s="106">
        <f>_xll.qlCalendarAdvance(Calendar,Y2332,X2333,"f",FALSE)</f>
        <v>55563</v>
      </c>
      <c r="Z2333" s="108">
        <f>_xll.qlCalendarAdvance(Calendar,Y2333,0&amp;"D")</f>
        <v>55563</v>
      </c>
      <c r="AA2333" s="109">
        <v>1.3394610853278976E-2</v>
      </c>
      <c r="AB2333" s="143">
        <f t="shared" si="82"/>
        <v>0</v>
      </c>
      <c r="AC2333" s="236" t="e">
        <v>#N/A</v>
      </c>
      <c r="AD2333" s="236">
        <v>1.3394610853278976E-2</v>
      </c>
    </row>
    <row r="2334" spans="23:30" x14ac:dyDescent="0.2">
      <c r="W2334" s="144"/>
      <c r="X2334" s="113" t="str">
        <f t="shared" si="81"/>
        <v>1w</v>
      </c>
      <c r="Y2334" s="106">
        <f>_xll.qlCalendarAdvance(Calendar,Y2333,X2334,"f",FALSE)</f>
        <v>55570</v>
      </c>
      <c r="Z2334" s="108">
        <f>_xll.qlCalendarAdvance(Calendar,Y2334,0&amp;"D")</f>
        <v>55570</v>
      </c>
      <c r="AA2334" s="109">
        <v>1.33872464592244E-2</v>
      </c>
      <c r="AB2334" s="143">
        <f t="shared" si="82"/>
        <v>7.9936057773011271E-14</v>
      </c>
      <c r="AC2334" s="236" t="e">
        <v>#N/A</v>
      </c>
      <c r="AD2334" s="236">
        <v>1.3387246459144464E-2</v>
      </c>
    </row>
    <row r="2335" spans="23:30" x14ac:dyDescent="0.2">
      <c r="W2335" s="144"/>
      <c r="X2335" s="113" t="str">
        <f t="shared" si="81"/>
        <v>1w</v>
      </c>
      <c r="Y2335" s="106">
        <f>_xll.qlCalendarAdvance(Calendar,Y2334,X2335,"f",FALSE)</f>
        <v>55577</v>
      </c>
      <c r="Z2335" s="108">
        <f>_xll.qlCalendarAdvance(Calendar,Y2335,0&amp;"D")</f>
        <v>55577</v>
      </c>
      <c r="AA2335" s="109">
        <v>1.3379848362928826E-2</v>
      </c>
      <c r="AB2335" s="143">
        <f t="shared" si="82"/>
        <v>0</v>
      </c>
      <c r="AC2335" s="236" t="e">
        <v>#N/A</v>
      </c>
      <c r="AD2335" s="236">
        <v>1.3379848362928826E-2</v>
      </c>
    </row>
    <row r="2336" spans="23:30" x14ac:dyDescent="0.2">
      <c r="W2336" s="144"/>
      <c r="X2336" s="113" t="str">
        <f t="shared" si="81"/>
        <v>1w</v>
      </c>
      <c r="Y2336" s="106">
        <f>_xll.qlCalendarAdvance(Calendar,Y2335,X2336,"f",FALSE)</f>
        <v>55584</v>
      </c>
      <c r="Z2336" s="108">
        <f>_xll.qlCalendarAdvance(Calendar,Y2336,0&amp;"D")</f>
        <v>55584</v>
      </c>
      <c r="AA2336" s="109">
        <v>1.3372416564392253E-2</v>
      </c>
      <c r="AB2336" s="143">
        <f t="shared" si="82"/>
        <v>0</v>
      </c>
      <c r="AC2336" s="236" t="e">
        <v>#N/A</v>
      </c>
      <c r="AD2336" s="236">
        <v>1.3372416564392253E-2</v>
      </c>
    </row>
    <row r="2337" spans="23:30" x14ac:dyDescent="0.2">
      <c r="W2337" s="144"/>
      <c r="X2337" s="113" t="str">
        <f t="shared" si="81"/>
        <v>1w</v>
      </c>
      <c r="Y2337" s="106">
        <f>_xll.qlCalendarAdvance(Calendar,Y2336,X2337,"f",FALSE)</f>
        <v>55591</v>
      </c>
      <c r="Z2337" s="108">
        <f>_xll.qlCalendarAdvance(Calendar,Y2337,0&amp;"D")</f>
        <v>55591</v>
      </c>
      <c r="AA2337" s="109">
        <v>1.3364951063694619E-2</v>
      </c>
      <c r="AB2337" s="143">
        <f t="shared" si="82"/>
        <v>0</v>
      </c>
      <c r="AC2337" s="236" t="e">
        <v>#N/A</v>
      </c>
      <c r="AD2337" s="236">
        <v>1.3364951063694619E-2</v>
      </c>
    </row>
    <row r="2338" spans="23:30" x14ac:dyDescent="0.2">
      <c r="W2338" s="144"/>
      <c r="X2338" s="113" t="str">
        <f t="shared" si="81"/>
        <v>1w</v>
      </c>
      <c r="Y2338" s="106">
        <f>_xll.qlCalendarAdvance(Calendar,Y2337,X2338,"f",FALSE)</f>
        <v>55598</v>
      </c>
      <c r="Z2338" s="108">
        <f>_xll.qlCalendarAdvance(Calendar,Y2338,0&amp;"D")</f>
        <v>55598</v>
      </c>
      <c r="AA2338" s="109">
        <v>1.3357451860915859E-2</v>
      </c>
      <c r="AB2338" s="143">
        <f t="shared" si="82"/>
        <v>0</v>
      </c>
      <c r="AC2338" s="236" t="e">
        <v>#N/A</v>
      </c>
      <c r="AD2338" s="236">
        <v>1.3357451860915859E-2</v>
      </c>
    </row>
    <row r="2339" spans="23:30" x14ac:dyDescent="0.2">
      <c r="W2339" s="144"/>
      <c r="X2339" s="113" t="str">
        <f t="shared" si="81"/>
        <v>1w</v>
      </c>
      <c r="Y2339" s="106">
        <f>_xll.qlCalendarAdvance(Calendar,Y2338,X2339,"f",FALSE)</f>
        <v>55605</v>
      </c>
      <c r="Z2339" s="108">
        <f>_xll.qlCalendarAdvance(Calendar,Y2339,0&amp;"D")</f>
        <v>55605</v>
      </c>
      <c r="AA2339" s="109">
        <v>1.3349918955896101E-2</v>
      </c>
      <c r="AB2339" s="143">
        <f t="shared" si="82"/>
        <v>-7.9936057773011271E-14</v>
      </c>
      <c r="AC2339" s="236" t="e">
        <v>#N/A</v>
      </c>
      <c r="AD2339" s="236">
        <v>1.3349918955976037E-2</v>
      </c>
    </row>
    <row r="2340" spans="23:30" x14ac:dyDescent="0.2">
      <c r="W2340" s="144"/>
      <c r="X2340" s="113" t="str">
        <f t="shared" si="81"/>
        <v>1w</v>
      </c>
      <c r="Y2340" s="106">
        <f>_xll.qlCalendarAdvance(Calendar,Y2339,X2340,"f",FALSE)</f>
        <v>55612</v>
      </c>
      <c r="Z2340" s="108">
        <f>_xll.qlCalendarAdvance(Calendar,Y2340,0&amp;"D")</f>
        <v>55612</v>
      </c>
      <c r="AA2340" s="109">
        <v>1.3342352348795217E-2</v>
      </c>
      <c r="AB2340" s="143">
        <f t="shared" si="82"/>
        <v>0</v>
      </c>
      <c r="AC2340" s="236" t="e">
        <v>#N/A</v>
      </c>
      <c r="AD2340" s="236">
        <v>1.3342352348795217E-2</v>
      </c>
    </row>
    <row r="2341" spans="23:30" x14ac:dyDescent="0.2">
      <c r="W2341" s="144"/>
      <c r="X2341" s="113" t="str">
        <f t="shared" si="81"/>
        <v>1w</v>
      </c>
      <c r="Y2341" s="106">
        <f>_xll.qlCalendarAdvance(Calendar,Y2340,X2341,"f",FALSE)</f>
        <v>55619</v>
      </c>
      <c r="Z2341" s="108">
        <f>_xll.qlCalendarAdvance(Calendar,Y2341,0&amp;"D")</f>
        <v>55619</v>
      </c>
      <c r="AA2341" s="109">
        <v>1.3334752039533271E-2</v>
      </c>
      <c r="AB2341" s="143">
        <f t="shared" si="82"/>
        <v>-7.9936057773011271E-14</v>
      </c>
      <c r="AC2341" s="236" t="e">
        <v>#N/A</v>
      </c>
      <c r="AD2341" s="236">
        <v>1.3334752039613207E-2</v>
      </c>
    </row>
    <row r="2342" spans="23:30" x14ac:dyDescent="0.2">
      <c r="W2342" s="144"/>
      <c r="X2342" s="113" t="str">
        <f t="shared" si="81"/>
        <v>1w</v>
      </c>
      <c r="Y2342" s="106">
        <f>_xll.qlCalendarAdvance(Calendar,Y2341,X2342,"f",FALSE)</f>
        <v>55626</v>
      </c>
      <c r="Z2342" s="108">
        <f>_xll.qlCalendarAdvance(Calendar,Y2342,0&amp;"D")</f>
        <v>55626</v>
      </c>
      <c r="AA2342" s="109">
        <v>1.3327118028190199E-2</v>
      </c>
      <c r="AB2342" s="143">
        <f t="shared" si="82"/>
        <v>0</v>
      </c>
      <c r="AC2342" s="236" t="e">
        <v>#N/A</v>
      </c>
      <c r="AD2342" s="236">
        <v>1.3327118028190199E-2</v>
      </c>
    </row>
    <row r="2343" spans="23:30" x14ac:dyDescent="0.2">
      <c r="W2343" s="144"/>
      <c r="X2343" s="113" t="str">
        <f t="shared" si="81"/>
        <v>1w</v>
      </c>
      <c r="Y2343" s="106">
        <f>_xll.qlCalendarAdvance(Calendar,Y2342,X2343,"f",FALSE)</f>
        <v>55633</v>
      </c>
      <c r="Z2343" s="108">
        <f>_xll.qlCalendarAdvance(Calendar,Y2343,0&amp;"D")</f>
        <v>55633</v>
      </c>
      <c r="AA2343" s="109">
        <v>1.3319450314526193E-2</v>
      </c>
      <c r="AB2343" s="143">
        <f t="shared" si="82"/>
        <v>-7.9936057773011271E-14</v>
      </c>
      <c r="AC2343" s="236" t="e">
        <v>#N/A</v>
      </c>
      <c r="AD2343" s="236">
        <v>1.3319450314606129E-2</v>
      </c>
    </row>
    <row r="2344" spans="23:30" x14ac:dyDescent="0.2">
      <c r="W2344" s="144"/>
      <c r="X2344" s="113" t="str">
        <f t="shared" si="81"/>
        <v>1w</v>
      </c>
      <c r="Y2344" s="106">
        <f>_xll.qlCalendarAdvance(Calendar,Y2343,X2344,"f",FALSE)</f>
        <v>55641</v>
      </c>
      <c r="Z2344" s="108">
        <f>_xll.qlCalendarAdvance(Calendar,Y2344,0&amp;"D")</f>
        <v>55641</v>
      </c>
      <c r="AA2344" s="109">
        <v>1.3310645945532329E-2</v>
      </c>
      <c r="AB2344" s="143">
        <f t="shared" si="82"/>
        <v>7.9936057773011271E-14</v>
      </c>
      <c r="AC2344" s="236" t="e">
        <v>#N/A</v>
      </c>
      <c r="AD2344" s="236">
        <v>1.3310645945452393E-2</v>
      </c>
    </row>
    <row r="2345" spans="23:30" x14ac:dyDescent="0.2">
      <c r="W2345" s="144"/>
      <c r="X2345" s="113" t="str">
        <f t="shared" si="81"/>
        <v>1w</v>
      </c>
      <c r="Y2345" s="106">
        <f>_xll.qlCalendarAdvance(Calendar,Y2344,X2345,"f",FALSE)</f>
        <v>55648</v>
      </c>
      <c r="Z2345" s="108">
        <f>_xll.qlCalendarAdvance(Calendar,Y2345,0&amp;"D")</f>
        <v>55648</v>
      </c>
      <c r="AA2345" s="109">
        <v>1.3302906012917504E-2</v>
      </c>
      <c r="AB2345" s="143">
        <f t="shared" si="82"/>
        <v>-7.9936057773011271E-14</v>
      </c>
      <c r="AC2345" s="236" t="e">
        <v>#N/A</v>
      </c>
      <c r="AD2345" s="236">
        <v>1.330290601299744E-2</v>
      </c>
    </row>
    <row r="2346" spans="23:30" x14ac:dyDescent="0.2">
      <c r="W2346" s="144"/>
      <c r="X2346" s="113" t="str">
        <f t="shared" si="81"/>
        <v>1w</v>
      </c>
      <c r="Y2346" s="106">
        <f>_xll.qlCalendarAdvance(Calendar,Y2345,X2346,"f",FALSE)</f>
        <v>55655</v>
      </c>
      <c r="Z2346" s="108">
        <f>_xll.qlCalendarAdvance(Calendar,Y2346,0&amp;"D")</f>
        <v>55655</v>
      </c>
      <c r="AA2346" s="109">
        <v>1.3295132378381425E-2</v>
      </c>
      <c r="AB2346" s="143">
        <f t="shared" si="82"/>
        <v>0</v>
      </c>
      <c r="AC2346" s="236" t="e">
        <v>#N/A</v>
      </c>
      <c r="AD2346" s="236">
        <v>1.3295132378381425E-2</v>
      </c>
    </row>
    <row r="2347" spans="23:30" x14ac:dyDescent="0.2">
      <c r="W2347" s="144"/>
      <c r="X2347" s="113" t="str">
        <f t="shared" si="81"/>
        <v>1w</v>
      </c>
      <c r="Y2347" s="106">
        <f>_xll.qlCalendarAdvance(Calendar,Y2346,X2347,"f",FALSE)</f>
        <v>55662</v>
      </c>
      <c r="Z2347" s="108">
        <f>_xll.qlCalendarAdvance(Calendar,Y2347,0&amp;"D")</f>
        <v>55662</v>
      </c>
      <c r="AA2347" s="109">
        <v>1.3287325041684284E-2</v>
      </c>
      <c r="AB2347" s="143">
        <f t="shared" si="82"/>
        <v>0</v>
      </c>
      <c r="AC2347" s="236" t="e">
        <v>#N/A</v>
      </c>
      <c r="AD2347" s="236">
        <v>1.3287325041684284E-2</v>
      </c>
    </row>
    <row r="2348" spans="23:30" x14ac:dyDescent="0.2">
      <c r="W2348" s="144"/>
      <c r="X2348" s="113" t="str">
        <f t="shared" si="81"/>
        <v>1w</v>
      </c>
      <c r="Y2348" s="106">
        <f>_xll.qlCalendarAdvance(Calendar,Y2347,X2348,"f",FALSE)</f>
        <v>55669</v>
      </c>
      <c r="Z2348" s="108">
        <f>_xll.qlCalendarAdvance(Calendar,Y2348,0&amp;"D")</f>
        <v>55669</v>
      </c>
      <c r="AA2348" s="109">
        <v>1.3279484002746145E-2</v>
      </c>
      <c r="AB2348" s="143">
        <f t="shared" si="82"/>
        <v>0</v>
      </c>
      <c r="AC2348" s="236" t="e">
        <v>#N/A</v>
      </c>
      <c r="AD2348" s="236">
        <v>1.3279484002746145E-2</v>
      </c>
    </row>
    <row r="2349" spans="23:30" x14ac:dyDescent="0.2">
      <c r="W2349" s="144"/>
      <c r="X2349" s="113" t="str">
        <f t="shared" si="81"/>
        <v>1w</v>
      </c>
      <c r="Y2349" s="106">
        <f>_xll.qlCalendarAdvance(Calendar,Y2348,X2349,"f",FALSE)</f>
        <v>55676</v>
      </c>
      <c r="Z2349" s="108">
        <f>_xll.qlCalendarAdvance(Calendar,Y2349,0&amp;"D")</f>
        <v>55676</v>
      </c>
      <c r="AA2349" s="109">
        <v>1.327160926172688E-2</v>
      </c>
      <c r="AB2349" s="143">
        <f t="shared" si="82"/>
        <v>7.9936057773011271E-14</v>
      </c>
      <c r="AC2349" s="236" t="e">
        <v>#N/A</v>
      </c>
      <c r="AD2349" s="236">
        <v>1.3271609261646944E-2</v>
      </c>
    </row>
    <row r="2350" spans="23:30" x14ac:dyDescent="0.2">
      <c r="W2350" s="144"/>
      <c r="X2350" s="113" t="str">
        <f t="shared" si="81"/>
        <v>1w</v>
      </c>
      <c r="Y2350" s="106">
        <f>_xll.qlCalendarAdvance(Calendar,Y2349,X2350,"f",FALSE)</f>
        <v>55683</v>
      </c>
      <c r="Z2350" s="108">
        <f>_xll.qlCalendarAdvance(Calendar,Y2350,0&amp;"D")</f>
        <v>55683</v>
      </c>
      <c r="AA2350" s="109">
        <v>1.3263700818546553E-2</v>
      </c>
      <c r="AB2350" s="143">
        <f t="shared" si="82"/>
        <v>0</v>
      </c>
      <c r="AC2350" s="236" t="e">
        <v>#N/A</v>
      </c>
      <c r="AD2350" s="236">
        <v>1.3263700818546553E-2</v>
      </c>
    </row>
    <row r="2351" spans="23:30" x14ac:dyDescent="0.2">
      <c r="W2351" s="144"/>
      <c r="X2351" s="113" t="str">
        <f t="shared" si="81"/>
        <v>1w</v>
      </c>
      <c r="Y2351" s="106">
        <f>_xll.qlCalendarAdvance(Calendar,Y2350,X2351,"f",FALSE)</f>
        <v>55690</v>
      </c>
      <c r="Z2351" s="108">
        <f>_xll.qlCalendarAdvance(Calendar,Y2351,0&amp;"D")</f>
        <v>55690</v>
      </c>
      <c r="AA2351" s="109">
        <v>1.3255758673205165E-2</v>
      </c>
      <c r="AB2351" s="143">
        <f t="shared" si="82"/>
        <v>-7.9936057773011271E-14</v>
      </c>
      <c r="AC2351" s="236" t="e">
        <v>#N/A</v>
      </c>
      <c r="AD2351" s="236">
        <v>1.3255758673285101E-2</v>
      </c>
    </row>
    <row r="2352" spans="23:30" x14ac:dyDescent="0.2">
      <c r="W2352" s="144"/>
      <c r="X2352" s="113" t="str">
        <f t="shared" si="81"/>
        <v>1w</v>
      </c>
      <c r="Y2352" s="106">
        <f>_xll.qlCalendarAdvance(Calendar,Y2351,X2352,"f",FALSE)</f>
        <v>55697</v>
      </c>
      <c r="Z2352" s="108">
        <f>_xll.qlCalendarAdvance(Calendar,Y2352,0&amp;"D")</f>
        <v>55697</v>
      </c>
      <c r="AA2352" s="109">
        <v>1.3247782825862586E-2</v>
      </c>
      <c r="AB2352" s="143">
        <f t="shared" si="82"/>
        <v>0</v>
      </c>
      <c r="AC2352" s="236" t="e">
        <v>#N/A</v>
      </c>
      <c r="AD2352" s="236">
        <v>1.3247782825862586E-2</v>
      </c>
    </row>
    <row r="2353" spans="23:30" x14ac:dyDescent="0.2">
      <c r="W2353" s="144"/>
      <c r="X2353" s="113" t="str">
        <f t="shared" si="81"/>
        <v>1w</v>
      </c>
      <c r="Y2353" s="106">
        <f>_xll.qlCalendarAdvance(Calendar,Y2352,X2353,"f",FALSE)</f>
        <v>55704</v>
      </c>
      <c r="Z2353" s="108">
        <f>_xll.qlCalendarAdvance(Calendar,Y2353,0&amp;"D")</f>
        <v>55704</v>
      </c>
      <c r="AA2353" s="109">
        <v>1.3239773276199074E-2</v>
      </c>
      <c r="AB2353" s="143">
        <f t="shared" si="82"/>
        <v>-7.9936057773011271E-14</v>
      </c>
      <c r="AC2353" s="236" t="e">
        <v>#N/A</v>
      </c>
      <c r="AD2353" s="236">
        <v>1.323977327627901E-2</v>
      </c>
    </row>
    <row r="2354" spans="23:30" x14ac:dyDescent="0.2">
      <c r="W2354" s="144"/>
      <c r="X2354" s="113" t="str">
        <f t="shared" si="81"/>
        <v>1w</v>
      </c>
      <c r="Y2354" s="106">
        <f>_xll.qlCalendarAdvance(Calendar,Y2353,X2354,"f",FALSE)</f>
        <v>55711</v>
      </c>
      <c r="Z2354" s="108">
        <f>_xll.qlCalendarAdvance(Calendar,Y2354,0&amp;"D")</f>
        <v>55711</v>
      </c>
      <c r="AA2354" s="109">
        <v>1.3231730024694244E-2</v>
      </c>
      <c r="AB2354" s="143">
        <f t="shared" si="82"/>
        <v>0</v>
      </c>
      <c r="AC2354" s="236" t="e">
        <v>#N/A</v>
      </c>
      <c r="AD2354" s="236">
        <v>1.3231730024694244E-2</v>
      </c>
    </row>
    <row r="2355" spans="23:30" x14ac:dyDescent="0.2">
      <c r="W2355" s="144"/>
      <c r="X2355" s="113" t="str">
        <f t="shared" si="81"/>
        <v>1w</v>
      </c>
      <c r="Y2355" s="106">
        <f>_xll.qlCalendarAdvance(Calendar,Y2354,X2355,"f",FALSE)</f>
        <v>55718</v>
      </c>
      <c r="Z2355" s="108">
        <f>_xll.qlCalendarAdvance(Calendar,Y2355,0&amp;"D")</f>
        <v>55718</v>
      </c>
      <c r="AA2355" s="109">
        <v>1.3223653070948416E-2</v>
      </c>
      <c r="AB2355" s="143">
        <f t="shared" si="82"/>
        <v>0</v>
      </c>
      <c r="AC2355" s="236" t="e">
        <v>#N/A</v>
      </c>
      <c r="AD2355" s="236">
        <v>1.3223653070948416E-2</v>
      </c>
    </row>
    <row r="2356" spans="23:30" x14ac:dyDescent="0.2">
      <c r="W2356" s="144"/>
      <c r="X2356" s="113" t="str">
        <f t="shared" si="81"/>
        <v>1w</v>
      </c>
      <c r="Y2356" s="106">
        <f>_xll.qlCalendarAdvance(Calendar,Y2355,X2356,"f",FALSE)</f>
        <v>55725</v>
      </c>
      <c r="Z2356" s="108">
        <f>_xll.qlCalendarAdvance(Calendar,Y2356,0&amp;"D")</f>
        <v>55725</v>
      </c>
      <c r="AA2356" s="109">
        <v>1.3215542414881654E-2</v>
      </c>
      <c r="AB2356" s="143">
        <f t="shared" si="82"/>
        <v>0</v>
      </c>
      <c r="AC2356" s="236" t="e">
        <v>#N/A</v>
      </c>
      <c r="AD2356" s="236">
        <v>1.3215542414881654E-2</v>
      </c>
    </row>
    <row r="2357" spans="23:30" x14ac:dyDescent="0.2">
      <c r="W2357" s="144"/>
      <c r="X2357" s="113" t="str">
        <f t="shared" si="81"/>
        <v>1w</v>
      </c>
      <c r="Y2357" s="106">
        <f>_xll.qlCalendarAdvance(Calendar,Y2356,X2357,"f",FALSE)</f>
        <v>55732</v>
      </c>
      <c r="Z2357" s="108">
        <f>_xll.qlCalendarAdvance(Calendar,Y2357,0&amp;"D")</f>
        <v>55732</v>
      </c>
      <c r="AA2357" s="109">
        <v>1.3207398056893638E-2</v>
      </c>
      <c r="AB2357" s="143">
        <f t="shared" si="82"/>
        <v>0</v>
      </c>
      <c r="AC2357" s="236" t="e">
        <v>#N/A</v>
      </c>
      <c r="AD2357" s="236">
        <v>1.3207398056893638E-2</v>
      </c>
    </row>
    <row r="2358" spans="23:30" x14ac:dyDescent="0.2">
      <c r="W2358" s="144"/>
      <c r="X2358" s="113" t="str">
        <f t="shared" si="81"/>
        <v>1w</v>
      </c>
      <c r="Y2358" s="106">
        <f>_xll.qlCalendarAdvance(Calendar,Y2357,X2358,"f",FALSE)</f>
        <v>55739</v>
      </c>
      <c r="Z2358" s="108">
        <f>_xll.qlCalendarAdvance(Calendar,Y2358,0&amp;"D")</f>
        <v>55739</v>
      </c>
      <c r="AA2358" s="109">
        <v>1.3199219996664624E-2</v>
      </c>
      <c r="AB2358" s="143">
        <f t="shared" si="82"/>
        <v>-7.9936057773011271E-14</v>
      </c>
      <c r="AC2358" s="236" t="e">
        <v>#N/A</v>
      </c>
      <c r="AD2358" s="236">
        <v>1.319921999674456E-2</v>
      </c>
    </row>
    <row r="2359" spans="23:30" x14ac:dyDescent="0.2">
      <c r="W2359" s="144"/>
      <c r="X2359" s="113" t="str">
        <f t="shared" si="81"/>
        <v>1w</v>
      </c>
      <c r="Y2359" s="106">
        <f>_xll.qlCalendarAdvance(Calendar,Y2358,X2359,"f",FALSE)</f>
        <v>55746</v>
      </c>
      <c r="Z2359" s="108">
        <f>_xll.qlCalendarAdvance(Calendar,Y2359,0&amp;"D")</f>
        <v>55746</v>
      </c>
      <c r="AA2359" s="109">
        <v>1.3191008234514356E-2</v>
      </c>
      <c r="AB2359" s="143">
        <f t="shared" si="82"/>
        <v>0</v>
      </c>
      <c r="AC2359" s="236" t="e">
        <v>#N/A</v>
      </c>
      <c r="AD2359" s="236">
        <v>1.3191008234514356E-2</v>
      </c>
    </row>
    <row r="2360" spans="23:30" x14ac:dyDescent="0.2">
      <c r="W2360" s="144"/>
      <c r="X2360" s="113" t="str">
        <f t="shared" si="81"/>
        <v>1w</v>
      </c>
      <c r="Y2360" s="106">
        <f>_xll.qlCalendarAdvance(Calendar,Y2359,X2360,"f",FALSE)</f>
        <v>55753</v>
      </c>
      <c r="Z2360" s="108">
        <f>_xll.qlCalendarAdvance(Calendar,Y2360,0&amp;"D")</f>
        <v>55753</v>
      </c>
      <c r="AA2360" s="109">
        <v>1.3182762770043155E-2</v>
      </c>
      <c r="AB2360" s="143">
        <f t="shared" si="82"/>
        <v>0</v>
      </c>
      <c r="AC2360" s="236" t="e">
        <v>#N/A</v>
      </c>
      <c r="AD2360" s="236">
        <v>1.3182762770043155E-2</v>
      </c>
    </row>
    <row r="2361" spans="23:30" x14ac:dyDescent="0.2">
      <c r="W2361" s="144"/>
      <c r="X2361" s="113" t="str">
        <f t="shared" si="81"/>
        <v>1w</v>
      </c>
      <c r="Y2361" s="106">
        <f>_xll.qlCalendarAdvance(Calendar,Y2360,X2361,"f",FALSE)</f>
        <v>55760</v>
      </c>
      <c r="Z2361" s="108">
        <f>_xll.qlCalendarAdvance(Calendar,Y2361,0&amp;"D")</f>
        <v>55760</v>
      </c>
      <c r="AA2361" s="109">
        <v>1.31744836036507E-2</v>
      </c>
      <c r="AB2361" s="143">
        <f t="shared" si="82"/>
        <v>7.9936057773011271E-14</v>
      </c>
      <c r="AC2361" s="236" t="e">
        <v>#N/A</v>
      </c>
      <c r="AD2361" s="236">
        <v>1.3174483603570764E-2</v>
      </c>
    </row>
    <row r="2362" spans="23:30" x14ac:dyDescent="0.2">
      <c r="W2362" s="144"/>
      <c r="X2362" s="113" t="str">
        <f t="shared" si="81"/>
        <v>1w</v>
      </c>
      <c r="Y2362" s="106">
        <f>_xll.qlCalendarAdvance(Calendar,Y2361,X2362,"f",FALSE)</f>
        <v>55767</v>
      </c>
      <c r="Z2362" s="108">
        <f>_xll.qlCalendarAdvance(Calendar,Y2362,0&amp;"D")</f>
        <v>55767</v>
      </c>
      <c r="AA2362" s="109">
        <v>1.3166170735017246E-2</v>
      </c>
      <c r="AB2362" s="143">
        <f t="shared" si="82"/>
        <v>0</v>
      </c>
      <c r="AC2362" s="236" t="e">
        <v>#N/A</v>
      </c>
      <c r="AD2362" s="236">
        <v>1.3166170735017246E-2</v>
      </c>
    </row>
    <row r="2363" spans="23:30" x14ac:dyDescent="0.2">
      <c r="W2363" s="144"/>
      <c r="X2363" s="113" t="str">
        <f t="shared" si="81"/>
        <v>1w</v>
      </c>
      <c r="Y2363" s="106">
        <f>_xll.qlCalendarAdvance(Calendar,Y2362,X2363,"f",FALSE)</f>
        <v>55774</v>
      </c>
      <c r="Z2363" s="108">
        <f>_xll.qlCalendarAdvance(Calendar,Y2363,0&amp;"D")</f>
        <v>55774</v>
      </c>
      <c r="AA2363" s="109">
        <v>1.3157824164302667E-2</v>
      </c>
      <c r="AB2363" s="143">
        <f t="shared" si="82"/>
        <v>0</v>
      </c>
      <c r="AC2363" s="236" t="e">
        <v>#N/A</v>
      </c>
      <c r="AD2363" s="236">
        <v>1.3157824164302667E-2</v>
      </c>
    </row>
    <row r="2364" spans="23:30" x14ac:dyDescent="0.2">
      <c r="W2364" s="144"/>
      <c r="X2364" s="113" t="str">
        <f t="shared" si="81"/>
        <v>1w</v>
      </c>
      <c r="Y2364" s="106">
        <f>_xll.qlCalendarAdvance(Calendar,Y2363,X2364,"f",FALSE)</f>
        <v>55781</v>
      </c>
      <c r="Z2364" s="108">
        <f>_xll.qlCalendarAdvance(Calendar,Y2364,0&amp;"D")</f>
        <v>55781</v>
      </c>
      <c r="AA2364" s="109">
        <v>1.3149443891506962E-2</v>
      </c>
      <c r="AB2364" s="143">
        <f t="shared" si="82"/>
        <v>0</v>
      </c>
      <c r="AC2364" s="236" t="e">
        <v>#N/A</v>
      </c>
      <c r="AD2364" s="236">
        <v>1.3149443891506962E-2</v>
      </c>
    </row>
    <row r="2365" spans="23:30" x14ac:dyDescent="0.2">
      <c r="W2365" s="144"/>
      <c r="X2365" s="113" t="str">
        <f t="shared" si="81"/>
        <v>1w</v>
      </c>
      <c r="Y2365" s="106">
        <f>_xll.qlCalendarAdvance(Calendar,Y2364,X2365,"f",FALSE)</f>
        <v>55788</v>
      </c>
      <c r="Z2365" s="108">
        <f>_xll.qlCalendarAdvance(Calendar,Y2365,0&amp;"D")</f>
        <v>55788</v>
      </c>
      <c r="AA2365" s="109">
        <v>1.3141029916630131E-2</v>
      </c>
      <c r="AB2365" s="143">
        <f t="shared" si="82"/>
        <v>0</v>
      </c>
      <c r="AC2365" s="236" t="e">
        <v>#N/A</v>
      </c>
      <c r="AD2365" s="236">
        <v>1.3141029916630131E-2</v>
      </c>
    </row>
    <row r="2366" spans="23:30" x14ac:dyDescent="0.2">
      <c r="W2366" s="144"/>
      <c r="X2366" s="113" t="str">
        <f t="shared" si="81"/>
        <v>1w</v>
      </c>
      <c r="Y2366" s="106">
        <f>_xll.qlCalendarAdvance(Calendar,Y2365,X2366,"f",FALSE)</f>
        <v>55795</v>
      </c>
      <c r="Z2366" s="108">
        <f>_xll.qlCalendarAdvance(Calendar,Y2366,0&amp;"D")</f>
        <v>55795</v>
      </c>
      <c r="AA2366" s="109">
        <v>1.3132582239592239E-2</v>
      </c>
      <c r="AB2366" s="143">
        <f t="shared" si="82"/>
        <v>0</v>
      </c>
      <c r="AC2366" s="236" t="e">
        <v>#N/A</v>
      </c>
      <c r="AD2366" s="236">
        <v>1.3132582239592239E-2</v>
      </c>
    </row>
    <row r="2367" spans="23:30" x14ac:dyDescent="0.2">
      <c r="W2367" s="144"/>
      <c r="X2367" s="113" t="str">
        <f t="shared" si="81"/>
        <v>1w</v>
      </c>
      <c r="Y2367" s="106">
        <f>_xll.qlCalendarAdvance(Calendar,Y2366,X2367,"f",FALSE)</f>
        <v>55802</v>
      </c>
      <c r="Z2367" s="108">
        <f>_xll.qlCalendarAdvance(Calendar,Y2367,0&amp;"D")</f>
        <v>55802</v>
      </c>
      <c r="AA2367" s="109">
        <v>1.3124100860553156E-2</v>
      </c>
      <c r="AB2367" s="143">
        <f t="shared" si="82"/>
        <v>0</v>
      </c>
      <c r="AC2367" s="236" t="e">
        <v>#N/A</v>
      </c>
      <c r="AD2367" s="236">
        <v>1.3124100860553156E-2</v>
      </c>
    </row>
    <row r="2368" spans="23:30" x14ac:dyDescent="0.2">
      <c r="W2368" s="144"/>
      <c r="X2368" s="113" t="str">
        <f t="shared" si="81"/>
        <v>1w</v>
      </c>
      <c r="Y2368" s="106">
        <f>_xll.qlCalendarAdvance(Calendar,Y2367,X2368,"f",FALSE)</f>
        <v>55809</v>
      </c>
      <c r="Z2368" s="108">
        <f>_xll.qlCalendarAdvance(Calendar,Y2368,0&amp;"D")</f>
        <v>55809</v>
      </c>
      <c r="AA2368" s="109">
        <v>1.3115585779353012E-2</v>
      </c>
      <c r="AB2368" s="143">
        <f t="shared" si="82"/>
        <v>0</v>
      </c>
      <c r="AC2368" s="236" t="e">
        <v>#N/A</v>
      </c>
      <c r="AD2368" s="236">
        <v>1.3115585779353012E-2</v>
      </c>
    </row>
    <row r="2369" spans="23:30" x14ac:dyDescent="0.2">
      <c r="W2369" s="144"/>
      <c r="X2369" s="113" t="str">
        <f t="shared" si="81"/>
        <v>1w</v>
      </c>
      <c r="Y2369" s="106">
        <f>_xll.qlCalendarAdvance(Calendar,Y2368,X2369,"f",FALSE)</f>
        <v>55816</v>
      </c>
      <c r="Z2369" s="108">
        <f>_xll.qlCalendarAdvance(Calendar,Y2369,0&amp;"D")</f>
        <v>55816</v>
      </c>
      <c r="AA2369" s="109">
        <v>1.3107036996071741E-2</v>
      </c>
      <c r="AB2369" s="143">
        <f t="shared" si="82"/>
        <v>7.9936057773011271E-14</v>
      </c>
      <c r="AC2369" s="236" t="e">
        <v>#N/A</v>
      </c>
      <c r="AD2369" s="236">
        <v>1.3107036995991805E-2</v>
      </c>
    </row>
    <row r="2370" spans="23:30" x14ac:dyDescent="0.2">
      <c r="W2370" s="144"/>
      <c r="X2370" s="113" t="str">
        <f t="shared" si="81"/>
        <v>1w</v>
      </c>
      <c r="Y2370" s="106">
        <f>_xll.qlCalendarAdvance(Calendar,Y2369,X2370,"f",FALSE)</f>
        <v>55823</v>
      </c>
      <c r="Z2370" s="108">
        <f>_xll.qlCalendarAdvance(Calendar,Y2370,0&amp;"D")</f>
        <v>55823</v>
      </c>
      <c r="AA2370" s="109">
        <v>1.3098454510709345E-2</v>
      </c>
      <c r="AB2370" s="143">
        <f t="shared" si="82"/>
        <v>0</v>
      </c>
      <c r="AC2370" s="236" t="e">
        <v>#N/A</v>
      </c>
      <c r="AD2370" s="236">
        <v>1.3098454510709345E-2</v>
      </c>
    </row>
    <row r="2371" spans="23:30" x14ac:dyDescent="0.2">
      <c r="W2371" s="144"/>
      <c r="X2371" s="113" t="str">
        <f t="shared" si="81"/>
        <v>1w</v>
      </c>
      <c r="Y2371" s="106">
        <f>_xll.qlCalendarAdvance(Calendar,Y2370,X2371,"f",FALSE)</f>
        <v>55830</v>
      </c>
      <c r="Z2371" s="108">
        <f>_xll.qlCalendarAdvance(Calendar,Y2371,0&amp;"D")</f>
        <v>55830</v>
      </c>
      <c r="AA2371" s="109">
        <v>1.3089838323105951E-2</v>
      </c>
      <c r="AB2371" s="143">
        <f t="shared" si="82"/>
        <v>-7.9936057773011271E-14</v>
      </c>
      <c r="AC2371" s="236" t="e">
        <v>#N/A</v>
      </c>
      <c r="AD2371" s="236">
        <v>1.3089838323185887E-2</v>
      </c>
    </row>
    <row r="2372" spans="23:30" x14ac:dyDescent="0.2">
      <c r="W2372" s="144"/>
      <c r="X2372" s="113" t="str">
        <f t="shared" si="81"/>
        <v>1w</v>
      </c>
      <c r="Y2372" s="106">
        <f>_xll.qlCalendarAdvance(Calendar,Y2371,X2372,"f",FALSE)</f>
        <v>55837</v>
      </c>
      <c r="Z2372" s="108">
        <f>_xll.qlCalendarAdvance(Calendar,Y2372,0&amp;"D")</f>
        <v>55837</v>
      </c>
      <c r="AA2372" s="109">
        <v>1.3081188433741175E-2</v>
      </c>
      <c r="AB2372" s="143">
        <f t="shared" si="82"/>
        <v>0</v>
      </c>
      <c r="AC2372" s="236" t="e">
        <v>#N/A</v>
      </c>
      <c r="AD2372" s="236">
        <v>1.3081188433741175E-2</v>
      </c>
    </row>
    <row r="2373" spans="23:30" x14ac:dyDescent="0.2">
      <c r="W2373" s="144"/>
      <c r="X2373" s="113" t="str">
        <f t="shared" si="81"/>
        <v>1w</v>
      </c>
      <c r="Y2373" s="106">
        <f>_xll.qlCalendarAdvance(Calendar,Y2372,X2373,"f",FALSE)</f>
        <v>55844</v>
      </c>
      <c r="Z2373" s="108">
        <f>_xll.qlCalendarAdvance(Calendar,Y2373,0&amp;"D")</f>
        <v>55844</v>
      </c>
      <c r="AA2373" s="109">
        <v>1.3072504842055466E-2</v>
      </c>
      <c r="AB2373" s="143">
        <f t="shared" si="82"/>
        <v>0</v>
      </c>
      <c r="AC2373" s="236" t="e">
        <v>#N/A</v>
      </c>
      <c r="AD2373" s="236">
        <v>1.3072504842055466E-2</v>
      </c>
    </row>
    <row r="2374" spans="23:30" x14ac:dyDescent="0.2">
      <c r="W2374" s="144"/>
      <c r="X2374" s="113" t="str">
        <f t="shared" si="81"/>
        <v>1w</v>
      </c>
      <c r="Y2374" s="106">
        <f>_xll.qlCalendarAdvance(Calendar,Y2373,X2374,"f",FALSE)</f>
        <v>55851</v>
      </c>
      <c r="Z2374" s="108">
        <f>_xll.qlCalendarAdvance(Calendar,Y2374,0&amp;"D")</f>
        <v>55851</v>
      </c>
      <c r="AA2374" s="109">
        <v>1.306378754828863E-2</v>
      </c>
      <c r="AB2374" s="143">
        <f t="shared" si="82"/>
        <v>-7.9936057773011271E-14</v>
      </c>
      <c r="AC2374" s="236" t="e">
        <v>#N/A</v>
      </c>
      <c r="AD2374" s="236">
        <v>1.3063787548368566E-2</v>
      </c>
    </row>
    <row r="2375" spans="23:30" x14ac:dyDescent="0.2">
      <c r="W2375" s="144"/>
      <c r="X2375" s="113" t="str">
        <f t="shared" si="81"/>
        <v>1w</v>
      </c>
      <c r="Y2375" s="106">
        <f>_xll.qlCalendarAdvance(Calendar,Y2374,X2375,"f",FALSE)</f>
        <v>55858</v>
      </c>
      <c r="Z2375" s="108">
        <f>_xll.qlCalendarAdvance(Calendar,Y2375,0&amp;"D")</f>
        <v>55858</v>
      </c>
      <c r="AA2375" s="109">
        <v>1.3055036552520605E-2</v>
      </c>
      <c r="AB2375" s="143">
        <f t="shared" si="82"/>
        <v>0</v>
      </c>
      <c r="AC2375" s="236" t="e">
        <v>#N/A</v>
      </c>
      <c r="AD2375" s="236">
        <v>1.3055036552520605E-2</v>
      </c>
    </row>
    <row r="2376" spans="23:30" x14ac:dyDescent="0.2">
      <c r="W2376" s="144"/>
      <c r="X2376" s="113" t="str">
        <f t="shared" si="81"/>
        <v>1w</v>
      </c>
      <c r="Y2376" s="106">
        <f>_xll.qlCalendarAdvance(Calendar,Y2375,X2376,"f",FALSE)</f>
        <v>55865</v>
      </c>
      <c r="Z2376" s="108">
        <f>_xll.qlCalendarAdvance(Calendar,Y2376,0&amp;"D")</f>
        <v>55865</v>
      </c>
      <c r="AA2376" s="109">
        <v>1.3046251854751389E-2</v>
      </c>
      <c r="AB2376" s="143">
        <f t="shared" si="82"/>
        <v>0</v>
      </c>
      <c r="AC2376" s="236" t="e">
        <v>#N/A</v>
      </c>
      <c r="AD2376" s="236">
        <v>1.3046251854751389E-2</v>
      </c>
    </row>
    <row r="2377" spans="23:30" x14ac:dyDescent="0.2">
      <c r="W2377" s="144"/>
      <c r="X2377" s="113" t="str">
        <f t="shared" si="81"/>
        <v>1w</v>
      </c>
      <c r="Y2377" s="106">
        <f>_xll.qlCalendarAdvance(Calendar,Y2376,X2377,"f",FALSE)</f>
        <v>55872</v>
      </c>
      <c r="Z2377" s="108">
        <f>_xll.qlCalendarAdvance(Calendar,Y2377,0&amp;"D")</f>
        <v>55872</v>
      </c>
      <c r="AA2377" s="109">
        <v>1.3037433454741176E-2</v>
      </c>
      <c r="AB2377" s="143">
        <f t="shared" si="82"/>
        <v>-7.9936057773011271E-14</v>
      </c>
      <c r="AC2377" s="236" t="e">
        <v>#N/A</v>
      </c>
      <c r="AD2377" s="236">
        <v>1.3037433454821112E-2</v>
      </c>
    </row>
    <row r="2378" spans="23:30" x14ac:dyDescent="0.2">
      <c r="W2378" s="144"/>
      <c r="X2378" s="113" t="str">
        <f t="shared" si="81"/>
        <v>1w</v>
      </c>
      <c r="Y2378" s="106">
        <f>_xll.qlCalendarAdvance(Calendar,Y2377,X2378,"f",FALSE)</f>
        <v>55880</v>
      </c>
      <c r="Z2378" s="108">
        <f>_xll.qlCalendarAdvance(Calendar,Y2378,0&amp;"D")</f>
        <v>55880</v>
      </c>
      <c r="AA2378" s="109">
        <v>1.3026517094445467E-2</v>
      </c>
      <c r="AB2378" s="143">
        <f t="shared" si="82"/>
        <v>-2.6645352591003757E-14</v>
      </c>
      <c r="AC2378" s="236" t="e">
        <v>#N/A</v>
      </c>
      <c r="AD2378" s="236">
        <v>1.3026517094472112E-2</v>
      </c>
    </row>
    <row r="2379" spans="23:30" x14ac:dyDescent="0.2">
      <c r="W2379" s="144"/>
      <c r="X2379" s="113" t="str">
        <f t="shared" si="81"/>
        <v>1w</v>
      </c>
      <c r="Y2379" s="106">
        <f>_xll.qlCalendarAdvance(Calendar,Y2378,X2379,"f",FALSE)</f>
        <v>55887</v>
      </c>
      <c r="Z2379" s="108">
        <f>_xll.qlCalendarAdvance(Calendar,Y2379,0&amp;"D")</f>
        <v>55887</v>
      </c>
      <c r="AA2379" s="109">
        <v>1.3017621017716863E-2</v>
      </c>
      <c r="AB2379" s="143">
        <f t="shared" si="82"/>
        <v>-2.6645352591003757E-14</v>
      </c>
      <c r="AC2379" s="236" t="e">
        <v>#N/A</v>
      </c>
      <c r="AD2379" s="236">
        <v>1.3017621017743508E-2</v>
      </c>
    </row>
    <row r="2380" spans="23:30" x14ac:dyDescent="0.2">
      <c r="W2380" s="144"/>
      <c r="X2380" s="113" t="str">
        <f t="shared" si="81"/>
        <v>1w</v>
      </c>
      <c r="Y2380" s="106">
        <f>_xll.qlCalendarAdvance(Calendar,Y2379,X2380,"f",FALSE)</f>
        <v>55894</v>
      </c>
      <c r="Z2380" s="108">
        <f>_xll.qlCalendarAdvance(Calendar,Y2380,0&amp;"D")</f>
        <v>55894</v>
      </c>
      <c r="AA2380" s="109">
        <v>1.3008691236935377E-2</v>
      </c>
      <c r="AB2380" s="143">
        <f t="shared" si="82"/>
        <v>0</v>
      </c>
      <c r="AC2380" s="236" t="e">
        <v>#N/A</v>
      </c>
      <c r="AD2380" s="236">
        <v>1.3008691236935377E-2</v>
      </c>
    </row>
    <row r="2381" spans="23:30" x14ac:dyDescent="0.2">
      <c r="W2381" s="144"/>
      <c r="X2381" s="113" t="str">
        <f t="shared" ref="X2381:X2444" si="83">X2380</f>
        <v>1w</v>
      </c>
      <c r="Y2381" s="106">
        <f>_xll.qlCalendarAdvance(Calendar,Y2380,X2381,"f",FALSE)</f>
        <v>55901</v>
      </c>
      <c r="Z2381" s="108">
        <f>_xll.qlCalendarAdvance(Calendar,Y2381,0&amp;"D")</f>
        <v>55901</v>
      </c>
      <c r="AA2381" s="109">
        <v>1.2999727752074364E-2</v>
      </c>
      <c r="AB2381" s="143">
        <f t="shared" si="82"/>
        <v>0</v>
      </c>
      <c r="AC2381" s="236" t="e">
        <v>#N/A</v>
      </c>
      <c r="AD2381" s="236">
        <v>1.2999727752074364E-2</v>
      </c>
    </row>
    <row r="2382" spans="23:30" x14ac:dyDescent="0.2">
      <c r="W2382" s="144"/>
      <c r="X2382" s="113" t="str">
        <f t="shared" si="83"/>
        <v>1w</v>
      </c>
      <c r="Y2382" s="106">
        <f>_xll.qlCalendarAdvance(Calendar,Y2381,X2382,"f",FALSE)</f>
        <v>55908</v>
      </c>
      <c r="Z2382" s="108">
        <f>_xll.qlCalendarAdvance(Calendar,Y2382,0&amp;"D")</f>
        <v>55908</v>
      </c>
      <c r="AA2382" s="109">
        <v>1.2990730563213759E-2</v>
      </c>
      <c r="AB2382" s="143">
        <f t="shared" si="82"/>
        <v>2.6645352591003757E-14</v>
      </c>
      <c r="AC2382" s="236" t="e">
        <v>#N/A</v>
      </c>
      <c r="AD2382" s="236">
        <v>1.2990730563187114E-2</v>
      </c>
    </row>
    <row r="2383" spans="23:30" x14ac:dyDescent="0.2">
      <c r="W2383" s="144"/>
      <c r="X2383" s="113" t="str">
        <f t="shared" si="83"/>
        <v>1w</v>
      </c>
      <c r="Y2383" s="106">
        <f>_xll.qlCalendarAdvance(Calendar,Y2382,X2383,"f",FALSE)</f>
        <v>55915</v>
      </c>
      <c r="Z2383" s="108">
        <f>_xll.qlCalendarAdvance(Calendar,Y2383,0&amp;"D")</f>
        <v>55915</v>
      </c>
      <c r="AA2383" s="109">
        <v>1.2981699670246982E-2</v>
      </c>
      <c r="AB2383" s="143">
        <f t="shared" si="82"/>
        <v>2.6645352591003757E-14</v>
      </c>
      <c r="AC2383" s="236" t="e">
        <v>#N/A</v>
      </c>
      <c r="AD2383" s="236">
        <v>1.2981699670220337E-2</v>
      </c>
    </row>
    <row r="2384" spans="23:30" x14ac:dyDescent="0.2">
      <c r="W2384" s="144"/>
      <c r="X2384" s="113" t="str">
        <f t="shared" si="83"/>
        <v>1w</v>
      </c>
      <c r="Y2384" s="106">
        <f>_xll.qlCalendarAdvance(Calendar,Y2383,X2384,"f",FALSE)</f>
        <v>55922</v>
      </c>
      <c r="Z2384" s="108">
        <f>_xll.qlCalendarAdvance(Calendar,Y2384,0&amp;"D")</f>
        <v>55922</v>
      </c>
      <c r="AA2384" s="109">
        <v>1.2972635073253969E-2</v>
      </c>
      <c r="AB2384" s="143">
        <f t="shared" si="82"/>
        <v>-2.6645352591003757E-14</v>
      </c>
      <c r="AC2384" s="236" t="e">
        <v>#N/A</v>
      </c>
      <c r="AD2384" s="236">
        <v>1.2972635073280614E-2</v>
      </c>
    </row>
    <row r="2385" spans="23:30" x14ac:dyDescent="0.2">
      <c r="W2385" s="144"/>
      <c r="X2385" s="113" t="str">
        <f t="shared" si="83"/>
        <v>1w</v>
      </c>
      <c r="Y2385" s="106">
        <f>_xll.qlCalendarAdvance(Calendar,Y2384,X2385,"f",FALSE)</f>
        <v>55929</v>
      </c>
      <c r="Z2385" s="108">
        <f>_xll.qlCalendarAdvance(Calendar,Y2385,0&amp;"D")</f>
        <v>55929</v>
      </c>
      <c r="AA2385" s="109">
        <v>1.2963536772288009E-2</v>
      </c>
      <c r="AB2385" s="143">
        <f t="shared" si="82"/>
        <v>0</v>
      </c>
      <c r="AC2385" s="236" t="e">
        <v>#N/A</v>
      </c>
      <c r="AD2385" s="236">
        <v>1.2963536772288009E-2</v>
      </c>
    </row>
    <row r="2386" spans="23:30" x14ac:dyDescent="0.2">
      <c r="W2386" s="144"/>
      <c r="X2386" s="113" t="str">
        <f t="shared" si="83"/>
        <v>1w</v>
      </c>
      <c r="Y2386" s="106">
        <f>_xll.qlCalendarAdvance(Calendar,Y2385,X2386,"f",FALSE)</f>
        <v>55936</v>
      </c>
      <c r="Z2386" s="108">
        <f>_xll.qlCalendarAdvance(Calendar,Y2386,0&amp;"D")</f>
        <v>55936</v>
      </c>
      <c r="AA2386" s="109">
        <v>1.2954404767269168E-2</v>
      </c>
      <c r="AB2386" s="143">
        <f t="shared" si="82"/>
        <v>-2.6645352591003757E-14</v>
      </c>
      <c r="AC2386" s="236" t="e">
        <v>#N/A</v>
      </c>
      <c r="AD2386" s="236">
        <v>1.2954404767295813E-2</v>
      </c>
    </row>
    <row r="2387" spans="23:30" x14ac:dyDescent="0.2">
      <c r="W2387" s="144"/>
      <c r="X2387" s="113" t="str">
        <f t="shared" si="83"/>
        <v>1w</v>
      </c>
      <c r="Y2387" s="106">
        <f>_xll.qlCalendarAdvance(Calendar,Y2386,X2387,"f",FALSE)</f>
        <v>55943</v>
      </c>
      <c r="Z2387" s="108">
        <f>_xll.qlCalendarAdvance(Calendar,Y2387,0&amp;"D")</f>
        <v>55943</v>
      </c>
      <c r="AA2387" s="109">
        <v>1.2945239058304026E-2</v>
      </c>
      <c r="AB2387" s="143">
        <f t="shared" si="82"/>
        <v>0</v>
      </c>
      <c r="AC2387" s="236" t="e">
        <v>#N/A</v>
      </c>
      <c r="AD2387" s="236">
        <v>1.2945239058304026E-2</v>
      </c>
    </row>
    <row r="2388" spans="23:30" x14ac:dyDescent="0.2">
      <c r="W2388" s="144"/>
      <c r="X2388" s="113" t="str">
        <f t="shared" si="83"/>
        <v>1w</v>
      </c>
      <c r="Y2388" s="106">
        <f>_xll.qlCalendarAdvance(Calendar,Y2387,X2388,"f",FALSE)</f>
        <v>55950</v>
      </c>
      <c r="Z2388" s="108">
        <f>_xll.qlCalendarAdvance(Calendar,Y2388,0&amp;"D")</f>
        <v>55950</v>
      </c>
      <c r="AA2388" s="109">
        <v>1.2936039645286002E-2</v>
      </c>
      <c r="AB2388" s="143">
        <f t="shared" si="82"/>
        <v>0</v>
      </c>
      <c r="AC2388" s="236" t="e">
        <v>#N/A</v>
      </c>
      <c r="AD2388" s="236">
        <v>1.2936039645286002E-2</v>
      </c>
    </row>
    <row r="2389" spans="23:30" x14ac:dyDescent="0.2">
      <c r="W2389" s="144"/>
      <c r="X2389" s="113" t="str">
        <f t="shared" si="83"/>
        <v>1w</v>
      </c>
      <c r="Y2389" s="106">
        <f>_xll.qlCalendarAdvance(Calendar,Y2388,X2389,"f",FALSE)</f>
        <v>55957</v>
      </c>
      <c r="Z2389" s="108">
        <f>_xll.qlCalendarAdvance(Calendar,Y2389,0&amp;"D")</f>
        <v>55957</v>
      </c>
      <c r="AA2389" s="109">
        <v>1.2926806528295032E-2</v>
      </c>
      <c r="AB2389" s="143">
        <f t="shared" ref="AB2389:AB2452" si="84">AA2389-AD2389</f>
        <v>0</v>
      </c>
      <c r="AC2389" s="236" t="e">
        <v>#N/A</v>
      </c>
      <c r="AD2389" s="236">
        <v>1.2926806528295032E-2</v>
      </c>
    </row>
    <row r="2390" spans="23:30" x14ac:dyDescent="0.2">
      <c r="W2390" s="144"/>
      <c r="X2390" s="113" t="str">
        <f t="shared" si="83"/>
        <v>1w</v>
      </c>
      <c r="Y2390" s="106">
        <f>_xll.qlCalendarAdvance(Calendar,Y2389,X2390,"f",FALSE)</f>
        <v>55964</v>
      </c>
      <c r="Z2390" s="108">
        <f>_xll.qlCalendarAdvance(Calendar,Y2390,0&amp;"D")</f>
        <v>55964</v>
      </c>
      <c r="AA2390" s="109">
        <v>1.2917539707331116E-2</v>
      </c>
      <c r="AB2390" s="143">
        <f t="shared" si="84"/>
        <v>2.6645352591003757E-14</v>
      </c>
      <c r="AC2390" s="236" t="e">
        <v>#N/A</v>
      </c>
      <c r="AD2390" s="236">
        <v>1.2917539707304471E-2</v>
      </c>
    </row>
    <row r="2391" spans="23:30" x14ac:dyDescent="0.2">
      <c r="W2391" s="144"/>
      <c r="X2391" s="113" t="str">
        <f t="shared" si="83"/>
        <v>1w</v>
      </c>
      <c r="Y2391" s="106">
        <f>_xll.qlCalendarAdvance(Calendar,Y2390,X2391,"f",FALSE)</f>
        <v>55971</v>
      </c>
      <c r="Z2391" s="108">
        <f>_xll.qlCalendarAdvance(Calendar,Y2391,0&amp;"D")</f>
        <v>55971</v>
      </c>
      <c r="AA2391" s="109">
        <v>1.2908239182367609E-2</v>
      </c>
      <c r="AB2391" s="143">
        <f t="shared" si="84"/>
        <v>0</v>
      </c>
      <c r="AC2391" s="236" t="e">
        <v>#N/A</v>
      </c>
      <c r="AD2391" s="236">
        <v>1.2908239182367609E-2</v>
      </c>
    </row>
    <row r="2392" spans="23:30" x14ac:dyDescent="0.2">
      <c r="W2392" s="144"/>
      <c r="X2392" s="113" t="str">
        <f t="shared" si="83"/>
        <v>1w</v>
      </c>
      <c r="Y2392" s="106">
        <f>_xll.qlCalendarAdvance(Calendar,Y2391,X2392,"f",FALSE)</f>
        <v>55982</v>
      </c>
      <c r="Z2392" s="108">
        <f>_xll.qlCalendarAdvance(Calendar,Y2392,0&amp;"D")</f>
        <v>55982</v>
      </c>
      <c r="AA2392" s="109">
        <v>1.2894432624763752E-2</v>
      </c>
      <c r="AB2392" s="143">
        <f t="shared" si="84"/>
        <v>0</v>
      </c>
      <c r="AC2392" s="236" t="e">
        <v>#N/A</v>
      </c>
      <c r="AD2392" s="236">
        <v>1.2894432624763752E-2</v>
      </c>
    </row>
    <row r="2393" spans="23:30" x14ac:dyDescent="0.2">
      <c r="W2393" s="144"/>
      <c r="X2393" s="113" t="str">
        <f t="shared" si="83"/>
        <v>1w</v>
      </c>
      <c r="Y2393" s="106">
        <f>_xll.qlCalendarAdvance(Calendar,Y2392,X2393,"f",FALSE)</f>
        <v>55989</v>
      </c>
      <c r="Z2393" s="108">
        <f>_xll.qlCalendarAdvance(Calendar,Y2393,0&amp;"D")</f>
        <v>55989</v>
      </c>
      <c r="AA2393" s="109">
        <v>1.2885050919111407E-2</v>
      </c>
      <c r="AB2393" s="143">
        <f t="shared" si="84"/>
        <v>0</v>
      </c>
      <c r="AC2393" s="236" t="e">
        <v>#N/A</v>
      </c>
      <c r="AD2393" s="236">
        <v>1.2885050919111407E-2</v>
      </c>
    </row>
    <row r="2394" spans="23:30" x14ac:dyDescent="0.2">
      <c r="W2394" s="144"/>
      <c r="X2394" s="113" t="str">
        <f t="shared" si="83"/>
        <v>1w</v>
      </c>
      <c r="Y2394" s="106">
        <f>_xll.qlCalendarAdvance(Calendar,Y2393,X2394,"f",FALSE)</f>
        <v>55996</v>
      </c>
      <c r="Z2394" s="108">
        <f>_xll.qlCalendarAdvance(Calendar,Y2394,0&amp;"D")</f>
        <v>55996</v>
      </c>
      <c r="AA2394" s="109">
        <v>1.2875635511617745E-2</v>
      </c>
      <c r="AB2394" s="143">
        <f t="shared" si="84"/>
        <v>7.9936057773011271E-14</v>
      </c>
      <c r="AC2394" s="236" t="e">
        <v>#N/A</v>
      </c>
      <c r="AD2394" s="236">
        <v>1.2875635511537808E-2</v>
      </c>
    </row>
    <row r="2395" spans="23:30" x14ac:dyDescent="0.2">
      <c r="W2395" s="144"/>
      <c r="X2395" s="113" t="str">
        <f t="shared" si="83"/>
        <v>1w</v>
      </c>
      <c r="Y2395" s="106">
        <f>_xll.qlCalendarAdvance(Calendar,Y2394,X2395,"f",FALSE)</f>
        <v>56003</v>
      </c>
      <c r="Z2395" s="108">
        <f>_xll.qlCalendarAdvance(Calendar,Y2395,0&amp;"D")</f>
        <v>56003</v>
      </c>
      <c r="AA2395" s="109">
        <v>1.2866186401883084E-2</v>
      </c>
      <c r="AB2395" s="143">
        <f t="shared" si="84"/>
        <v>0</v>
      </c>
      <c r="AC2395" s="236" t="e">
        <v>#N/A</v>
      </c>
      <c r="AD2395" s="236">
        <v>1.2866186401883084E-2</v>
      </c>
    </row>
    <row r="2396" spans="23:30" x14ac:dyDescent="0.2">
      <c r="W2396" s="144"/>
      <c r="X2396" s="113" t="str">
        <f t="shared" si="83"/>
        <v>1w</v>
      </c>
      <c r="Y2396" s="106">
        <f>_xll.qlCalendarAdvance(Calendar,Y2395,X2396,"f",FALSE)</f>
        <v>56010</v>
      </c>
      <c r="Z2396" s="108">
        <f>_xll.qlCalendarAdvance(Calendar,Y2396,0&amp;"D")</f>
        <v>56010</v>
      </c>
      <c r="AA2396" s="109">
        <v>1.2856703590307106E-2</v>
      </c>
      <c r="AB2396" s="143">
        <f t="shared" si="84"/>
        <v>7.9936057773011271E-14</v>
      </c>
      <c r="AC2396" s="236" t="e">
        <v>#N/A</v>
      </c>
      <c r="AD2396" s="236">
        <v>1.285670359022717E-2</v>
      </c>
    </row>
    <row r="2397" spans="23:30" x14ac:dyDescent="0.2">
      <c r="W2397" s="144"/>
      <c r="X2397" s="113" t="str">
        <f t="shared" si="83"/>
        <v>1w</v>
      </c>
      <c r="Y2397" s="106">
        <f>_xll.qlCalendarAdvance(Calendar,Y2396,X2397,"f",FALSE)</f>
        <v>56017</v>
      </c>
      <c r="Z2397" s="108">
        <f>_xll.qlCalendarAdvance(Calendar,Y2397,0&amp;"D")</f>
        <v>56017</v>
      </c>
      <c r="AA2397" s="109">
        <v>1.284718707649013E-2</v>
      </c>
      <c r="AB2397" s="143">
        <f t="shared" si="84"/>
        <v>0</v>
      </c>
      <c r="AC2397" s="236" t="e">
        <v>#N/A</v>
      </c>
      <c r="AD2397" s="236">
        <v>1.284718707649013E-2</v>
      </c>
    </row>
    <row r="2398" spans="23:30" x14ac:dyDescent="0.2">
      <c r="W2398" s="144"/>
      <c r="X2398" s="113" t="str">
        <f t="shared" si="83"/>
        <v>1w</v>
      </c>
      <c r="Y2398" s="106">
        <f>_xll.qlCalendarAdvance(Calendar,Y2397,X2398,"f",FALSE)</f>
        <v>56024</v>
      </c>
      <c r="Z2398" s="108">
        <f>_xll.qlCalendarAdvance(Calendar,Y2398,0&amp;"D")</f>
        <v>56024</v>
      </c>
      <c r="AA2398" s="109">
        <v>1.2837636860831836E-2</v>
      </c>
      <c r="AB2398" s="143">
        <f t="shared" si="84"/>
        <v>0</v>
      </c>
      <c r="AC2398" s="236" t="e">
        <v>#N/A</v>
      </c>
      <c r="AD2398" s="236">
        <v>1.2837636860831836E-2</v>
      </c>
    </row>
    <row r="2399" spans="23:30" x14ac:dyDescent="0.2">
      <c r="W2399" s="144"/>
      <c r="X2399" s="113" t="str">
        <f t="shared" si="83"/>
        <v>1w</v>
      </c>
      <c r="Y2399" s="106">
        <f>_xll.qlCalendarAdvance(Calendar,Y2398,X2399,"f",FALSE)</f>
        <v>56031</v>
      </c>
      <c r="Z2399" s="108">
        <f>_xll.qlCalendarAdvance(Calendar,Y2399,0&amp;"D")</f>
        <v>56031</v>
      </c>
      <c r="AA2399" s="109">
        <v>1.2828052943172352E-2</v>
      </c>
      <c r="AB2399" s="143">
        <f t="shared" si="84"/>
        <v>-7.9936057773011271E-14</v>
      </c>
      <c r="AC2399" s="236" t="e">
        <v>#N/A</v>
      </c>
      <c r="AD2399" s="236">
        <v>1.2828052943252288E-2</v>
      </c>
    </row>
    <row r="2400" spans="23:30" x14ac:dyDescent="0.2">
      <c r="W2400" s="144"/>
      <c r="X2400" s="113" t="str">
        <f t="shared" si="83"/>
        <v>1w</v>
      </c>
      <c r="Y2400" s="106">
        <f>_xll.qlCalendarAdvance(Calendar,Y2399,X2400,"f",FALSE)</f>
        <v>56038</v>
      </c>
      <c r="Z2400" s="108">
        <f>_xll.qlCalendarAdvance(Calendar,Y2400,0&amp;"D")</f>
        <v>56038</v>
      </c>
      <c r="AA2400" s="109">
        <v>1.2818435323271871E-2</v>
      </c>
      <c r="AB2400" s="143">
        <f t="shared" si="84"/>
        <v>-7.9936057773011271E-14</v>
      </c>
      <c r="AC2400" s="236" t="e">
        <v>#N/A</v>
      </c>
      <c r="AD2400" s="236">
        <v>1.2818435323351807E-2</v>
      </c>
    </row>
    <row r="2401" spans="23:30" x14ac:dyDescent="0.2">
      <c r="W2401" s="144"/>
      <c r="X2401" s="113" t="str">
        <f t="shared" si="83"/>
        <v>1w</v>
      </c>
      <c r="Y2401" s="106">
        <f>_xll.qlCalendarAdvance(Calendar,Y2400,X2401,"f",FALSE)</f>
        <v>56045</v>
      </c>
      <c r="Z2401" s="108">
        <f>_xll.qlCalendarAdvance(Calendar,Y2401,0&amp;"D")</f>
        <v>56045</v>
      </c>
      <c r="AA2401" s="109">
        <v>1.2808784001610007E-2</v>
      </c>
      <c r="AB2401" s="143">
        <f t="shared" si="84"/>
        <v>0</v>
      </c>
      <c r="AC2401" s="236" t="e">
        <v>#N/A</v>
      </c>
      <c r="AD2401" s="236">
        <v>1.2808784001610007E-2</v>
      </c>
    </row>
    <row r="2402" spans="23:30" x14ac:dyDescent="0.2">
      <c r="W2402" s="144"/>
      <c r="X2402" s="113" t="str">
        <f t="shared" si="83"/>
        <v>1w</v>
      </c>
      <c r="Y2402" s="106">
        <f>_xll.qlCalendarAdvance(Calendar,Y2401,X2402,"f",FALSE)</f>
        <v>56052</v>
      </c>
      <c r="Z2402" s="108">
        <f>_xll.qlCalendarAdvance(Calendar,Y2402,0&amp;"D")</f>
        <v>56052</v>
      </c>
      <c r="AA2402" s="109">
        <v>1.279909897802689E-2</v>
      </c>
      <c r="AB2402" s="143">
        <f t="shared" si="84"/>
        <v>7.9936057773011271E-14</v>
      </c>
      <c r="AC2402" s="236" t="e">
        <v>#N/A</v>
      </c>
      <c r="AD2402" s="236">
        <v>1.2799098977946954E-2</v>
      </c>
    </row>
    <row r="2403" spans="23:30" x14ac:dyDescent="0.2">
      <c r="W2403" s="144"/>
      <c r="X2403" s="113" t="str">
        <f t="shared" si="83"/>
        <v>1w</v>
      </c>
      <c r="Y2403" s="106">
        <f>_xll.qlCalendarAdvance(Calendar,Y2402,X2403,"f",FALSE)</f>
        <v>56059</v>
      </c>
      <c r="Z2403" s="108">
        <f>_xll.qlCalendarAdvance(Calendar,Y2403,0&amp;"D")</f>
        <v>56059</v>
      </c>
      <c r="AA2403" s="109">
        <v>1.2789380252122839E-2</v>
      </c>
      <c r="AB2403" s="143">
        <f t="shared" si="84"/>
        <v>-7.9936057773011271E-14</v>
      </c>
      <c r="AC2403" s="236" t="e">
        <v>#N/A</v>
      </c>
      <c r="AD2403" s="236">
        <v>1.2789380252202776E-2</v>
      </c>
    </row>
    <row r="2404" spans="23:30" x14ac:dyDescent="0.2">
      <c r="W2404" s="144"/>
      <c r="X2404" s="113" t="str">
        <f t="shared" si="83"/>
        <v>1w</v>
      </c>
      <c r="Y2404" s="106">
        <f>_xll.qlCalendarAdvance(Calendar,Y2403,X2404,"f",FALSE)</f>
        <v>56066</v>
      </c>
      <c r="Z2404" s="108">
        <f>_xll.qlCalendarAdvance(Calendar,Y2404,0&amp;"D")</f>
        <v>56066</v>
      </c>
      <c r="AA2404" s="109">
        <v>1.2779627824457407E-2</v>
      </c>
      <c r="AB2404" s="143">
        <f t="shared" si="84"/>
        <v>0</v>
      </c>
      <c r="AC2404" s="236" t="e">
        <v>#N/A</v>
      </c>
      <c r="AD2404" s="236">
        <v>1.2779627824457407E-2</v>
      </c>
    </row>
    <row r="2405" spans="23:30" x14ac:dyDescent="0.2">
      <c r="W2405" s="144"/>
      <c r="X2405" s="113" t="str">
        <f t="shared" si="83"/>
        <v>1w</v>
      </c>
      <c r="Y2405" s="106">
        <f>_xll.qlCalendarAdvance(Calendar,Y2404,X2405,"f",FALSE)</f>
        <v>56073</v>
      </c>
      <c r="Z2405" s="108">
        <f>_xll.qlCalendarAdvance(Calendar,Y2405,0&amp;"D")</f>
        <v>56073</v>
      </c>
      <c r="AA2405" s="109">
        <v>1.2769841694790784E-2</v>
      </c>
      <c r="AB2405" s="143">
        <f t="shared" si="84"/>
        <v>0</v>
      </c>
      <c r="AC2405" s="236" t="e">
        <v>#N/A</v>
      </c>
      <c r="AD2405" s="236">
        <v>1.2769841694790784E-2</v>
      </c>
    </row>
    <row r="2406" spans="23:30" x14ac:dyDescent="0.2">
      <c r="W2406" s="144"/>
      <c r="X2406" s="113" t="str">
        <f t="shared" si="83"/>
        <v>1w</v>
      </c>
      <c r="Y2406" s="106">
        <f>_xll.qlCalendarAdvance(Calendar,Y2405,X2406,"f",FALSE)</f>
        <v>56080</v>
      </c>
      <c r="Z2406" s="108">
        <f>_xll.qlCalendarAdvance(Calendar,Y2406,0&amp;"D")</f>
        <v>56080</v>
      </c>
      <c r="AA2406" s="109">
        <v>1.2760021863043036E-2</v>
      </c>
      <c r="AB2406" s="143">
        <f t="shared" si="84"/>
        <v>0</v>
      </c>
      <c r="AC2406" s="236" t="e">
        <v>#N/A</v>
      </c>
      <c r="AD2406" s="236">
        <v>1.2760021863043036E-2</v>
      </c>
    </row>
    <row r="2407" spans="23:30" x14ac:dyDescent="0.2">
      <c r="W2407" s="144"/>
      <c r="X2407" s="113" t="str">
        <f t="shared" si="83"/>
        <v>1w</v>
      </c>
      <c r="Y2407" s="106">
        <f>_xll.qlCalendarAdvance(Calendar,Y2406,X2407,"f",FALSE)</f>
        <v>56087</v>
      </c>
      <c r="Z2407" s="108">
        <f>_xll.qlCalendarAdvance(Calendar,Y2407,0&amp;"D")</f>
        <v>56087</v>
      </c>
      <c r="AA2407" s="109">
        <v>1.2750168329294098E-2</v>
      </c>
      <c r="AB2407" s="143">
        <f t="shared" si="84"/>
        <v>0</v>
      </c>
      <c r="AC2407" s="236" t="e">
        <v>#N/A</v>
      </c>
      <c r="AD2407" s="236">
        <v>1.2750168329294098E-2</v>
      </c>
    </row>
    <row r="2408" spans="23:30" x14ac:dyDescent="0.2">
      <c r="W2408" s="144"/>
      <c r="X2408" s="113" t="str">
        <f t="shared" si="83"/>
        <v>1w</v>
      </c>
      <c r="Y2408" s="106">
        <f>_xll.qlCalendarAdvance(Calendar,Y2407,X2408,"f",FALSE)</f>
        <v>56094</v>
      </c>
      <c r="Z2408" s="108">
        <f>_xll.qlCalendarAdvance(Calendar,Y2408,0&amp;"D")</f>
        <v>56094</v>
      </c>
      <c r="AA2408" s="109">
        <v>1.2740281093623906E-2</v>
      </c>
      <c r="AB2408" s="143">
        <f t="shared" si="84"/>
        <v>0</v>
      </c>
      <c r="AC2408" s="236" t="e">
        <v>#N/A</v>
      </c>
      <c r="AD2408" s="236">
        <v>1.2740281093623906E-2</v>
      </c>
    </row>
    <row r="2409" spans="23:30" x14ac:dyDescent="0.2">
      <c r="W2409" s="144"/>
      <c r="X2409" s="113" t="str">
        <f t="shared" si="83"/>
        <v>1w</v>
      </c>
      <c r="Y2409" s="106">
        <f>_xll.qlCalendarAdvance(Calendar,Y2408,X2409,"f",FALSE)</f>
        <v>56101</v>
      </c>
      <c r="Z2409" s="108">
        <f>_xll.qlCalendarAdvance(Calendar,Y2409,0&amp;"D")</f>
        <v>56101</v>
      </c>
      <c r="AA2409" s="109">
        <v>1.2730360155952525E-2</v>
      </c>
      <c r="AB2409" s="143">
        <f t="shared" si="84"/>
        <v>7.9936057773011271E-14</v>
      </c>
      <c r="AC2409" s="236" t="e">
        <v>#N/A</v>
      </c>
      <c r="AD2409" s="236">
        <v>1.2730360155872589E-2</v>
      </c>
    </row>
    <row r="2410" spans="23:30" x14ac:dyDescent="0.2">
      <c r="W2410" s="144"/>
      <c r="X2410" s="113" t="str">
        <f t="shared" si="83"/>
        <v>1w</v>
      </c>
      <c r="Y2410" s="106">
        <f>_xll.qlCalendarAdvance(Calendar,Y2409,X2410,"f",FALSE)</f>
        <v>56108</v>
      </c>
      <c r="Z2410" s="108">
        <f>_xll.qlCalendarAdvance(Calendar,Y2410,0&amp;"D")</f>
        <v>56108</v>
      </c>
      <c r="AA2410" s="109">
        <v>1.2720405516120081E-2</v>
      </c>
      <c r="AB2410" s="143">
        <f t="shared" si="84"/>
        <v>-7.9936057773011271E-14</v>
      </c>
      <c r="AC2410" s="236" t="e">
        <v>#N/A</v>
      </c>
      <c r="AD2410" s="236">
        <v>1.2720405516200017E-2</v>
      </c>
    </row>
    <row r="2411" spans="23:30" x14ac:dyDescent="0.2">
      <c r="W2411" s="144"/>
      <c r="X2411" s="113" t="str">
        <f t="shared" si="83"/>
        <v>1w</v>
      </c>
      <c r="Y2411" s="106">
        <f>_xll.qlCalendarAdvance(Calendar,Y2410,X2411,"f",FALSE)</f>
        <v>56115</v>
      </c>
      <c r="Z2411" s="108">
        <f>_xll.qlCalendarAdvance(Calendar,Y2411,0&amp;"D")</f>
        <v>56115</v>
      </c>
      <c r="AA2411" s="109">
        <v>1.271041717444632E-2</v>
      </c>
      <c r="AB2411" s="143">
        <f t="shared" si="84"/>
        <v>-7.9936057773011271E-14</v>
      </c>
      <c r="AC2411" s="236" t="e">
        <v>#N/A</v>
      </c>
      <c r="AD2411" s="236">
        <v>1.2710417174526256E-2</v>
      </c>
    </row>
    <row r="2412" spans="23:30" x14ac:dyDescent="0.2">
      <c r="W2412" s="144"/>
      <c r="X2412" s="113" t="str">
        <f t="shared" si="83"/>
        <v>1w</v>
      </c>
      <c r="Y2412" s="106">
        <f>_xll.qlCalendarAdvance(Calendar,Y2411,X2412,"f",FALSE)</f>
        <v>56122</v>
      </c>
      <c r="Z2412" s="108">
        <f>_xll.qlCalendarAdvance(Calendar,Y2412,0&amp;"D")</f>
        <v>56122</v>
      </c>
      <c r="AA2412" s="109">
        <v>1.2700395131011177E-2</v>
      </c>
      <c r="AB2412" s="143">
        <f t="shared" si="84"/>
        <v>0</v>
      </c>
      <c r="AC2412" s="236" t="e">
        <v>#N/A</v>
      </c>
      <c r="AD2412" s="236">
        <v>1.2700395131011177E-2</v>
      </c>
    </row>
    <row r="2413" spans="23:30" x14ac:dyDescent="0.2">
      <c r="W2413" s="144"/>
      <c r="X2413" s="113" t="str">
        <f t="shared" si="83"/>
        <v>1w</v>
      </c>
      <c r="Y2413" s="106">
        <f>_xll.qlCalendarAdvance(Calendar,Y2412,X2413,"f",FALSE)</f>
        <v>56129</v>
      </c>
      <c r="Z2413" s="108">
        <f>_xll.qlCalendarAdvance(Calendar,Y2413,0&amp;"D")</f>
        <v>56129</v>
      </c>
      <c r="AA2413" s="109">
        <v>1.2690339385335037E-2</v>
      </c>
      <c r="AB2413" s="143">
        <f t="shared" si="84"/>
        <v>0</v>
      </c>
      <c r="AC2413" s="236" t="e">
        <v>#N/A</v>
      </c>
      <c r="AD2413" s="236">
        <v>1.2690339385335037E-2</v>
      </c>
    </row>
    <row r="2414" spans="23:30" x14ac:dyDescent="0.2">
      <c r="W2414" s="144"/>
      <c r="X2414" s="113" t="str">
        <f t="shared" si="83"/>
        <v>1w</v>
      </c>
      <c r="Y2414" s="106">
        <f>_xll.qlCalendarAdvance(Calendar,Y2413,X2414,"f",FALSE)</f>
        <v>56136</v>
      </c>
      <c r="Z2414" s="108">
        <f>_xll.qlCalendarAdvance(Calendar,Y2414,0&amp;"D")</f>
        <v>56136</v>
      </c>
      <c r="AA2414" s="109">
        <v>1.2680249937737642E-2</v>
      </c>
      <c r="AB2414" s="143">
        <f t="shared" si="84"/>
        <v>0</v>
      </c>
      <c r="AC2414" s="236" t="e">
        <v>#N/A</v>
      </c>
      <c r="AD2414" s="236">
        <v>1.2680249937737642E-2</v>
      </c>
    </row>
    <row r="2415" spans="23:30" x14ac:dyDescent="0.2">
      <c r="W2415" s="144"/>
      <c r="X2415" s="113" t="str">
        <f t="shared" si="83"/>
        <v>1w</v>
      </c>
      <c r="Y2415" s="106">
        <f>_xll.qlCalendarAdvance(Calendar,Y2414,X2415,"f",FALSE)</f>
        <v>56143</v>
      </c>
      <c r="Z2415" s="108">
        <f>_xll.qlCalendarAdvance(Calendar,Y2415,0&amp;"D")</f>
        <v>56143</v>
      </c>
      <c r="AA2415" s="109">
        <v>1.2670126788139058E-2</v>
      </c>
      <c r="AB2415" s="143">
        <f t="shared" si="84"/>
        <v>-7.9936057773011271E-14</v>
      </c>
      <c r="AC2415" s="236" t="e">
        <v>#N/A</v>
      </c>
      <c r="AD2415" s="236">
        <v>1.2670126788218994E-2</v>
      </c>
    </row>
    <row r="2416" spans="23:30" x14ac:dyDescent="0.2">
      <c r="W2416" s="144"/>
      <c r="X2416" s="113" t="str">
        <f t="shared" si="83"/>
        <v>1w</v>
      </c>
      <c r="Y2416" s="106">
        <f>_xll.qlCalendarAdvance(Calendar,Y2415,X2416,"f",FALSE)</f>
        <v>56150</v>
      </c>
      <c r="Z2416" s="108">
        <f>_xll.qlCalendarAdvance(Calendar,Y2416,0&amp;"D")</f>
        <v>56150</v>
      </c>
      <c r="AA2416" s="109">
        <v>1.2659969936699156E-2</v>
      </c>
      <c r="AB2416" s="143">
        <f t="shared" si="84"/>
        <v>0</v>
      </c>
      <c r="AC2416" s="236" t="e">
        <v>#N/A</v>
      </c>
      <c r="AD2416" s="236">
        <v>1.2659969936699156E-2</v>
      </c>
    </row>
    <row r="2417" spans="23:30" x14ac:dyDescent="0.2">
      <c r="W2417" s="144"/>
      <c r="X2417" s="113" t="str">
        <f t="shared" si="83"/>
        <v>1w</v>
      </c>
      <c r="Y2417" s="106">
        <f>_xll.qlCalendarAdvance(Calendar,Y2416,X2417,"f",FALSE)</f>
        <v>56157</v>
      </c>
      <c r="Z2417" s="108">
        <f>_xll.qlCalendarAdvance(Calendar,Y2417,0&amp;"D")</f>
        <v>56157</v>
      </c>
      <c r="AA2417" s="109">
        <v>1.2649779383178128E-2</v>
      </c>
      <c r="AB2417" s="143">
        <f t="shared" si="84"/>
        <v>-7.9936057773011271E-14</v>
      </c>
      <c r="AC2417" s="236" t="e">
        <v>#N/A</v>
      </c>
      <c r="AD2417" s="236">
        <v>1.2649779383258064E-2</v>
      </c>
    </row>
    <row r="2418" spans="23:30" x14ac:dyDescent="0.2">
      <c r="W2418" s="144"/>
      <c r="X2418" s="113" t="str">
        <f t="shared" si="83"/>
        <v>1w</v>
      </c>
      <c r="Y2418" s="106">
        <f>_xll.qlCalendarAdvance(Calendar,Y2417,X2418,"f",FALSE)</f>
        <v>56164</v>
      </c>
      <c r="Z2418" s="108">
        <f>_xll.qlCalendarAdvance(Calendar,Y2418,0&amp;"D")</f>
        <v>56164</v>
      </c>
      <c r="AA2418" s="109">
        <v>1.2639555127815782E-2</v>
      </c>
      <c r="AB2418" s="143">
        <f t="shared" si="84"/>
        <v>7.9936057773011271E-14</v>
      </c>
      <c r="AC2418" s="236" t="e">
        <v>#N/A</v>
      </c>
      <c r="AD2418" s="236">
        <v>1.2639555127735846E-2</v>
      </c>
    </row>
    <row r="2419" spans="23:30" x14ac:dyDescent="0.2">
      <c r="W2419" s="144"/>
      <c r="X2419" s="113" t="str">
        <f t="shared" si="83"/>
        <v>1w</v>
      </c>
      <c r="Y2419" s="106">
        <f>_xll.qlCalendarAdvance(Calendar,Y2418,X2419,"f",FALSE)</f>
        <v>56171</v>
      </c>
      <c r="Z2419" s="108">
        <f>_xll.qlCalendarAdvance(Calendar,Y2419,0&amp;"D")</f>
        <v>56171</v>
      </c>
      <c r="AA2419" s="109">
        <v>1.2629297170372311E-2</v>
      </c>
      <c r="AB2419" s="143">
        <f t="shared" si="84"/>
        <v>0</v>
      </c>
      <c r="AC2419" s="236" t="e">
        <v>#N/A</v>
      </c>
      <c r="AD2419" s="236">
        <v>1.2629297170372311E-2</v>
      </c>
    </row>
    <row r="2420" spans="23:30" x14ac:dyDescent="0.2">
      <c r="W2420" s="144"/>
      <c r="X2420" s="113" t="str">
        <f t="shared" si="83"/>
        <v>1w</v>
      </c>
      <c r="Y2420" s="106">
        <f>_xll.qlCalendarAdvance(Calendar,Y2419,X2420,"f",FALSE)</f>
        <v>56178</v>
      </c>
      <c r="Z2420" s="108">
        <f>_xll.qlCalendarAdvance(Calendar,Y2420,0&amp;"D")</f>
        <v>56178</v>
      </c>
      <c r="AA2420" s="109">
        <v>1.261900551092765E-2</v>
      </c>
      <c r="AB2420" s="143">
        <f t="shared" si="84"/>
        <v>-7.9936057773011271E-14</v>
      </c>
      <c r="AC2420" s="236" t="e">
        <v>#N/A</v>
      </c>
      <c r="AD2420" s="236">
        <v>1.2619005511007586E-2</v>
      </c>
    </row>
    <row r="2421" spans="23:30" x14ac:dyDescent="0.2">
      <c r="W2421" s="144"/>
      <c r="X2421" s="113" t="str">
        <f t="shared" si="83"/>
        <v>1w</v>
      </c>
      <c r="Y2421" s="106">
        <f>_xll.qlCalendarAdvance(Calendar,Y2420,X2421,"f",FALSE)</f>
        <v>56185</v>
      </c>
      <c r="Z2421" s="108">
        <f>_xll.qlCalendarAdvance(Calendar,Y2421,0&amp;"D")</f>
        <v>56185</v>
      </c>
      <c r="AA2421" s="109">
        <v>1.2608680149721607E-2</v>
      </c>
      <c r="AB2421" s="143">
        <f t="shared" si="84"/>
        <v>0</v>
      </c>
      <c r="AC2421" s="236" t="e">
        <v>#N/A</v>
      </c>
      <c r="AD2421" s="236">
        <v>1.2608680149721607E-2</v>
      </c>
    </row>
    <row r="2422" spans="23:30" x14ac:dyDescent="0.2">
      <c r="W2422" s="144"/>
      <c r="X2422" s="113" t="str">
        <f t="shared" si="83"/>
        <v>1w</v>
      </c>
      <c r="Y2422" s="106">
        <f>_xll.qlCalendarAdvance(Calendar,Y2421,X2422,"f",FALSE)</f>
        <v>56192</v>
      </c>
      <c r="Z2422" s="108">
        <f>_xll.qlCalendarAdvance(Calendar,Y2422,0&amp;"D")</f>
        <v>56192</v>
      </c>
      <c r="AA2422" s="109">
        <v>1.2598321086434439E-2</v>
      </c>
      <c r="AB2422" s="143">
        <f t="shared" si="84"/>
        <v>-7.9936057773011271E-14</v>
      </c>
      <c r="AC2422" s="236" t="e">
        <v>#N/A</v>
      </c>
      <c r="AD2422" s="236">
        <v>1.2598321086514375E-2</v>
      </c>
    </row>
    <row r="2423" spans="23:30" x14ac:dyDescent="0.2">
      <c r="W2423" s="144"/>
      <c r="X2423" s="113" t="str">
        <f t="shared" si="83"/>
        <v>1w</v>
      </c>
      <c r="Y2423" s="106">
        <f>_xll.qlCalendarAdvance(Calendar,Y2422,X2423,"f",FALSE)</f>
        <v>56199</v>
      </c>
      <c r="Z2423" s="108">
        <f>_xll.qlCalendarAdvance(Calendar,Y2423,0&amp;"D")</f>
        <v>56199</v>
      </c>
      <c r="AA2423" s="109">
        <v>1.2587928321226016E-2</v>
      </c>
      <c r="AB2423" s="143">
        <f t="shared" si="84"/>
        <v>-7.9936057773011271E-14</v>
      </c>
      <c r="AC2423" s="236" t="e">
        <v>#N/A</v>
      </c>
      <c r="AD2423" s="236">
        <v>1.2587928321305952E-2</v>
      </c>
    </row>
    <row r="2424" spans="23:30" x14ac:dyDescent="0.2">
      <c r="W2424" s="144"/>
      <c r="X2424" s="113" t="str">
        <f t="shared" si="83"/>
        <v>1w</v>
      </c>
      <c r="Y2424" s="106">
        <f>_xll.qlCalendarAdvance(Calendar,Y2423,X2424,"f",FALSE)</f>
        <v>56206</v>
      </c>
      <c r="Z2424" s="108">
        <f>_xll.qlCalendarAdvance(Calendar,Y2424,0&amp;"D")</f>
        <v>56206</v>
      </c>
      <c r="AA2424" s="109">
        <v>1.2577501854256212E-2</v>
      </c>
      <c r="AB2424" s="143">
        <f t="shared" si="84"/>
        <v>7.9936057773011271E-14</v>
      </c>
      <c r="AC2424" s="236" t="e">
        <v>#N/A</v>
      </c>
      <c r="AD2424" s="236">
        <v>1.2577501854176276E-2</v>
      </c>
    </row>
    <row r="2425" spans="23:30" x14ac:dyDescent="0.2">
      <c r="W2425" s="144"/>
      <c r="X2425" s="113" t="str">
        <f t="shared" si="83"/>
        <v>1w</v>
      </c>
      <c r="Y2425" s="106">
        <f>_xll.qlCalendarAdvance(Calendar,Y2424,X2425,"f",FALSE)</f>
        <v>56213</v>
      </c>
      <c r="Z2425" s="108">
        <f>_xll.qlCalendarAdvance(Calendar,Y2425,0&amp;"D")</f>
        <v>56213</v>
      </c>
      <c r="AA2425" s="109">
        <v>1.2567041685125346E-2</v>
      </c>
      <c r="AB2425" s="143">
        <f t="shared" si="84"/>
        <v>7.9936057773011271E-14</v>
      </c>
      <c r="AC2425" s="236" t="e">
        <v>#N/A</v>
      </c>
      <c r="AD2425" s="236">
        <v>1.256704168504541E-2</v>
      </c>
    </row>
    <row r="2426" spans="23:30" x14ac:dyDescent="0.2">
      <c r="W2426" s="144"/>
      <c r="X2426" s="113" t="str">
        <f t="shared" si="83"/>
        <v>1w</v>
      </c>
      <c r="Y2426" s="106">
        <f>_xll.qlCalendarAdvance(Calendar,Y2425,X2426,"f",FALSE)</f>
        <v>56220</v>
      </c>
      <c r="Z2426" s="108">
        <f>_xll.qlCalendarAdvance(Calendar,Y2426,0&amp;"D")</f>
        <v>56220</v>
      </c>
      <c r="AA2426" s="109">
        <v>1.2556547814073227E-2</v>
      </c>
      <c r="AB2426" s="143">
        <f t="shared" si="84"/>
        <v>0</v>
      </c>
      <c r="AC2426" s="236" t="e">
        <v>#N/A</v>
      </c>
      <c r="AD2426" s="236">
        <v>1.2556547814073227E-2</v>
      </c>
    </row>
    <row r="2427" spans="23:30" x14ac:dyDescent="0.2">
      <c r="W2427" s="144"/>
      <c r="X2427" s="113" t="str">
        <f t="shared" si="83"/>
        <v>1w</v>
      </c>
      <c r="Y2427" s="106">
        <f>_xll.qlCalendarAdvance(Calendar,Y2426,X2427,"f",FALSE)</f>
        <v>56227</v>
      </c>
      <c r="Z2427" s="108">
        <f>_xll.qlCalendarAdvance(Calendar,Y2427,0&amp;"D")</f>
        <v>56227</v>
      </c>
      <c r="AA2427" s="109">
        <v>1.2546020241179789E-2</v>
      </c>
      <c r="AB2427" s="143">
        <f t="shared" si="84"/>
        <v>0</v>
      </c>
      <c r="AC2427" s="236" t="e">
        <v>#N/A</v>
      </c>
      <c r="AD2427" s="236">
        <v>1.2546020241179789E-2</v>
      </c>
    </row>
    <row r="2428" spans="23:30" x14ac:dyDescent="0.2">
      <c r="W2428" s="144"/>
      <c r="X2428" s="113" t="str">
        <f t="shared" si="83"/>
        <v>1w</v>
      </c>
      <c r="Y2428" s="106">
        <f>_xll.qlCalendarAdvance(Calendar,Y2427,X2428,"f",FALSE)</f>
        <v>56234</v>
      </c>
      <c r="Z2428" s="108">
        <f>_xll.qlCalendarAdvance(Calendar,Y2428,0&amp;"D")</f>
        <v>56234</v>
      </c>
      <c r="AA2428" s="109">
        <v>1.2535458966285162E-2</v>
      </c>
      <c r="AB2428" s="143">
        <f t="shared" si="84"/>
        <v>7.9936057773011271E-14</v>
      </c>
      <c r="AC2428" s="236" t="e">
        <v>#N/A</v>
      </c>
      <c r="AD2428" s="236">
        <v>1.2535458966205226E-2</v>
      </c>
    </row>
    <row r="2429" spans="23:30" x14ac:dyDescent="0.2">
      <c r="W2429" s="144"/>
      <c r="X2429" s="113" t="str">
        <f t="shared" si="83"/>
        <v>1w</v>
      </c>
      <c r="Y2429" s="106">
        <f>_xll.qlCalendarAdvance(Calendar,Y2428,X2429,"f",FALSE)</f>
        <v>56241</v>
      </c>
      <c r="Z2429" s="108">
        <f>_xll.qlCalendarAdvance(Calendar,Y2429,0&amp;"D")</f>
        <v>56241</v>
      </c>
      <c r="AA2429" s="109">
        <v>1.2524863989469281E-2</v>
      </c>
      <c r="AB2429" s="143">
        <f t="shared" si="84"/>
        <v>0</v>
      </c>
      <c r="AC2429" s="236" t="e">
        <v>#N/A</v>
      </c>
      <c r="AD2429" s="236">
        <v>1.2524863989469281E-2</v>
      </c>
    </row>
    <row r="2430" spans="23:30" x14ac:dyDescent="0.2">
      <c r="W2430" s="144"/>
      <c r="X2430" s="113" t="str">
        <f t="shared" si="83"/>
        <v>1w</v>
      </c>
      <c r="Y2430" s="106">
        <f>_xll.qlCalendarAdvance(Calendar,Y2429,X2430,"f",FALSE)</f>
        <v>56248</v>
      </c>
      <c r="Z2430" s="108">
        <f>_xll.qlCalendarAdvance(Calendar,Y2430,0&amp;"D")</f>
        <v>56248</v>
      </c>
      <c r="AA2430" s="109">
        <v>1.2514235310732147E-2</v>
      </c>
      <c r="AB2430" s="143">
        <f t="shared" si="84"/>
        <v>0</v>
      </c>
      <c r="AC2430" s="236" t="e">
        <v>#N/A</v>
      </c>
      <c r="AD2430" s="236">
        <v>1.2514235310732147E-2</v>
      </c>
    </row>
    <row r="2431" spans="23:30" x14ac:dyDescent="0.2">
      <c r="W2431" s="144"/>
      <c r="X2431" s="113" t="str">
        <f t="shared" si="83"/>
        <v>1w</v>
      </c>
      <c r="Y2431" s="106">
        <f>_xll.qlCalendarAdvance(Calendar,Y2430,X2431,"f",FALSE)</f>
        <v>56255</v>
      </c>
      <c r="Z2431" s="108">
        <f>_xll.qlCalendarAdvance(Calendar,Y2431,0&amp;"D")</f>
        <v>56255</v>
      </c>
      <c r="AA2431" s="109">
        <v>1.2503572929993823E-2</v>
      </c>
      <c r="AB2431" s="143">
        <f t="shared" si="84"/>
        <v>-7.9936057773011271E-14</v>
      </c>
      <c r="AC2431" s="236" t="e">
        <v>#N/A</v>
      </c>
      <c r="AD2431" s="236">
        <v>1.2503572930073759E-2</v>
      </c>
    </row>
    <row r="2432" spans="23:30" x14ac:dyDescent="0.2">
      <c r="W2432" s="144"/>
      <c r="X2432" s="113" t="str">
        <f t="shared" si="83"/>
        <v>1w</v>
      </c>
      <c r="Y2432" s="106">
        <f>_xll.qlCalendarAdvance(Calendar,Y2431,X2432,"f",FALSE)</f>
        <v>56262</v>
      </c>
      <c r="Z2432" s="108">
        <f>_xll.qlCalendarAdvance(Calendar,Y2432,0&amp;"D")</f>
        <v>56262</v>
      </c>
      <c r="AA2432" s="109">
        <v>1.249287684741418E-2</v>
      </c>
      <c r="AB2432" s="143">
        <f t="shared" si="84"/>
        <v>-7.9936057773011271E-14</v>
      </c>
      <c r="AC2432" s="236" t="e">
        <v>#N/A</v>
      </c>
      <c r="AD2432" s="236">
        <v>1.2492876847494117E-2</v>
      </c>
    </row>
    <row r="2433" spans="23:30" x14ac:dyDescent="0.2">
      <c r="W2433" s="144"/>
      <c r="X2433" s="113" t="str">
        <f t="shared" si="83"/>
        <v>1w</v>
      </c>
      <c r="Y2433" s="106">
        <f>_xll.qlCalendarAdvance(Calendar,Y2432,X2433,"f",FALSE)</f>
        <v>56269</v>
      </c>
      <c r="Z2433" s="108">
        <f>_xll.qlCalendarAdvance(Calendar,Y2433,0&amp;"D")</f>
        <v>56269</v>
      </c>
      <c r="AA2433" s="109">
        <v>1.2482147063073157E-2</v>
      </c>
      <c r="AB2433" s="143">
        <f t="shared" si="84"/>
        <v>0</v>
      </c>
      <c r="AC2433" s="236" t="e">
        <v>#N/A</v>
      </c>
      <c r="AD2433" s="236">
        <v>1.2482147063073157E-2</v>
      </c>
    </row>
    <row r="2434" spans="23:30" x14ac:dyDescent="0.2">
      <c r="W2434" s="144"/>
      <c r="X2434" s="113" t="str">
        <f t="shared" si="83"/>
        <v>1w</v>
      </c>
      <c r="Y2434" s="106">
        <f>_xll.qlCalendarAdvance(Calendar,Y2433,X2434,"f",FALSE)</f>
        <v>56276</v>
      </c>
      <c r="Z2434" s="108">
        <f>_xll.qlCalendarAdvance(Calendar,Y2434,0&amp;"D")</f>
        <v>56276</v>
      </c>
      <c r="AA2434" s="109">
        <v>1.2471383576651007E-2</v>
      </c>
      <c r="AB2434" s="143">
        <f t="shared" si="84"/>
        <v>0</v>
      </c>
      <c r="AC2434" s="236" t="e">
        <v>#N/A</v>
      </c>
      <c r="AD2434" s="236">
        <v>1.2471383576651007E-2</v>
      </c>
    </row>
    <row r="2435" spans="23:30" x14ac:dyDescent="0.2">
      <c r="W2435" s="144"/>
      <c r="X2435" s="113" t="str">
        <f t="shared" si="83"/>
        <v>1w</v>
      </c>
      <c r="Y2435" s="106">
        <f>_xll.qlCalendarAdvance(Calendar,Y2434,X2435,"f",FALSE)</f>
        <v>56283</v>
      </c>
      <c r="Z2435" s="108">
        <f>_xll.qlCalendarAdvance(Calendar,Y2435,0&amp;"D")</f>
        <v>56283</v>
      </c>
      <c r="AA2435" s="109">
        <v>1.2460586388307604E-2</v>
      </c>
      <c r="AB2435" s="143">
        <f t="shared" si="84"/>
        <v>0</v>
      </c>
      <c r="AC2435" s="236" t="e">
        <v>#N/A</v>
      </c>
      <c r="AD2435" s="236">
        <v>1.2460586388307604E-2</v>
      </c>
    </row>
    <row r="2436" spans="23:30" x14ac:dyDescent="0.2">
      <c r="W2436" s="144"/>
      <c r="X2436" s="113" t="str">
        <f t="shared" si="83"/>
        <v>1w</v>
      </c>
      <c r="Y2436" s="106">
        <f>_xll.qlCalendarAdvance(Calendar,Y2435,X2436,"f",FALSE)</f>
        <v>56290</v>
      </c>
      <c r="Z2436" s="108">
        <f>_xll.qlCalendarAdvance(Calendar,Y2436,0&amp;"D")</f>
        <v>56290</v>
      </c>
      <c r="AA2436" s="109">
        <v>1.2449755498042947E-2</v>
      </c>
      <c r="AB2436" s="143">
        <f t="shared" si="84"/>
        <v>0</v>
      </c>
      <c r="AC2436" s="236" t="e">
        <v>#N/A</v>
      </c>
      <c r="AD2436" s="236">
        <v>1.2449755498042947E-2</v>
      </c>
    </row>
    <row r="2437" spans="23:30" x14ac:dyDescent="0.2">
      <c r="W2437" s="144"/>
      <c r="X2437" s="113" t="str">
        <f t="shared" si="83"/>
        <v>1w</v>
      </c>
      <c r="Y2437" s="106">
        <f>_xll.qlCalendarAdvance(Calendar,Y2436,X2437,"f",FALSE)</f>
        <v>56297</v>
      </c>
      <c r="Z2437" s="108">
        <f>_xll.qlCalendarAdvance(Calendar,Y2437,0&amp;"D")</f>
        <v>56297</v>
      </c>
      <c r="AA2437" s="109">
        <v>1.2438890906016908E-2</v>
      </c>
      <c r="AB2437" s="143">
        <f t="shared" si="84"/>
        <v>0</v>
      </c>
      <c r="AC2437" s="236" t="e">
        <v>#N/A</v>
      </c>
      <c r="AD2437" s="236">
        <v>1.2438890906016908E-2</v>
      </c>
    </row>
    <row r="2438" spans="23:30" x14ac:dyDescent="0.2">
      <c r="W2438" s="144"/>
      <c r="X2438" s="113" t="str">
        <f t="shared" si="83"/>
        <v>1w</v>
      </c>
      <c r="Y2438" s="106">
        <f>_xll.qlCalendarAdvance(Calendar,Y2437,X2438,"f",FALSE)</f>
        <v>56304</v>
      </c>
      <c r="Z2438" s="108">
        <f>_xll.qlCalendarAdvance(Calendar,Y2438,0&amp;"D")</f>
        <v>56304</v>
      </c>
      <c r="AA2438" s="109">
        <v>1.2427992611909744E-2</v>
      </c>
      <c r="AB2438" s="143">
        <f t="shared" si="84"/>
        <v>0</v>
      </c>
      <c r="AC2438" s="236" t="e">
        <v>#N/A</v>
      </c>
      <c r="AD2438" s="236">
        <v>1.2427992611909744E-2</v>
      </c>
    </row>
    <row r="2439" spans="23:30" x14ac:dyDescent="0.2">
      <c r="W2439" s="144"/>
      <c r="X2439" s="113" t="str">
        <f t="shared" si="83"/>
        <v>1w</v>
      </c>
      <c r="Y2439" s="106">
        <f>_xll.qlCalendarAdvance(Calendar,Y2438,X2439,"f",FALSE)</f>
        <v>56311</v>
      </c>
      <c r="Z2439" s="108">
        <f>_xll.qlCalendarAdvance(Calendar,Y2439,0&amp;"D")</f>
        <v>56311</v>
      </c>
      <c r="AA2439" s="109">
        <v>1.2417060616121134E-2</v>
      </c>
      <c r="AB2439" s="143">
        <f t="shared" si="84"/>
        <v>7.9936057773011271E-14</v>
      </c>
      <c r="AC2439" s="236" t="e">
        <v>#N/A</v>
      </c>
      <c r="AD2439" s="236">
        <v>1.2417060616041198E-2</v>
      </c>
    </row>
    <row r="2440" spans="23:30" x14ac:dyDescent="0.2">
      <c r="W2440" s="144"/>
      <c r="X2440" s="113" t="str">
        <f t="shared" si="83"/>
        <v>1w</v>
      </c>
      <c r="Y2440" s="106">
        <f>_xll.qlCalendarAdvance(Calendar,Y2439,X2440,"f",FALSE)</f>
        <v>56318</v>
      </c>
      <c r="Z2440" s="108">
        <f>_xll.qlCalendarAdvance(Calendar,Y2440,0&amp;"D")</f>
        <v>56318</v>
      </c>
      <c r="AA2440" s="109">
        <v>1.2406094918091526E-2</v>
      </c>
      <c r="AB2440" s="143">
        <f t="shared" si="84"/>
        <v>-7.9936057773011271E-14</v>
      </c>
      <c r="AC2440" s="236" t="e">
        <v>#N/A</v>
      </c>
      <c r="AD2440" s="236">
        <v>1.2406094918171462E-2</v>
      </c>
    </row>
    <row r="2441" spans="23:30" x14ac:dyDescent="0.2">
      <c r="W2441" s="144"/>
      <c r="X2441" s="113" t="str">
        <f t="shared" si="83"/>
        <v>1w</v>
      </c>
      <c r="Y2441" s="106">
        <f>_xll.qlCalendarAdvance(Calendar,Y2440,X2441,"f",FALSE)</f>
        <v>56325</v>
      </c>
      <c r="Z2441" s="108">
        <f>_xll.qlCalendarAdvance(Calendar,Y2441,0&amp;"D")</f>
        <v>56325</v>
      </c>
      <c r="AA2441" s="109">
        <v>1.2395095518380472E-2</v>
      </c>
      <c r="AB2441" s="143">
        <f t="shared" si="84"/>
        <v>-7.9936057773011271E-14</v>
      </c>
      <c r="AC2441" s="236" t="e">
        <v>#N/A</v>
      </c>
      <c r="AD2441" s="236">
        <v>1.2395095518460408E-2</v>
      </c>
    </row>
    <row r="2442" spans="23:30" x14ac:dyDescent="0.2">
      <c r="W2442" s="144"/>
      <c r="X2442" s="113" t="str">
        <f t="shared" si="83"/>
        <v>1w</v>
      </c>
      <c r="Y2442" s="106">
        <f>_xll.qlCalendarAdvance(Calendar,Y2441,X2442,"f",FALSE)</f>
        <v>56332</v>
      </c>
      <c r="Z2442" s="108">
        <f>_xll.qlCalendarAdvance(Calendar,Y2442,0&amp;"D")</f>
        <v>56332</v>
      </c>
      <c r="AA2442" s="109">
        <v>1.2384062416908037E-2</v>
      </c>
      <c r="AB2442" s="143">
        <f t="shared" si="84"/>
        <v>0</v>
      </c>
      <c r="AC2442" s="236" t="e">
        <v>#N/A</v>
      </c>
      <c r="AD2442" s="236">
        <v>1.2384062416908037E-2</v>
      </c>
    </row>
    <row r="2443" spans="23:30" x14ac:dyDescent="0.2">
      <c r="W2443" s="144"/>
      <c r="X2443" s="113" t="str">
        <f t="shared" si="83"/>
        <v>1w</v>
      </c>
      <c r="Y2443" s="106">
        <f>_xll.qlCalendarAdvance(Calendar,Y2442,X2443,"f",FALSE)</f>
        <v>56339</v>
      </c>
      <c r="Z2443" s="108">
        <f>_xll.qlCalendarAdvance(Calendar,Y2443,0&amp;"D")</f>
        <v>56339</v>
      </c>
      <c r="AA2443" s="109">
        <v>1.2372995613354476E-2</v>
      </c>
      <c r="AB2443" s="143">
        <f t="shared" si="84"/>
        <v>0</v>
      </c>
      <c r="AC2443" s="236" t="e">
        <v>#N/A</v>
      </c>
      <c r="AD2443" s="236">
        <v>1.2372995613354476E-2</v>
      </c>
    </row>
    <row r="2444" spans="23:30" x14ac:dyDescent="0.2">
      <c r="W2444" s="144"/>
      <c r="X2444" s="113" t="str">
        <f t="shared" si="83"/>
        <v>1w</v>
      </c>
      <c r="Y2444" s="106">
        <f>_xll.qlCalendarAdvance(Calendar,Y2443,X2444,"f",FALSE)</f>
        <v>56346</v>
      </c>
      <c r="Z2444" s="108">
        <f>_xll.qlCalendarAdvance(Calendar,Y2444,0&amp;"D")</f>
        <v>56346</v>
      </c>
      <c r="AA2444" s="109">
        <v>1.2361895108119469E-2</v>
      </c>
      <c r="AB2444" s="143">
        <f t="shared" si="84"/>
        <v>0</v>
      </c>
      <c r="AC2444" s="236" t="e">
        <v>#N/A</v>
      </c>
      <c r="AD2444" s="236">
        <v>1.2361895108119469E-2</v>
      </c>
    </row>
    <row r="2445" spans="23:30" x14ac:dyDescent="0.2">
      <c r="W2445" s="144"/>
      <c r="X2445" s="113" t="str">
        <f t="shared" ref="X2445:X2508" si="85">X2444</f>
        <v>1w</v>
      </c>
      <c r="Y2445" s="106">
        <f>_xll.qlCalendarAdvance(Calendar,Y2444,X2445,"f",FALSE)</f>
        <v>56353</v>
      </c>
      <c r="Z2445" s="108">
        <f>_xll.qlCalendarAdvance(Calendar,Y2445,0&amp;"D")</f>
        <v>56353</v>
      </c>
      <c r="AA2445" s="109">
        <v>1.2350760900883273E-2</v>
      </c>
      <c r="AB2445" s="143">
        <f t="shared" si="84"/>
        <v>0</v>
      </c>
      <c r="AC2445" s="236" t="e">
        <v>#N/A</v>
      </c>
      <c r="AD2445" s="236">
        <v>1.2350760900883273E-2</v>
      </c>
    </row>
    <row r="2446" spans="23:30" x14ac:dyDescent="0.2">
      <c r="W2446" s="144"/>
      <c r="X2446" s="113" t="str">
        <f t="shared" si="85"/>
        <v>1w</v>
      </c>
      <c r="Y2446" s="106">
        <f>_xll.qlCalendarAdvance(Calendar,Y2445,X2446,"f",FALSE)</f>
        <v>56360</v>
      </c>
      <c r="Z2446" s="108">
        <f>_xll.qlCalendarAdvance(Calendar,Y2446,0&amp;"D")</f>
        <v>56360</v>
      </c>
      <c r="AA2446" s="109">
        <v>1.2339592991645887E-2</v>
      </c>
      <c r="AB2446" s="143">
        <f t="shared" si="84"/>
        <v>0</v>
      </c>
      <c r="AC2446" s="236" t="e">
        <v>#N/A</v>
      </c>
      <c r="AD2446" s="236">
        <v>1.2339592991645887E-2</v>
      </c>
    </row>
    <row r="2447" spans="23:30" x14ac:dyDescent="0.2">
      <c r="W2447" s="144"/>
      <c r="X2447" s="113" t="str">
        <f t="shared" si="85"/>
        <v>1w</v>
      </c>
      <c r="Y2447" s="106">
        <f>_xll.qlCalendarAdvance(Calendar,Y2446,X2447,"f",FALSE)</f>
        <v>56367</v>
      </c>
      <c r="Z2447" s="108">
        <f>_xll.qlCalendarAdvance(Calendar,Y2447,0&amp;"D")</f>
        <v>56367</v>
      </c>
      <c r="AA2447" s="109">
        <v>1.2328391380727055E-2</v>
      </c>
      <c r="AB2447" s="143">
        <f t="shared" si="84"/>
        <v>0</v>
      </c>
      <c r="AC2447" s="236" t="e">
        <v>#N/A</v>
      </c>
      <c r="AD2447" s="236">
        <v>1.2328391380727055E-2</v>
      </c>
    </row>
    <row r="2448" spans="23:30" x14ac:dyDescent="0.2">
      <c r="W2448" s="144"/>
      <c r="X2448" s="113" t="str">
        <f t="shared" si="85"/>
        <v>1w</v>
      </c>
      <c r="Y2448" s="106">
        <f>_xll.qlCalendarAdvance(Calendar,Y2447,X2448,"f",FALSE)</f>
        <v>56374</v>
      </c>
      <c r="Z2448" s="108">
        <f>_xll.qlCalendarAdvance(Calendar,Y2448,0&amp;"D")</f>
        <v>56374</v>
      </c>
      <c r="AA2448" s="109">
        <v>1.231715606788697E-2</v>
      </c>
      <c r="AB2448" s="143">
        <f t="shared" si="84"/>
        <v>0</v>
      </c>
      <c r="AC2448" s="236" t="e">
        <v>#N/A</v>
      </c>
      <c r="AD2448" s="236">
        <v>1.231715606788697E-2</v>
      </c>
    </row>
    <row r="2449" spans="23:30" x14ac:dyDescent="0.2">
      <c r="W2449" s="144"/>
      <c r="X2449" s="113" t="str">
        <f t="shared" si="85"/>
        <v>1w</v>
      </c>
      <c r="Y2449" s="106">
        <f>_xll.qlCalendarAdvance(Calendar,Y2448,X2449,"f",FALSE)</f>
        <v>56381</v>
      </c>
      <c r="Z2449" s="108">
        <f>_xll.qlCalendarAdvance(Calendar,Y2449,0&amp;"D")</f>
        <v>56381</v>
      </c>
      <c r="AA2449" s="109">
        <v>1.2305887053205566E-2</v>
      </c>
      <c r="AB2449" s="143">
        <f t="shared" si="84"/>
        <v>0</v>
      </c>
      <c r="AC2449" s="236" t="e">
        <v>#N/A</v>
      </c>
      <c r="AD2449" s="236">
        <v>1.2305887053205566E-2</v>
      </c>
    </row>
    <row r="2450" spans="23:30" x14ac:dyDescent="0.2">
      <c r="W2450" s="144"/>
      <c r="X2450" s="113" t="str">
        <f t="shared" si="85"/>
        <v>1w</v>
      </c>
      <c r="Y2450" s="106">
        <f>_xll.qlCalendarAdvance(Calendar,Y2449,X2450,"f",FALSE)</f>
        <v>56388</v>
      </c>
      <c r="Z2450" s="108">
        <f>_xll.qlCalendarAdvance(Calendar,Y2450,0&amp;"D")</f>
        <v>56388</v>
      </c>
      <c r="AA2450" s="109">
        <v>1.2294584336522973E-2</v>
      </c>
      <c r="AB2450" s="143">
        <f t="shared" si="84"/>
        <v>0</v>
      </c>
      <c r="AC2450" s="236" t="e">
        <v>#N/A</v>
      </c>
      <c r="AD2450" s="236">
        <v>1.2294584336522973E-2</v>
      </c>
    </row>
    <row r="2451" spans="23:30" x14ac:dyDescent="0.2">
      <c r="W2451" s="144"/>
      <c r="X2451" s="113" t="str">
        <f t="shared" si="85"/>
        <v>1w</v>
      </c>
      <c r="Y2451" s="106">
        <f>_xll.qlCalendarAdvance(Calendar,Y2450,X2451,"f",FALSE)</f>
        <v>56395</v>
      </c>
      <c r="Z2451" s="108">
        <f>_xll.qlCalendarAdvance(Calendar,Y2451,0&amp;"D")</f>
        <v>56395</v>
      </c>
      <c r="AA2451" s="109">
        <v>1.2283247918238871E-2</v>
      </c>
      <c r="AB2451" s="143">
        <f t="shared" si="84"/>
        <v>7.9936057773011271E-14</v>
      </c>
      <c r="AC2451" s="236" t="e">
        <v>#N/A</v>
      </c>
      <c r="AD2451" s="236">
        <v>1.2283247918158935E-2</v>
      </c>
    </row>
    <row r="2452" spans="23:30" x14ac:dyDescent="0.2">
      <c r="W2452" s="144"/>
      <c r="X2452" s="113" t="str">
        <f t="shared" si="85"/>
        <v>1w</v>
      </c>
      <c r="Y2452" s="106">
        <f>_xll.qlCalendarAdvance(Calendar,Y2451,X2452,"f",FALSE)</f>
        <v>56402</v>
      </c>
      <c r="Z2452" s="108">
        <f>_xll.qlCalendarAdvance(Calendar,Y2452,0&amp;"D")</f>
        <v>56402</v>
      </c>
      <c r="AA2452" s="109">
        <v>1.2271877797873643E-2</v>
      </c>
      <c r="AB2452" s="143">
        <f t="shared" si="84"/>
        <v>0</v>
      </c>
      <c r="AC2452" s="236" t="e">
        <v>#N/A</v>
      </c>
      <c r="AD2452" s="236">
        <v>1.2271877797873643E-2</v>
      </c>
    </row>
    <row r="2453" spans="23:30" x14ac:dyDescent="0.2">
      <c r="W2453" s="144"/>
      <c r="X2453" s="113" t="str">
        <f t="shared" si="85"/>
        <v>1w</v>
      </c>
      <c r="Y2453" s="106">
        <f>_xll.qlCalendarAdvance(Calendar,Y2452,X2453,"f",FALSE)</f>
        <v>56409</v>
      </c>
      <c r="Z2453" s="108">
        <f>_xll.qlCalendarAdvance(Calendar,Y2453,0&amp;"D")</f>
        <v>56409</v>
      </c>
      <c r="AA2453" s="109">
        <v>1.2260473975747033E-2</v>
      </c>
      <c r="AB2453" s="143">
        <f t="shared" ref="AB2453:AB2516" si="86">AA2453-AD2453</f>
        <v>7.9936057773011271E-14</v>
      </c>
      <c r="AC2453" s="236" t="e">
        <v>#N/A</v>
      </c>
      <c r="AD2453" s="236">
        <v>1.2260473975667097E-2</v>
      </c>
    </row>
    <row r="2454" spans="23:30" x14ac:dyDescent="0.2">
      <c r="W2454" s="144"/>
      <c r="X2454" s="113" t="str">
        <f t="shared" si="85"/>
        <v>1w</v>
      </c>
      <c r="Y2454" s="106">
        <f>_xll.qlCalendarAdvance(Calendar,Y2453,X2454,"f",FALSE)</f>
        <v>56416</v>
      </c>
      <c r="Z2454" s="108">
        <f>_xll.qlCalendarAdvance(Calendar,Y2454,0&amp;"D")</f>
        <v>56416</v>
      </c>
      <c r="AA2454" s="109">
        <v>1.2249036451539297E-2</v>
      </c>
      <c r="AB2454" s="143">
        <f t="shared" si="86"/>
        <v>-7.9936057773011271E-14</v>
      </c>
      <c r="AC2454" s="236" t="e">
        <v>#N/A</v>
      </c>
      <c r="AD2454" s="236">
        <v>1.2249036451619233E-2</v>
      </c>
    </row>
    <row r="2455" spans="23:30" x14ac:dyDescent="0.2">
      <c r="W2455" s="144"/>
      <c r="X2455" s="113" t="str">
        <f t="shared" si="85"/>
        <v>1w</v>
      </c>
      <c r="Y2455" s="106">
        <f>_xll.qlCalendarAdvance(Calendar,Y2454,X2455,"f",FALSE)</f>
        <v>56423</v>
      </c>
      <c r="Z2455" s="108">
        <f>_xll.qlCalendarAdvance(Calendar,Y2455,0&amp;"D")</f>
        <v>56423</v>
      </c>
      <c r="AA2455" s="109">
        <v>1.2237565225730052E-2</v>
      </c>
      <c r="AB2455" s="143">
        <f t="shared" si="86"/>
        <v>-7.9936057773011271E-14</v>
      </c>
      <c r="AC2455" s="236" t="e">
        <v>#N/A</v>
      </c>
      <c r="AD2455" s="236">
        <v>1.2237565225809988E-2</v>
      </c>
    </row>
    <row r="2456" spans="23:30" x14ac:dyDescent="0.2">
      <c r="W2456" s="144"/>
      <c r="X2456" s="113" t="str">
        <f t="shared" si="85"/>
        <v>1w</v>
      </c>
      <c r="Y2456" s="106">
        <f>_xll.qlCalendarAdvance(Calendar,Y2455,X2456,"f",FALSE)</f>
        <v>56430</v>
      </c>
      <c r="Z2456" s="108">
        <f>_xll.qlCalendarAdvance(Calendar,Y2456,0&amp;"D")</f>
        <v>56430</v>
      </c>
      <c r="AA2456" s="109">
        <v>1.2226060298079489E-2</v>
      </c>
      <c r="AB2456" s="143">
        <f t="shared" si="86"/>
        <v>0</v>
      </c>
      <c r="AC2456" s="236" t="e">
        <v>#N/A</v>
      </c>
      <c r="AD2456" s="236">
        <v>1.2226060298079489E-2</v>
      </c>
    </row>
    <row r="2457" spans="23:30" x14ac:dyDescent="0.2">
      <c r="W2457" s="144"/>
      <c r="X2457" s="113" t="str">
        <f t="shared" si="85"/>
        <v>1w</v>
      </c>
      <c r="Y2457" s="106">
        <f>_xll.qlCalendarAdvance(Calendar,Y2456,X2457,"f",FALSE)</f>
        <v>56437</v>
      </c>
      <c r="Z2457" s="108">
        <f>_xll.qlCalendarAdvance(Calendar,Y2457,0&amp;"D")</f>
        <v>56437</v>
      </c>
      <c r="AA2457" s="109">
        <v>1.2214521668587608E-2</v>
      </c>
      <c r="AB2457" s="143">
        <f t="shared" si="86"/>
        <v>7.9936057773011271E-14</v>
      </c>
      <c r="AC2457" s="236" t="e">
        <v>#N/A</v>
      </c>
      <c r="AD2457" s="236">
        <v>1.2214521668507672E-2</v>
      </c>
    </row>
    <row r="2458" spans="23:30" x14ac:dyDescent="0.2">
      <c r="W2458" s="144"/>
      <c r="X2458" s="113" t="str">
        <f t="shared" si="85"/>
        <v>1w</v>
      </c>
      <c r="Y2458" s="106">
        <f>_xll.qlCalendarAdvance(Calendar,Y2457,X2458,"f",FALSE)</f>
        <v>56444</v>
      </c>
      <c r="Z2458" s="108">
        <f>_xll.qlCalendarAdvance(Calendar,Y2458,0&amp;"D")</f>
        <v>56444</v>
      </c>
      <c r="AA2458" s="109">
        <v>1.2202949337094537E-2</v>
      </c>
      <c r="AB2458" s="143">
        <f t="shared" si="86"/>
        <v>0</v>
      </c>
      <c r="AC2458" s="236" t="e">
        <v>#N/A</v>
      </c>
      <c r="AD2458" s="236">
        <v>1.2202949337094537E-2</v>
      </c>
    </row>
    <row r="2459" spans="23:30" x14ac:dyDescent="0.2">
      <c r="W2459" s="144"/>
      <c r="X2459" s="113" t="str">
        <f t="shared" si="85"/>
        <v>1w</v>
      </c>
      <c r="Y2459" s="106">
        <f>_xll.qlCalendarAdvance(Calendar,Y2458,X2459,"f",FALSE)</f>
        <v>56451</v>
      </c>
      <c r="Z2459" s="108">
        <f>_xll.qlCalendarAdvance(Calendar,Y2459,0&amp;"D")</f>
        <v>56451</v>
      </c>
      <c r="AA2459" s="109">
        <v>1.2191343303999957E-2</v>
      </c>
      <c r="AB2459" s="143">
        <f t="shared" si="86"/>
        <v>0</v>
      </c>
      <c r="AC2459" s="236" t="e">
        <v>#N/A</v>
      </c>
      <c r="AD2459" s="236">
        <v>1.2191343303999957E-2</v>
      </c>
    </row>
    <row r="2460" spans="23:30" x14ac:dyDescent="0.2">
      <c r="W2460" s="144"/>
      <c r="X2460" s="113" t="str">
        <f t="shared" si="85"/>
        <v>1w</v>
      </c>
      <c r="Y2460" s="106">
        <f>_xll.qlCalendarAdvance(Calendar,Y2459,X2460,"f",FALSE)</f>
        <v>56458</v>
      </c>
      <c r="Z2460" s="108">
        <f>_xll.qlCalendarAdvance(Calendar,Y2460,0&amp;"D")</f>
        <v>56458</v>
      </c>
      <c r="AA2460" s="109">
        <v>1.2179703568984124E-2</v>
      </c>
      <c r="AB2460" s="143">
        <f t="shared" si="86"/>
        <v>0</v>
      </c>
      <c r="AC2460" s="236" t="e">
        <v>#N/A</v>
      </c>
      <c r="AD2460" s="236">
        <v>1.2179703568984124E-2</v>
      </c>
    </row>
    <row r="2461" spans="23:30" x14ac:dyDescent="0.2">
      <c r="W2461" s="144"/>
      <c r="X2461" s="113" t="str">
        <f t="shared" si="85"/>
        <v>1w</v>
      </c>
      <c r="Y2461" s="106">
        <f>_xll.qlCalendarAdvance(Calendar,Y2460,X2461,"f",FALSE)</f>
        <v>56465</v>
      </c>
      <c r="Z2461" s="108">
        <f>_xll.qlCalendarAdvance(Calendar,Y2461,0&amp;"D")</f>
        <v>56465</v>
      </c>
      <c r="AA2461" s="109">
        <v>1.2168030132047036E-2</v>
      </c>
      <c r="AB2461" s="143">
        <f t="shared" si="86"/>
        <v>0</v>
      </c>
      <c r="AC2461" s="236" t="e">
        <v>#N/A</v>
      </c>
      <c r="AD2461" s="236">
        <v>1.2168030132047036E-2</v>
      </c>
    </row>
    <row r="2462" spans="23:30" x14ac:dyDescent="0.2">
      <c r="W2462" s="144"/>
      <c r="X2462" s="113" t="str">
        <f t="shared" si="85"/>
        <v>1w</v>
      </c>
      <c r="Y2462" s="106">
        <f>_xll.qlCalendarAdvance(Calendar,Y2461,X2462,"f",FALSE)</f>
        <v>56472</v>
      </c>
      <c r="Z2462" s="108">
        <f>_xll.qlCalendarAdvance(Calendar,Y2462,0&amp;"D")</f>
        <v>56472</v>
      </c>
      <c r="AA2462" s="109">
        <v>1.2156322993348567E-2</v>
      </c>
      <c r="AB2462" s="143">
        <f t="shared" si="86"/>
        <v>7.9936057773011271E-14</v>
      </c>
      <c r="AC2462" s="236" t="e">
        <v>#N/A</v>
      </c>
      <c r="AD2462" s="236">
        <v>1.2156322993268631E-2</v>
      </c>
    </row>
    <row r="2463" spans="23:30" x14ac:dyDescent="0.2">
      <c r="W2463" s="144"/>
      <c r="X2463" s="113" t="str">
        <f t="shared" si="85"/>
        <v>1w</v>
      </c>
      <c r="Y2463" s="106">
        <f>_xll.qlCalendarAdvance(Calendar,Y2462,X2463,"f",FALSE)</f>
        <v>56479</v>
      </c>
      <c r="Z2463" s="108">
        <f>_xll.qlCalendarAdvance(Calendar,Y2463,0&amp;"D")</f>
        <v>56479</v>
      </c>
      <c r="AA2463" s="109">
        <v>1.2144582152808781E-2</v>
      </c>
      <c r="AB2463" s="143">
        <f t="shared" si="86"/>
        <v>0</v>
      </c>
      <c r="AC2463" s="236" t="e">
        <v>#N/A</v>
      </c>
      <c r="AD2463" s="236">
        <v>1.2144582152808781E-2</v>
      </c>
    </row>
    <row r="2464" spans="23:30" x14ac:dyDescent="0.2">
      <c r="W2464" s="144"/>
      <c r="X2464" s="113" t="str">
        <f t="shared" si="85"/>
        <v>1w</v>
      </c>
      <c r="Y2464" s="106">
        <f>_xll.qlCalendarAdvance(Calendar,Y2463,X2464,"f",FALSE)</f>
        <v>56486</v>
      </c>
      <c r="Z2464" s="108">
        <f>_xll.qlCalendarAdvance(Calendar,Y2464,0&amp;"D")</f>
        <v>56486</v>
      </c>
      <c r="AA2464" s="109">
        <v>1.2132807610427676E-2</v>
      </c>
      <c r="AB2464" s="143">
        <f t="shared" si="86"/>
        <v>0</v>
      </c>
      <c r="AC2464" s="236" t="e">
        <v>#N/A</v>
      </c>
      <c r="AD2464" s="236">
        <v>1.2132807610427676E-2</v>
      </c>
    </row>
    <row r="2465" spans="23:30" x14ac:dyDescent="0.2">
      <c r="W2465" s="144"/>
      <c r="X2465" s="113" t="str">
        <f t="shared" si="85"/>
        <v>1w</v>
      </c>
      <c r="Y2465" s="106">
        <f>_xll.qlCalendarAdvance(Calendar,Y2464,X2465,"f",FALSE)</f>
        <v>56493</v>
      </c>
      <c r="Z2465" s="108">
        <f>_xll.qlCalendarAdvance(Calendar,Y2465,0&amp;"D")</f>
        <v>56493</v>
      </c>
      <c r="AA2465" s="109">
        <v>1.212099936628519E-2</v>
      </c>
      <c r="AB2465" s="143">
        <f t="shared" si="86"/>
        <v>0</v>
      </c>
      <c r="AC2465" s="236" t="e">
        <v>#N/A</v>
      </c>
      <c r="AD2465" s="236">
        <v>1.212099936628519E-2</v>
      </c>
    </row>
    <row r="2466" spans="23:30" x14ac:dyDescent="0.2">
      <c r="W2466" s="144"/>
      <c r="X2466" s="113" t="str">
        <f t="shared" si="85"/>
        <v>1w</v>
      </c>
      <c r="Y2466" s="106">
        <f>_xll.qlCalendarAdvance(Calendar,Y2465,X2466,"f",FALSE)</f>
        <v>56500</v>
      </c>
      <c r="Z2466" s="108">
        <f>_xll.qlCalendarAdvance(Calendar,Y2466,0&amp;"D")</f>
        <v>56500</v>
      </c>
      <c r="AA2466" s="109">
        <v>1.2109157420381322E-2</v>
      </c>
      <c r="AB2466" s="143">
        <f t="shared" si="86"/>
        <v>0</v>
      </c>
      <c r="AC2466" s="236" t="e">
        <v>#N/A</v>
      </c>
      <c r="AD2466" s="236">
        <v>1.2109157420381322E-2</v>
      </c>
    </row>
    <row r="2467" spans="23:30" x14ac:dyDescent="0.2">
      <c r="W2467" s="144"/>
      <c r="X2467" s="113" t="str">
        <f t="shared" si="85"/>
        <v>1w</v>
      </c>
      <c r="Y2467" s="106">
        <f>_xll.qlCalendarAdvance(Calendar,Y2466,X2467,"f",FALSE)</f>
        <v>56507</v>
      </c>
      <c r="Z2467" s="108">
        <f>_xll.qlCalendarAdvance(Calendar,Y2467,0&amp;"D")</f>
        <v>56507</v>
      </c>
      <c r="AA2467" s="109">
        <v>1.2097281772636137E-2</v>
      </c>
      <c r="AB2467" s="143">
        <f t="shared" si="86"/>
        <v>7.9936057773011271E-14</v>
      </c>
      <c r="AC2467" s="236" t="e">
        <v>#N/A</v>
      </c>
      <c r="AD2467" s="236">
        <v>1.2097281772556201E-2</v>
      </c>
    </row>
    <row r="2468" spans="23:30" x14ac:dyDescent="0.2">
      <c r="W2468" s="144"/>
      <c r="X2468" s="113" t="str">
        <f t="shared" si="85"/>
        <v>1w</v>
      </c>
      <c r="Y2468" s="106">
        <f>_xll.qlCalendarAdvance(Calendar,Y2467,X2468,"f",FALSE)</f>
        <v>56514</v>
      </c>
      <c r="Z2468" s="108">
        <f>_xll.qlCalendarAdvance(Calendar,Y2468,0&amp;"D")</f>
        <v>56514</v>
      </c>
      <c r="AA2468" s="109">
        <v>1.2085372422969698E-2</v>
      </c>
      <c r="AB2468" s="143">
        <f t="shared" si="86"/>
        <v>0</v>
      </c>
      <c r="AC2468" s="236" t="e">
        <v>#N/A</v>
      </c>
      <c r="AD2468" s="236">
        <v>1.2085372422969698E-2</v>
      </c>
    </row>
    <row r="2469" spans="23:30" x14ac:dyDescent="0.2">
      <c r="W2469" s="144"/>
      <c r="X2469" s="113" t="str">
        <f t="shared" si="85"/>
        <v>1w</v>
      </c>
      <c r="Y2469" s="106">
        <f>_xll.qlCalendarAdvance(Calendar,Y2468,X2469,"f",FALSE)</f>
        <v>56521</v>
      </c>
      <c r="Z2469" s="108">
        <f>_xll.qlCalendarAdvance(Calendar,Y2469,0&amp;"D")</f>
        <v>56521</v>
      </c>
      <c r="AA2469" s="109">
        <v>1.2073429371701749E-2</v>
      </c>
      <c r="AB2469" s="143">
        <f t="shared" si="86"/>
        <v>7.9936057773011271E-14</v>
      </c>
      <c r="AC2469" s="236" t="e">
        <v>#N/A</v>
      </c>
      <c r="AD2469" s="236">
        <v>1.2073429371621813E-2</v>
      </c>
    </row>
    <row r="2470" spans="23:30" x14ac:dyDescent="0.2">
      <c r="W2470" s="144"/>
      <c r="X2470" s="113" t="str">
        <f t="shared" si="85"/>
        <v>1w</v>
      </c>
      <c r="Y2470" s="106">
        <f>_xll.qlCalendarAdvance(Calendar,Y2469,X2470,"f",FALSE)</f>
        <v>56528</v>
      </c>
      <c r="Z2470" s="108">
        <f>_xll.qlCalendarAdvance(Calendar,Y2470,0&amp;"D")</f>
        <v>56528</v>
      </c>
      <c r="AA2470" s="109">
        <v>1.2061452618352675E-2</v>
      </c>
      <c r="AB2470" s="143">
        <f t="shared" si="86"/>
        <v>-7.9936057773011271E-14</v>
      </c>
      <c r="AC2470" s="236" t="e">
        <v>#N/A</v>
      </c>
      <c r="AD2470" s="236">
        <v>1.2061452618432611E-2</v>
      </c>
    </row>
    <row r="2471" spans="23:30" x14ac:dyDescent="0.2">
      <c r="W2471" s="144"/>
      <c r="X2471" s="113" t="str">
        <f t="shared" si="85"/>
        <v>1w</v>
      </c>
      <c r="Y2471" s="106">
        <f>_xll.qlCalendarAdvance(Calendar,Y2470,X2471,"f",FALSE)</f>
        <v>56535</v>
      </c>
      <c r="Z2471" s="108">
        <f>_xll.qlCalendarAdvance(Calendar,Y2471,0&amp;"D")</f>
        <v>56535</v>
      </c>
      <c r="AA2471" s="109">
        <v>1.2049442163641899E-2</v>
      </c>
      <c r="AB2471" s="143">
        <f t="shared" si="86"/>
        <v>7.9936057773011271E-14</v>
      </c>
      <c r="AC2471" s="236" t="e">
        <v>#N/A</v>
      </c>
      <c r="AD2471" s="236">
        <v>1.2049442163561963E-2</v>
      </c>
    </row>
    <row r="2472" spans="23:30" x14ac:dyDescent="0.2">
      <c r="W2472" s="144"/>
      <c r="X2472" s="113" t="str">
        <f t="shared" si="85"/>
        <v>1w</v>
      </c>
      <c r="Y2472" s="106">
        <f>_xll.qlCalendarAdvance(Calendar,Y2471,X2472,"f",FALSE)</f>
        <v>56542</v>
      </c>
      <c r="Z2472" s="108">
        <f>_xll.qlCalendarAdvance(Calendar,Y2472,0&amp;"D")</f>
        <v>56542</v>
      </c>
      <c r="AA2472" s="109">
        <v>1.2037398006610189E-2</v>
      </c>
      <c r="AB2472" s="143">
        <f t="shared" si="86"/>
        <v>-7.9936057773011271E-14</v>
      </c>
      <c r="AC2472" s="236" t="e">
        <v>#N/A</v>
      </c>
      <c r="AD2472" s="236">
        <v>1.2037398006690125E-2</v>
      </c>
    </row>
    <row r="2473" spans="23:30" x14ac:dyDescent="0.2">
      <c r="W2473" s="144"/>
      <c r="X2473" s="113" t="str">
        <f t="shared" si="85"/>
        <v>1w</v>
      </c>
      <c r="Y2473" s="106">
        <f>_xll.qlCalendarAdvance(Calendar,Y2472,X2473,"f",FALSE)</f>
        <v>56549</v>
      </c>
      <c r="Z2473" s="108">
        <f>_xll.qlCalendarAdvance(Calendar,Y2473,0&amp;"D")</f>
        <v>56549</v>
      </c>
      <c r="AA2473" s="109">
        <v>1.2025320148136842E-2</v>
      </c>
      <c r="AB2473" s="143">
        <f t="shared" si="86"/>
        <v>0</v>
      </c>
      <c r="AC2473" s="236" t="e">
        <v>#N/A</v>
      </c>
      <c r="AD2473" s="236">
        <v>1.2025320148136842E-2</v>
      </c>
    </row>
    <row r="2474" spans="23:30" x14ac:dyDescent="0.2">
      <c r="W2474" s="144"/>
      <c r="X2474" s="113" t="str">
        <f t="shared" si="85"/>
        <v>1w</v>
      </c>
      <c r="Y2474" s="106">
        <f>_xll.qlCalendarAdvance(Calendar,Y2473,X2474,"f",FALSE)</f>
        <v>56556</v>
      </c>
      <c r="Z2474" s="108">
        <f>_xll.qlCalendarAdvance(Calendar,Y2474,0&amp;"D")</f>
        <v>56556</v>
      </c>
      <c r="AA2474" s="109">
        <v>1.2013208587902113E-2</v>
      </c>
      <c r="AB2474" s="143">
        <f t="shared" si="86"/>
        <v>7.9936057773011271E-14</v>
      </c>
      <c r="AC2474" s="236" t="e">
        <v>#N/A</v>
      </c>
      <c r="AD2474" s="236">
        <v>1.2013208587822177E-2</v>
      </c>
    </row>
    <row r="2475" spans="23:30" x14ac:dyDescent="0.2">
      <c r="W2475" s="144"/>
      <c r="X2475" s="113" t="str">
        <f t="shared" si="85"/>
        <v>1w</v>
      </c>
      <c r="Y2475" s="106">
        <f>_xll.qlCalendarAdvance(Calendar,Y2474,X2475,"f",FALSE)</f>
        <v>56563</v>
      </c>
      <c r="Z2475" s="108">
        <f>_xll.qlCalendarAdvance(Calendar,Y2475,0&amp;"D")</f>
        <v>56563</v>
      </c>
      <c r="AA2475" s="109">
        <v>1.2001063325586259E-2</v>
      </c>
      <c r="AB2475" s="143">
        <f t="shared" si="86"/>
        <v>-7.9936057773011271E-14</v>
      </c>
      <c r="AC2475" s="236" t="e">
        <v>#N/A</v>
      </c>
      <c r="AD2475" s="236">
        <v>1.2001063325666195E-2</v>
      </c>
    </row>
    <row r="2476" spans="23:30" x14ac:dyDescent="0.2">
      <c r="W2476" s="144"/>
      <c r="X2476" s="113" t="str">
        <f t="shared" si="85"/>
        <v>1w</v>
      </c>
      <c r="Y2476" s="106">
        <f>_xll.qlCalendarAdvance(Calendar,Y2475,X2476,"f",FALSE)</f>
        <v>56570</v>
      </c>
      <c r="Z2476" s="108">
        <f>_xll.qlCalendarAdvance(Calendar,Y2476,0&amp;"D")</f>
        <v>56570</v>
      </c>
      <c r="AA2476" s="109">
        <v>1.1988884361828767E-2</v>
      </c>
      <c r="AB2476" s="143">
        <f t="shared" si="86"/>
        <v>0</v>
      </c>
      <c r="AC2476" s="236" t="e">
        <v>#N/A</v>
      </c>
      <c r="AD2476" s="236">
        <v>1.1988884361828767E-2</v>
      </c>
    </row>
    <row r="2477" spans="23:30" x14ac:dyDescent="0.2">
      <c r="W2477" s="144"/>
      <c r="X2477" s="113" t="str">
        <f t="shared" si="85"/>
        <v>1w</v>
      </c>
      <c r="Y2477" s="106">
        <f>_xll.qlCalendarAdvance(Calendar,Y2476,X2477,"f",FALSE)</f>
        <v>56577</v>
      </c>
      <c r="Z2477" s="108">
        <f>_xll.qlCalendarAdvance(Calendar,Y2477,0&amp;"D")</f>
        <v>56577</v>
      </c>
      <c r="AA2477" s="109">
        <v>1.1976671696229957E-2</v>
      </c>
      <c r="AB2477" s="143">
        <f t="shared" si="86"/>
        <v>7.9936057773011271E-14</v>
      </c>
      <c r="AC2477" s="236" t="e">
        <v>#N/A</v>
      </c>
      <c r="AD2477" s="236">
        <v>1.1976671696150021E-2</v>
      </c>
    </row>
    <row r="2478" spans="23:30" x14ac:dyDescent="0.2">
      <c r="W2478" s="144"/>
      <c r="X2478" s="113" t="str">
        <f t="shared" si="85"/>
        <v>1w</v>
      </c>
      <c r="Y2478" s="106">
        <f>_xll.qlCalendarAdvance(Calendar,Y2477,X2478,"f",FALSE)</f>
        <v>56584</v>
      </c>
      <c r="Z2478" s="108">
        <f>_xll.qlCalendarAdvance(Calendar,Y2478,0&amp;"D")</f>
        <v>56584</v>
      </c>
      <c r="AA2478" s="109">
        <v>1.1964425328629957E-2</v>
      </c>
      <c r="AB2478" s="143">
        <f t="shared" si="86"/>
        <v>0</v>
      </c>
      <c r="AC2478" s="236" t="e">
        <v>#N/A</v>
      </c>
      <c r="AD2478" s="236">
        <v>1.1964425328629957E-2</v>
      </c>
    </row>
    <row r="2479" spans="23:30" x14ac:dyDescent="0.2">
      <c r="W2479" s="144"/>
      <c r="X2479" s="113" t="str">
        <f t="shared" si="85"/>
        <v>1w</v>
      </c>
      <c r="Y2479" s="106">
        <f>_xll.qlCalendarAdvance(Calendar,Y2478,X2479,"f",FALSE)</f>
        <v>56591</v>
      </c>
      <c r="Z2479" s="108">
        <f>_xll.qlCalendarAdvance(Calendar,Y2479,0&amp;"D")</f>
        <v>56591</v>
      </c>
      <c r="AA2479" s="109">
        <v>1.1952145259428448E-2</v>
      </c>
      <c r="AB2479" s="143">
        <f t="shared" si="86"/>
        <v>0</v>
      </c>
      <c r="AC2479" s="236" t="e">
        <v>#N/A</v>
      </c>
      <c r="AD2479" s="236">
        <v>1.1952145259428448E-2</v>
      </c>
    </row>
    <row r="2480" spans="23:30" x14ac:dyDescent="0.2">
      <c r="W2480" s="144"/>
      <c r="X2480" s="113" t="str">
        <f t="shared" si="85"/>
        <v>1w</v>
      </c>
      <c r="Y2480" s="106">
        <f>_xll.qlCalendarAdvance(Calendar,Y2479,X2480,"f",FALSE)</f>
        <v>56598</v>
      </c>
      <c r="Z2480" s="108">
        <f>_xll.qlCalendarAdvance(Calendar,Y2480,0&amp;"D")</f>
        <v>56598</v>
      </c>
      <c r="AA2480" s="109">
        <v>1.1939831488465558E-2</v>
      </c>
      <c r="AB2480" s="143">
        <f t="shared" si="86"/>
        <v>-7.9936057773011271E-14</v>
      </c>
      <c r="AC2480" s="236" t="e">
        <v>#N/A</v>
      </c>
      <c r="AD2480" s="236">
        <v>1.1939831488545494E-2</v>
      </c>
    </row>
    <row r="2481" spans="23:30" x14ac:dyDescent="0.2">
      <c r="W2481" s="144"/>
      <c r="X2481" s="113" t="str">
        <f t="shared" si="85"/>
        <v>1w</v>
      </c>
      <c r="Y2481" s="106">
        <f>_xll.qlCalendarAdvance(Calendar,Y2480,X2481,"f",FALSE)</f>
        <v>56605</v>
      </c>
      <c r="Z2481" s="108">
        <f>_xll.qlCalendarAdvance(Calendar,Y2481,0&amp;"D")</f>
        <v>56605</v>
      </c>
      <c r="AA2481" s="109">
        <v>1.1927484015741285E-2</v>
      </c>
      <c r="AB2481" s="143">
        <f t="shared" si="86"/>
        <v>-7.9936057773011271E-14</v>
      </c>
      <c r="AC2481" s="236" t="e">
        <v>#N/A</v>
      </c>
      <c r="AD2481" s="236">
        <v>1.1927484015821221E-2</v>
      </c>
    </row>
    <row r="2482" spans="23:30" x14ac:dyDescent="0.2">
      <c r="W2482" s="144"/>
      <c r="X2482" s="113" t="str">
        <f t="shared" si="85"/>
        <v>1w</v>
      </c>
      <c r="Y2482" s="106">
        <f>_xll.qlCalendarAdvance(Calendar,Y2481,X2482,"f",FALSE)</f>
        <v>56612</v>
      </c>
      <c r="Z2482" s="108">
        <f>_xll.qlCalendarAdvance(Calendar,Y2482,0&amp;"D")</f>
        <v>56612</v>
      </c>
      <c r="AA2482" s="109">
        <v>1.1915102841255631E-2</v>
      </c>
      <c r="AB2482" s="143">
        <f t="shared" si="86"/>
        <v>0</v>
      </c>
      <c r="AC2482" s="236" t="e">
        <v>#N/A</v>
      </c>
      <c r="AD2482" s="236">
        <v>1.1915102841255631E-2</v>
      </c>
    </row>
    <row r="2483" spans="23:30" x14ac:dyDescent="0.2">
      <c r="W2483" s="144"/>
      <c r="X2483" s="113" t="str">
        <f t="shared" si="85"/>
        <v>1w</v>
      </c>
      <c r="Y2483" s="106">
        <f>_xll.qlCalendarAdvance(Calendar,Y2482,X2483,"f",FALSE)</f>
        <v>56619</v>
      </c>
      <c r="Z2483" s="108">
        <f>_xll.qlCalendarAdvance(Calendar,Y2483,0&amp;"D")</f>
        <v>56619</v>
      </c>
      <c r="AA2483" s="109">
        <v>1.1902687965088532E-2</v>
      </c>
      <c r="AB2483" s="143">
        <f t="shared" si="86"/>
        <v>7.9936057773011271E-14</v>
      </c>
      <c r="AC2483" s="236" t="e">
        <v>#N/A</v>
      </c>
      <c r="AD2483" s="236">
        <v>1.1902687965008596E-2</v>
      </c>
    </row>
    <row r="2484" spans="23:30" x14ac:dyDescent="0.2">
      <c r="W2484" s="144"/>
      <c r="X2484" s="113" t="str">
        <f t="shared" si="85"/>
        <v>1w</v>
      </c>
      <c r="Y2484" s="106">
        <f>_xll.qlCalendarAdvance(Calendar,Y2483,X2484,"f",FALSE)</f>
        <v>56626</v>
      </c>
      <c r="Z2484" s="108">
        <f>_xll.qlCalendarAdvance(Calendar,Y2484,0&amp;"D")</f>
        <v>56626</v>
      </c>
      <c r="AA2484" s="109">
        <v>1.1890239387080115E-2</v>
      </c>
      <c r="AB2484" s="143">
        <f t="shared" si="86"/>
        <v>0</v>
      </c>
      <c r="AC2484" s="236" t="e">
        <v>#N/A</v>
      </c>
      <c r="AD2484" s="236">
        <v>1.1890239387080115E-2</v>
      </c>
    </row>
    <row r="2485" spans="23:30" x14ac:dyDescent="0.2">
      <c r="W2485" s="144"/>
      <c r="X2485" s="113" t="str">
        <f t="shared" si="85"/>
        <v>1w</v>
      </c>
      <c r="Y2485" s="106">
        <f>_xll.qlCalendarAdvance(Calendar,Y2484,X2485,"f",FALSE)</f>
        <v>56633</v>
      </c>
      <c r="Z2485" s="108">
        <f>_xll.qlCalendarAdvance(Calendar,Y2485,0&amp;"D")</f>
        <v>56633</v>
      </c>
      <c r="AA2485" s="109">
        <v>1.187775710723038E-2</v>
      </c>
      <c r="AB2485" s="143">
        <f t="shared" si="86"/>
        <v>0</v>
      </c>
      <c r="AC2485" s="236" t="e">
        <v>#N/A</v>
      </c>
      <c r="AD2485" s="236">
        <v>1.187775710723038E-2</v>
      </c>
    </row>
    <row r="2486" spans="23:30" x14ac:dyDescent="0.2">
      <c r="W2486" s="144"/>
      <c r="X2486" s="113" t="str">
        <f t="shared" si="85"/>
        <v>1w</v>
      </c>
      <c r="Y2486" s="106">
        <f>_xll.qlCalendarAdvance(Calendar,Y2485,X2486,"f",FALSE)</f>
        <v>56640</v>
      </c>
      <c r="Z2486" s="108">
        <f>_xll.qlCalendarAdvance(Calendar,Y2486,0&amp;"D")</f>
        <v>56640</v>
      </c>
      <c r="AA2486" s="109">
        <v>1.1865241125859072E-2</v>
      </c>
      <c r="AB2486" s="143">
        <f t="shared" si="86"/>
        <v>7.9936057773011271E-14</v>
      </c>
      <c r="AC2486" s="236" t="e">
        <v>#N/A</v>
      </c>
      <c r="AD2486" s="236">
        <v>1.1865241125779136E-2</v>
      </c>
    </row>
    <row r="2487" spans="23:30" x14ac:dyDescent="0.2">
      <c r="W2487" s="144"/>
      <c r="X2487" s="113" t="str">
        <f t="shared" si="85"/>
        <v>1w</v>
      </c>
      <c r="Y2487" s="106">
        <f>_xll.qlCalendarAdvance(Calendar,Y2486,X2487,"f",FALSE)</f>
        <v>56647</v>
      </c>
      <c r="Z2487" s="108">
        <f>_xll.qlCalendarAdvance(Calendar,Y2487,0&amp;"D")</f>
        <v>56647</v>
      </c>
      <c r="AA2487" s="109">
        <v>1.185269144256651E-2</v>
      </c>
      <c r="AB2487" s="143">
        <f t="shared" si="86"/>
        <v>7.9936057773011271E-14</v>
      </c>
      <c r="AC2487" s="236" t="e">
        <v>#N/A</v>
      </c>
      <c r="AD2487" s="236">
        <v>1.1852691442486574E-2</v>
      </c>
    </row>
    <row r="2488" spans="23:30" x14ac:dyDescent="0.2">
      <c r="W2488" s="144"/>
      <c r="X2488" s="113" t="str">
        <f t="shared" si="85"/>
        <v>1w</v>
      </c>
      <c r="Y2488" s="106">
        <f>_xll.qlCalendarAdvance(Calendar,Y2487,X2488,"f",FALSE)</f>
        <v>56654</v>
      </c>
      <c r="Z2488" s="108">
        <f>_xll.qlCalendarAdvance(Calendar,Y2488,0&amp;"D")</f>
        <v>56654</v>
      </c>
      <c r="AA2488" s="109">
        <v>1.1840108057592502E-2</v>
      </c>
      <c r="AB2488" s="143">
        <f t="shared" si="86"/>
        <v>0</v>
      </c>
      <c r="AC2488" s="236" t="e">
        <v>#N/A</v>
      </c>
      <c r="AD2488" s="236">
        <v>1.1840108057592502E-2</v>
      </c>
    </row>
    <row r="2489" spans="23:30" x14ac:dyDescent="0.2">
      <c r="W2489" s="144"/>
      <c r="X2489" s="113" t="str">
        <f t="shared" si="85"/>
        <v>1w</v>
      </c>
      <c r="Y2489" s="106">
        <f>_xll.qlCalendarAdvance(Calendar,Y2488,X2489,"f",FALSE)</f>
        <v>56661</v>
      </c>
      <c r="Z2489" s="108">
        <f>_xll.qlCalendarAdvance(Calendar,Y2489,0&amp;"D")</f>
        <v>56661</v>
      </c>
      <c r="AA2489" s="109">
        <v>1.1827490970937049E-2</v>
      </c>
      <c r="AB2489" s="143">
        <f t="shared" si="86"/>
        <v>0</v>
      </c>
      <c r="AC2489" s="236" t="e">
        <v>#N/A</v>
      </c>
      <c r="AD2489" s="236">
        <v>1.1827490970937049E-2</v>
      </c>
    </row>
    <row r="2490" spans="23:30" x14ac:dyDescent="0.2">
      <c r="W2490" s="144"/>
      <c r="X2490" s="113" t="str">
        <f t="shared" si="85"/>
        <v>1w</v>
      </c>
      <c r="Y2490" s="106">
        <f>_xll.qlCalendarAdvance(Calendar,Y2489,X2490,"f",FALSE)</f>
        <v>56668</v>
      </c>
      <c r="Z2490" s="108">
        <f>_xll.qlCalendarAdvance(Calendar,Y2490,0&amp;"D")</f>
        <v>56668</v>
      </c>
      <c r="AA2490" s="109">
        <v>1.1814840182440278E-2</v>
      </c>
      <c r="AB2490" s="143">
        <f t="shared" si="86"/>
        <v>0</v>
      </c>
      <c r="AC2490" s="236" t="e">
        <v>#N/A</v>
      </c>
      <c r="AD2490" s="236">
        <v>1.1814840182440278E-2</v>
      </c>
    </row>
    <row r="2491" spans="23:30" x14ac:dyDescent="0.2">
      <c r="W2491" s="144"/>
      <c r="X2491" s="113" t="str">
        <f t="shared" si="85"/>
        <v>1w</v>
      </c>
      <c r="Y2491" s="106">
        <f>_xll.qlCalendarAdvance(Calendar,Y2490,X2491,"f",FALSE)</f>
        <v>56675</v>
      </c>
      <c r="Z2491" s="108">
        <f>_xll.qlCalendarAdvance(Calendar,Y2491,0&amp;"D")</f>
        <v>56675</v>
      </c>
      <c r="AA2491" s="109">
        <v>1.1802155692341998E-2</v>
      </c>
      <c r="AB2491" s="143">
        <f t="shared" si="86"/>
        <v>0</v>
      </c>
      <c r="AC2491" s="236" t="e">
        <v>#N/A</v>
      </c>
      <c r="AD2491" s="236">
        <v>1.1802155692341998E-2</v>
      </c>
    </row>
    <row r="2492" spans="23:30" x14ac:dyDescent="0.2">
      <c r="W2492" s="144"/>
      <c r="X2492" s="113" t="str">
        <f t="shared" si="85"/>
        <v>1w</v>
      </c>
      <c r="Y2492" s="106">
        <f>_xll.qlCalendarAdvance(Calendar,Y2491,X2492,"f",FALSE)</f>
        <v>56682</v>
      </c>
      <c r="Z2492" s="108">
        <f>_xll.qlCalendarAdvance(Calendar,Y2492,0&amp;"D")</f>
        <v>56682</v>
      </c>
      <c r="AA2492" s="109">
        <v>1.1789437500562272E-2</v>
      </c>
      <c r="AB2492" s="143">
        <f t="shared" si="86"/>
        <v>7.9936057773011271E-14</v>
      </c>
      <c r="AC2492" s="236" t="e">
        <v>#N/A</v>
      </c>
      <c r="AD2492" s="236">
        <v>1.1789437500482336E-2</v>
      </c>
    </row>
    <row r="2493" spans="23:30" x14ac:dyDescent="0.2">
      <c r="W2493" s="144"/>
      <c r="X2493" s="113" t="str">
        <f t="shared" si="85"/>
        <v>1w</v>
      </c>
      <c r="Y2493" s="106">
        <f>_xll.qlCalendarAdvance(Calendar,Y2492,X2493,"f",FALSE)</f>
        <v>56689</v>
      </c>
      <c r="Z2493" s="108">
        <f>_xll.qlCalendarAdvance(Calendar,Y2493,0&amp;"D")</f>
        <v>56689</v>
      </c>
      <c r="AA2493" s="109">
        <v>1.1776685606861292E-2</v>
      </c>
      <c r="AB2493" s="143">
        <f t="shared" si="86"/>
        <v>0</v>
      </c>
      <c r="AC2493" s="236" t="e">
        <v>#N/A</v>
      </c>
      <c r="AD2493" s="236">
        <v>1.1776685606861292E-2</v>
      </c>
    </row>
    <row r="2494" spans="23:30" x14ac:dyDescent="0.2">
      <c r="W2494" s="144"/>
      <c r="X2494" s="113" t="str">
        <f t="shared" si="85"/>
        <v>1w</v>
      </c>
      <c r="Y2494" s="106">
        <f>_xll.qlCalendarAdvance(Calendar,Y2493,X2494,"f",FALSE)</f>
        <v>56696</v>
      </c>
      <c r="Z2494" s="108">
        <f>_xll.qlCalendarAdvance(Calendar,Y2494,0&amp;"D")</f>
        <v>56696</v>
      </c>
      <c r="AA2494" s="109">
        <v>1.1763900011558803E-2</v>
      </c>
      <c r="AB2494" s="143">
        <f t="shared" si="86"/>
        <v>7.9936057773011271E-14</v>
      </c>
      <c r="AC2494" s="236" t="e">
        <v>#N/A</v>
      </c>
      <c r="AD2494" s="236">
        <v>1.1763900011478867E-2</v>
      </c>
    </row>
    <row r="2495" spans="23:30" x14ac:dyDescent="0.2">
      <c r="W2495" s="144"/>
      <c r="X2495" s="113" t="str">
        <f t="shared" si="85"/>
        <v>1w</v>
      </c>
      <c r="Y2495" s="106">
        <f>_xll.qlCalendarAdvance(Calendar,Y2494,X2495,"f",FALSE)</f>
        <v>56703</v>
      </c>
      <c r="Z2495" s="108">
        <f>_xll.qlCalendarAdvance(Calendar,Y2495,0&amp;"D")</f>
        <v>56703</v>
      </c>
      <c r="AA2495" s="109">
        <v>1.1751080714654805E-2</v>
      </c>
      <c r="AB2495" s="143">
        <f t="shared" si="86"/>
        <v>7.9936057773011271E-14</v>
      </c>
      <c r="AC2495" s="236" t="e">
        <v>#N/A</v>
      </c>
      <c r="AD2495" s="236">
        <v>1.1751080714574869E-2</v>
      </c>
    </row>
    <row r="2496" spans="23:30" x14ac:dyDescent="0.2">
      <c r="W2496" s="144"/>
      <c r="X2496" s="113" t="str">
        <f t="shared" si="85"/>
        <v>1w</v>
      </c>
      <c r="Y2496" s="106">
        <f>_xll.qlCalendarAdvance(Calendar,Y2495,X2496,"f",FALSE)</f>
        <v>56710</v>
      </c>
      <c r="Z2496" s="108">
        <f>_xll.qlCalendarAdvance(Calendar,Y2496,0&amp;"D")</f>
        <v>56710</v>
      </c>
      <c r="AA2496" s="109">
        <v>1.1738227715829552E-2</v>
      </c>
      <c r="AB2496" s="143">
        <f t="shared" si="86"/>
        <v>0</v>
      </c>
      <c r="AC2496" s="236" t="e">
        <v>#N/A</v>
      </c>
      <c r="AD2496" s="236">
        <v>1.1738227715829552E-2</v>
      </c>
    </row>
    <row r="2497" spans="23:30" x14ac:dyDescent="0.2">
      <c r="W2497" s="144"/>
      <c r="X2497" s="113" t="str">
        <f t="shared" si="85"/>
        <v>1w</v>
      </c>
      <c r="Y2497" s="106">
        <f>_xll.qlCalendarAdvance(Calendar,Y2496,X2497,"f",FALSE)</f>
        <v>56717</v>
      </c>
      <c r="Z2497" s="108">
        <f>_xll.qlCalendarAdvance(Calendar,Y2497,0&amp;"D")</f>
        <v>56717</v>
      </c>
      <c r="AA2497" s="109">
        <v>1.172534101540279E-2</v>
      </c>
      <c r="AB2497" s="143">
        <f t="shared" si="86"/>
        <v>0</v>
      </c>
      <c r="AC2497" s="236" t="e">
        <v>#N/A</v>
      </c>
      <c r="AD2497" s="236">
        <v>1.172534101540279E-2</v>
      </c>
    </row>
    <row r="2498" spans="23:30" x14ac:dyDescent="0.2">
      <c r="W2498" s="144"/>
      <c r="X2498" s="113" t="str">
        <f t="shared" si="85"/>
        <v>1w</v>
      </c>
      <c r="Y2498" s="106">
        <f>_xll.qlCalendarAdvance(Calendar,Y2497,X2498,"f",FALSE)</f>
        <v>56724</v>
      </c>
      <c r="Z2498" s="108">
        <f>_xll.qlCalendarAdvance(Calendar,Y2498,0&amp;"D")</f>
        <v>56724</v>
      </c>
      <c r="AA2498" s="109">
        <v>1.1712420613374519E-2</v>
      </c>
      <c r="AB2498" s="143">
        <f t="shared" si="86"/>
        <v>0</v>
      </c>
      <c r="AC2498" s="236" t="e">
        <v>#N/A</v>
      </c>
      <c r="AD2498" s="236">
        <v>1.1712420613374519E-2</v>
      </c>
    </row>
    <row r="2499" spans="23:30" x14ac:dyDescent="0.2">
      <c r="W2499" s="144"/>
      <c r="X2499" s="113" t="str">
        <f t="shared" si="85"/>
        <v>1w</v>
      </c>
      <c r="Y2499" s="106">
        <f>_xll.qlCalendarAdvance(Calendar,Y2498,X2499,"f",FALSE)</f>
        <v>56731</v>
      </c>
      <c r="Z2499" s="108">
        <f>_xll.qlCalendarAdvance(Calendar,Y2499,0&amp;"D")</f>
        <v>56731</v>
      </c>
      <c r="AA2499" s="109">
        <v>1.1699466509584866E-2</v>
      </c>
      <c r="AB2499" s="143">
        <f t="shared" si="86"/>
        <v>7.9936057773011271E-14</v>
      </c>
      <c r="AC2499" s="236" t="e">
        <v>#N/A</v>
      </c>
      <c r="AD2499" s="236">
        <v>1.169946650950493E-2</v>
      </c>
    </row>
    <row r="2500" spans="23:30" x14ac:dyDescent="0.2">
      <c r="W2500" s="144"/>
      <c r="X2500" s="113" t="str">
        <f t="shared" si="85"/>
        <v>1w</v>
      </c>
      <c r="Y2500" s="106">
        <f>_xll.qlCalendarAdvance(Calendar,Y2499,X2500,"f",FALSE)</f>
        <v>56738</v>
      </c>
      <c r="Z2500" s="108">
        <f>_xll.qlCalendarAdvance(Calendar,Y2500,0&amp;"D")</f>
        <v>56738</v>
      </c>
      <c r="AA2500" s="109">
        <v>1.1686478703953895E-2</v>
      </c>
      <c r="AB2500" s="143">
        <f t="shared" si="86"/>
        <v>7.9936057773011271E-14</v>
      </c>
      <c r="AC2500" s="236" t="e">
        <v>#N/A</v>
      </c>
      <c r="AD2500" s="236">
        <v>1.1686478703873959E-2</v>
      </c>
    </row>
    <row r="2501" spans="23:30" x14ac:dyDescent="0.2">
      <c r="W2501" s="144"/>
      <c r="X2501" s="113" t="str">
        <f t="shared" si="85"/>
        <v>1w</v>
      </c>
      <c r="Y2501" s="106">
        <f>_xll.qlCalendarAdvance(Calendar,Y2500,X2501,"f",FALSE)</f>
        <v>56745</v>
      </c>
      <c r="Z2501" s="108">
        <f>_xll.qlCalendarAdvance(Calendar,Y2501,0&amp;"D")</f>
        <v>56745</v>
      </c>
      <c r="AA2501" s="109">
        <v>1.1673457196801351E-2</v>
      </c>
      <c r="AB2501" s="143">
        <f t="shared" si="86"/>
        <v>0</v>
      </c>
      <c r="AC2501" s="236" t="e">
        <v>#N/A</v>
      </c>
      <c r="AD2501" s="236">
        <v>1.1673457196801351E-2</v>
      </c>
    </row>
    <row r="2502" spans="23:30" x14ac:dyDescent="0.2">
      <c r="W2502" s="144"/>
      <c r="X2502" s="113" t="str">
        <f t="shared" si="85"/>
        <v>1w</v>
      </c>
      <c r="Y2502" s="106">
        <f>_xll.qlCalendarAdvance(Calendar,Y2501,X2502,"f",FALSE)</f>
        <v>56752</v>
      </c>
      <c r="Z2502" s="108">
        <f>_xll.qlCalendarAdvance(Calendar,Y2502,0&amp;"D")</f>
        <v>56752</v>
      </c>
      <c r="AA2502" s="109">
        <v>1.1660401987807489E-2</v>
      </c>
      <c r="AB2502" s="143">
        <f t="shared" si="86"/>
        <v>0</v>
      </c>
      <c r="AC2502" s="236" t="e">
        <v>#N/A</v>
      </c>
      <c r="AD2502" s="236">
        <v>1.1660401987807489E-2</v>
      </c>
    </row>
    <row r="2503" spans="23:30" x14ac:dyDescent="0.2">
      <c r="W2503" s="144"/>
      <c r="X2503" s="113" t="str">
        <f t="shared" si="85"/>
        <v>1w</v>
      </c>
      <c r="Y2503" s="106">
        <f>_xll.qlCalendarAdvance(Calendar,Y2502,X2503,"f",FALSE)</f>
        <v>56759</v>
      </c>
      <c r="Z2503" s="108">
        <f>_xll.qlCalendarAdvance(Calendar,Y2503,0&amp;"D")</f>
        <v>56759</v>
      </c>
      <c r="AA2503" s="109">
        <v>1.1647313077292054E-2</v>
      </c>
      <c r="AB2503" s="143">
        <f t="shared" si="86"/>
        <v>0</v>
      </c>
      <c r="AC2503" s="236" t="e">
        <v>#N/A</v>
      </c>
      <c r="AD2503" s="236">
        <v>1.1647313077292054E-2</v>
      </c>
    </row>
    <row r="2504" spans="23:30" x14ac:dyDescent="0.2">
      <c r="W2504" s="144"/>
      <c r="X2504" s="113" t="str">
        <f t="shared" si="85"/>
        <v>1w</v>
      </c>
      <c r="Y2504" s="106">
        <f>_xll.qlCalendarAdvance(Calendar,Y2503,X2504,"f",FALSE)</f>
        <v>56766</v>
      </c>
      <c r="Z2504" s="108">
        <f>_xll.qlCalendarAdvance(Calendar,Y2504,0&amp;"D")</f>
        <v>56766</v>
      </c>
      <c r="AA2504" s="109">
        <v>1.1634190713856185E-2</v>
      </c>
      <c r="AB2504" s="143">
        <f t="shared" si="86"/>
        <v>-7.9936057773011271E-14</v>
      </c>
      <c r="AC2504" s="236" t="e">
        <v>#N/A</v>
      </c>
      <c r="AD2504" s="236">
        <v>1.1634190713936121E-2</v>
      </c>
    </row>
    <row r="2505" spans="23:30" x14ac:dyDescent="0.2">
      <c r="W2505" s="144"/>
      <c r="X2505" s="113" t="str">
        <f t="shared" si="85"/>
        <v>1w</v>
      </c>
      <c r="Y2505" s="106">
        <f>_xll.qlCalendarAdvance(Calendar,Y2504,X2505,"f",FALSE)</f>
        <v>56773</v>
      </c>
      <c r="Z2505" s="108">
        <f>_xll.qlCalendarAdvance(Calendar,Y2505,0&amp;"D")</f>
        <v>56773</v>
      </c>
      <c r="AA2505" s="109">
        <v>1.1621076210373005E-2</v>
      </c>
      <c r="AB2505" s="143">
        <f t="shared" si="86"/>
        <v>7.9936057773011271E-14</v>
      </c>
      <c r="AC2505" s="236" t="e">
        <v>#N/A</v>
      </c>
      <c r="AD2505" s="236">
        <v>1.1621076210293069E-2</v>
      </c>
    </row>
    <row r="2506" spans="23:30" x14ac:dyDescent="0.2">
      <c r="W2506" s="144"/>
      <c r="X2506" s="113" t="str">
        <f t="shared" si="85"/>
        <v>1w</v>
      </c>
      <c r="Y2506" s="106">
        <f>_xll.qlCalendarAdvance(Calendar,Y2505,X2506,"f",FALSE)</f>
        <v>56780</v>
      </c>
      <c r="Z2506" s="108">
        <f>_xll.qlCalendarAdvance(Calendar,Y2506,0&amp;"D")</f>
        <v>56780</v>
      </c>
      <c r="AA2506" s="109">
        <v>1.1608001173319948E-2</v>
      </c>
      <c r="AB2506" s="143">
        <f t="shared" si="86"/>
        <v>0</v>
      </c>
      <c r="AC2506" s="236" t="e">
        <v>#N/A</v>
      </c>
      <c r="AD2506" s="236">
        <v>1.1608001173319948E-2</v>
      </c>
    </row>
    <row r="2507" spans="23:30" x14ac:dyDescent="0.2">
      <c r="W2507" s="144"/>
      <c r="X2507" s="113" t="str">
        <f t="shared" si="85"/>
        <v>1w</v>
      </c>
      <c r="Y2507" s="106">
        <f>_xll.qlCalendarAdvance(Calendar,Y2506,X2507,"f",FALSE)</f>
        <v>56787</v>
      </c>
      <c r="Z2507" s="108">
        <f>_xll.qlCalendarAdvance(Calendar,Y2507,0&amp;"D")</f>
        <v>56787</v>
      </c>
      <c r="AA2507" s="109">
        <v>1.1594965602697016E-2</v>
      </c>
      <c r="AB2507" s="143">
        <f t="shared" si="86"/>
        <v>7.9936057773011271E-14</v>
      </c>
      <c r="AC2507" s="236" t="e">
        <v>#N/A</v>
      </c>
      <c r="AD2507" s="236">
        <v>1.159496560261708E-2</v>
      </c>
    </row>
    <row r="2508" spans="23:30" x14ac:dyDescent="0.2">
      <c r="W2508" s="144"/>
      <c r="X2508" s="113" t="str">
        <f t="shared" si="85"/>
        <v>1w</v>
      </c>
      <c r="Y2508" s="106">
        <f>_xll.qlCalendarAdvance(Calendar,Y2507,X2508,"f",FALSE)</f>
        <v>56794</v>
      </c>
      <c r="Z2508" s="108">
        <f>_xll.qlCalendarAdvance(Calendar,Y2508,0&amp;"D")</f>
        <v>56794</v>
      </c>
      <c r="AA2508" s="109">
        <v>1.1581969498424272E-2</v>
      </c>
      <c r="AB2508" s="143">
        <f t="shared" si="86"/>
        <v>0</v>
      </c>
      <c r="AC2508" s="236" t="e">
        <v>#N/A</v>
      </c>
      <c r="AD2508" s="236">
        <v>1.1581969498424272E-2</v>
      </c>
    </row>
    <row r="2509" spans="23:30" x14ac:dyDescent="0.2">
      <c r="W2509" s="144"/>
      <c r="X2509" s="113" t="str">
        <f t="shared" ref="X2509:X2572" si="87">X2508</f>
        <v>1w</v>
      </c>
      <c r="Y2509" s="106">
        <f>_xll.qlCalendarAdvance(Calendar,Y2508,X2509,"f",FALSE)</f>
        <v>56801</v>
      </c>
      <c r="Z2509" s="108">
        <f>_xll.qlCalendarAdvance(Calendar,Y2509,0&amp;"D")</f>
        <v>56801</v>
      </c>
      <c r="AA2509" s="109">
        <v>1.1569012860581651E-2</v>
      </c>
      <c r="AB2509" s="143">
        <f t="shared" si="86"/>
        <v>0</v>
      </c>
      <c r="AC2509" s="236" t="e">
        <v>#N/A</v>
      </c>
      <c r="AD2509" s="236">
        <v>1.1569012860581651E-2</v>
      </c>
    </row>
    <row r="2510" spans="23:30" x14ac:dyDescent="0.2">
      <c r="W2510" s="144"/>
      <c r="X2510" s="113" t="str">
        <f t="shared" si="87"/>
        <v>1w</v>
      </c>
      <c r="Y2510" s="106">
        <f>_xll.qlCalendarAdvance(Calendar,Y2509,X2510,"f",FALSE)</f>
        <v>56808</v>
      </c>
      <c r="Z2510" s="108">
        <f>_xll.qlCalendarAdvance(Calendar,Y2510,0&amp;"D")</f>
        <v>56808</v>
      </c>
      <c r="AA2510" s="109">
        <v>1.1556095689408963E-2</v>
      </c>
      <c r="AB2510" s="143">
        <f t="shared" si="86"/>
        <v>7.9936057773011271E-14</v>
      </c>
      <c r="AC2510" s="236" t="e">
        <v>#N/A</v>
      </c>
      <c r="AD2510" s="236">
        <v>1.1556095689329027E-2</v>
      </c>
    </row>
    <row r="2511" spans="23:30" x14ac:dyDescent="0.2">
      <c r="W2511" s="144"/>
      <c r="X2511" s="113" t="str">
        <f t="shared" si="87"/>
        <v>1w</v>
      </c>
      <c r="Y2511" s="106">
        <f>_xll.qlCalendarAdvance(Calendar,Y2510,X2511,"f",FALSE)</f>
        <v>56815</v>
      </c>
      <c r="Z2511" s="108">
        <f>_xll.qlCalendarAdvance(Calendar,Y2511,0&amp;"D")</f>
        <v>56815</v>
      </c>
      <c r="AA2511" s="109">
        <v>1.154321798442659E-2</v>
      </c>
      <c r="AB2511" s="143">
        <f t="shared" si="86"/>
        <v>0</v>
      </c>
      <c r="AC2511" s="236" t="e">
        <v>#N/A</v>
      </c>
      <c r="AD2511" s="236">
        <v>1.154321798442659E-2</v>
      </c>
    </row>
    <row r="2512" spans="23:30" x14ac:dyDescent="0.2">
      <c r="W2512" s="144"/>
      <c r="X2512" s="113" t="str">
        <f t="shared" si="87"/>
        <v>1w</v>
      </c>
      <c r="Y2512" s="106">
        <f>_xll.qlCalendarAdvance(Calendar,Y2511,X2512,"f",FALSE)</f>
        <v>56822</v>
      </c>
      <c r="Z2512" s="108">
        <f>_xll.qlCalendarAdvance(Calendar,Y2512,0&amp;"D")</f>
        <v>56822</v>
      </c>
      <c r="AA2512" s="109">
        <v>1.1530379745954278E-2</v>
      </c>
      <c r="AB2512" s="143">
        <f t="shared" si="86"/>
        <v>7.9936057773011271E-14</v>
      </c>
      <c r="AC2512" s="236" t="e">
        <v>#N/A</v>
      </c>
      <c r="AD2512" s="236">
        <v>1.1530379745874342E-2</v>
      </c>
    </row>
    <row r="2513" spans="23:30" x14ac:dyDescent="0.2">
      <c r="W2513" s="144"/>
      <c r="X2513" s="113" t="str">
        <f t="shared" si="87"/>
        <v>1w</v>
      </c>
      <c r="Y2513" s="106">
        <f>_xll.qlCalendarAdvance(Calendar,Y2512,X2513,"f",FALSE)</f>
        <v>56829</v>
      </c>
      <c r="Z2513" s="108">
        <f>_xll.qlCalendarAdvance(Calendar,Y2513,0&amp;"D")</f>
        <v>56829</v>
      </c>
      <c r="AA2513" s="109">
        <v>1.1517580973992025E-2</v>
      </c>
      <c r="AB2513" s="143">
        <f t="shared" si="86"/>
        <v>0</v>
      </c>
      <c r="AC2513" s="236" t="e">
        <v>#N/A</v>
      </c>
      <c r="AD2513" s="236">
        <v>1.1517580973992025E-2</v>
      </c>
    </row>
    <row r="2514" spans="23:30" x14ac:dyDescent="0.2">
      <c r="W2514" s="144"/>
      <c r="X2514" s="113" t="str">
        <f t="shared" si="87"/>
        <v>1w</v>
      </c>
      <c r="Y2514" s="106">
        <f>_xll.qlCalendarAdvance(Calendar,Y2513,X2514,"f",FALSE)</f>
        <v>56836</v>
      </c>
      <c r="Z2514" s="108">
        <f>_xll.qlCalendarAdvance(Calendar,Y2514,0&amp;"D")</f>
        <v>56836</v>
      </c>
      <c r="AA2514" s="109">
        <v>1.1504821668379961E-2</v>
      </c>
      <c r="AB2514" s="143">
        <f t="shared" si="86"/>
        <v>0</v>
      </c>
      <c r="AC2514" s="236" t="e">
        <v>#N/A</v>
      </c>
      <c r="AD2514" s="236">
        <v>1.1504821668379961E-2</v>
      </c>
    </row>
    <row r="2515" spans="23:30" x14ac:dyDescent="0.2">
      <c r="W2515" s="144"/>
      <c r="X2515" s="113" t="str">
        <f t="shared" si="87"/>
        <v>1w</v>
      </c>
      <c r="Y2515" s="106">
        <f>_xll.qlCalendarAdvance(Calendar,Y2514,X2515,"f",FALSE)</f>
        <v>56843</v>
      </c>
      <c r="Z2515" s="108">
        <f>_xll.qlCalendarAdvance(Calendar,Y2515,0&amp;"D")</f>
        <v>56843</v>
      </c>
      <c r="AA2515" s="109">
        <v>1.1492101829038148E-2</v>
      </c>
      <c r="AB2515" s="143">
        <f t="shared" si="86"/>
        <v>-7.9936057773011271E-14</v>
      </c>
      <c r="AC2515" s="236" t="e">
        <v>#N/A</v>
      </c>
      <c r="AD2515" s="236">
        <v>1.1492101829118084E-2</v>
      </c>
    </row>
    <row r="2516" spans="23:30" x14ac:dyDescent="0.2">
      <c r="W2516" s="144"/>
      <c r="X2516" s="113" t="str">
        <f t="shared" si="87"/>
        <v>1w</v>
      </c>
      <c r="Y2516" s="106">
        <f>_xll.qlCalendarAdvance(Calendar,Y2515,X2516,"f",FALSE)</f>
        <v>56850</v>
      </c>
      <c r="Z2516" s="108">
        <f>_xll.qlCalendarAdvance(Calendar,Y2516,0&amp;"D")</f>
        <v>56850</v>
      </c>
      <c r="AA2516" s="109">
        <v>1.1479421456366268E-2</v>
      </c>
      <c r="AB2516" s="143">
        <f t="shared" si="86"/>
        <v>0</v>
      </c>
      <c r="AC2516" s="236" t="e">
        <v>#N/A</v>
      </c>
      <c r="AD2516" s="236">
        <v>1.1479421456366268E-2</v>
      </c>
    </row>
    <row r="2517" spans="23:30" x14ac:dyDescent="0.2">
      <c r="W2517" s="144"/>
      <c r="X2517" s="113" t="str">
        <f t="shared" si="87"/>
        <v>1w</v>
      </c>
      <c r="Y2517" s="106">
        <f>_xll.qlCalendarAdvance(Calendar,Y2516,X2517,"f",FALSE)</f>
        <v>56857</v>
      </c>
      <c r="Z2517" s="108">
        <f>_xll.qlCalendarAdvance(Calendar,Y2517,0&amp;"D")</f>
        <v>56857</v>
      </c>
      <c r="AA2517" s="109">
        <v>1.1466780550044575E-2</v>
      </c>
      <c r="AB2517" s="143">
        <f t="shared" ref="AB2517:AB2580" si="88">AA2517-AD2517</f>
        <v>0</v>
      </c>
      <c r="AC2517" s="236" t="e">
        <v>#N/A</v>
      </c>
      <c r="AD2517" s="236">
        <v>1.1466780550044575E-2</v>
      </c>
    </row>
    <row r="2518" spans="23:30" x14ac:dyDescent="0.2">
      <c r="W2518" s="144"/>
      <c r="X2518" s="113" t="str">
        <f t="shared" si="87"/>
        <v>1w</v>
      </c>
      <c r="Y2518" s="106">
        <f>_xll.qlCalendarAdvance(Calendar,Y2517,X2518,"f",FALSE)</f>
        <v>56864</v>
      </c>
      <c r="Z2518" s="108">
        <f>_xll.qlCalendarAdvance(Calendar,Y2518,0&amp;"D")</f>
        <v>56864</v>
      </c>
      <c r="AA2518" s="109">
        <v>1.1454179110073071E-2</v>
      </c>
      <c r="AB2518" s="143">
        <f t="shared" si="88"/>
        <v>0</v>
      </c>
      <c r="AC2518" s="236" t="e">
        <v>#N/A</v>
      </c>
      <c r="AD2518" s="236">
        <v>1.1454179110073071E-2</v>
      </c>
    </row>
    <row r="2519" spans="23:30" x14ac:dyDescent="0.2">
      <c r="W2519" s="144"/>
      <c r="X2519" s="113" t="str">
        <f t="shared" si="87"/>
        <v>1w</v>
      </c>
      <c r="Y2519" s="106">
        <f>_xll.qlCalendarAdvance(Calendar,Y2518,X2519,"f",FALSE)</f>
        <v>56871</v>
      </c>
      <c r="Z2519" s="108">
        <f>_xll.qlCalendarAdvance(Calendar,Y2519,0&amp;"D")</f>
        <v>56871</v>
      </c>
      <c r="AA2519" s="109">
        <v>1.1441617136371818E-2</v>
      </c>
      <c r="AB2519" s="143">
        <f t="shared" si="88"/>
        <v>0</v>
      </c>
      <c r="AC2519" s="236" t="e">
        <v>#N/A</v>
      </c>
      <c r="AD2519" s="236">
        <v>1.1441617136371818E-2</v>
      </c>
    </row>
    <row r="2520" spans="23:30" x14ac:dyDescent="0.2">
      <c r="W2520" s="144"/>
      <c r="X2520" s="113" t="str">
        <f t="shared" si="87"/>
        <v>1w</v>
      </c>
      <c r="Y2520" s="106">
        <f>_xll.qlCalendarAdvance(Calendar,Y2519,X2520,"f",FALSE)</f>
        <v>56878</v>
      </c>
      <c r="Z2520" s="108">
        <f>_xll.qlCalendarAdvance(Calendar,Y2520,0&amp;"D")</f>
        <v>56878</v>
      </c>
      <c r="AA2520" s="109">
        <v>1.1429094629500369E-2</v>
      </c>
      <c r="AB2520" s="143">
        <f t="shared" si="88"/>
        <v>1.5987211554602254E-13</v>
      </c>
      <c r="AC2520" s="236" t="e">
        <v>#N/A</v>
      </c>
      <c r="AD2520" s="236">
        <v>1.1429094629340497E-2</v>
      </c>
    </row>
    <row r="2521" spans="23:30" x14ac:dyDescent="0.2">
      <c r="W2521" s="144"/>
      <c r="X2521" s="113" t="str">
        <f t="shared" si="87"/>
        <v>1w</v>
      </c>
      <c r="Y2521" s="106">
        <f>_xll.qlCalendarAdvance(Calendar,Y2520,X2521,"f",FALSE)</f>
        <v>56885</v>
      </c>
      <c r="Z2521" s="108">
        <f>_xll.qlCalendarAdvance(Calendar,Y2521,0&amp;"D")</f>
        <v>56885</v>
      </c>
      <c r="AA2521" s="109">
        <v>1.1416611588579428E-2</v>
      </c>
      <c r="AB2521" s="143">
        <f t="shared" si="88"/>
        <v>0</v>
      </c>
      <c r="AC2521" s="236" t="e">
        <v>#N/A</v>
      </c>
      <c r="AD2521" s="236">
        <v>1.1416611588579428E-2</v>
      </c>
    </row>
    <row r="2522" spans="23:30" x14ac:dyDescent="0.2">
      <c r="W2522" s="144"/>
      <c r="X2522" s="113" t="str">
        <f t="shared" si="87"/>
        <v>1w</v>
      </c>
      <c r="Y2522" s="106">
        <f>_xll.qlCalendarAdvance(Calendar,Y2521,X2522,"f",FALSE)</f>
        <v>56892</v>
      </c>
      <c r="Z2522" s="108">
        <f>_xll.qlCalendarAdvance(Calendar,Y2522,0&amp;"D")</f>
        <v>56892</v>
      </c>
      <c r="AA2522" s="109">
        <v>1.1404168014168548E-2</v>
      </c>
      <c r="AB2522" s="143">
        <f t="shared" si="88"/>
        <v>0</v>
      </c>
      <c r="AC2522" s="236" t="e">
        <v>#N/A</v>
      </c>
      <c r="AD2522" s="236">
        <v>1.1404168014168548E-2</v>
      </c>
    </row>
    <row r="2523" spans="23:30" x14ac:dyDescent="0.2">
      <c r="W2523" s="144"/>
      <c r="X2523" s="113" t="str">
        <f t="shared" si="87"/>
        <v>1w</v>
      </c>
      <c r="Y2523" s="106">
        <f>_xll.qlCalendarAdvance(Calendar,Y2522,X2523,"f",FALSE)</f>
        <v>56899</v>
      </c>
      <c r="Z2523" s="108">
        <f>_xll.qlCalendarAdvance(Calendar,Y2523,0&amp;"D")</f>
        <v>56899</v>
      </c>
      <c r="AA2523" s="109">
        <v>1.1391763906267727E-2</v>
      </c>
      <c r="AB2523" s="143">
        <f t="shared" si="88"/>
        <v>0</v>
      </c>
      <c r="AC2523" s="236" t="e">
        <v>#N/A</v>
      </c>
      <c r="AD2523" s="236">
        <v>1.1391763906267727E-2</v>
      </c>
    </row>
    <row r="2524" spans="23:30" x14ac:dyDescent="0.2">
      <c r="W2524" s="144"/>
      <c r="X2524" s="113" t="str">
        <f t="shared" si="87"/>
        <v>1w</v>
      </c>
      <c r="Y2524" s="106">
        <f>_xll.qlCalendarAdvance(Calendar,Y2523,X2524,"f",FALSE)</f>
        <v>56906</v>
      </c>
      <c r="Z2524" s="108">
        <f>_xll.qlCalendarAdvance(Calendar,Y2524,0&amp;"D")</f>
        <v>56906</v>
      </c>
      <c r="AA2524" s="109">
        <v>1.1379399264717094E-2</v>
      </c>
      <c r="AB2524" s="143">
        <f t="shared" si="88"/>
        <v>0</v>
      </c>
      <c r="AC2524" s="236" t="e">
        <v>#N/A</v>
      </c>
      <c r="AD2524" s="236">
        <v>1.1379399264717094E-2</v>
      </c>
    </row>
    <row r="2525" spans="23:30" x14ac:dyDescent="0.2">
      <c r="W2525" s="144"/>
      <c r="X2525" s="113" t="str">
        <f t="shared" si="87"/>
        <v>1w</v>
      </c>
      <c r="Y2525" s="106">
        <f>_xll.qlCalendarAdvance(Calendar,Y2524,X2525,"f",FALSE)</f>
        <v>56913</v>
      </c>
      <c r="Z2525" s="108">
        <f>_xll.qlCalendarAdvance(Calendar,Y2525,0&amp;"D")</f>
        <v>56913</v>
      </c>
      <c r="AA2525" s="109">
        <v>1.1367074089356777E-2</v>
      </c>
      <c r="AB2525" s="143">
        <f t="shared" si="88"/>
        <v>-7.9936057773011271E-14</v>
      </c>
      <c r="AC2525" s="236" t="e">
        <v>#N/A</v>
      </c>
      <c r="AD2525" s="236">
        <v>1.1367074089436713E-2</v>
      </c>
    </row>
    <row r="2526" spans="23:30" x14ac:dyDescent="0.2">
      <c r="W2526" s="144"/>
      <c r="X2526" s="113" t="str">
        <f t="shared" si="87"/>
        <v>1w</v>
      </c>
      <c r="Y2526" s="106">
        <f>_xll.qlCalendarAdvance(Calendar,Y2525,X2526,"f",FALSE)</f>
        <v>56920</v>
      </c>
      <c r="Z2526" s="108">
        <f>_xll.qlCalendarAdvance(Calendar,Y2526,0&amp;"D")</f>
        <v>56920</v>
      </c>
      <c r="AA2526" s="109">
        <v>1.1354788380426584E-2</v>
      </c>
      <c r="AB2526" s="143">
        <f t="shared" si="88"/>
        <v>-7.9936057773011271E-14</v>
      </c>
      <c r="AC2526" s="236" t="e">
        <v>#N/A</v>
      </c>
      <c r="AD2526" s="236">
        <v>1.135478838050652E-2</v>
      </c>
    </row>
    <row r="2527" spans="23:30" x14ac:dyDescent="0.2">
      <c r="W2527" s="144"/>
      <c r="X2527" s="113" t="str">
        <f t="shared" si="87"/>
        <v>1w</v>
      </c>
      <c r="Y2527" s="106">
        <f>_xll.qlCalendarAdvance(Calendar,Y2526,X2527,"f",FALSE)</f>
        <v>56927</v>
      </c>
      <c r="Z2527" s="108">
        <f>_xll.qlCalendarAdvance(Calendar,Y2527,0&amp;"D")</f>
        <v>56927</v>
      </c>
      <c r="AA2527" s="109">
        <v>1.1342542138086387E-2</v>
      </c>
      <c r="AB2527" s="143">
        <f t="shared" si="88"/>
        <v>0</v>
      </c>
      <c r="AC2527" s="236" t="e">
        <v>#N/A</v>
      </c>
      <c r="AD2527" s="236">
        <v>1.1342542138086387E-2</v>
      </c>
    </row>
    <row r="2528" spans="23:30" x14ac:dyDescent="0.2">
      <c r="W2528" s="144"/>
      <c r="X2528" s="113" t="str">
        <f t="shared" si="87"/>
        <v>1w</v>
      </c>
      <c r="Y2528" s="106">
        <f>_xll.qlCalendarAdvance(Calendar,Y2527,X2528,"f",FALSE)</f>
        <v>56934</v>
      </c>
      <c r="Z2528" s="108">
        <f>_xll.qlCalendarAdvance(Calendar,Y2528,0&amp;"D")</f>
        <v>56934</v>
      </c>
      <c r="AA2528" s="109">
        <v>1.1330335362016442E-2</v>
      </c>
      <c r="AB2528" s="143">
        <f t="shared" si="88"/>
        <v>-7.9936057773011271E-14</v>
      </c>
      <c r="AC2528" s="236" t="e">
        <v>#N/A</v>
      </c>
      <c r="AD2528" s="236">
        <v>1.1330335362096378E-2</v>
      </c>
    </row>
    <row r="2529" spans="23:30" x14ac:dyDescent="0.2">
      <c r="W2529" s="144"/>
      <c r="X2529" s="113" t="str">
        <f t="shared" si="87"/>
        <v>1w</v>
      </c>
      <c r="Y2529" s="106">
        <f>_xll.qlCalendarAdvance(Calendar,Y2528,X2529,"f",FALSE)</f>
        <v>56941</v>
      </c>
      <c r="Z2529" s="108">
        <f>_xll.qlCalendarAdvance(Calendar,Y2529,0&amp;"D")</f>
        <v>56941</v>
      </c>
      <c r="AA2529" s="109">
        <v>1.1318168052216748E-2</v>
      </c>
      <c r="AB2529" s="143">
        <f t="shared" si="88"/>
        <v>-7.9936057773011271E-14</v>
      </c>
      <c r="AC2529" s="236" t="e">
        <v>#N/A</v>
      </c>
      <c r="AD2529" s="236">
        <v>1.1318168052296684E-2</v>
      </c>
    </row>
    <row r="2530" spans="23:30" x14ac:dyDescent="0.2">
      <c r="W2530" s="144"/>
      <c r="X2530" s="113" t="str">
        <f t="shared" si="87"/>
        <v>1w</v>
      </c>
      <c r="Y2530" s="106">
        <f>_xll.qlCalendarAdvance(Calendar,Y2529,X2530,"f",FALSE)</f>
        <v>56948</v>
      </c>
      <c r="Z2530" s="108">
        <f>_xll.qlCalendarAdvance(Calendar,Y2530,0&amp;"D")</f>
        <v>56948</v>
      </c>
      <c r="AA2530" s="109">
        <v>1.1306040208927115E-2</v>
      </c>
      <c r="AB2530" s="143">
        <f t="shared" si="88"/>
        <v>7.9936057773011271E-14</v>
      </c>
      <c r="AC2530" s="236" t="e">
        <v>#N/A</v>
      </c>
      <c r="AD2530" s="236">
        <v>1.1306040208847179E-2</v>
      </c>
    </row>
    <row r="2531" spans="23:30" x14ac:dyDescent="0.2">
      <c r="W2531" s="144"/>
      <c r="X2531" s="113" t="str">
        <f t="shared" si="87"/>
        <v>1w</v>
      </c>
      <c r="Y2531" s="106">
        <f>_xll.qlCalendarAdvance(Calendar,Y2530,X2531,"f",FALSE)</f>
        <v>56955</v>
      </c>
      <c r="Z2531" s="108">
        <f>_xll.qlCalendarAdvance(Calendar,Y2531,0&amp;"D")</f>
        <v>56955</v>
      </c>
      <c r="AA2531" s="109">
        <v>1.1293951831907734E-2</v>
      </c>
      <c r="AB2531" s="143">
        <f t="shared" si="88"/>
        <v>7.9936057773011271E-14</v>
      </c>
      <c r="AC2531" s="236" t="e">
        <v>#N/A</v>
      </c>
      <c r="AD2531" s="236">
        <v>1.1293951831827798E-2</v>
      </c>
    </row>
    <row r="2532" spans="23:30" x14ac:dyDescent="0.2">
      <c r="W2532" s="144"/>
      <c r="X2532" s="113" t="str">
        <f t="shared" si="87"/>
        <v>1w</v>
      </c>
      <c r="Y2532" s="106">
        <f>_xll.qlCalendarAdvance(Calendar,Y2531,X2532,"f",FALSE)</f>
        <v>56962</v>
      </c>
      <c r="Z2532" s="108">
        <f>_xll.qlCalendarAdvance(Calendar,Y2532,0&amp;"D")</f>
        <v>56962</v>
      </c>
      <c r="AA2532" s="109">
        <v>1.1281902921158604E-2</v>
      </c>
      <c r="AB2532" s="143">
        <f t="shared" si="88"/>
        <v>7.9936057773011271E-14</v>
      </c>
      <c r="AC2532" s="236" t="e">
        <v>#N/A</v>
      </c>
      <c r="AD2532" s="236">
        <v>1.1281902921078668E-2</v>
      </c>
    </row>
    <row r="2533" spans="23:30" x14ac:dyDescent="0.2">
      <c r="W2533" s="144"/>
      <c r="X2533" s="113" t="str">
        <f t="shared" si="87"/>
        <v>1w</v>
      </c>
      <c r="Y2533" s="106">
        <f>_xll.qlCalendarAdvance(Calendar,Y2532,X2533,"f",FALSE)</f>
        <v>56969</v>
      </c>
      <c r="Z2533" s="108">
        <f>_xll.qlCalendarAdvance(Calendar,Y2533,0&amp;"D")</f>
        <v>56969</v>
      </c>
      <c r="AA2533" s="109">
        <v>1.1269893476839599E-2</v>
      </c>
      <c r="AB2533" s="143">
        <f t="shared" si="88"/>
        <v>0</v>
      </c>
      <c r="AC2533" s="236" t="e">
        <v>#N/A</v>
      </c>
      <c r="AD2533" s="236">
        <v>1.1269893476839599E-2</v>
      </c>
    </row>
    <row r="2534" spans="23:30" x14ac:dyDescent="0.2">
      <c r="W2534" s="144"/>
      <c r="X2534" s="113" t="str">
        <f t="shared" si="87"/>
        <v>1w</v>
      </c>
      <c r="Y2534" s="106">
        <f>_xll.qlCalendarAdvance(Calendar,Y2533,X2534,"f",FALSE)</f>
        <v>56976</v>
      </c>
      <c r="Z2534" s="108">
        <f>_xll.qlCalendarAdvance(Calendar,Y2534,0&amp;"D")</f>
        <v>56976</v>
      </c>
      <c r="AA2534" s="109">
        <v>1.1257923498710909E-2</v>
      </c>
      <c r="AB2534" s="143">
        <f t="shared" si="88"/>
        <v>0</v>
      </c>
      <c r="AC2534" s="236" t="e">
        <v>#N/A</v>
      </c>
      <c r="AD2534" s="236">
        <v>1.1257923498710909E-2</v>
      </c>
    </row>
    <row r="2535" spans="23:30" x14ac:dyDescent="0.2">
      <c r="W2535" s="144"/>
      <c r="X2535" s="113" t="str">
        <f t="shared" si="87"/>
        <v>1w</v>
      </c>
      <c r="Y2535" s="106">
        <f>_xll.qlCalendarAdvance(Calendar,Y2534,X2535,"f",FALSE)</f>
        <v>56983</v>
      </c>
      <c r="Z2535" s="108">
        <f>_xll.qlCalendarAdvance(Calendar,Y2535,0&amp;"D")</f>
        <v>56983</v>
      </c>
      <c r="AA2535" s="109">
        <v>1.1245992987092279E-2</v>
      </c>
      <c r="AB2535" s="143">
        <f t="shared" si="88"/>
        <v>0</v>
      </c>
      <c r="AC2535" s="236" t="e">
        <v>#N/A</v>
      </c>
      <c r="AD2535" s="236">
        <v>1.1245992987092279E-2</v>
      </c>
    </row>
    <row r="2536" spans="23:30" x14ac:dyDescent="0.2">
      <c r="W2536" s="144"/>
      <c r="X2536" s="113" t="str">
        <f t="shared" si="87"/>
        <v>1w</v>
      </c>
      <c r="Y2536" s="106">
        <f>_xll.qlCalendarAdvance(Calendar,Y2535,X2536,"f",FALSE)</f>
        <v>56990</v>
      </c>
      <c r="Z2536" s="108">
        <f>_xll.qlCalendarAdvance(Calendar,Y2536,0&amp;"D")</f>
        <v>56990</v>
      </c>
      <c r="AA2536" s="109">
        <v>1.1234101941823837E-2</v>
      </c>
      <c r="AB2536" s="143">
        <f t="shared" si="88"/>
        <v>7.9936057773011271E-14</v>
      </c>
      <c r="AC2536" s="236" t="e">
        <v>#N/A</v>
      </c>
      <c r="AD2536" s="236">
        <v>1.1234101941743901E-2</v>
      </c>
    </row>
    <row r="2537" spans="23:30" x14ac:dyDescent="0.2">
      <c r="W2537" s="144"/>
      <c r="X2537" s="113" t="str">
        <f t="shared" si="87"/>
        <v>1w</v>
      </c>
      <c r="Y2537" s="106">
        <f>_xll.qlCalendarAdvance(Calendar,Y2536,X2537,"f",FALSE)</f>
        <v>56997</v>
      </c>
      <c r="Z2537" s="108">
        <f>_xll.qlCalendarAdvance(Calendar,Y2537,0&amp;"D")</f>
        <v>56997</v>
      </c>
      <c r="AA2537" s="109">
        <v>1.1222250362745712E-2</v>
      </c>
      <c r="AB2537" s="143">
        <f t="shared" si="88"/>
        <v>0</v>
      </c>
      <c r="AC2537" s="236" t="e">
        <v>#N/A</v>
      </c>
      <c r="AD2537" s="236">
        <v>1.1222250362745712E-2</v>
      </c>
    </row>
    <row r="2538" spans="23:30" x14ac:dyDescent="0.2">
      <c r="W2538" s="144"/>
      <c r="X2538" s="113" t="str">
        <f t="shared" si="87"/>
        <v>1w</v>
      </c>
      <c r="Y2538" s="106">
        <f>_xll.qlCalendarAdvance(Calendar,Y2537,X2538,"f",FALSE)</f>
        <v>57004</v>
      </c>
      <c r="Z2538" s="108">
        <f>_xll.qlCalendarAdvance(Calendar,Y2538,0&amp;"D")</f>
        <v>57004</v>
      </c>
      <c r="AA2538" s="109">
        <v>1.1210438250177646E-2</v>
      </c>
      <c r="AB2538" s="143">
        <f t="shared" si="88"/>
        <v>0</v>
      </c>
      <c r="AC2538" s="236" t="e">
        <v>#N/A</v>
      </c>
      <c r="AD2538" s="236">
        <v>1.1210438250177646E-2</v>
      </c>
    </row>
    <row r="2539" spans="23:30" x14ac:dyDescent="0.2">
      <c r="W2539" s="144"/>
      <c r="X2539" s="113" t="str">
        <f t="shared" si="87"/>
        <v>1w</v>
      </c>
      <c r="Y2539" s="106">
        <f>_xll.qlCalendarAdvance(Calendar,Y2538,X2539,"f",FALSE)</f>
        <v>57011</v>
      </c>
      <c r="Z2539" s="108">
        <f>_xll.qlCalendarAdvance(Calendar,Y2539,0&amp;"D")</f>
        <v>57011</v>
      </c>
      <c r="AA2539" s="109">
        <v>1.1198665603799896E-2</v>
      </c>
      <c r="AB2539" s="143">
        <f t="shared" si="88"/>
        <v>0</v>
      </c>
      <c r="AC2539" s="236" t="e">
        <v>#N/A</v>
      </c>
      <c r="AD2539" s="236">
        <v>1.1198665603799896E-2</v>
      </c>
    </row>
    <row r="2540" spans="23:30" x14ac:dyDescent="0.2">
      <c r="W2540" s="144"/>
      <c r="X2540" s="113" t="str">
        <f t="shared" si="87"/>
        <v>1w</v>
      </c>
      <c r="Y2540" s="106">
        <f>_xll.qlCalendarAdvance(Calendar,Y2539,X2540,"f",FALSE)</f>
        <v>57018</v>
      </c>
      <c r="Z2540" s="108">
        <f>_xll.qlCalendarAdvance(Calendar,Y2540,0&amp;"D")</f>
        <v>57018</v>
      </c>
      <c r="AA2540" s="109">
        <v>1.1186932423772333E-2</v>
      </c>
      <c r="AB2540" s="143">
        <f t="shared" si="88"/>
        <v>0</v>
      </c>
      <c r="AC2540" s="236" t="e">
        <v>#N/A</v>
      </c>
      <c r="AD2540" s="236">
        <v>1.1186932423772333E-2</v>
      </c>
    </row>
    <row r="2541" spans="23:30" x14ac:dyDescent="0.2">
      <c r="W2541" s="144"/>
      <c r="X2541" s="113" t="str">
        <f t="shared" si="87"/>
        <v>1w</v>
      </c>
      <c r="Y2541" s="106">
        <f>_xll.qlCalendarAdvance(Calendar,Y2540,X2541,"f",FALSE)</f>
        <v>57025</v>
      </c>
      <c r="Z2541" s="108">
        <f>_xll.qlCalendarAdvance(Calendar,Y2541,0&amp;"D")</f>
        <v>57025</v>
      </c>
      <c r="AA2541" s="109">
        <v>1.1175238709935087E-2</v>
      </c>
      <c r="AB2541" s="143">
        <f t="shared" si="88"/>
        <v>-7.9936057773011271E-14</v>
      </c>
      <c r="AC2541" s="236" t="e">
        <v>#N/A</v>
      </c>
      <c r="AD2541" s="236">
        <v>1.1175238710015023E-2</v>
      </c>
    </row>
    <row r="2542" spans="23:30" x14ac:dyDescent="0.2">
      <c r="W2542" s="144"/>
      <c r="X2542" s="113" t="str">
        <f t="shared" si="87"/>
        <v>1w</v>
      </c>
      <c r="Y2542" s="106">
        <f>_xll.qlCalendarAdvance(Calendar,Y2541,X2542,"f",FALSE)</f>
        <v>57032</v>
      </c>
      <c r="Z2542" s="108">
        <f>_xll.qlCalendarAdvance(Calendar,Y2542,0&amp;"D")</f>
        <v>57032</v>
      </c>
      <c r="AA2542" s="109">
        <v>1.1163584462607901E-2</v>
      </c>
      <c r="AB2542" s="143">
        <f t="shared" si="88"/>
        <v>0</v>
      </c>
      <c r="AC2542" s="236" t="e">
        <v>#N/A</v>
      </c>
      <c r="AD2542" s="236">
        <v>1.1163584462607901E-2</v>
      </c>
    </row>
    <row r="2543" spans="23:30" x14ac:dyDescent="0.2">
      <c r="W2543" s="144"/>
      <c r="X2543" s="113" t="str">
        <f t="shared" si="87"/>
        <v>1w</v>
      </c>
      <c r="Y2543" s="106">
        <f>_xll.qlCalendarAdvance(Calendar,Y2542,X2543,"f",FALSE)</f>
        <v>57039</v>
      </c>
      <c r="Z2543" s="108">
        <f>_xll.qlCalendarAdvance(Calendar,Y2543,0&amp;"D")</f>
        <v>57039</v>
      </c>
      <c r="AA2543" s="109">
        <v>1.1151969681550966E-2</v>
      </c>
      <c r="AB2543" s="143">
        <f t="shared" si="88"/>
        <v>0</v>
      </c>
      <c r="AC2543" s="236" t="e">
        <v>#N/A</v>
      </c>
      <c r="AD2543" s="236">
        <v>1.1151969681550966E-2</v>
      </c>
    </row>
    <row r="2544" spans="23:30" x14ac:dyDescent="0.2">
      <c r="W2544" s="144"/>
      <c r="X2544" s="113" t="str">
        <f t="shared" si="87"/>
        <v>1w</v>
      </c>
      <c r="Y2544" s="106">
        <f>_xll.qlCalendarAdvance(Calendar,Y2543,X2544,"f",FALSE)</f>
        <v>57046</v>
      </c>
      <c r="Z2544" s="108">
        <f>_xll.qlCalendarAdvance(Calendar,Y2544,0&amp;"D")</f>
        <v>57046</v>
      </c>
      <c r="AA2544" s="109">
        <v>1.1140394366684347E-2</v>
      </c>
      <c r="AB2544" s="143">
        <f t="shared" si="88"/>
        <v>0</v>
      </c>
      <c r="AC2544" s="236" t="e">
        <v>#N/A</v>
      </c>
      <c r="AD2544" s="236">
        <v>1.1140394366684347E-2</v>
      </c>
    </row>
    <row r="2545" spans="23:30" x14ac:dyDescent="0.2">
      <c r="W2545" s="144"/>
      <c r="X2545" s="113" t="str">
        <f t="shared" si="87"/>
        <v>1w</v>
      </c>
      <c r="Y2545" s="106">
        <f>_xll.qlCalendarAdvance(Calendar,Y2544,X2545,"f",FALSE)</f>
        <v>57053</v>
      </c>
      <c r="Z2545" s="108">
        <f>_xll.qlCalendarAdvance(Calendar,Y2545,0&amp;"D")</f>
        <v>57053</v>
      </c>
      <c r="AA2545" s="109">
        <v>1.1128858518167917E-2</v>
      </c>
      <c r="AB2545" s="143">
        <f t="shared" si="88"/>
        <v>-7.9936057773011271E-14</v>
      </c>
      <c r="AC2545" s="236" t="e">
        <v>#N/A</v>
      </c>
      <c r="AD2545" s="236">
        <v>1.1128858518247853E-2</v>
      </c>
    </row>
    <row r="2546" spans="23:30" x14ac:dyDescent="0.2">
      <c r="W2546" s="144"/>
      <c r="X2546" s="113" t="str">
        <f t="shared" si="87"/>
        <v>1w</v>
      </c>
      <c r="Y2546" s="106">
        <f>_xll.qlCalendarAdvance(Calendar,Y2545,X2546,"f",FALSE)</f>
        <v>57060</v>
      </c>
      <c r="Z2546" s="108">
        <f>_xll.qlCalendarAdvance(Calendar,Y2546,0&amp;"D")</f>
        <v>57060</v>
      </c>
      <c r="AA2546" s="109">
        <v>1.111736213608161E-2</v>
      </c>
      <c r="AB2546" s="143">
        <f t="shared" si="88"/>
        <v>7.9936057773011271E-14</v>
      </c>
      <c r="AC2546" s="236" t="e">
        <v>#N/A</v>
      </c>
      <c r="AD2546" s="236">
        <v>1.1117362136001674E-2</v>
      </c>
    </row>
    <row r="2547" spans="23:30" x14ac:dyDescent="0.2">
      <c r="W2547" s="144"/>
      <c r="X2547" s="113" t="str">
        <f t="shared" si="87"/>
        <v>1w</v>
      </c>
      <c r="Y2547" s="106">
        <f>_xll.qlCalendarAdvance(Calendar,Y2546,X2547,"f",FALSE)</f>
        <v>57067</v>
      </c>
      <c r="Z2547" s="108">
        <f>_xll.qlCalendarAdvance(Calendar,Y2547,0&amp;"D")</f>
        <v>57067</v>
      </c>
      <c r="AA2547" s="109">
        <v>1.1105905220105683E-2</v>
      </c>
      <c r="AB2547" s="143">
        <f t="shared" si="88"/>
        <v>0</v>
      </c>
      <c r="AC2547" s="236" t="e">
        <v>#N/A</v>
      </c>
      <c r="AD2547" s="236">
        <v>1.1105905220105683E-2</v>
      </c>
    </row>
    <row r="2548" spans="23:30" x14ac:dyDescent="0.2">
      <c r="W2548" s="144"/>
      <c r="X2548" s="113" t="str">
        <f t="shared" si="87"/>
        <v>1w</v>
      </c>
      <c r="Y2548" s="106">
        <f>_xll.qlCalendarAdvance(Calendar,Y2547,X2548,"f",FALSE)</f>
        <v>57074</v>
      </c>
      <c r="Z2548" s="108">
        <f>_xll.qlCalendarAdvance(Calendar,Y2548,0&amp;"D")</f>
        <v>57074</v>
      </c>
      <c r="AA2548" s="109">
        <v>1.109448777055988E-2</v>
      </c>
      <c r="AB2548" s="143">
        <f t="shared" si="88"/>
        <v>0</v>
      </c>
      <c r="AC2548" s="236" t="e">
        <v>#N/A</v>
      </c>
      <c r="AD2548" s="236">
        <v>1.109448777055988E-2</v>
      </c>
    </row>
    <row r="2549" spans="23:30" x14ac:dyDescent="0.2">
      <c r="W2549" s="144"/>
      <c r="X2549" s="113" t="str">
        <f t="shared" si="87"/>
        <v>1w</v>
      </c>
      <c r="Y2549" s="106">
        <f>_xll.qlCalendarAdvance(Calendar,Y2548,X2549,"f",FALSE)</f>
        <v>57081</v>
      </c>
      <c r="Z2549" s="108">
        <f>_xll.qlCalendarAdvance(Calendar,Y2549,0&amp;"D")</f>
        <v>57081</v>
      </c>
      <c r="AA2549" s="109">
        <v>1.1083109787124457E-2</v>
      </c>
      <c r="AB2549" s="143">
        <f t="shared" si="88"/>
        <v>0</v>
      </c>
      <c r="AC2549" s="236" t="e">
        <v>#N/A</v>
      </c>
      <c r="AD2549" s="236">
        <v>1.1083109787124457E-2</v>
      </c>
    </row>
    <row r="2550" spans="23:30" x14ac:dyDescent="0.2">
      <c r="W2550" s="144"/>
      <c r="X2550" s="113" t="str">
        <f t="shared" si="87"/>
        <v>1w</v>
      </c>
      <c r="Y2550" s="106">
        <f>_xll.qlCalendarAdvance(Calendar,Y2549,X2550,"f",FALSE)</f>
        <v>57088</v>
      </c>
      <c r="Z2550" s="108">
        <f>_xll.qlCalendarAdvance(Calendar,Y2550,0&amp;"D")</f>
        <v>57088</v>
      </c>
      <c r="AA2550" s="109">
        <v>1.1071771270119157E-2</v>
      </c>
      <c r="AB2550" s="143">
        <f t="shared" si="88"/>
        <v>0</v>
      </c>
      <c r="AC2550" s="236" t="e">
        <v>#N/A</v>
      </c>
      <c r="AD2550" s="236">
        <v>1.1071771270119157E-2</v>
      </c>
    </row>
    <row r="2551" spans="23:30" x14ac:dyDescent="0.2">
      <c r="W2551" s="144"/>
      <c r="X2551" s="113" t="str">
        <f t="shared" si="87"/>
        <v>1w</v>
      </c>
      <c r="Y2551" s="106">
        <f>_xll.qlCalendarAdvance(Calendar,Y2550,X2551,"f",FALSE)</f>
        <v>57095</v>
      </c>
      <c r="Z2551" s="108">
        <f>_xll.qlCalendarAdvance(Calendar,Y2551,0&amp;"D")</f>
        <v>57095</v>
      </c>
      <c r="AA2551" s="109">
        <v>1.1060472219224238E-2</v>
      </c>
      <c r="AB2551" s="143">
        <f t="shared" si="88"/>
        <v>-7.9936057773011271E-14</v>
      </c>
      <c r="AC2551" s="236" t="e">
        <v>#N/A</v>
      </c>
      <c r="AD2551" s="236">
        <v>1.1060472219304174E-2</v>
      </c>
    </row>
    <row r="2552" spans="23:30" x14ac:dyDescent="0.2">
      <c r="W2552" s="144"/>
      <c r="X2552" s="113" t="str">
        <f t="shared" si="87"/>
        <v>1w</v>
      </c>
      <c r="Y2552" s="106">
        <f>_xll.qlCalendarAdvance(Calendar,Y2551,X2552,"f",FALSE)</f>
        <v>57102</v>
      </c>
      <c r="Z2552" s="108">
        <f>_xll.qlCalendarAdvance(Calendar,Y2552,0&amp;"D")</f>
        <v>57102</v>
      </c>
      <c r="AA2552" s="109">
        <v>1.1049212634759442E-2</v>
      </c>
      <c r="AB2552" s="143">
        <f t="shared" si="88"/>
        <v>0</v>
      </c>
      <c r="AC2552" s="236" t="e">
        <v>#N/A</v>
      </c>
      <c r="AD2552" s="236">
        <v>1.1049212634759442E-2</v>
      </c>
    </row>
    <row r="2553" spans="23:30" x14ac:dyDescent="0.2">
      <c r="W2553" s="144"/>
      <c r="X2553" s="113" t="str">
        <f t="shared" si="87"/>
        <v>1w</v>
      </c>
      <c r="Y2553" s="106">
        <f>_xll.qlCalendarAdvance(Calendar,Y2552,X2553,"f",FALSE)</f>
        <v>57109</v>
      </c>
      <c r="Z2553" s="108">
        <f>_xll.qlCalendarAdvance(Calendar,Y2553,0&amp;"D")</f>
        <v>57109</v>
      </c>
      <c r="AA2553" s="109">
        <v>1.1037992516644834E-2</v>
      </c>
      <c r="AB2553" s="143">
        <f t="shared" si="88"/>
        <v>0</v>
      </c>
      <c r="AC2553" s="236" t="e">
        <v>#N/A</v>
      </c>
      <c r="AD2553" s="236">
        <v>1.1037992516644834E-2</v>
      </c>
    </row>
    <row r="2554" spans="23:30" x14ac:dyDescent="0.2">
      <c r="W2554" s="144"/>
      <c r="X2554" s="113" t="str">
        <f t="shared" si="87"/>
        <v>1w</v>
      </c>
      <c r="Y2554" s="106">
        <f>_xll.qlCalendarAdvance(Calendar,Y2553,X2554,"f",FALSE)</f>
        <v>57116</v>
      </c>
      <c r="Z2554" s="108">
        <f>_xll.qlCalendarAdvance(Calendar,Y2554,0&amp;"D")</f>
        <v>57116</v>
      </c>
      <c r="AA2554" s="109">
        <v>1.1026811864640607E-2</v>
      </c>
      <c r="AB2554" s="143">
        <f t="shared" si="88"/>
        <v>0</v>
      </c>
      <c r="AC2554" s="236" t="e">
        <v>#N/A</v>
      </c>
      <c r="AD2554" s="236">
        <v>1.1026811864640607E-2</v>
      </c>
    </row>
    <row r="2555" spans="23:30" x14ac:dyDescent="0.2">
      <c r="W2555" s="144"/>
      <c r="X2555" s="113" t="str">
        <f t="shared" si="87"/>
        <v>1w</v>
      </c>
      <c r="Y2555" s="106">
        <f>_xll.qlCalendarAdvance(Calendar,Y2554,X2555,"f",FALSE)</f>
        <v>57123</v>
      </c>
      <c r="Z2555" s="108">
        <f>_xll.qlCalendarAdvance(Calendar,Y2555,0&amp;"D")</f>
        <v>57123</v>
      </c>
      <c r="AA2555" s="109">
        <v>1.1015670678986567E-2</v>
      </c>
      <c r="AB2555" s="143">
        <f t="shared" si="88"/>
        <v>0</v>
      </c>
      <c r="AC2555" s="236" t="e">
        <v>#N/A</v>
      </c>
      <c r="AD2555" s="236">
        <v>1.1015670678986567E-2</v>
      </c>
    </row>
    <row r="2556" spans="23:30" x14ac:dyDescent="0.2">
      <c r="W2556" s="144"/>
      <c r="X2556" s="113" t="str">
        <f t="shared" si="87"/>
        <v>1w</v>
      </c>
      <c r="Y2556" s="106">
        <f>_xll.qlCalendarAdvance(Calendar,Y2555,X2556,"f",FALSE)</f>
        <v>57130</v>
      </c>
      <c r="Z2556" s="108">
        <f>_xll.qlCalendarAdvance(Calendar,Y2556,0&amp;"D")</f>
        <v>57130</v>
      </c>
      <c r="AA2556" s="109">
        <v>1.1004568959522842E-2</v>
      </c>
      <c r="AB2556" s="143">
        <f t="shared" si="88"/>
        <v>0</v>
      </c>
      <c r="AC2556" s="236" t="e">
        <v>#N/A</v>
      </c>
      <c r="AD2556" s="236">
        <v>1.1004568959522842E-2</v>
      </c>
    </row>
    <row r="2557" spans="23:30" x14ac:dyDescent="0.2">
      <c r="W2557" s="144"/>
      <c r="X2557" s="113" t="str">
        <f t="shared" si="87"/>
        <v>1w</v>
      </c>
      <c r="Y2557" s="106">
        <f>_xll.qlCalendarAdvance(Calendar,Y2556,X2557,"f",FALSE)</f>
        <v>57137</v>
      </c>
      <c r="Z2557" s="108">
        <f>_xll.qlCalendarAdvance(Calendar,Y2557,0&amp;"D")</f>
        <v>57137</v>
      </c>
      <c r="AA2557" s="109">
        <v>1.0993506706249434E-2</v>
      </c>
      <c r="AB2557" s="143">
        <f t="shared" si="88"/>
        <v>0</v>
      </c>
      <c r="AC2557" s="236" t="e">
        <v>#N/A</v>
      </c>
      <c r="AD2557" s="236">
        <v>1.0993506706249434E-2</v>
      </c>
    </row>
    <row r="2558" spans="23:30" x14ac:dyDescent="0.2">
      <c r="W2558" s="144"/>
      <c r="X2558" s="113" t="str">
        <f t="shared" si="87"/>
        <v>1w</v>
      </c>
      <c r="Y2558" s="106">
        <f>_xll.qlCalendarAdvance(Calendar,Y2557,X2558,"f",FALSE)</f>
        <v>57144</v>
      </c>
      <c r="Z2558" s="108">
        <f>_xll.qlCalendarAdvance(Calendar,Y2558,0&amp;"D")</f>
        <v>57144</v>
      </c>
      <c r="AA2558" s="109">
        <v>1.0982483919246278E-2</v>
      </c>
      <c r="AB2558" s="143">
        <f t="shared" si="88"/>
        <v>-7.9936057773011271E-14</v>
      </c>
      <c r="AC2558" s="236" t="e">
        <v>#N/A</v>
      </c>
      <c r="AD2558" s="236">
        <v>1.0982483919326214E-2</v>
      </c>
    </row>
    <row r="2559" spans="23:30" x14ac:dyDescent="0.2">
      <c r="W2559" s="144"/>
      <c r="X2559" s="113" t="str">
        <f t="shared" si="87"/>
        <v>1w</v>
      </c>
      <c r="Y2559" s="106">
        <f>_xll.qlCalendarAdvance(Calendar,Y2558,X2559,"f",FALSE)</f>
        <v>57151</v>
      </c>
      <c r="Z2559" s="108">
        <f>_xll.qlCalendarAdvance(Calendar,Y2559,0&amp;"D")</f>
        <v>57151</v>
      </c>
      <c r="AA2559" s="109">
        <v>1.0971500598593309E-2</v>
      </c>
      <c r="AB2559" s="143">
        <f t="shared" si="88"/>
        <v>0</v>
      </c>
      <c r="AC2559" s="236" t="e">
        <v>#N/A</v>
      </c>
      <c r="AD2559" s="236">
        <v>1.0971500598593309E-2</v>
      </c>
    </row>
    <row r="2560" spans="23:30" x14ac:dyDescent="0.2">
      <c r="W2560" s="144"/>
      <c r="X2560" s="113" t="str">
        <f t="shared" si="87"/>
        <v>1w</v>
      </c>
      <c r="Y2560" s="106">
        <f>_xll.qlCalendarAdvance(Calendar,Y2559,X2560,"f",FALSE)</f>
        <v>57158</v>
      </c>
      <c r="Z2560" s="108">
        <f>_xll.qlCalendarAdvance(Calendar,Y2560,0&amp;"D")</f>
        <v>57158</v>
      </c>
      <c r="AA2560" s="109">
        <v>1.0960556744130656E-2</v>
      </c>
      <c r="AB2560" s="143">
        <f t="shared" si="88"/>
        <v>0</v>
      </c>
      <c r="AC2560" s="236" t="e">
        <v>#N/A</v>
      </c>
      <c r="AD2560" s="236">
        <v>1.0960556744130656E-2</v>
      </c>
    </row>
    <row r="2561" spans="23:30" x14ac:dyDescent="0.2">
      <c r="W2561" s="144"/>
      <c r="X2561" s="113" t="str">
        <f t="shared" si="87"/>
        <v>1w</v>
      </c>
      <c r="Y2561" s="106">
        <f>_xll.qlCalendarAdvance(Calendar,Y2560,X2561,"f",FALSE)</f>
        <v>57165</v>
      </c>
      <c r="Z2561" s="108">
        <f>_xll.qlCalendarAdvance(Calendar,Y2561,0&amp;"D")</f>
        <v>57165</v>
      </c>
      <c r="AA2561" s="109">
        <v>1.0949652355938255E-2</v>
      </c>
      <c r="AB2561" s="143">
        <f t="shared" si="88"/>
        <v>0</v>
      </c>
      <c r="AC2561" s="236" t="e">
        <v>#N/A</v>
      </c>
      <c r="AD2561" s="236">
        <v>1.0949652355938255E-2</v>
      </c>
    </row>
    <row r="2562" spans="23:30" x14ac:dyDescent="0.2">
      <c r="W2562" s="144"/>
      <c r="X2562" s="113" t="str">
        <f t="shared" si="87"/>
        <v>1w</v>
      </c>
      <c r="Y2562" s="106">
        <f>_xll.qlCalendarAdvance(Calendar,Y2561,X2562,"f",FALSE)</f>
        <v>57172</v>
      </c>
      <c r="Z2562" s="108">
        <f>_xll.qlCalendarAdvance(Calendar,Y2562,0&amp;"D")</f>
        <v>57172</v>
      </c>
      <c r="AA2562" s="109">
        <v>1.093878743393617E-2</v>
      </c>
      <c r="AB2562" s="143">
        <f t="shared" si="88"/>
        <v>-7.9936057773011271E-14</v>
      </c>
      <c r="AC2562" s="236" t="e">
        <v>#N/A</v>
      </c>
      <c r="AD2562" s="236">
        <v>1.0938787434016106E-2</v>
      </c>
    </row>
    <row r="2563" spans="23:30" x14ac:dyDescent="0.2">
      <c r="W2563" s="144"/>
      <c r="X2563" s="113" t="str">
        <f t="shared" si="87"/>
        <v>1w</v>
      </c>
      <c r="Y2563" s="106">
        <f>_xll.qlCalendarAdvance(Calendar,Y2562,X2563,"f",FALSE)</f>
        <v>57179</v>
      </c>
      <c r="Z2563" s="108">
        <f>_xll.qlCalendarAdvance(Calendar,Y2563,0&amp;"D")</f>
        <v>57179</v>
      </c>
      <c r="AA2563" s="109">
        <v>1.0927961978124401E-2</v>
      </c>
      <c r="AB2563" s="143">
        <f t="shared" si="88"/>
        <v>0</v>
      </c>
      <c r="AC2563" s="236" t="e">
        <v>#N/A</v>
      </c>
      <c r="AD2563" s="236">
        <v>1.0927961978124401E-2</v>
      </c>
    </row>
    <row r="2564" spans="23:30" x14ac:dyDescent="0.2">
      <c r="W2564" s="144"/>
      <c r="X2564" s="113" t="str">
        <f t="shared" si="87"/>
        <v>1w</v>
      </c>
      <c r="Y2564" s="106">
        <f>_xll.qlCalendarAdvance(Calendar,Y2563,X2564,"f",FALSE)</f>
        <v>57186</v>
      </c>
      <c r="Z2564" s="108">
        <f>_xll.qlCalendarAdvance(Calendar,Y2564,0&amp;"D")</f>
        <v>57186</v>
      </c>
      <c r="AA2564" s="109">
        <v>1.0917175988662819E-2</v>
      </c>
      <c r="AB2564" s="143">
        <f t="shared" si="88"/>
        <v>0</v>
      </c>
      <c r="AC2564" s="236" t="e">
        <v>#N/A</v>
      </c>
      <c r="AD2564" s="236">
        <v>1.0917175988662819E-2</v>
      </c>
    </row>
    <row r="2565" spans="23:30" x14ac:dyDescent="0.2">
      <c r="W2565" s="144"/>
      <c r="X2565" s="113" t="str">
        <f t="shared" si="87"/>
        <v>1w</v>
      </c>
      <c r="Y2565" s="106">
        <f>_xll.qlCalendarAdvance(Calendar,Y2564,X2565,"f",FALSE)</f>
        <v>57193</v>
      </c>
      <c r="Z2565" s="108">
        <f>_xll.qlCalendarAdvance(Calendar,Y2565,0&amp;"D")</f>
        <v>57193</v>
      </c>
      <c r="AA2565" s="109">
        <v>1.0906429465391554E-2</v>
      </c>
      <c r="AB2565" s="143">
        <f t="shared" si="88"/>
        <v>0</v>
      </c>
      <c r="AC2565" s="236" t="e">
        <v>#N/A</v>
      </c>
      <c r="AD2565" s="236">
        <v>1.0906429465391554E-2</v>
      </c>
    </row>
    <row r="2566" spans="23:30" x14ac:dyDescent="0.2">
      <c r="W2566" s="144"/>
      <c r="X2566" s="113" t="str">
        <f t="shared" si="87"/>
        <v>1w</v>
      </c>
      <c r="Y2566" s="106">
        <f>_xll.qlCalendarAdvance(Calendar,Y2565,X2566,"f",FALSE)</f>
        <v>57200</v>
      </c>
      <c r="Z2566" s="108">
        <f>_xll.qlCalendarAdvance(Calendar,Y2566,0&amp;"D")</f>
        <v>57200</v>
      </c>
      <c r="AA2566" s="109">
        <v>1.0895722408310604E-2</v>
      </c>
      <c r="AB2566" s="143">
        <f t="shared" si="88"/>
        <v>0</v>
      </c>
      <c r="AC2566" s="236" t="e">
        <v>#N/A</v>
      </c>
      <c r="AD2566" s="236">
        <v>1.0895722408310604E-2</v>
      </c>
    </row>
    <row r="2567" spans="23:30" x14ac:dyDescent="0.2">
      <c r="W2567" s="144"/>
      <c r="X2567" s="113" t="str">
        <f t="shared" si="87"/>
        <v>1w</v>
      </c>
      <c r="Y2567" s="106">
        <f>_xll.qlCalendarAdvance(Calendar,Y2566,X2567,"f",FALSE)</f>
        <v>57207</v>
      </c>
      <c r="Z2567" s="108">
        <f>_xll.qlCalendarAdvance(Calendar,Y2567,0&amp;"D")</f>
        <v>57207</v>
      </c>
      <c r="AA2567" s="109">
        <v>1.0885054817499906E-2</v>
      </c>
      <c r="AB2567" s="143">
        <f t="shared" si="88"/>
        <v>0</v>
      </c>
      <c r="AC2567" s="236" t="e">
        <v>#N/A</v>
      </c>
      <c r="AD2567" s="236">
        <v>1.0885054817499906E-2</v>
      </c>
    </row>
    <row r="2568" spans="23:30" x14ac:dyDescent="0.2">
      <c r="W2568" s="144"/>
      <c r="X2568" s="113" t="str">
        <f t="shared" si="87"/>
        <v>1w</v>
      </c>
      <c r="Y2568" s="106">
        <f>_xll.qlCalendarAdvance(Calendar,Y2567,X2568,"f",FALSE)</f>
        <v>57214</v>
      </c>
      <c r="Z2568" s="108">
        <f>_xll.qlCalendarAdvance(Calendar,Y2568,0&amp;"D")</f>
        <v>57214</v>
      </c>
      <c r="AA2568" s="109">
        <v>1.0874426692879524E-2</v>
      </c>
      <c r="AB2568" s="143">
        <f t="shared" si="88"/>
        <v>0</v>
      </c>
      <c r="AC2568" s="236" t="e">
        <v>#N/A</v>
      </c>
      <c r="AD2568" s="236">
        <v>1.0874426692879524E-2</v>
      </c>
    </row>
    <row r="2569" spans="23:30" x14ac:dyDescent="0.2">
      <c r="W2569" s="144"/>
      <c r="X2569" s="113" t="str">
        <f t="shared" si="87"/>
        <v>1w</v>
      </c>
      <c r="Y2569" s="106">
        <f>_xll.qlCalendarAdvance(Calendar,Y2568,X2569,"f",FALSE)</f>
        <v>57221</v>
      </c>
      <c r="Z2569" s="108">
        <f>_xll.qlCalendarAdvance(Calendar,Y2569,0&amp;"D")</f>
        <v>57221</v>
      </c>
      <c r="AA2569" s="109">
        <v>1.0863838034449458E-2</v>
      </c>
      <c r="AB2569" s="143">
        <f t="shared" si="88"/>
        <v>0</v>
      </c>
      <c r="AC2569" s="236" t="e">
        <v>#N/A</v>
      </c>
      <c r="AD2569" s="236">
        <v>1.0863838034449458E-2</v>
      </c>
    </row>
    <row r="2570" spans="23:30" x14ac:dyDescent="0.2">
      <c r="W2570" s="144"/>
      <c r="X2570" s="113" t="str">
        <f t="shared" si="87"/>
        <v>1w</v>
      </c>
      <c r="Y2570" s="106">
        <f>_xll.qlCalendarAdvance(Calendar,Y2569,X2570,"f",FALSE)</f>
        <v>57228</v>
      </c>
      <c r="Z2570" s="108">
        <f>_xll.qlCalendarAdvance(Calendar,Y2570,0&amp;"D")</f>
        <v>57228</v>
      </c>
      <c r="AA2570" s="109">
        <v>1.0853288842209707E-2</v>
      </c>
      <c r="AB2570" s="143">
        <f t="shared" si="88"/>
        <v>0</v>
      </c>
      <c r="AC2570" s="236" t="e">
        <v>#N/A</v>
      </c>
      <c r="AD2570" s="236">
        <v>1.0853288842209707E-2</v>
      </c>
    </row>
    <row r="2571" spans="23:30" x14ac:dyDescent="0.2">
      <c r="W2571" s="144"/>
      <c r="X2571" s="113" t="str">
        <f t="shared" si="87"/>
        <v>1w</v>
      </c>
      <c r="Y2571" s="106">
        <f>_xll.qlCalendarAdvance(Calendar,Y2570,X2571,"f",FALSE)</f>
        <v>57235</v>
      </c>
      <c r="Z2571" s="108">
        <f>_xll.qlCalendarAdvance(Calendar,Y2571,0&amp;"D")</f>
        <v>57235</v>
      </c>
      <c r="AA2571" s="109">
        <v>1.0842779116240209E-2</v>
      </c>
      <c r="AB2571" s="143">
        <f t="shared" si="88"/>
        <v>0</v>
      </c>
      <c r="AC2571" s="236" t="e">
        <v>#N/A</v>
      </c>
      <c r="AD2571" s="236">
        <v>1.0842779116240209E-2</v>
      </c>
    </row>
    <row r="2572" spans="23:30" x14ac:dyDescent="0.2">
      <c r="W2572" s="144"/>
      <c r="X2572" s="113" t="str">
        <f t="shared" si="87"/>
        <v>1w</v>
      </c>
      <c r="Y2572" s="106">
        <f>_xll.qlCalendarAdvance(Calendar,Y2571,X2572,"f",FALSE)</f>
        <v>57242</v>
      </c>
      <c r="Z2572" s="108">
        <f>_xll.qlCalendarAdvance(Calendar,Y2572,0&amp;"D")</f>
        <v>57242</v>
      </c>
      <c r="AA2572" s="109">
        <v>1.0832308856461026E-2</v>
      </c>
      <c r="AB2572" s="143">
        <f t="shared" si="88"/>
        <v>0</v>
      </c>
      <c r="AC2572" s="236" t="e">
        <v>#N/A</v>
      </c>
      <c r="AD2572" s="236">
        <v>1.0832308856461026E-2</v>
      </c>
    </row>
    <row r="2573" spans="23:30" x14ac:dyDescent="0.2">
      <c r="W2573" s="144"/>
      <c r="X2573" s="113" t="str">
        <f t="shared" ref="X2573:X2636" si="89">X2572</f>
        <v>1w</v>
      </c>
      <c r="Y2573" s="106">
        <f>_xll.qlCalendarAdvance(Calendar,Y2572,X2573,"f",FALSE)</f>
        <v>57249</v>
      </c>
      <c r="Z2573" s="108">
        <f>_xll.qlCalendarAdvance(Calendar,Y2573,0&amp;"D")</f>
        <v>57249</v>
      </c>
      <c r="AA2573" s="109">
        <v>1.0821878062792223E-2</v>
      </c>
      <c r="AB2573" s="143">
        <f t="shared" si="88"/>
        <v>0</v>
      </c>
      <c r="AC2573" s="236" t="e">
        <v>#N/A</v>
      </c>
      <c r="AD2573" s="236">
        <v>1.0821878062792223E-2</v>
      </c>
    </row>
    <row r="2574" spans="23:30" x14ac:dyDescent="0.2">
      <c r="W2574" s="144"/>
      <c r="X2574" s="113" t="str">
        <f t="shared" si="89"/>
        <v>1w</v>
      </c>
      <c r="Y2574" s="106">
        <f>_xll.qlCalendarAdvance(Calendar,Y2573,X2574,"f",FALSE)</f>
        <v>57256</v>
      </c>
      <c r="Z2574" s="108">
        <f>_xll.qlCalendarAdvance(Calendar,Y2574,0&amp;"D")</f>
        <v>57256</v>
      </c>
      <c r="AA2574" s="109">
        <v>1.0811486735473608E-2</v>
      </c>
      <c r="AB2574" s="143">
        <f t="shared" si="88"/>
        <v>7.9936057773011271E-14</v>
      </c>
      <c r="AC2574" s="236" t="e">
        <v>#N/A</v>
      </c>
      <c r="AD2574" s="236">
        <v>1.0811486735393672E-2</v>
      </c>
    </row>
    <row r="2575" spans="23:30" x14ac:dyDescent="0.2">
      <c r="W2575" s="144"/>
      <c r="X2575" s="113" t="str">
        <f t="shared" si="89"/>
        <v>1w</v>
      </c>
      <c r="Y2575" s="106">
        <f>_xll.qlCalendarAdvance(Calendar,Y2574,X2575,"f",FALSE)</f>
        <v>57263</v>
      </c>
      <c r="Z2575" s="108">
        <f>_xll.qlCalendarAdvance(Calendar,Y2575,0&amp;"D")</f>
        <v>57263</v>
      </c>
      <c r="AA2575" s="109">
        <v>1.0801134874265372E-2</v>
      </c>
      <c r="AB2575" s="143">
        <f t="shared" si="88"/>
        <v>0</v>
      </c>
      <c r="AC2575" s="236" t="e">
        <v>#N/A</v>
      </c>
      <c r="AD2575" s="236">
        <v>1.0801134874265372E-2</v>
      </c>
    </row>
    <row r="2576" spans="23:30" x14ac:dyDescent="0.2">
      <c r="W2576" s="144"/>
      <c r="X2576" s="113" t="str">
        <f t="shared" si="89"/>
        <v>1w</v>
      </c>
      <c r="Y2576" s="106">
        <f>_xll.qlCalendarAdvance(Calendar,Y2575,X2576,"f",FALSE)</f>
        <v>57270</v>
      </c>
      <c r="Z2576" s="108">
        <f>_xll.qlCalendarAdvance(Calendar,Y2576,0&amp;"D")</f>
        <v>57270</v>
      </c>
      <c r="AA2576" s="109">
        <v>1.0790822479087581E-2</v>
      </c>
      <c r="AB2576" s="143">
        <f t="shared" si="88"/>
        <v>0</v>
      </c>
      <c r="AC2576" s="236" t="e">
        <v>#N/A</v>
      </c>
      <c r="AD2576" s="236">
        <v>1.0790822479087581E-2</v>
      </c>
    </row>
    <row r="2577" spans="23:30" x14ac:dyDescent="0.2">
      <c r="W2577" s="144"/>
      <c r="X2577" s="113" t="str">
        <f t="shared" si="89"/>
        <v>1w</v>
      </c>
      <c r="Y2577" s="106">
        <f>_xll.qlCalendarAdvance(Calendar,Y2576,X2577,"f",FALSE)</f>
        <v>57277</v>
      </c>
      <c r="Z2577" s="108">
        <f>_xll.qlCalendarAdvance(Calendar,Y2577,0&amp;"D")</f>
        <v>57277</v>
      </c>
      <c r="AA2577" s="109">
        <v>1.0780549550180041E-2</v>
      </c>
      <c r="AB2577" s="143">
        <f t="shared" si="88"/>
        <v>0</v>
      </c>
      <c r="AC2577" s="236" t="e">
        <v>#N/A</v>
      </c>
      <c r="AD2577" s="236">
        <v>1.0780549550180041E-2</v>
      </c>
    </row>
    <row r="2578" spans="23:30" x14ac:dyDescent="0.2">
      <c r="W2578" s="144"/>
      <c r="X2578" s="113" t="str">
        <f t="shared" si="89"/>
        <v>1w</v>
      </c>
      <c r="Y2578" s="106">
        <f>_xll.qlCalendarAdvance(Calendar,Y2577,X2578,"f",FALSE)</f>
        <v>57284</v>
      </c>
      <c r="Z2578" s="108">
        <f>_xll.qlCalendarAdvance(Calendar,Y2578,0&amp;"D")</f>
        <v>57284</v>
      </c>
      <c r="AA2578" s="109">
        <v>1.0770316087622689E-2</v>
      </c>
      <c r="AB2578" s="143">
        <f t="shared" si="88"/>
        <v>0</v>
      </c>
      <c r="AC2578" s="236" t="e">
        <v>#N/A</v>
      </c>
      <c r="AD2578" s="236">
        <v>1.0770316087622689E-2</v>
      </c>
    </row>
    <row r="2579" spans="23:30" x14ac:dyDescent="0.2">
      <c r="W2579" s="144"/>
      <c r="X2579" s="113" t="str">
        <f t="shared" si="89"/>
        <v>1w</v>
      </c>
      <c r="Y2579" s="106">
        <f>_xll.qlCalendarAdvance(Calendar,Y2578,X2579,"f",FALSE)</f>
        <v>57291</v>
      </c>
      <c r="Z2579" s="108">
        <f>_xll.qlCalendarAdvance(Calendar,Y2579,0&amp;"D")</f>
        <v>57291</v>
      </c>
      <c r="AA2579" s="109">
        <v>1.0760122091095781E-2</v>
      </c>
      <c r="AB2579" s="143">
        <f t="shared" si="88"/>
        <v>0</v>
      </c>
      <c r="AC2579" s="236" t="e">
        <v>#N/A</v>
      </c>
      <c r="AD2579" s="236">
        <v>1.0760122091095781E-2</v>
      </c>
    </row>
    <row r="2580" spans="23:30" x14ac:dyDescent="0.2">
      <c r="W2580" s="144"/>
      <c r="X2580" s="113" t="str">
        <f t="shared" si="89"/>
        <v>1w</v>
      </c>
      <c r="Y2580" s="106">
        <f>_xll.qlCalendarAdvance(Calendar,Y2579,X2580,"f",FALSE)</f>
        <v>57298</v>
      </c>
      <c r="Z2580" s="108">
        <f>_xll.qlCalendarAdvance(Calendar,Y2580,0&amp;"D")</f>
        <v>57298</v>
      </c>
      <c r="AA2580" s="109">
        <v>1.0749967560839124E-2</v>
      </c>
      <c r="AB2580" s="143">
        <f t="shared" si="88"/>
        <v>7.9936057773011271E-14</v>
      </c>
      <c r="AC2580" s="236" t="e">
        <v>#N/A</v>
      </c>
      <c r="AD2580" s="236">
        <v>1.0749967560759188E-2</v>
      </c>
    </row>
    <row r="2581" spans="23:30" x14ac:dyDescent="0.2">
      <c r="W2581" s="144"/>
      <c r="X2581" s="113" t="str">
        <f t="shared" si="89"/>
        <v>1w</v>
      </c>
      <c r="Y2581" s="106">
        <f>_xll.qlCalendarAdvance(Calendar,Y2580,X2581,"f",FALSE)</f>
        <v>57305</v>
      </c>
      <c r="Z2581" s="108">
        <f>_xll.qlCalendarAdvance(Calendar,Y2581,0&amp;"D")</f>
        <v>57305</v>
      </c>
      <c r="AA2581" s="109">
        <v>1.0739852496612912E-2</v>
      </c>
      <c r="AB2581" s="143">
        <f t="shared" ref="AB2581:AB2644" si="90">AA2581-AD2581</f>
        <v>0</v>
      </c>
      <c r="AC2581" s="236" t="e">
        <v>#N/A</v>
      </c>
      <c r="AD2581" s="236">
        <v>1.0739852496612912E-2</v>
      </c>
    </row>
    <row r="2582" spans="23:30" x14ac:dyDescent="0.2">
      <c r="W2582" s="144"/>
      <c r="X2582" s="113" t="str">
        <f t="shared" si="89"/>
        <v>1w</v>
      </c>
      <c r="Y2582" s="106">
        <f>_xll.qlCalendarAdvance(Calendar,Y2581,X2582,"f",FALSE)</f>
        <v>57312</v>
      </c>
      <c r="Z2582" s="108">
        <f>_xll.qlCalendarAdvance(Calendar,Y2582,0&amp;"D")</f>
        <v>57312</v>
      </c>
      <c r="AA2582" s="109">
        <v>1.0729776898656951E-2</v>
      </c>
      <c r="AB2582" s="143">
        <f t="shared" si="90"/>
        <v>0</v>
      </c>
      <c r="AC2582" s="236" t="e">
        <v>#N/A</v>
      </c>
      <c r="AD2582" s="236">
        <v>1.0729776898656951E-2</v>
      </c>
    </row>
    <row r="2583" spans="23:30" x14ac:dyDescent="0.2">
      <c r="W2583" s="144"/>
      <c r="X2583" s="113" t="str">
        <f t="shared" si="89"/>
        <v>1w</v>
      </c>
      <c r="Y2583" s="106">
        <f>_xll.qlCalendarAdvance(Calendar,Y2582,X2583,"f",FALSE)</f>
        <v>57319</v>
      </c>
      <c r="Z2583" s="108">
        <f>_xll.qlCalendarAdvance(Calendar,Y2583,0&amp;"D")</f>
        <v>57319</v>
      </c>
      <c r="AA2583" s="109">
        <v>1.0719740766891306E-2</v>
      </c>
      <c r="AB2583" s="143">
        <f t="shared" si="90"/>
        <v>7.9936057773011271E-14</v>
      </c>
      <c r="AC2583" s="236" t="e">
        <v>#N/A</v>
      </c>
      <c r="AD2583" s="236">
        <v>1.071974076681137E-2</v>
      </c>
    </row>
    <row r="2584" spans="23:30" x14ac:dyDescent="0.2">
      <c r="W2584" s="144"/>
      <c r="X2584" s="113" t="str">
        <f t="shared" si="89"/>
        <v>1w</v>
      </c>
      <c r="Y2584" s="106">
        <f>_xll.qlCalendarAdvance(Calendar,Y2583,X2584,"f",FALSE)</f>
        <v>57326</v>
      </c>
      <c r="Z2584" s="108">
        <f>_xll.qlCalendarAdvance(Calendar,Y2584,0&amp;"D")</f>
        <v>57326</v>
      </c>
      <c r="AA2584" s="109">
        <v>1.0709744101236041E-2</v>
      </c>
      <c r="AB2584" s="143">
        <f t="shared" si="90"/>
        <v>0</v>
      </c>
      <c r="AC2584" s="236" t="e">
        <v>#N/A</v>
      </c>
      <c r="AD2584" s="236">
        <v>1.0709744101236041E-2</v>
      </c>
    </row>
    <row r="2585" spans="23:30" x14ac:dyDescent="0.2">
      <c r="W2585" s="144"/>
      <c r="X2585" s="113" t="str">
        <f t="shared" si="89"/>
        <v>1w</v>
      </c>
      <c r="Y2585" s="106">
        <f>_xll.qlCalendarAdvance(Calendar,Y2584,X2585,"f",FALSE)</f>
        <v>57333</v>
      </c>
      <c r="Z2585" s="108">
        <f>_xll.qlCalendarAdvance(Calendar,Y2585,0&amp;"D")</f>
        <v>57333</v>
      </c>
      <c r="AA2585" s="109">
        <v>1.0699786901771091E-2</v>
      </c>
      <c r="AB2585" s="143">
        <f t="shared" si="90"/>
        <v>0</v>
      </c>
      <c r="AC2585" s="236" t="e">
        <v>#N/A</v>
      </c>
      <c r="AD2585" s="236">
        <v>1.0699786901771091E-2</v>
      </c>
    </row>
    <row r="2586" spans="23:30" x14ac:dyDescent="0.2">
      <c r="W2586" s="144"/>
      <c r="X2586" s="113" t="str">
        <f t="shared" si="89"/>
        <v>1w</v>
      </c>
      <c r="Y2586" s="106">
        <f>_xll.qlCalendarAdvance(Calendar,Y2585,X2586,"f",FALSE)</f>
        <v>57341</v>
      </c>
      <c r="Z2586" s="108">
        <f>_xll.qlCalendarAdvance(Calendar,Y2586,0&amp;"D")</f>
        <v>57341</v>
      </c>
      <c r="AA2586" s="109">
        <v>1.0688455571017386E-2</v>
      </c>
      <c r="AB2586" s="143">
        <f t="shared" si="90"/>
        <v>-7.9936057773011271E-14</v>
      </c>
      <c r="AC2586" s="236" t="e">
        <v>#N/A</v>
      </c>
      <c r="AD2586" s="236">
        <v>1.0688455571097322E-2</v>
      </c>
    </row>
    <row r="2587" spans="23:30" x14ac:dyDescent="0.2">
      <c r="W2587" s="144"/>
      <c r="X2587" s="113" t="str">
        <f t="shared" si="89"/>
        <v>1w</v>
      </c>
      <c r="Y2587" s="106">
        <f>_xll.qlCalendarAdvance(Calendar,Y2586,X2587,"f",FALSE)</f>
        <v>57348</v>
      </c>
      <c r="Z2587" s="108">
        <f>_xll.qlCalendarAdvance(Calendar,Y2587,0&amp;"D")</f>
        <v>57348</v>
      </c>
      <c r="AA2587" s="109">
        <v>1.0678582941743286E-2</v>
      </c>
      <c r="AB2587" s="143">
        <f t="shared" si="90"/>
        <v>-7.9936057773011271E-14</v>
      </c>
      <c r="AC2587" s="236" t="e">
        <v>#N/A</v>
      </c>
      <c r="AD2587" s="236">
        <v>1.0678582941823223E-2</v>
      </c>
    </row>
    <row r="2588" spans="23:30" x14ac:dyDescent="0.2">
      <c r="W2588" s="144"/>
      <c r="X2588" s="113" t="str">
        <f t="shared" si="89"/>
        <v>1w</v>
      </c>
      <c r="Y2588" s="106">
        <f>_xll.qlCalendarAdvance(Calendar,Y2587,X2588,"f",FALSE)</f>
        <v>57355</v>
      </c>
      <c r="Z2588" s="108">
        <f>_xll.qlCalendarAdvance(Calendar,Y2588,0&amp;"D")</f>
        <v>57355</v>
      </c>
      <c r="AA2588" s="109">
        <v>1.0668749778819375E-2</v>
      </c>
      <c r="AB2588" s="143">
        <f t="shared" si="90"/>
        <v>0</v>
      </c>
      <c r="AC2588" s="236" t="e">
        <v>#N/A</v>
      </c>
      <c r="AD2588" s="236">
        <v>1.0668749778819375E-2</v>
      </c>
    </row>
    <row r="2589" spans="23:30" x14ac:dyDescent="0.2">
      <c r="W2589" s="144"/>
      <c r="X2589" s="113" t="str">
        <f t="shared" si="89"/>
        <v>1w</v>
      </c>
      <c r="Y2589" s="106">
        <f>_xll.qlCalendarAdvance(Calendar,Y2588,X2589,"f",FALSE)</f>
        <v>57362</v>
      </c>
      <c r="Z2589" s="108">
        <f>_xll.qlCalendarAdvance(Calendar,Y2589,0&amp;"D")</f>
        <v>57362</v>
      </c>
      <c r="AA2589" s="109">
        <v>1.0658956082005844E-2</v>
      </c>
      <c r="AB2589" s="143">
        <f t="shared" si="90"/>
        <v>0</v>
      </c>
      <c r="AC2589" s="236" t="e">
        <v>#N/A</v>
      </c>
      <c r="AD2589" s="236">
        <v>1.0658956082005844E-2</v>
      </c>
    </row>
    <row r="2590" spans="23:30" x14ac:dyDescent="0.2">
      <c r="W2590" s="144"/>
      <c r="X2590" s="113" t="str">
        <f t="shared" si="89"/>
        <v>1w</v>
      </c>
      <c r="Y2590" s="106">
        <f>_xll.qlCalendarAdvance(Calendar,Y2589,X2590,"f",FALSE)</f>
        <v>57369</v>
      </c>
      <c r="Z2590" s="108">
        <f>_xll.qlCalendarAdvance(Calendar,Y2590,0&amp;"D")</f>
        <v>57369</v>
      </c>
      <c r="AA2590" s="109">
        <v>1.0649201851382628E-2</v>
      </c>
      <c r="AB2590" s="143">
        <f t="shared" si="90"/>
        <v>7.9936057773011271E-14</v>
      </c>
      <c r="AC2590" s="236" t="e">
        <v>#N/A</v>
      </c>
      <c r="AD2590" s="236">
        <v>1.0649201851302692E-2</v>
      </c>
    </row>
    <row r="2591" spans="23:30" x14ac:dyDescent="0.2">
      <c r="W2591" s="144"/>
      <c r="X2591" s="113" t="str">
        <f t="shared" si="89"/>
        <v>1w</v>
      </c>
      <c r="Y2591" s="106">
        <f>_xll.qlCalendarAdvance(Calendar,Y2590,X2591,"f",FALSE)</f>
        <v>57376</v>
      </c>
      <c r="Z2591" s="108">
        <f>_xll.qlCalendarAdvance(Calendar,Y2591,0&amp;"D")</f>
        <v>57376</v>
      </c>
      <c r="AA2591" s="109">
        <v>1.063948708670992E-2</v>
      </c>
      <c r="AB2591" s="143">
        <f t="shared" si="90"/>
        <v>7.9936057773011271E-14</v>
      </c>
      <c r="AC2591" s="236" t="e">
        <v>#N/A</v>
      </c>
      <c r="AD2591" s="236">
        <v>1.0639487086629984E-2</v>
      </c>
    </row>
    <row r="2592" spans="23:30" x14ac:dyDescent="0.2">
      <c r="W2592" s="144"/>
      <c r="X2592" s="113" t="str">
        <f t="shared" si="89"/>
        <v>1w</v>
      </c>
      <c r="Y2592" s="106">
        <f>_xll.qlCalendarAdvance(Calendar,Y2591,X2592,"f",FALSE)</f>
        <v>57383</v>
      </c>
      <c r="Z2592" s="108">
        <f>_xll.qlCalendarAdvance(Calendar,Y2592,0&amp;"D")</f>
        <v>57383</v>
      </c>
      <c r="AA2592" s="109">
        <v>1.0629811788067656E-2</v>
      </c>
      <c r="AB2592" s="143">
        <f t="shared" si="90"/>
        <v>0</v>
      </c>
      <c r="AC2592" s="236" t="e">
        <v>#N/A</v>
      </c>
      <c r="AD2592" s="236">
        <v>1.0629811788067656E-2</v>
      </c>
    </row>
    <row r="2593" spans="23:30" x14ac:dyDescent="0.2">
      <c r="W2593" s="144"/>
      <c r="X2593" s="113" t="str">
        <f t="shared" si="89"/>
        <v>1w</v>
      </c>
      <c r="Y2593" s="106">
        <f>_xll.qlCalendarAdvance(Calendar,Y2592,X2593,"f",FALSE)</f>
        <v>57390</v>
      </c>
      <c r="Z2593" s="108">
        <f>_xll.qlCalendarAdvance(Calendar,Y2593,0&amp;"D")</f>
        <v>57390</v>
      </c>
      <c r="AA2593" s="109">
        <v>1.0620175955695643E-2</v>
      </c>
      <c r="AB2593" s="143">
        <f t="shared" si="90"/>
        <v>-7.9936057773011271E-14</v>
      </c>
      <c r="AC2593" s="236" t="e">
        <v>#N/A</v>
      </c>
      <c r="AD2593" s="236">
        <v>1.0620175955775579E-2</v>
      </c>
    </row>
    <row r="2594" spans="23:30" x14ac:dyDescent="0.2">
      <c r="W2594" s="144"/>
      <c r="X2594" s="113" t="str">
        <f t="shared" si="89"/>
        <v>1w</v>
      </c>
      <c r="Y2594" s="106">
        <f>_xll.qlCalendarAdvance(Calendar,Y2593,X2594,"f",FALSE)</f>
        <v>57397</v>
      </c>
      <c r="Z2594" s="108">
        <f>_xll.qlCalendarAdvance(Calendar,Y2594,0&amp;"D")</f>
        <v>57397</v>
      </c>
      <c r="AA2594" s="109">
        <v>1.0610579589593883E-2</v>
      </c>
      <c r="AB2594" s="143">
        <f t="shared" si="90"/>
        <v>0</v>
      </c>
      <c r="AC2594" s="236" t="e">
        <v>#N/A</v>
      </c>
      <c r="AD2594" s="236">
        <v>1.0610579589593883E-2</v>
      </c>
    </row>
    <row r="2595" spans="23:30" x14ac:dyDescent="0.2">
      <c r="W2595" s="144"/>
      <c r="X2595" s="113" t="str">
        <f t="shared" si="89"/>
        <v>1w</v>
      </c>
      <c r="Y2595" s="106">
        <f>_xll.qlCalendarAdvance(Calendar,Y2594,X2595,"f",FALSE)</f>
        <v>57404</v>
      </c>
      <c r="Z2595" s="108">
        <f>_xll.qlCalendarAdvance(Calendar,Y2595,0&amp;"D")</f>
        <v>57404</v>
      </c>
      <c r="AA2595" s="109">
        <v>1.0601022689602502E-2</v>
      </c>
      <c r="AB2595" s="143">
        <f t="shared" si="90"/>
        <v>7.9936057773011271E-14</v>
      </c>
      <c r="AC2595" s="236" t="e">
        <v>#N/A</v>
      </c>
      <c r="AD2595" s="236">
        <v>1.0601022689522566E-2</v>
      </c>
    </row>
    <row r="2596" spans="23:30" x14ac:dyDescent="0.2">
      <c r="W2596" s="144"/>
      <c r="X2596" s="113" t="str">
        <f t="shared" si="89"/>
        <v>1w</v>
      </c>
      <c r="Y2596" s="106">
        <f>_xll.qlCalendarAdvance(Calendar,Y2595,X2596,"f",FALSE)</f>
        <v>57411</v>
      </c>
      <c r="Z2596" s="108">
        <f>_xll.qlCalendarAdvance(Calendar,Y2596,0&amp;"D")</f>
        <v>57411</v>
      </c>
      <c r="AA2596" s="109">
        <v>1.0591505255481692E-2</v>
      </c>
      <c r="AB2596" s="143">
        <f t="shared" si="90"/>
        <v>-7.9936057773011271E-14</v>
      </c>
      <c r="AC2596" s="236" t="e">
        <v>#N/A</v>
      </c>
      <c r="AD2596" s="236">
        <v>1.0591505255561628E-2</v>
      </c>
    </row>
    <row r="2597" spans="23:30" x14ac:dyDescent="0.2">
      <c r="W2597" s="144"/>
      <c r="X2597" s="113" t="str">
        <f t="shared" si="89"/>
        <v>1w</v>
      </c>
      <c r="Y2597" s="106">
        <f>_xll.qlCalendarAdvance(Calendar,Y2596,X2597,"f",FALSE)</f>
        <v>57418</v>
      </c>
      <c r="Z2597" s="108">
        <f>_xll.qlCalendarAdvance(Calendar,Y2597,0&amp;"D")</f>
        <v>57418</v>
      </c>
      <c r="AA2597" s="109">
        <v>1.0582027287631135E-2</v>
      </c>
      <c r="AB2597" s="143">
        <f t="shared" si="90"/>
        <v>-7.9936057773011271E-14</v>
      </c>
      <c r="AC2597" s="236" t="e">
        <v>#N/A</v>
      </c>
      <c r="AD2597" s="236">
        <v>1.0582027287711071E-2</v>
      </c>
    </row>
    <row r="2598" spans="23:30" x14ac:dyDescent="0.2">
      <c r="W2598" s="144"/>
      <c r="X2598" s="113" t="str">
        <f t="shared" si="89"/>
        <v>1w</v>
      </c>
      <c r="Y2598" s="106">
        <f>_xll.qlCalendarAdvance(Calendar,Y2597,X2598,"f",FALSE)</f>
        <v>57425</v>
      </c>
      <c r="Z2598" s="108">
        <f>_xll.qlCalendarAdvance(Calendar,Y2598,0&amp;"D")</f>
        <v>57425</v>
      </c>
      <c r="AA2598" s="109">
        <v>1.0572588785970893E-2</v>
      </c>
      <c r="AB2598" s="143">
        <f t="shared" si="90"/>
        <v>-7.9936057773011271E-14</v>
      </c>
      <c r="AC2598" s="236" t="e">
        <v>#N/A</v>
      </c>
      <c r="AD2598" s="236">
        <v>1.0572588786050829E-2</v>
      </c>
    </row>
    <row r="2599" spans="23:30" x14ac:dyDescent="0.2">
      <c r="W2599" s="144"/>
      <c r="X2599" s="113" t="str">
        <f t="shared" si="89"/>
        <v>1w</v>
      </c>
      <c r="Y2599" s="106">
        <f>_xll.qlCalendarAdvance(Calendar,Y2598,X2599,"f",FALSE)</f>
        <v>57432</v>
      </c>
      <c r="Z2599" s="108">
        <f>_xll.qlCalendarAdvance(Calendar,Y2599,0&amp;"D")</f>
        <v>57432</v>
      </c>
      <c r="AA2599" s="109">
        <v>1.0563189750421031E-2</v>
      </c>
      <c r="AB2599" s="143">
        <f t="shared" si="90"/>
        <v>0</v>
      </c>
      <c r="AC2599" s="236" t="e">
        <v>#N/A</v>
      </c>
      <c r="AD2599" s="236">
        <v>1.0563189750421031E-2</v>
      </c>
    </row>
    <row r="2600" spans="23:30" x14ac:dyDescent="0.2">
      <c r="W2600" s="144"/>
      <c r="X2600" s="113" t="str">
        <f t="shared" si="89"/>
        <v>1w</v>
      </c>
      <c r="Y2600" s="106">
        <f>_xll.qlCalendarAdvance(Calendar,Y2599,X2600,"f",FALSE)</f>
        <v>57439</v>
      </c>
      <c r="Z2600" s="108">
        <f>_xll.qlCalendarAdvance(Calendar,Y2600,0&amp;"D")</f>
        <v>57439</v>
      </c>
      <c r="AA2600" s="109">
        <v>1.0553830180821677E-2</v>
      </c>
      <c r="AB2600" s="143">
        <f t="shared" si="90"/>
        <v>-7.9936057773011271E-14</v>
      </c>
      <c r="AC2600" s="236" t="e">
        <v>#N/A</v>
      </c>
      <c r="AD2600" s="236">
        <v>1.0553830180901613E-2</v>
      </c>
    </row>
    <row r="2601" spans="23:30" x14ac:dyDescent="0.2">
      <c r="W2601" s="144"/>
      <c r="X2601" s="113" t="str">
        <f t="shared" si="89"/>
        <v>1w</v>
      </c>
      <c r="Y2601" s="106">
        <f>_xll.qlCalendarAdvance(Calendar,Y2600,X2601,"f",FALSE)</f>
        <v>57446</v>
      </c>
      <c r="Z2601" s="108">
        <f>_xll.qlCalendarAdvance(Calendar,Y2601,0&amp;"D")</f>
        <v>57446</v>
      </c>
      <c r="AA2601" s="109">
        <v>1.0544510077412639E-2</v>
      </c>
      <c r="AB2601" s="143">
        <f t="shared" si="90"/>
        <v>0</v>
      </c>
      <c r="AC2601" s="236" t="e">
        <v>#N/A</v>
      </c>
      <c r="AD2601" s="236">
        <v>1.0544510077412639E-2</v>
      </c>
    </row>
    <row r="2602" spans="23:30" x14ac:dyDescent="0.2">
      <c r="W2602" s="144"/>
      <c r="X2602" s="113" t="str">
        <f t="shared" si="89"/>
        <v>1w</v>
      </c>
      <c r="Y2602" s="106">
        <f>_xll.qlCalendarAdvance(Calendar,Y2601,X2602,"f",FALSE)</f>
        <v>57453</v>
      </c>
      <c r="Z2602" s="108">
        <f>_xll.qlCalendarAdvance(Calendar,Y2602,0&amp;"D")</f>
        <v>57453</v>
      </c>
      <c r="AA2602" s="109">
        <v>1.0535229440273852E-2</v>
      </c>
      <c r="AB2602" s="143">
        <f t="shared" si="90"/>
        <v>7.9936057773011271E-14</v>
      </c>
      <c r="AC2602" s="236" t="e">
        <v>#N/A</v>
      </c>
      <c r="AD2602" s="236">
        <v>1.0535229440193916E-2</v>
      </c>
    </row>
    <row r="2603" spans="23:30" x14ac:dyDescent="0.2">
      <c r="W2603" s="144"/>
      <c r="X2603" s="113" t="str">
        <f t="shared" si="89"/>
        <v>1w</v>
      </c>
      <c r="Y2603" s="106">
        <f>_xll.qlCalendarAdvance(Calendar,Y2602,X2603,"f",FALSE)</f>
        <v>57460</v>
      </c>
      <c r="Z2603" s="108">
        <f>_xll.qlCalendarAdvance(Calendar,Y2603,0&amp;"D")</f>
        <v>57460</v>
      </c>
      <c r="AA2603" s="109">
        <v>1.0525988269005637E-2</v>
      </c>
      <c r="AB2603" s="143">
        <f t="shared" si="90"/>
        <v>0</v>
      </c>
      <c r="AC2603" s="236" t="e">
        <v>#N/A</v>
      </c>
      <c r="AD2603" s="236">
        <v>1.0525988269005637E-2</v>
      </c>
    </row>
    <row r="2604" spans="23:30" x14ac:dyDescent="0.2">
      <c r="W2604" s="144"/>
      <c r="X2604" s="113" t="str">
        <f t="shared" si="89"/>
        <v>1w</v>
      </c>
      <c r="Y2604" s="106">
        <f>_xll.qlCalendarAdvance(Calendar,Y2603,X2604,"f",FALSE)</f>
        <v>57467</v>
      </c>
      <c r="Z2604" s="108">
        <f>_xll.qlCalendarAdvance(Calendar,Y2604,0&amp;"D")</f>
        <v>57467</v>
      </c>
      <c r="AA2604" s="109">
        <v>1.0516786563927738E-2</v>
      </c>
      <c r="AB2604" s="143">
        <f t="shared" si="90"/>
        <v>0</v>
      </c>
      <c r="AC2604" s="236" t="e">
        <v>#N/A</v>
      </c>
      <c r="AD2604" s="236">
        <v>1.0516786563927738E-2</v>
      </c>
    </row>
    <row r="2605" spans="23:30" x14ac:dyDescent="0.2">
      <c r="W2605" s="144"/>
      <c r="X2605" s="113" t="str">
        <f t="shared" si="89"/>
        <v>1w</v>
      </c>
      <c r="Y2605" s="106">
        <f>_xll.qlCalendarAdvance(Calendar,Y2604,X2605,"f",FALSE)</f>
        <v>57474</v>
      </c>
      <c r="Z2605" s="108">
        <f>_xll.qlCalendarAdvance(Calendar,Y2605,0&amp;"D")</f>
        <v>57474</v>
      </c>
      <c r="AA2605" s="109">
        <v>1.0507624324960219E-2</v>
      </c>
      <c r="AB2605" s="143">
        <f t="shared" si="90"/>
        <v>0</v>
      </c>
      <c r="AC2605" s="236" t="e">
        <v>#N/A</v>
      </c>
      <c r="AD2605" s="236">
        <v>1.0507624324960219E-2</v>
      </c>
    </row>
    <row r="2606" spans="23:30" x14ac:dyDescent="0.2">
      <c r="W2606" s="144"/>
      <c r="X2606" s="113" t="str">
        <f t="shared" si="89"/>
        <v>1w</v>
      </c>
      <c r="Y2606" s="106">
        <f>_xll.qlCalendarAdvance(Calendar,Y2605,X2606,"f",FALSE)</f>
        <v>57481</v>
      </c>
      <c r="Z2606" s="108">
        <f>_xll.qlCalendarAdvance(Calendar,Y2606,0&amp;"D")</f>
        <v>57481</v>
      </c>
      <c r="AA2606" s="109">
        <v>1.0498501551863271E-2</v>
      </c>
      <c r="AB2606" s="143">
        <f t="shared" si="90"/>
        <v>-7.9936057773011271E-14</v>
      </c>
      <c r="AC2606" s="236" t="e">
        <v>#N/A</v>
      </c>
      <c r="AD2606" s="236">
        <v>1.0498501551943207E-2</v>
      </c>
    </row>
    <row r="2607" spans="23:30" x14ac:dyDescent="0.2">
      <c r="W2607" s="144"/>
      <c r="X2607" s="113" t="str">
        <f t="shared" si="89"/>
        <v>1w</v>
      </c>
      <c r="Y2607" s="106">
        <f>_xll.qlCalendarAdvance(Calendar,Y2606,X2607,"f",FALSE)</f>
        <v>57488</v>
      </c>
      <c r="Z2607" s="108">
        <f>_xll.qlCalendarAdvance(Calendar,Y2607,0&amp;"D")</f>
        <v>57488</v>
      </c>
      <c r="AA2607" s="109">
        <v>1.0489418245036575E-2</v>
      </c>
      <c r="AB2607" s="143">
        <f t="shared" si="90"/>
        <v>-7.9936057773011271E-14</v>
      </c>
      <c r="AC2607" s="236" t="e">
        <v>#N/A</v>
      </c>
      <c r="AD2607" s="236">
        <v>1.0489418245116511E-2</v>
      </c>
    </row>
    <row r="2608" spans="23:30" x14ac:dyDescent="0.2">
      <c r="W2608" s="144"/>
      <c r="X2608" s="113" t="str">
        <f t="shared" si="89"/>
        <v>1w</v>
      </c>
      <c r="Y2608" s="106">
        <f>_xll.qlCalendarAdvance(Calendar,Y2607,X2608,"f",FALSE)</f>
        <v>57495</v>
      </c>
      <c r="Z2608" s="108">
        <f>_xll.qlCalendarAdvance(Calendar,Y2608,0&amp;"D")</f>
        <v>57495</v>
      </c>
      <c r="AA2608" s="109">
        <v>1.0480374404480131E-2</v>
      </c>
      <c r="AB2608" s="143">
        <f t="shared" si="90"/>
        <v>0</v>
      </c>
      <c r="AC2608" s="236" t="e">
        <v>#N/A</v>
      </c>
      <c r="AD2608" s="236">
        <v>1.0480374404480131E-2</v>
      </c>
    </row>
    <row r="2609" spans="23:30" x14ac:dyDescent="0.2">
      <c r="W2609" s="144"/>
      <c r="X2609" s="113" t="str">
        <f t="shared" si="89"/>
        <v>1w</v>
      </c>
      <c r="Y2609" s="106">
        <f>_xll.qlCalendarAdvance(Calendar,Y2608,X2609,"f",FALSE)</f>
        <v>57502</v>
      </c>
      <c r="Z2609" s="108">
        <f>_xll.qlCalendarAdvance(Calendar,Y2609,0&amp;"D")</f>
        <v>57502</v>
      </c>
      <c r="AA2609" s="109">
        <v>1.0471370029874194E-2</v>
      </c>
      <c r="AB2609" s="143">
        <f t="shared" si="90"/>
        <v>7.9936057773011271E-14</v>
      </c>
      <c r="AC2609" s="236" t="e">
        <v>#N/A</v>
      </c>
      <c r="AD2609" s="236">
        <v>1.0471370029794258E-2</v>
      </c>
    </row>
    <row r="2610" spans="23:30" x14ac:dyDescent="0.2">
      <c r="W2610" s="144"/>
      <c r="X2610" s="113" t="str">
        <f t="shared" si="89"/>
        <v>1w</v>
      </c>
      <c r="Y2610" s="106">
        <f>_xll.qlCalendarAdvance(Calendar,Y2609,X2610,"f",FALSE)</f>
        <v>57509</v>
      </c>
      <c r="Z2610" s="108">
        <f>_xll.qlCalendarAdvance(Calendar,Y2610,0&amp;"D")</f>
        <v>57509</v>
      </c>
      <c r="AA2610" s="109">
        <v>1.0462405121138829E-2</v>
      </c>
      <c r="AB2610" s="143">
        <f t="shared" si="90"/>
        <v>-7.9936057773011271E-14</v>
      </c>
      <c r="AC2610" s="236" t="e">
        <v>#N/A</v>
      </c>
      <c r="AD2610" s="236">
        <v>1.0462405121218765E-2</v>
      </c>
    </row>
    <row r="2611" spans="23:30" x14ac:dyDescent="0.2">
      <c r="W2611" s="144"/>
      <c r="X2611" s="113" t="str">
        <f t="shared" si="89"/>
        <v>1w</v>
      </c>
      <c r="Y2611" s="106">
        <f>_xll.qlCalendarAdvance(Calendar,Y2610,X2611,"f",FALSE)</f>
        <v>57516</v>
      </c>
      <c r="Z2611" s="108">
        <f>_xll.qlCalendarAdvance(Calendar,Y2611,0&amp;"D")</f>
        <v>57516</v>
      </c>
      <c r="AA2611" s="109">
        <v>1.0453479678673716E-2</v>
      </c>
      <c r="AB2611" s="143">
        <f t="shared" si="90"/>
        <v>0</v>
      </c>
      <c r="AC2611" s="236" t="e">
        <v>#N/A</v>
      </c>
      <c r="AD2611" s="236">
        <v>1.0453479678673716E-2</v>
      </c>
    </row>
    <row r="2612" spans="23:30" x14ac:dyDescent="0.2">
      <c r="W2612" s="144"/>
      <c r="X2612" s="113" t="str">
        <f t="shared" si="89"/>
        <v>1w</v>
      </c>
      <c r="Y2612" s="106">
        <f>_xll.qlCalendarAdvance(Calendar,Y2611,X2612,"f",FALSE)</f>
        <v>57523</v>
      </c>
      <c r="Z2612" s="108">
        <f>_xll.qlCalendarAdvance(Calendar,Y2612,0&amp;"D")</f>
        <v>57523</v>
      </c>
      <c r="AA2612" s="109">
        <v>1.0444593702159111E-2</v>
      </c>
      <c r="AB2612" s="143">
        <f t="shared" si="90"/>
        <v>-7.9936057773011271E-14</v>
      </c>
      <c r="AC2612" s="236" t="e">
        <v>#N/A</v>
      </c>
      <c r="AD2612" s="236">
        <v>1.0444593702239047E-2</v>
      </c>
    </row>
    <row r="2613" spans="23:30" x14ac:dyDescent="0.2">
      <c r="W2613" s="144"/>
      <c r="X2613" s="113" t="str">
        <f t="shared" si="89"/>
        <v>1w</v>
      </c>
      <c r="Y2613" s="106">
        <f>_xll.qlCalendarAdvance(Calendar,Y2612,X2613,"f",FALSE)</f>
        <v>57530</v>
      </c>
      <c r="Z2613" s="108">
        <f>_xll.qlCalendarAdvance(Calendar,Y2613,0&amp;"D")</f>
        <v>57530</v>
      </c>
      <c r="AA2613" s="109">
        <v>1.0435747191914757E-2</v>
      </c>
      <c r="AB2613" s="143">
        <f t="shared" si="90"/>
        <v>0</v>
      </c>
      <c r="AC2613" s="236" t="e">
        <v>#N/A</v>
      </c>
      <c r="AD2613" s="236">
        <v>1.0435747191914757E-2</v>
      </c>
    </row>
    <row r="2614" spans="23:30" x14ac:dyDescent="0.2">
      <c r="W2614" s="144"/>
      <c r="X2614" s="113" t="str">
        <f t="shared" si="89"/>
        <v>1w</v>
      </c>
      <c r="Y2614" s="106">
        <f>_xll.qlCalendarAdvance(Calendar,Y2613,X2614,"f",FALSE)</f>
        <v>57537</v>
      </c>
      <c r="Z2614" s="108">
        <f>_xll.qlCalendarAdvance(Calendar,Y2614,0&amp;"D")</f>
        <v>57537</v>
      </c>
      <c r="AA2614" s="109">
        <v>1.0426940147620911E-2</v>
      </c>
      <c r="AB2614" s="143">
        <f t="shared" si="90"/>
        <v>-7.9936057773011271E-14</v>
      </c>
      <c r="AC2614" s="236" t="e">
        <v>#N/A</v>
      </c>
      <c r="AD2614" s="236">
        <v>1.0426940147700847E-2</v>
      </c>
    </row>
    <row r="2615" spans="23:30" x14ac:dyDescent="0.2">
      <c r="W2615" s="144"/>
      <c r="X2615" s="113" t="str">
        <f t="shared" si="89"/>
        <v>1w</v>
      </c>
      <c r="Y2615" s="106">
        <f>_xll.qlCalendarAdvance(Calendar,Y2614,X2615,"f",FALSE)</f>
        <v>57544</v>
      </c>
      <c r="Z2615" s="108">
        <f>_xll.qlCalendarAdvance(Calendar,Y2615,0&amp;"D")</f>
        <v>57544</v>
      </c>
      <c r="AA2615" s="109">
        <v>1.0418172569437445E-2</v>
      </c>
      <c r="AB2615" s="143">
        <f t="shared" si="90"/>
        <v>0</v>
      </c>
      <c r="AC2615" s="236" t="e">
        <v>#N/A</v>
      </c>
      <c r="AD2615" s="236">
        <v>1.0418172569437445E-2</v>
      </c>
    </row>
    <row r="2616" spans="23:30" x14ac:dyDescent="0.2">
      <c r="W2616" s="144"/>
      <c r="X2616" s="113" t="str">
        <f t="shared" si="89"/>
        <v>1w</v>
      </c>
      <c r="Y2616" s="106">
        <f>_xll.qlCalendarAdvance(Calendar,Y2615,X2616,"f",FALSE)</f>
        <v>57551</v>
      </c>
      <c r="Z2616" s="108">
        <f>_xll.qlCalendarAdvance(Calendar,Y2616,0&amp;"D")</f>
        <v>57551</v>
      </c>
      <c r="AA2616" s="109">
        <v>1.0409444457284422E-2</v>
      </c>
      <c r="AB2616" s="143">
        <f t="shared" si="90"/>
        <v>0</v>
      </c>
      <c r="AC2616" s="236" t="e">
        <v>#N/A</v>
      </c>
      <c r="AD2616" s="236">
        <v>1.0409444457284422E-2</v>
      </c>
    </row>
    <row r="2617" spans="23:30" x14ac:dyDescent="0.2">
      <c r="W2617" s="144"/>
      <c r="X2617" s="113" t="str">
        <f t="shared" si="89"/>
        <v>1w</v>
      </c>
      <c r="Y2617" s="106">
        <f>_xll.qlCalendarAdvance(Calendar,Y2616,X2617,"f",FALSE)</f>
        <v>57558</v>
      </c>
      <c r="Z2617" s="108">
        <f>_xll.qlCalendarAdvance(Calendar,Y2617,0&amp;"D")</f>
        <v>57558</v>
      </c>
      <c r="AA2617" s="109">
        <v>1.0400755811161844E-2</v>
      </c>
      <c r="AB2617" s="143">
        <f t="shared" si="90"/>
        <v>0</v>
      </c>
      <c r="AC2617" s="236" t="e">
        <v>#N/A</v>
      </c>
      <c r="AD2617" s="236">
        <v>1.0400755811161844E-2</v>
      </c>
    </row>
    <row r="2618" spans="23:30" x14ac:dyDescent="0.2">
      <c r="W2618" s="144"/>
      <c r="X2618" s="113" t="str">
        <f t="shared" si="89"/>
        <v>1w</v>
      </c>
      <c r="Y2618" s="106">
        <f>_xll.qlCalendarAdvance(Calendar,Y2617,X2618,"f",FALSE)</f>
        <v>57565</v>
      </c>
      <c r="Z2618" s="108">
        <f>_xll.qlCalendarAdvance(Calendar,Y2618,0&amp;"D")</f>
        <v>57565</v>
      </c>
      <c r="AA2618" s="109">
        <v>1.0392106630989772E-2</v>
      </c>
      <c r="AB2618" s="143">
        <f t="shared" si="90"/>
        <v>-7.9936057773011271E-14</v>
      </c>
      <c r="AC2618" s="236" t="e">
        <v>#N/A</v>
      </c>
      <c r="AD2618" s="236">
        <v>1.0392106631069709E-2</v>
      </c>
    </row>
    <row r="2619" spans="23:30" x14ac:dyDescent="0.2">
      <c r="W2619" s="144"/>
      <c r="X2619" s="113" t="str">
        <f t="shared" si="89"/>
        <v>1w</v>
      </c>
      <c r="Y2619" s="106">
        <f>_xll.qlCalendarAdvance(Calendar,Y2618,X2619,"f",FALSE)</f>
        <v>57572</v>
      </c>
      <c r="Z2619" s="108">
        <f>_xll.qlCalendarAdvance(Calendar,Y2619,0&amp;"D")</f>
        <v>57572</v>
      </c>
      <c r="AA2619" s="109">
        <v>1.0383496917167889E-2</v>
      </c>
      <c r="AB2619" s="143">
        <f t="shared" si="90"/>
        <v>7.9936057773011271E-14</v>
      </c>
      <c r="AC2619" s="236" t="e">
        <v>#N/A</v>
      </c>
      <c r="AD2619" s="236">
        <v>1.0383496917087953E-2</v>
      </c>
    </row>
    <row r="2620" spans="23:30" x14ac:dyDescent="0.2">
      <c r="W2620" s="144"/>
      <c r="X2620" s="113" t="str">
        <f t="shared" si="89"/>
        <v>1w</v>
      </c>
      <c r="Y2620" s="106">
        <f>_xll.qlCalendarAdvance(Calendar,Y2619,X2620,"f",FALSE)</f>
        <v>57579</v>
      </c>
      <c r="Z2620" s="108">
        <f>_xll.qlCalendarAdvance(Calendar,Y2620,0&amp;"D")</f>
        <v>57579</v>
      </c>
      <c r="AA2620" s="109">
        <v>1.0374926669136642E-2</v>
      </c>
      <c r="AB2620" s="143">
        <f t="shared" si="90"/>
        <v>0</v>
      </c>
      <c r="AC2620" s="236" t="e">
        <v>#N/A</v>
      </c>
      <c r="AD2620" s="236">
        <v>1.0374926669136642E-2</v>
      </c>
    </row>
    <row r="2621" spans="23:30" x14ac:dyDescent="0.2">
      <c r="W2621" s="144"/>
      <c r="X2621" s="113" t="str">
        <f t="shared" si="89"/>
        <v>1w</v>
      </c>
      <c r="Y2621" s="106">
        <f>_xll.qlCalendarAdvance(Calendar,Y2620,X2621,"f",FALSE)</f>
        <v>57586</v>
      </c>
      <c r="Z2621" s="108">
        <f>_xll.qlCalendarAdvance(Calendar,Y2621,0&amp;"D")</f>
        <v>57586</v>
      </c>
      <c r="AA2621" s="109">
        <v>1.0366395887215774E-2</v>
      </c>
      <c r="AB2621" s="143">
        <f t="shared" si="90"/>
        <v>0</v>
      </c>
      <c r="AC2621" s="236" t="e">
        <v>#N/A</v>
      </c>
      <c r="AD2621" s="236">
        <v>1.0366395887215774E-2</v>
      </c>
    </row>
    <row r="2622" spans="23:30" x14ac:dyDescent="0.2">
      <c r="W2622" s="144"/>
      <c r="X2622" s="113" t="str">
        <f t="shared" si="89"/>
        <v>1w</v>
      </c>
      <c r="Y2622" s="106">
        <f>_xll.qlCalendarAdvance(Calendar,Y2621,X2622,"f",FALSE)</f>
        <v>57593</v>
      </c>
      <c r="Z2622" s="108">
        <f>_xll.qlCalendarAdvance(Calendar,Y2622,0&amp;"D")</f>
        <v>57593</v>
      </c>
      <c r="AA2622" s="109">
        <v>1.0357904571245413E-2</v>
      </c>
      <c r="AB2622" s="143">
        <f t="shared" si="90"/>
        <v>-7.9936057773011271E-14</v>
      </c>
      <c r="AC2622" s="236" t="e">
        <v>#N/A</v>
      </c>
      <c r="AD2622" s="236">
        <v>1.0357904571325349E-2</v>
      </c>
    </row>
    <row r="2623" spans="23:30" x14ac:dyDescent="0.2">
      <c r="W2623" s="144"/>
      <c r="X2623" s="113" t="str">
        <f t="shared" si="89"/>
        <v>1w</v>
      </c>
      <c r="Y2623" s="106">
        <f>_xll.qlCalendarAdvance(Calendar,Y2622,X2623,"f",FALSE)</f>
        <v>57600</v>
      </c>
      <c r="Z2623" s="108">
        <f>_xll.qlCalendarAdvance(Calendar,Y2623,0&amp;"D")</f>
        <v>57600</v>
      </c>
      <c r="AA2623" s="109">
        <v>1.0349452721705177E-2</v>
      </c>
      <c r="AB2623" s="143">
        <f t="shared" si="90"/>
        <v>0</v>
      </c>
      <c r="AC2623" s="236" t="e">
        <v>#N/A</v>
      </c>
      <c r="AD2623" s="236">
        <v>1.0349452721705177E-2</v>
      </c>
    </row>
    <row r="2624" spans="23:30" x14ac:dyDescent="0.2">
      <c r="W2624" s="144"/>
      <c r="X2624" s="113" t="str">
        <f t="shared" si="89"/>
        <v>1w</v>
      </c>
      <c r="Y2624" s="106">
        <f>_xll.qlCalendarAdvance(Calendar,Y2623,X2624,"f",FALSE)</f>
        <v>57607</v>
      </c>
      <c r="Z2624" s="108">
        <f>_xll.qlCalendarAdvance(Calendar,Y2624,0&amp;"D")</f>
        <v>57607</v>
      </c>
      <c r="AA2624" s="109">
        <v>1.0341040337795704E-2</v>
      </c>
      <c r="AB2624" s="143">
        <f t="shared" si="90"/>
        <v>0</v>
      </c>
      <c r="AC2624" s="236" t="e">
        <v>#N/A</v>
      </c>
      <c r="AD2624" s="236">
        <v>1.0341040337795704E-2</v>
      </c>
    </row>
    <row r="2625" spans="23:30" x14ac:dyDescent="0.2">
      <c r="W2625" s="144"/>
      <c r="X2625" s="113" t="str">
        <f t="shared" si="89"/>
        <v>1w</v>
      </c>
      <c r="Y2625" s="106">
        <f>_xll.qlCalendarAdvance(Calendar,Y2624,X2625,"f",FALSE)</f>
        <v>57614</v>
      </c>
      <c r="Z2625" s="108">
        <f>_xll.qlCalendarAdvance(Calendar,Y2625,0&amp;"D")</f>
        <v>57614</v>
      </c>
      <c r="AA2625" s="109">
        <v>1.0332667420076547E-2</v>
      </c>
      <c r="AB2625" s="143">
        <f t="shared" si="90"/>
        <v>0</v>
      </c>
      <c r="AC2625" s="236" t="e">
        <v>#N/A</v>
      </c>
      <c r="AD2625" s="236">
        <v>1.0332667420076547E-2</v>
      </c>
    </row>
    <row r="2626" spans="23:30" x14ac:dyDescent="0.2">
      <c r="W2626" s="144"/>
      <c r="X2626" s="113" t="str">
        <f t="shared" si="89"/>
        <v>1w</v>
      </c>
      <c r="Y2626" s="106">
        <f>_xll.qlCalendarAdvance(Calendar,Y2625,X2626,"f",FALSE)</f>
        <v>57621</v>
      </c>
      <c r="Z2626" s="108">
        <f>_xll.qlCalendarAdvance(Calendar,Y2626,0&amp;"D")</f>
        <v>57621</v>
      </c>
      <c r="AA2626" s="109">
        <v>1.0324333968387833E-2</v>
      </c>
      <c r="AB2626" s="143">
        <f t="shared" si="90"/>
        <v>0</v>
      </c>
      <c r="AC2626" s="236" t="e">
        <v>#N/A</v>
      </c>
      <c r="AD2626" s="236">
        <v>1.0324333968387833E-2</v>
      </c>
    </row>
    <row r="2627" spans="23:30" x14ac:dyDescent="0.2">
      <c r="W2627" s="144"/>
      <c r="X2627" s="113" t="str">
        <f t="shared" si="89"/>
        <v>1w</v>
      </c>
      <c r="Y2627" s="106">
        <f>_xll.qlCalendarAdvance(Calendar,Y2626,X2627,"f",FALSE)</f>
        <v>57628</v>
      </c>
      <c r="Z2627" s="108">
        <f>_xll.qlCalendarAdvance(Calendar,Y2627,0&amp;"D")</f>
        <v>57628</v>
      </c>
      <c r="AA2627" s="109">
        <v>1.0316039982729563E-2</v>
      </c>
      <c r="AB2627" s="143">
        <f t="shared" si="90"/>
        <v>0</v>
      </c>
      <c r="AC2627" s="236" t="e">
        <v>#N/A</v>
      </c>
      <c r="AD2627" s="236">
        <v>1.0316039982729563E-2</v>
      </c>
    </row>
    <row r="2628" spans="23:30" x14ac:dyDescent="0.2">
      <c r="W2628" s="144"/>
      <c r="X2628" s="113" t="str">
        <f t="shared" si="89"/>
        <v>1w</v>
      </c>
      <c r="Y2628" s="106">
        <f>_xll.qlCalendarAdvance(Calendar,Y2627,X2628,"f",FALSE)</f>
        <v>57635</v>
      </c>
      <c r="Z2628" s="108">
        <f>_xll.qlCalendarAdvance(Calendar,Y2628,0&amp;"D")</f>
        <v>57635</v>
      </c>
      <c r="AA2628" s="109">
        <v>1.0307785463021801E-2</v>
      </c>
      <c r="AB2628" s="143">
        <f t="shared" si="90"/>
        <v>0</v>
      </c>
      <c r="AC2628" s="236" t="e">
        <v>#N/A</v>
      </c>
      <c r="AD2628" s="236">
        <v>1.0307785463021801E-2</v>
      </c>
    </row>
    <row r="2629" spans="23:30" x14ac:dyDescent="0.2">
      <c r="W2629" s="144"/>
      <c r="X2629" s="113" t="str">
        <f t="shared" si="89"/>
        <v>1w</v>
      </c>
      <c r="Y2629" s="106">
        <f>_xll.qlCalendarAdvance(Calendar,Y2628,X2629,"f",FALSE)</f>
        <v>57642</v>
      </c>
      <c r="Z2629" s="108">
        <f>_xll.qlCalendarAdvance(Calendar,Y2629,0&amp;"D")</f>
        <v>57642</v>
      </c>
      <c r="AA2629" s="109">
        <v>1.0299570409504355E-2</v>
      </c>
      <c r="AB2629" s="143">
        <f t="shared" si="90"/>
        <v>0</v>
      </c>
      <c r="AC2629" s="236" t="e">
        <v>#N/A</v>
      </c>
      <c r="AD2629" s="236">
        <v>1.0299570409504355E-2</v>
      </c>
    </row>
    <row r="2630" spans="23:30" x14ac:dyDescent="0.2">
      <c r="W2630" s="144"/>
      <c r="X2630" s="113" t="str">
        <f t="shared" si="89"/>
        <v>1w</v>
      </c>
      <c r="Y2630" s="106">
        <f>_xll.qlCalendarAdvance(Calendar,Y2629,X2630,"f",FALSE)</f>
        <v>57649</v>
      </c>
      <c r="Z2630" s="108">
        <f>_xll.qlCalendarAdvance(Calendar,Y2630,0&amp;"D")</f>
        <v>57649</v>
      </c>
      <c r="AA2630" s="109">
        <v>1.029139482185748E-2</v>
      </c>
      <c r="AB2630" s="143">
        <f t="shared" si="90"/>
        <v>-7.9936057773011271E-14</v>
      </c>
      <c r="AC2630" s="236" t="e">
        <v>#N/A</v>
      </c>
      <c r="AD2630" s="236">
        <v>1.0291394821937416E-2</v>
      </c>
    </row>
    <row r="2631" spans="23:30" x14ac:dyDescent="0.2">
      <c r="W2631" s="144"/>
      <c r="X2631" s="113" t="str">
        <f t="shared" si="89"/>
        <v>1w</v>
      </c>
      <c r="Y2631" s="106">
        <f>_xll.qlCalendarAdvance(Calendar,Y2630,X2631,"f",FALSE)</f>
        <v>57656</v>
      </c>
      <c r="Z2631" s="108">
        <f>_xll.qlCalendarAdvance(Calendar,Y2631,0&amp;"D")</f>
        <v>57656</v>
      </c>
      <c r="AA2631" s="109">
        <v>1.0283258700241049E-2</v>
      </c>
      <c r="AB2631" s="143">
        <f t="shared" si="90"/>
        <v>-7.9936057773011271E-14</v>
      </c>
      <c r="AC2631" s="236" t="e">
        <v>#N/A</v>
      </c>
      <c r="AD2631" s="236">
        <v>1.0283258700320985E-2</v>
      </c>
    </row>
    <row r="2632" spans="23:30" x14ac:dyDescent="0.2">
      <c r="W2632" s="144"/>
      <c r="X2632" s="113" t="str">
        <f t="shared" si="89"/>
        <v>1w</v>
      </c>
      <c r="Y2632" s="106">
        <f>_xll.qlCalendarAdvance(Calendar,Y2631,X2632,"f",FALSE)</f>
        <v>57663</v>
      </c>
      <c r="Z2632" s="108">
        <f>_xll.qlCalendarAdvance(Calendar,Y2632,0&amp;"D")</f>
        <v>57663</v>
      </c>
      <c r="AA2632" s="109">
        <v>1.0275162044655062E-2</v>
      </c>
      <c r="AB2632" s="143">
        <f t="shared" si="90"/>
        <v>0</v>
      </c>
      <c r="AC2632" s="236" t="e">
        <v>#N/A</v>
      </c>
      <c r="AD2632" s="236">
        <v>1.0275162044655062E-2</v>
      </c>
    </row>
    <row r="2633" spans="23:30" x14ac:dyDescent="0.2">
      <c r="W2633" s="144"/>
      <c r="X2633" s="113" t="str">
        <f t="shared" si="89"/>
        <v>1w</v>
      </c>
      <c r="Y2633" s="106">
        <f>_xll.qlCalendarAdvance(Calendar,Y2632,X2633,"f",FALSE)</f>
        <v>57670</v>
      </c>
      <c r="Z2633" s="108">
        <f>_xll.qlCalendarAdvance(Calendar,Y2633,0&amp;"D")</f>
        <v>57670</v>
      </c>
      <c r="AA2633" s="109">
        <v>1.0267104855179454E-2</v>
      </c>
      <c r="AB2633" s="143">
        <f t="shared" si="90"/>
        <v>0</v>
      </c>
      <c r="AC2633" s="236" t="e">
        <v>#N/A</v>
      </c>
      <c r="AD2633" s="236">
        <v>1.0267104855179454E-2</v>
      </c>
    </row>
    <row r="2634" spans="23:30" x14ac:dyDescent="0.2">
      <c r="W2634" s="144"/>
      <c r="X2634" s="113" t="str">
        <f t="shared" si="89"/>
        <v>1w</v>
      </c>
      <c r="Y2634" s="106">
        <f>_xll.qlCalendarAdvance(Calendar,Y2633,X2634,"f",FALSE)</f>
        <v>57677</v>
      </c>
      <c r="Z2634" s="108">
        <f>_xll.qlCalendarAdvance(Calendar,Y2634,0&amp;"D")</f>
        <v>57677</v>
      </c>
      <c r="AA2634" s="109">
        <v>1.0259087131654354E-2</v>
      </c>
      <c r="AB2634" s="143">
        <f t="shared" si="90"/>
        <v>0</v>
      </c>
      <c r="AC2634" s="236" t="e">
        <v>#N/A</v>
      </c>
      <c r="AD2634" s="236">
        <v>1.0259087131654354E-2</v>
      </c>
    </row>
    <row r="2635" spans="23:30" x14ac:dyDescent="0.2">
      <c r="W2635" s="144"/>
      <c r="X2635" s="113" t="str">
        <f t="shared" si="89"/>
        <v>1w</v>
      </c>
      <c r="Y2635" s="106">
        <f>_xll.qlCalendarAdvance(Calendar,Y2634,X2635,"f",FALSE)</f>
        <v>57684</v>
      </c>
      <c r="Z2635" s="108">
        <f>_xll.qlCalendarAdvance(Calendar,Y2635,0&amp;"D")</f>
        <v>57684</v>
      </c>
      <c r="AA2635" s="109">
        <v>1.0251108874159698E-2</v>
      </c>
      <c r="AB2635" s="143">
        <f t="shared" si="90"/>
        <v>0</v>
      </c>
      <c r="AC2635" s="236" t="e">
        <v>#N/A</v>
      </c>
      <c r="AD2635" s="236">
        <v>1.0251108874159698E-2</v>
      </c>
    </row>
    <row r="2636" spans="23:30" x14ac:dyDescent="0.2">
      <c r="W2636" s="144"/>
      <c r="X2636" s="113" t="str">
        <f t="shared" si="89"/>
        <v>1w</v>
      </c>
      <c r="Y2636" s="106">
        <f>_xll.qlCalendarAdvance(Calendar,Y2635,X2636,"f",FALSE)</f>
        <v>57691</v>
      </c>
      <c r="Z2636" s="108">
        <f>_xll.qlCalendarAdvance(Calendar,Y2636,0&amp;"D")</f>
        <v>57691</v>
      </c>
      <c r="AA2636" s="109">
        <v>1.0243170082695485E-2</v>
      </c>
      <c r="AB2636" s="143">
        <f t="shared" si="90"/>
        <v>0</v>
      </c>
      <c r="AC2636" s="236" t="e">
        <v>#N/A</v>
      </c>
      <c r="AD2636" s="236">
        <v>1.0243170082695485E-2</v>
      </c>
    </row>
    <row r="2637" spans="23:30" x14ac:dyDescent="0.2">
      <c r="W2637" s="144"/>
      <c r="X2637" s="113" t="str">
        <f t="shared" ref="X2637:X2700" si="91">X2636</f>
        <v>1w</v>
      </c>
      <c r="Y2637" s="106">
        <f>_xll.qlCalendarAdvance(Calendar,Y2636,X2637,"f",FALSE)</f>
        <v>57698</v>
      </c>
      <c r="Z2637" s="108">
        <f>_xll.qlCalendarAdvance(Calendar,Y2637,0&amp;"D")</f>
        <v>57698</v>
      </c>
      <c r="AA2637" s="109">
        <v>1.023527075718178E-2</v>
      </c>
      <c r="AB2637" s="143">
        <f t="shared" si="90"/>
        <v>0</v>
      </c>
      <c r="AC2637" s="236" t="e">
        <v>#N/A</v>
      </c>
      <c r="AD2637" s="236">
        <v>1.023527075718178E-2</v>
      </c>
    </row>
    <row r="2638" spans="23:30" x14ac:dyDescent="0.2">
      <c r="W2638" s="144"/>
      <c r="X2638" s="113" t="str">
        <f t="shared" si="91"/>
        <v>1w</v>
      </c>
      <c r="Y2638" s="106">
        <f>_xll.qlCalendarAdvance(Calendar,Y2637,X2638,"f",FALSE)</f>
        <v>57706</v>
      </c>
      <c r="Z2638" s="108">
        <f>_xll.qlCalendarAdvance(Calendar,Y2638,0&amp;"D")</f>
        <v>57706</v>
      </c>
      <c r="AA2638" s="109">
        <v>1.0226291282338096E-2</v>
      </c>
      <c r="AB2638" s="143">
        <f t="shared" si="90"/>
        <v>0</v>
      </c>
      <c r="AC2638" s="236" t="e">
        <v>#N/A</v>
      </c>
      <c r="AD2638" s="236">
        <v>1.0226291282338096E-2</v>
      </c>
    </row>
    <row r="2639" spans="23:30" x14ac:dyDescent="0.2">
      <c r="W2639" s="144"/>
      <c r="X2639" s="113" t="str">
        <f t="shared" si="91"/>
        <v>1w</v>
      </c>
      <c r="Y2639" s="106">
        <f>_xll.qlCalendarAdvance(Calendar,Y2638,X2639,"f",FALSE)</f>
        <v>57713</v>
      </c>
      <c r="Z2639" s="108">
        <f>_xll.qlCalendarAdvance(Calendar,Y2639,0&amp;"D")</f>
        <v>57713</v>
      </c>
      <c r="AA2639" s="109">
        <v>1.0218476526775433E-2</v>
      </c>
      <c r="AB2639" s="143">
        <f t="shared" si="90"/>
        <v>0</v>
      </c>
      <c r="AC2639" s="236" t="e">
        <v>#N/A</v>
      </c>
      <c r="AD2639" s="236">
        <v>1.0218476526775433E-2</v>
      </c>
    </row>
    <row r="2640" spans="23:30" x14ac:dyDescent="0.2">
      <c r="W2640" s="144"/>
      <c r="X2640" s="113" t="str">
        <f t="shared" si="91"/>
        <v>1w</v>
      </c>
      <c r="Y2640" s="106">
        <f>_xll.qlCalendarAdvance(Calendar,Y2639,X2640,"f",FALSE)</f>
        <v>57720</v>
      </c>
      <c r="Z2640" s="108">
        <f>_xll.qlCalendarAdvance(Calendar,Y2640,0&amp;"D")</f>
        <v>57720</v>
      </c>
      <c r="AA2640" s="109">
        <v>1.021070123732315E-2</v>
      </c>
      <c r="AB2640" s="143">
        <f t="shared" si="90"/>
        <v>0</v>
      </c>
      <c r="AC2640" s="236" t="e">
        <v>#N/A</v>
      </c>
      <c r="AD2640" s="236">
        <v>1.021070123732315E-2</v>
      </c>
    </row>
    <row r="2641" spans="23:30" x14ac:dyDescent="0.2">
      <c r="W2641" s="144"/>
      <c r="X2641" s="113" t="str">
        <f t="shared" si="91"/>
        <v>1w</v>
      </c>
      <c r="Y2641" s="106">
        <f>_xll.qlCalendarAdvance(Calendar,Y2640,X2641,"f",FALSE)</f>
        <v>57727</v>
      </c>
      <c r="Z2641" s="108">
        <f>_xll.qlCalendarAdvance(Calendar,Y2641,0&amp;"D")</f>
        <v>57727</v>
      </c>
      <c r="AA2641" s="109">
        <v>1.0202965413661502E-2</v>
      </c>
      <c r="AB2641" s="143">
        <f t="shared" si="90"/>
        <v>-7.9936057773011271E-14</v>
      </c>
      <c r="AC2641" s="236" t="e">
        <v>#N/A</v>
      </c>
      <c r="AD2641" s="236">
        <v>1.0202965413741438E-2</v>
      </c>
    </row>
    <row r="2642" spans="23:30" x14ac:dyDescent="0.2">
      <c r="W2642" s="144"/>
      <c r="X2642" s="113" t="str">
        <f t="shared" si="91"/>
        <v>1w</v>
      </c>
      <c r="Y2642" s="106">
        <f>_xll.qlCalendarAdvance(Calendar,Y2641,X2642,"f",FALSE)</f>
        <v>57734</v>
      </c>
      <c r="Z2642" s="108">
        <f>_xll.qlCalendarAdvance(Calendar,Y2642,0&amp;"D")</f>
        <v>57734</v>
      </c>
      <c r="AA2642" s="109">
        <v>1.019526905619017E-2</v>
      </c>
      <c r="AB2642" s="143">
        <f t="shared" si="90"/>
        <v>0</v>
      </c>
      <c r="AC2642" s="236" t="e">
        <v>#N/A</v>
      </c>
      <c r="AD2642" s="236">
        <v>1.019526905619017E-2</v>
      </c>
    </row>
    <row r="2643" spans="23:30" x14ac:dyDescent="0.2">
      <c r="W2643" s="144"/>
      <c r="X2643" s="113" t="str">
        <f t="shared" si="91"/>
        <v>1w</v>
      </c>
      <c r="Y2643" s="106">
        <f>_xll.qlCalendarAdvance(Calendar,Y2642,X2643,"f",FALSE)</f>
        <v>57741</v>
      </c>
      <c r="Z2643" s="108">
        <f>_xll.qlCalendarAdvance(Calendar,Y2643,0&amp;"D")</f>
        <v>57741</v>
      </c>
      <c r="AA2643" s="109">
        <v>1.0187612164669346E-2</v>
      </c>
      <c r="AB2643" s="143">
        <f t="shared" si="90"/>
        <v>0</v>
      </c>
      <c r="AC2643" s="236" t="e">
        <v>#N/A</v>
      </c>
      <c r="AD2643" s="236">
        <v>1.0187612164669346E-2</v>
      </c>
    </row>
    <row r="2644" spans="23:30" x14ac:dyDescent="0.2">
      <c r="W2644" s="144"/>
      <c r="X2644" s="113" t="str">
        <f t="shared" si="91"/>
        <v>1w</v>
      </c>
      <c r="Y2644" s="106">
        <f>_xll.qlCalendarAdvance(Calendar,Y2643,X2644,"f",FALSE)</f>
        <v>57748</v>
      </c>
      <c r="Z2644" s="108">
        <f>_xll.qlCalendarAdvance(Calendar,Y2644,0&amp;"D")</f>
        <v>57748</v>
      </c>
      <c r="AA2644" s="109">
        <v>1.0179994739178966E-2</v>
      </c>
      <c r="AB2644" s="143">
        <f t="shared" si="90"/>
        <v>7.9936057773011271E-14</v>
      </c>
      <c r="AC2644" s="236" t="e">
        <v>#N/A</v>
      </c>
      <c r="AD2644" s="236">
        <v>1.017999473909903E-2</v>
      </c>
    </row>
    <row r="2645" spans="23:30" x14ac:dyDescent="0.2">
      <c r="W2645" s="144"/>
      <c r="X2645" s="113" t="str">
        <f t="shared" si="91"/>
        <v>1w</v>
      </c>
      <c r="Y2645" s="106">
        <f>_xll.qlCalendarAdvance(Calendar,Y2644,X2645,"f",FALSE)</f>
        <v>57755</v>
      </c>
      <c r="Z2645" s="108">
        <f>_xll.qlCalendarAdvance(Calendar,Y2645,0&amp;"D")</f>
        <v>57755</v>
      </c>
      <c r="AA2645" s="109">
        <v>1.0172416779479221E-2</v>
      </c>
      <c r="AB2645" s="143">
        <f t="shared" ref="AB2645:AB2708" si="92">AA2645-AD2645</f>
        <v>0</v>
      </c>
      <c r="AC2645" s="236" t="e">
        <v>#N/A</v>
      </c>
      <c r="AD2645" s="236">
        <v>1.0172416779479221E-2</v>
      </c>
    </row>
    <row r="2646" spans="23:30" x14ac:dyDescent="0.2">
      <c r="W2646" s="144"/>
      <c r="X2646" s="113" t="str">
        <f t="shared" si="91"/>
        <v>1w</v>
      </c>
      <c r="Y2646" s="106">
        <f>_xll.qlCalendarAdvance(Calendar,Y2645,X2646,"f",FALSE)</f>
        <v>57762</v>
      </c>
      <c r="Z2646" s="108">
        <f>_xll.qlCalendarAdvance(Calendar,Y2646,0&amp;"D")</f>
        <v>57762</v>
      </c>
      <c r="AA2646" s="109">
        <v>1.0164878285969792E-2</v>
      </c>
      <c r="AB2646" s="143">
        <f t="shared" si="92"/>
        <v>0</v>
      </c>
      <c r="AC2646" s="236" t="e">
        <v>#N/A</v>
      </c>
      <c r="AD2646" s="236">
        <v>1.0164878285969792E-2</v>
      </c>
    </row>
    <row r="2647" spans="23:30" x14ac:dyDescent="0.2">
      <c r="W2647" s="144"/>
      <c r="X2647" s="113" t="str">
        <f t="shared" si="91"/>
        <v>1w</v>
      </c>
      <c r="Y2647" s="106">
        <f>_xll.qlCalendarAdvance(Calendar,Y2646,X2647,"f",FALSE)</f>
        <v>57769</v>
      </c>
      <c r="Z2647" s="108">
        <f>_xll.qlCalendarAdvance(Calendar,Y2647,0&amp;"D")</f>
        <v>57769</v>
      </c>
      <c r="AA2647" s="109">
        <v>1.015737925841087E-2</v>
      </c>
      <c r="AB2647" s="143">
        <f t="shared" si="92"/>
        <v>0</v>
      </c>
      <c r="AC2647" s="236" t="e">
        <v>#N/A</v>
      </c>
      <c r="AD2647" s="236">
        <v>1.015737925841087E-2</v>
      </c>
    </row>
    <row r="2648" spans="23:30" x14ac:dyDescent="0.2">
      <c r="W2648" s="144"/>
      <c r="X2648" s="113" t="str">
        <f t="shared" si="91"/>
        <v>1w</v>
      </c>
      <c r="Y2648" s="106">
        <f>_xll.qlCalendarAdvance(Calendar,Y2647,X2648,"f",FALSE)</f>
        <v>57776</v>
      </c>
      <c r="Z2648" s="108">
        <f>_xll.qlCalendarAdvance(Calendar,Y2648,0&amp;"D")</f>
        <v>57776</v>
      </c>
      <c r="AA2648" s="109">
        <v>1.014991969672252E-2</v>
      </c>
      <c r="AB2648" s="143">
        <f t="shared" si="92"/>
        <v>0</v>
      </c>
      <c r="AC2648" s="236" t="e">
        <v>#N/A</v>
      </c>
      <c r="AD2648" s="236">
        <v>1.014991969672252E-2</v>
      </c>
    </row>
    <row r="2649" spans="23:30" x14ac:dyDescent="0.2">
      <c r="W2649" s="144"/>
      <c r="X2649" s="113" t="str">
        <f t="shared" si="91"/>
        <v>1w</v>
      </c>
      <c r="Y2649" s="106">
        <f>_xll.qlCalendarAdvance(Calendar,Y2648,X2649,"f",FALSE)</f>
        <v>57783</v>
      </c>
      <c r="Z2649" s="108">
        <f>_xll.qlCalendarAdvance(Calendar,Y2649,0&amp;"D")</f>
        <v>57783</v>
      </c>
      <c r="AA2649" s="109">
        <v>1.0142499601064614E-2</v>
      </c>
      <c r="AB2649" s="143">
        <f t="shared" si="92"/>
        <v>0</v>
      </c>
      <c r="AC2649" s="236" t="e">
        <v>#N/A</v>
      </c>
      <c r="AD2649" s="236">
        <v>1.0142499601064614E-2</v>
      </c>
    </row>
    <row r="2650" spans="23:30" x14ac:dyDescent="0.2">
      <c r="W2650" s="144"/>
      <c r="X2650" s="113" t="str">
        <f t="shared" si="91"/>
        <v>1w</v>
      </c>
      <c r="Y2650" s="106">
        <f>_xll.qlCalendarAdvance(Calendar,Y2649,X2650,"f",FALSE)</f>
        <v>57790</v>
      </c>
      <c r="Z2650" s="108">
        <f>_xll.qlCalendarAdvance(Calendar,Y2650,0&amp;"D")</f>
        <v>57790</v>
      </c>
      <c r="AA2650" s="109">
        <v>1.0135118971357215E-2</v>
      </c>
      <c r="AB2650" s="143">
        <f t="shared" si="92"/>
        <v>0</v>
      </c>
      <c r="AC2650" s="236" t="e">
        <v>#N/A</v>
      </c>
      <c r="AD2650" s="236">
        <v>1.0135118971357215E-2</v>
      </c>
    </row>
    <row r="2651" spans="23:30" x14ac:dyDescent="0.2">
      <c r="W2651" s="144"/>
      <c r="X2651" s="113" t="str">
        <f t="shared" si="91"/>
        <v>1w</v>
      </c>
      <c r="Y2651" s="106">
        <f>_xll.qlCalendarAdvance(Calendar,Y2650,X2651,"f",FALSE)</f>
        <v>57797</v>
      </c>
      <c r="Z2651" s="108">
        <f>_xll.qlCalendarAdvance(Calendar,Y2651,0&amp;"D")</f>
        <v>57797</v>
      </c>
      <c r="AA2651" s="109">
        <v>1.0127777807760197E-2</v>
      </c>
      <c r="AB2651" s="143">
        <f t="shared" si="92"/>
        <v>0</v>
      </c>
      <c r="AC2651" s="236" t="e">
        <v>#N/A</v>
      </c>
      <c r="AD2651" s="236">
        <v>1.0127777807760197E-2</v>
      </c>
    </row>
    <row r="2652" spans="23:30" x14ac:dyDescent="0.2">
      <c r="W2652" s="144"/>
      <c r="X2652" s="113" t="str">
        <f t="shared" si="91"/>
        <v>1w</v>
      </c>
      <c r="Y2652" s="106">
        <f>_xll.qlCalendarAdvance(Calendar,Y2651,X2652,"f",FALSE)</f>
        <v>57804</v>
      </c>
      <c r="Z2652" s="108">
        <f>_xll.qlCalendarAdvance(Calendar,Y2652,0&amp;"D")</f>
        <v>57804</v>
      </c>
      <c r="AA2652" s="109">
        <v>1.0120476109873877E-2</v>
      </c>
      <c r="AB2652" s="143">
        <f t="shared" si="92"/>
        <v>7.9936057773011271E-14</v>
      </c>
      <c r="AC2652" s="236" t="e">
        <v>#N/A</v>
      </c>
      <c r="AD2652" s="236">
        <v>1.0120476109793941E-2</v>
      </c>
    </row>
    <row r="2653" spans="23:30" x14ac:dyDescent="0.2">
      <c r="W2653" s="144"/>
      <c r="X2653" s="113" t="str">
        <f t="shared" si="91"/>
        <v>1w</v>
      </c>
      <c r="Y2653" s="106">
        <f>_xll.qlCalendarAdvance(Calendar,Y2652,X2653,"f",FALSE)</f>
        <v>57811</v>
      </c>
      <c r="Z2653" s="108">
        <f>_xll.qlCalendarAdvance(Calendar,Y2653,0&amp;"D")</f>
        <v>57811</v>
      </c>
      <c r="AA2653" s="109">
        <v>1.0111714998821242E-2</v>
      </c>
      <c r="AB2653" s="143">
        <f t="shared" si="92"/>
        <v>-1.5987211554602254E-14</v>
      </c>
      <c r="AC2653" s="236" t="e">
        <v>#N/A</v>
      </c>
      <c r="AD2653" s="236">
        <v>1.0111714998837229E-2</v>
      </c>
    </row>
    <row r="2654" spans="23:30" x14ac:dyDescent="0.2">
      <c r="W2654" s="144"/>
      <c r="X2654" s="113" t="str">
        <f t="shared" si="91"/>
        <v>1w</v>
      </c>
      <c r="Y2654" s="106">
        <f>_xll.qlCalendarAdvance(Calendar,Y2653,X2654,"f",FALSE)</f>
        <v>57818</v>
      </c>
      <c r="Z2654" s="108">
        <f>_xll.qlCalendarAdvance(Calendar,Y2654,0&amp;"D")</f>
        <v>57818</v>
      </c>
      <c r="AA2654" s="109">
        <v>1.0105991112192569E-2</v>
      </c>
      <c r="AB2654" s="143">
        <f t="shared" si="92"/>
        <v>-7.9936057773011271E-14</v>
      </c>
      <c r="AC2654" s="236" t="e">
        <v>#N/A</v>
      </c>
      <c r="AD2654" s="236">
        <v>1.0105991112272505E-2</v>
      </c>
    </row>
    <row r="2655" spans="23:30" x14ac:dyDescent="0.2">
      <c r="W2655" s="144"/>
      <c r="X2655" s="113" t="str">
        <f t="shared" si="91"/>
        <v>1w</v>
      </c>
      <c r="Y2655" s="106">
        <f>_xll.qlCalendarAdvance(Calendar,Y2654,X2655,"f",FALSE)</f>
        <v>57825</v>
      </c>
      <c r="Z2655" s="108">
        <f>_xll.qlCalendarAdvance(Calendar,Y2655,0&amp;"D")</f>
        <v>57825</v>
      </c>
      <c r="AA2655" s="109">
        <v>1.0098807812397581E-2</v>
      </c>
      <c r="AB2655" s="143">
        <f t="shared" si="92"/>
        <v>0</v>
      </c>
      <c r="AC2655" s="236" t="e">
        <v>#N/A</v>
      </c>
      <c r="AD2655" s="236">
        <v>1.0098807812397581E-2</v>
      </c>
    </row>
    <row r="2656" spans="23:30" x14ac:dyDescent="0.2">
      <c r="W2656" s="144"/>
      <c r="X2656" s="113" t="str">
        <f t="shared" si="91"/>
        <v>1w</v>
      </c>
      <c r="Y2656" s="106">
        <f>_xll.qlCalendarAdvance(Calendar,Y2655,X2656,"f",FALSE)</f>
        <v>57832</v>
      </c>
      <c r="Z2656" s="108">
        <f>_xll.qlCalendarAdvance(Calendar,Y2656,0&amp;"D")</f>
        <v>57832</v>
      </c>
      <c r="AA2656" s="109">
        <v>1.0091663978393228E-2</v>
      </c>
      <c r="AB2656" s="143">
        <f t="shared" si="92"/>
        <v>-7.9936057773011271E-14</v>
      </c>
      <c r="AC2656" s="236" t="e">
        <v>#N/A</v>
      </c>
      <c r="AD2656" s="236">
        <v>1.0091663978473164E-2</v>
      </c>
    </row>
    <row r="2657" spans="23:30" x14ac:dyDescent="0.2">
      <c r="W2657" s="144"/>
      <c r="X2657" s="113" t="str">
        <f t="shared" si="91"/>
        <v>1w</v>
      </c>
      <c r="Y2657" s="106">
        <f>_xll.qlCalendarAdvance(Calendar,Y2656,X2657,"f",FALSE)</f>
        <v>57839</v>
      </c>
      <c r="Z2657" s="108">
        <f>_xll.qlCalendarAdvance(Calendar,Y2657,0&amp;"D")</f>
        <v>57839</v>
      </c>
      <c r="AA2657" s="109">
        <v>1.0084559610499255E-2</v>
      </c>
      <c r="AB2657" s="143">
        <f t="shared" si="92"/>
        <v>0</v>
      </c>
      <c r="AC2657" s="236" t="e">
        <v>#N/A</v>
      </c>
      <c r="AD2657" s="236">
        <v>1.0084559610499255E-2</v>
      </c>
    </row>
    <row r="2658" spans="23:30" x14ac:dyDescent="0.2">
      <c r="W2658" s="144"/>
      <c r="X2658" s="113" t="str">
        <f t="shared" si="91"/>
        <v>1w</v>
      </c>
      <c r="Y2658" s="106">
        <f>_xll.qlCalendarAdvance(Calendar,Y2657,X2658,"f",FALSE)</f>
        <v>57846</v>
      </c>
      <c r="Z2658" s="108">
        <f>_xll.qlCalendarAdvance(Calendar,Y2658,0&amp;"D")</f>
        <v>57846</v>
      </c>
      <c r="AA2658" s="109">
        <v>1.0077494708475854E-2</v>
      </c>
      <c r="AB2658" s="143">
        <f t="shared" si="92"/>
        <v>0</v>
      </c>
      <c r="AC2658" s="236" t="e">
        <v>#N/A</v>
      </c>
      <c r="AD2658" s="236">
        <v>1.0077494708475854E-2</v>
      </c>
    </row>
    <row r="2659" spans="23:30" x14ac:dyDescent="0.2">
      <c r="W2659" s="144"/>
      <c r="X2659" s="113" t="str">
        <f t="shared" si="91"/>
        <v>1w</v>
      </c>
      <c r="Y2659" s="106">
        <f>_xll.qlCalendarAdvance(Calendar,Y2658,X2659,"f",FALSE)</f>
        <v>57853</v>
      </c>
      <c r="Z2659" s="108">
        <f>_xll.qlCalendarAdvance(Calendar,Y2659,0&amp;"D")</f>
        <v>57853</v>
      </c>
      <c r="AA2659" s="109">
        <v>1.0070469272482896E-2</v>
      </c>
      <c r="AB2659" s="143">
        <f t="shared" si="92"/>
        <v>0</v>
      </c>
      <c r="AC2659" s="236" t="e">
        <v>#N/A</v>
      </c>
      <c r="AD2659" s="236">
        <v>1.0070469272482896E-2</v>
      </c>
    </row>
    <row r="2660" spans="23:30" x14ac:dyDescent="0.2">
      <c r="W2660" s="144"/>
      <c r="X2660" s="113" t="str">
        <f t="shared" si="91"/>
        <v>1w</v>
      </c>
      <c r="Y2660" s="106">
        <f>_xll.qlCalendarAdvance(Calendar,Y2659,X2660,"f",FALSE)</f>
        <v>57860</v>
      </c>
      <c r="Z2660" s="108">
        <f>_xll.qlCalendarAdvance(Calendar,Y2660,0&amp;"D")</f>
        <v>57860</v>
      </c>
      <c r="AA2660" s="109">
        <v>1.0063483302440446E-2</v>
      </c>
      <c r="AB2660" s="143">
        <f t="shared" si="92"/>
        <v>0</v>
      </c>
      <c r="AC2660" s="236" t="e">
        <v>#N/A</v>
      </c>
      <c r="AD2660" s="236">
        <v>1.0063483302440446E-2</v>
      </c>
    </row>
    <row r="2661" spans="23:30" x14ac:dyDescent="0.2">
      <c r="W2661" s="144"/>
      <c r="X2661" s="113" t="str">
        <f t="shared" si="91"/>
        <v>1w</v>
      </c>
      <c r="Y2661" s="106">
        <f>_xll.qlCalendarAdvance(Calendar,Y2660,X2661,"f",FALSE)</f>
        <v>57867</v>
      </c>
      <c r="Z2661" s="108">
        <f>_xll.qlCalendarAdvance(Calendar,Y2661,0&amp;"D")</f>
        <v>57867</v>
      </c>
      <c r="AA2661" s="109">
        <v>1.0056536798268567E-2</v>
      </c>
      <c r="AB2661" s="143">
        <f t="shared" si="92"/>
        <v>0</v>
      </c>
      <c r="AC2661" s="236" t="e">
        <v>#N/A</v>
      </c>
      <c r="AD2661" s="236">
        <v>1.0056536798268567E-2</v>
      </c>
    </row>
    <row r="2662" spans="23:30" x14ac:dyDescent="0.2">
      <c r="W2662" s="144"/>
      <c r="X2662" s="113" t="str">
        <f t="shared" si="91"/>
        <v>1w</v>
      </c>
      <c r="Y2662" s="106">
        <f>_xll.qlCalendarAdvance(Calendar,Y2661,X2662,"f",FALSE)</f>
        <v>57874</v>
      </c>
      <c r="Z2662" s="108">
        <f>_xll.qlCalendarAdvance(Calendar,Y2662,0&amp;"D")</f>
        <v>57874</v>
      </c>
      <c r="AA2662" s="109">
        <v>1.004962975996726E-2</v>
      </c>
      <c r="AB2662" s="143">
        <f t="shared" si="92"/>
        <v>0</v>
      </c>
      <c r="AC2662" s="236" t="e">
        <v>#N/A</v>
      </c>
      <c r="AD2662" s="236">
        <v>1.004962975996726E-2</v>
      </c>
    </row>
    <row r="2663" spans="23:30" x14ac:dyDescent="0.2">
      <c r="W2663" s="144"/>
      <c r="X2663" s="113" t="str">
        <f t="shared" si="91"/>
        <v>1w</v>
      </c>
      <c r="Y2663" s="106">
        <f>_xll.qlCalendarAdvance(Calendar,Y2662,X2663,"f",FALSE)</f>
        <v>57881</v>
      </c>
      <c r="Z2663" s="108">
        <f>_xll.qlCalendarAdvance(Calendar,Y2663,0&amp;"D")</f>
        <v>57881</v>
      </c>
      <c r="AA2663" s="109">
        <v>1.0042762187696397E-2</v>
      </c>
      <c r="AB2663" s="143">
        <f t="shared" si="92"/>
        <v>0</v>
      </c>
      <c r="AC2663" s="236" t="e">
        <v>#N/A</v>
      </c>
      <c r="AD2663" s="236">
        <v>1.0042762187696397E-2</v>
      </c>
    </row>
    <row r="2664" spans="23:30" x14ac:dyDescent="0.2">
      <c r="W2664" s="144"/>
      <c r="X2664" s="113" t="str">
        <f t="shared" si="91"/>
        <v>1w</v>
      </c>
      <c r="Y2664" s="106">
        <f>_xll.qlCalendarAdvance(Calendar,Y2663,X2664,"f",FALSE)</f>
        <v>57888</v>
      </c>
      <c r="Z2664" s="108">
        <f>_xll.qlCalendarAdvance(Calendar,Y2664,0&amp;"D")</f>
        <v>57888</v>
      </c>
      <c r="AA2664" s="109">
        <v>1.0035934081376041E-2</v>
      </c>
      <c r="AB2664" s="143">
        <f t="shared" si="92"/>
        <v>0</v>
      </c>
      <c r="AC2664" s="236" t="e">
        <v>#N/A</v>
      </c>
      <c r="AD2664" s="236">
        <v>1.0035934081376041E-2</v>
      </c>
    </row>
    <row r="2665" spans="23:30" x14ac:dyDescent="0.2">
      <c r="W2665" s="144"/>
      <c r="X2665" s="113" t="str">
        <f t="shared" si="91"/>
        <v>1w</v>
      </c>
      <c r="Y2665" s="106">
        <f>_xll.qlCalendarAdvance(Calendar,Y2664,X2665,"f",FALSE)</f>
        <v>57895</v>
      </c>
      <c r="Z2665" s="108">
        <f>_xll.qlCalendarAdvance(Calendar,Y2665,0&amp;"D")</f>
        <v>57895</v>
      </c>
      <c r="AA2665" s="109">
        <v>1.0029145441006193E-2</v>
      </c>
      <c r="AB2665" s="143">
        <f t="shared" si="92"/>
        <v>0</v>
      </c>
      <c r="AC2665" s="236" t="e">
        <v>#N/A</v>
      </c>
      <c r="AD2665" s="236">
        <v>1.0029145441006193E-2</v>
      </c>
    </row>
    <row r="2666" spans="23:30" x14ac:dyDescent="0.2">
      <c r="W2666" s="144"/>
      <c r="X2666" s="113" t="str">
        <f t="shared" si="91"/>
        <v>1w</v>
      </c>
      <c r="Y2666" s="106">
        <f>_xll.qlCalendarAdvance(Calendar,Y2665,X2666,"f",FALSE)</f>
        <v>57902</v>
      </c>
      <c r="Z2666" s="108">
        <f>_xll.qlCalendarAdvance(Calendar,Y2666,0&amp;"D")</f>
        <v>57902</v>
      </c>
      <c r="AA2666" s="109">
        <v>1.0022396266506917E-2</v>
      </c>
      <c r="AB2666" s="143">
        <f t="shared" si="92"/>
        <v>0</v>
      </c>
      <c r="AC2666" s="236" t="e">
        <v>#N/A</v>
      </c>
      <c r="AD2666" s="236">
        <v>1.0022396266506917E-2</v>
      </c>
    </row>
    <row r="2667" spans="23:30" x14ac:dyDescent="0.2">
      <c r="W2667" s="144"/>
      <c r="X2667" s="113" t="str">
        <f t="shared" si="91"/>
        <v>1w</v>
      </c>
      <c r="Y2667" s="106">
        <f>_xll.qlCalendarAdvance(Calendar,Y2666,X2667,"f",FALSE)</f>
        <v>57909</v>
      </c>
      <c r="Z2667" s="108">
        <f>_xll.qlCalendarAdvance(Calendar,Y2667,0&amp;"D")</f>
        <v>57909</v>
      </c>
      <c r="AA2667" s="109">
        <v>1.0015686557878212E-2</v>
      </c>
      <c r="AB2667" s="143">
        <f t="shared" si="92"/>
        <v>0</v>
      </c>
      <c r="AC2667" s="236" t="e">
        <v>#N/A</v>
      </c>
      <c r="AD2667" s="236">
        <v>1.0015686557878212E-2</v>
      </c>
    </row>
    <row r="2668" spans="23:30" x14ac:dyDescent="0.2">
      <c r="W2668" s="144"/>
      <c r="X2668" s="113" t="str">
        <f t="shared" si="91"/>
        <v>1w</v>
      </c>
      <c r="Y2668" s="106">
        <f>_xll.qlCalendarAdvance(Calendar,Y2667,X2668,"f",FALSE)</f>
        <v>57916</v>
      </c>
      <c r="Z2668" s="108">
        <f>_xll.qlCalendarAdvance(Calendar,Y2668,0&amp;"D")</f>
        <v>57916</v>
      </c>
      <c r="AA2668" s="109">
        <v>1.0009016315439823E-2</v>
      </c>
      <c r="AB2668" s="143">
        <f t="shared" si="92"/>
        <v>7.9936057773011271E-14</v>
      </c>
      <c r="AC2668" s="236" t="e">
        <v>#N/A</v>
      </c>
      <c r="AD2668" s="236">
        <v>1.0009016315359887E-2</v>
      </c>
    </row>
    <row r="2669" spans="23:30" x14ac:dyDescent="0.2">
      <c r="W2669" s="144"/>
      <c r="X2669" s="113" t="str">
        <f t="shared" si="91"/>
        <v>1w</v>
      </c>
      <c r="Y2669" s="106">
        <f>_xll.qlCalendarAdvance(Calendar,Y2668,X2669,"f",FALSE)</f>
        <v>57923</v>
      </c>
      <c r="Z2669" s="108">
        <f>_xll.qlCalendarAdvance(Calendar,Y2669,0&amp;"D")</f>
        <v>57923</v>
      </c>
      <c r="AA2669" s="109">
        <v>1.0002385538712133E-2</v>
      </c>
      <c r="AB2669" s="143">
        <f t="shared" si="92"/>
        <v>7.9936057773011271E-14</v>
      </c>
      <c r="AC2669" s="236" t="e">
        <v>#N/A</v>
      </c>
      <c r="AD2669" s="236">
        <v>1.0002385538632197E-2</v>
      </c>
    </row>
    <row r="2670" spans="23:30" x14ac:dyDescent="0.2">
      <c r="W2670" s="144"/>
      <c r="X2670" s="113" t="str">
        <f t="shared" si="91"/>
        <v>1w</v>
      </c>
      <c r="Y2670" s="106">
        <f>_xll.qlCalendarAdvance(Calendar,Y2669,X2670,"f",FALSE)</f>
        <v>57930</v>
      </c>
      <c r="Z2670" s="108">
        <f>_xll.qlCalendarAdvance(Calendar,Y2670,0&amp;"D")</f>
        <v>57930</v>
      </c>
      <c r="AA2670" s="109">
        <v>9.9957942278550149E-3</v>
      </c>
      <c r="AB2670" s="143">
        <f t="shared" si="92"/>
        <v>0</v>
      </c>
      <c r="AC2670" s="236" t="e">
        <v>#N/A</v>
      </c>
      <c r="AD2670" s="236">
        <v>9.9957942278550149E-3</v>
      </c>
    </row>
    <row r="2671" spans="23:30" x14ac:dyDescent="0.2">
      <c r="W2671" s="144"/>
      <c r="X2671" s="113" t="str">
        <f t="shared" si="91"/>
        <v>1w</v>
      </c>
      <c r="Y2671" s="106">
        <f>_xll.qlCalendarAdvance(Calendar,Y2670,X2671,"f",FALSE)</f>
        <v>57937</v>
      </c>
      <c r="Z2671" s="108">
        <f>_xll.qlCalendarAdvance(Calendar,Y2671,0&amp;"D")</f>
        <v>57937</v>
      </c>
      <c r="AA2671" s="109">
        <v>9.9892423830283406E-3</v>
      </c>
      <c r="AB2671" s="143">
        <f t="shared" si="92"/>
        <v>0</v>
      </c>
      <c r="AC2671" s="236" t="e">
        <v>#N/A</v>
      </c>
      <c r="AD2671" s="236">
        <v>9.9892423830283406E-3</v>
      </c>
    </row>
    <row r="2672" spans="23:30" x14ac:dyDescent="0.2">
      <c r="W2672" s="144"/>
      <c r="X2672" s="113" t="str">
        <f t="shared" si="91"/>
        <v>1w</v>
      </c>
      <c r="Y2672" s="106">
        <f>_xll.qlCalendarAdvance(Calendar,Y2671,X2672,"f",FALSE)</f>
        <v>57944</v>
      </c>
      <c r="Z2672" s="108">
        <f>_xll.qlCalendarAdvance(Calendar,Y2672,0&amp;"D")</f>
        <v>57944</v>
      </c>
      <c r="AA2672" s="109">
        <v>9.9827300040722378E-3</v>
      </c>
      <c r="AB2672" s="143">
        <f t="shared" si="92"/>
        <v>0</v>
      </c>
      <c r="AC2672" s="236" t="e">
        <v>#N/A</v>
      </c>
      <c r="AD2672" s="236">
        <v>9.9827300040722378E-3</v>
      </c>
    </row>
    <row r="2673" spans="23:30" x14ac:dyDescent="0.2">
      <c r="W2673" s="144"/>
      <c r="X2673" s="113" t="str">
        <f t="shared" si="91"/>
        <v>1w</v>
      </c>
      <c r="Y2673" s="106">
        <f>_xll.qlCalendarAdvance(Calendar,Y2672,X2673,"f",FALSE)</f>
        <v>57951</v>
      </c>
      <c r="Z2673" s="108">
        <f>_xll.qlCalendarAdvance(Calendar,Y2673,0&amp;"D")</f>
        <v>57951</v>
      </c>
      <c r="AA2673" s="109">
        <v>9.9762570910666426E-3</v>
      </c>
      <c r="AB2673" s="143">
        <f t="shared" si="92"/>
        <v>-7.9936057773011271E-14</v>
      </c>
      <c r="AC2673" s="236" t="e">
        <v>#N/A</v>
      </c>
      <c r="AD2673" s="236">
        <v>9.9762570911465787E-3</v>
      </c>
    </row>
    <row r="2674" spans="23:30" x14ac:dyDescent="0.2">
      <c r="W2674" s="144"/>
      <c r="X2674" s="113" t="str">
        <f t="shared" si="91"/>
        <v>1w</v>
      </c>
      <c r="Y2674" s="106">
        <f>_xll.qlCalendarAdvance(Calendar,Y2673,X2674,"f",FALSE)</f>
        <v>57958</v>
      </c>
      <c r="Z2674" s="108">
        <f>_xll.qlCalendarAdvance(Calendar,Y2674,0&amp;"D")</f>
        <v>57958</v>
      </c>
      <c r="AA2674" s="109">
        <v>9.9698236440115551E-3</v>
      </c>
      <c r="AB2674" s="143">
        <f t="shared" si="92"/>
        <v>0</v>
      </c>
      <c r="AC2674" s="236" t="e">
        <v>#N/A</v>
      </c>
      <c r="AD2674" s="236">
        <v>9.9698236440115551E-3</v>
      </c>
    </row>
    <row r="2675" spans="23:30" x14ac:dyDescent="0.2">
      <c r="W2675" s="144"/>
      <c r="X2675" s="113" t="str">
        <f t="shared" si="91"/>
        <v>1w</v>
      </c>
      <c r="Y2675" s="106">
        <f>_xll.qlCalendarAdvance(Calendar,Y2674,X2675,"f",FALSE)</f>
        <v>57965</v>
      </c>
      <c r="Z2675" s="108">
        <f>_xll.qlCalendarAdvance(Calendar,Y2675,0&amp;"D")</f>
        <v>57965</v>
      </c>
      <c r="AA2675" s="109">
        <v>9.9634296629069752E-3</v>
      </c>
      <c r="AB2675" s="143">
        <f t="shared" si="92"/>
        <v>0</v>
      </c>
      <c r="AC2675" s="236" t="e">
        <v>#N/A</v>
      </c>
      <c r="AD2675" s="236">
        <v>9.9634296629069752E-3</v>
      </c>
    </row>
    <row r="2676" spans="23:30" x14ac:dyDescent="0.2">
      <c r="W2676" s="144"/>
      <c r="X2676" s="113" t="str">
        <f t="shared" si="91"/>
        <v>1w</v>
      </c>
      <c r="Y2676" s="106">
        <f>_xll.qlCalendarAdvance(Calendar,Y2675,X2676,"f",FALSE)</f>
        <v>57972</v>
      </c>
      <c r="Z2676" s="108">
        <f>_xll.qlCalendarAdvance(Calendar,Y2676,0&amp;"D")</f>
        <v>57972</v>
      </c>
      <c r="AA2676" s="109">
        <v>9.9570751475930308E-3</v>
      </c>
      <c r="AB2676" s="143">
        <f t="shared" si="92"/>
        <v>-7.9936057773011271E-14</v>
      </c>
      <c r="AC2676" s="236" t="e">
        <v>#N/A</v>
      </c>
      <c r="AD2676" s="236">
        <v>9.9570751476729669E-3</v>
      </c>
    </row>
    <row r="2677" spans="23:30" x14ac:dyDescent="0.2">
      <c r="W2677" s="144"/>
      <c r="X2677" s="113" t="str">
        <f t="shared" si="91"/>
        <v>1w</v>
      </c>
      <c r="Y2677" s="106">
        <f>_xll.qlCalendarAdvance(Calendar,Y2676,X2677,"f",FALSE)</f>
        <v>57979</v>
      </c>
      <c r="Z2677" s="108">
        <f>_xll.qlCalendarAdvance(Calendar,Y2677,0&amp;"D")</f>
        <v>57979</v>
      </c>
      <c r="AA2677" s="109">
        <v>9.9507600983095301E-3</v>
      </c>
      <c r="AB2677" s="143">
        <f t="shared" si="92"/>
        <v>7.9936057773011271E-14</v>
      </c>
      <c r="AC2677" s="236" t="e">
        <v>#N/A</v>
      </c>
      <c r="AD2677" s="236">
        <v>9.9507600982295941E-3</v>
      </c>
    </row>
    <row r="2678" spans="23:30" x14ac:dyDescent="0.2">
      <c r="W2678" s="144"/>
      <c r="X2678" s="113" t="str">
        <f t="shared" si="91"/>
        <v>1w</v>
      </c>
      <c r="Y2678" s="106">
        <f>_xll.qlCalendarAdvance(Calendar,Y2677,X2678,"f",FALSE)</f>
        <v>57986</v>
      </c>
      <c r="Z2678" s="108">
        <f>_xll.qlCalendarAdvance(Calendar,Y2678,0&amp;"D")</f>
        <v>57986</v>
      </c>
      <c r="AA2678" s="109">
        <v>9.9444845149765371E-3</v>
      </c>
      <c r="AB2678" s="143">
        <f t="shared" si="92"/>
        <v>0</v>
      </c>
      <c r="AC2678" s="236" t="e">
        <v>#N/A</v>
      </c>
      <c r="AD2678" s="236">
        <v>9.9444845149765371E-3</v>
      </c>
    </row>
    <row r="2679" spans="23:30" x14ac:dyDescent="0.2">
      <c r="W2679" s="144"/>
      <c r="X2679" s="113" t="str">
        <f t="shared" si="91"/>
        <v>1w</v>
      </c>
      <c r="Y2679" s="106">
        <f>_xll.qlCalendarAdvance(Calendar,Y2678,X2679,"f",FALSE)</f>
        <v>57993</v>
      </c>
      <c r="Z2679" s="108">
        <f>_xll.qlCalendarAdvance(Calendar,Y2679,0&amp;"D")</f>
        <v>57993</v>
      </c>
      <c r="AA2679" s="109">
        <v>9.9382483975141156E-3</v>
      </c>
      <c r="AB2679" s="143">
        <f t="shared" si="92"/>
        <v>7.9936057773011271E-14</v>
      </c>
      <c r="AC2679" s="236" t="e">
        <v>#N/A</v>
      </c>
      <c r="AD2679" s="236">
        <v>9.9382483974341795E-3</v>
      </c>
    </row>
    <row r="2680" spans="23:30" x14ac:dyDescent="0.2">
      <c r="W2680" s="144"/>
      <c r="X2680" s="113" t="str">
        <f t="shared" si="91"/>
        <v>1w</v>
      </c>
      <c r="Y2680" s="106">
        <f>_xll.qlCalendarAdvance(Calendar,Y2679,X2680,"f",FALSE)</f>
        <v>58000</v>
      </c>
      <c r="Z2680" s="108">
        <f>_xll.qlCalendarAdvance(Calendar,Y2680,0&amp;"D")</f>
        <v>58000</v>
      </c>
      <c r="AA2680" s="109">
        <v>9.9320517458423296E-3</v>
      </c>
      <c r="AB2680" s="143">
        <f t="shared" si="92"/>
        <v>7.9936057773011271E-14</v>
      </c>
      <c r="AC2680" s="236" t="e">
        <v>#N/A</v>
      </c>
      <c r="AD2680" s="236">
        <v>9.9320517457623936E-3</v>
      </c>
    </row>
    <row r="2681" spans="23:30" x14ac:dyDescent="0.2">
      <c r="W2681" s="144"/>
      <c r="X2681" s="113" t="str">
        <f t="shared" si="91"/>
        <v>1w</v>
      </c>
      <c r="Y2681" s="106">
        <f>_xll.qlCalendarAdvance(Calendar,Y2680,X2681,"f",FALSE)</f>
        <v>58007</v>
      </c>
      <c r="Z2681" s="108">
        <f>_xll.qlCalendarAdvance(Calendar,Y2681,0&amp;"D")</f>
        <v>58007</v>
      </c>
      <c r="AA2681" s="109">
        <v>9.9258945599611792E-3</v>
      </c>
      <c r="AB2681" s="143">
        <f t="shared" si="92"/>
        <v>0</v>
      </c>
      <c r="AC2681" s="236" t="e">
        <v>#N/A</v>
      </c>
      <c r="AD2681" s="236">
        <v>9.9258945599611792E-3</v>
      </c>
    </row>
    <row r="2682" spans="23:30" x14ac:dyDescent="0.2">
      <c r="W2682" s="144"/>
      <c r="X2682" s="113" t="str">
        <f t="shared" si="91"/>
        <v>1w</v>
      </c>
      <c r="Y2682" s="106">
        <f>_xll.qlCalendarAdvance(Calendar,Y2681,X2682,"f",FALSE)</f>
        <v>58014</v>
      </c>
      <c r="Z2682" s="108">
        <f>_xll.qlCalendarAdvance(Calendar,Y2682,0&amp;"D")</f>
        <v>58014</v>
      </c>
      <c r="AA2682" s="109">
        <v>9.9197768401904085E-3</v>
      </c>
      <c r="AB2682" s="143">
        <f t="shared" si="92"/>
        <v>7.9936057773011271E-14</v>
      </c>
      <c r="AC2682" s="236" t="e">
        <v>#N/A</v>
      </c>
      <c r="AD2682" s="236">
        <v>9.9197768401104724E-3</v>
      </c>
    </row>
    <row r="2683" spans="23:30" x14ac:dyDescent="0.2">
      <c r="W2683" s="144"/>
      <c r="X2683" s="113" t="str">
        <f t="shared" si="91"/>
        <v>1w</v>
      </c>
      <c r="Y2683" s="106">
        <f>_xll.qlCalendarAdvance(Calendar,Y2682,X2683,"f",FALSE)</f>
        <v>58021</v>
      </c>
      <c r="Z2683" s="108">
        <f>_xll.qlCalendarAdvance(Calendar,Y2683,0&amp;"D")</f>
        <v>58021</v>
      </c>
      <c r="AA2683" s="109">
        <v>9.9136985862102733E-3</v>
      </c>
      <c r="AB2683" s="143">
        <f t="shared" si="92"/>
        <v>0</v>
      </c>
      <c r="AC2683" s="236" t="e">
        <v>#N/A</v>
      </c>
      <c r="AD2683" s="236">
        <v>9.9136985862102733E-3</v>
      </c>
    </row>
    <row r="2684" spans="23:30" x14ac:dyDescent="0.2">
      <c r="W2684" s="144"/>
      <c r="X2684" s="113" t="str">
        <f t="shared" si="91"/>
        <v>1w</v>
      </c>
      <c r="Y2684" s="106">
        <f>_xll.qlCalendarAdvance(Calendar,Y2683,X2684,"f",FALSE)</f>
        <v>58028</v>
      </c>
      <c r="Z2684" s="108">
        <f>_xll.qlCalendarAdvance(Calendar,Y2684,0&amp;"D")</f>
        <v>58028</v>
      </c>
      <c r="AA2684" s="109">
        <v>9.9076597981806458E-3</v>
      </c>
      <c r="AB2684" s="143">
        <f t="shared" si="92"/>
        <v>0</v>
      </c>
      <c r="AC2684" s="236" t="e">
        <v>#N/A</v>
      </c>
      <c r="AD2684" s="236">
        <v>9.9076597981806458E-3</v>
      </c>
    </row>
    <row r="2685" spans="23:30" x14ac:dyDescent="0.2">
      <c r="W2685" s="144"/>
      <c r="X2685" s="113" t="str">
        <f t="shared" si="91"/>
        <v>1w</v>
      </c>
      <c r="Y2685" s="106">
        <f>_xll.qlCalendarAdvance(Calendar,Y2684,X2685,"f",FALSE)</f>
        <v>58035</v>
      </c>
      <c r="Z2685" s="108">
        <f>_xll.qlCalendarAdvance(Calendar,Y2685,0&amp;"D")</f>
        <v>58035</v>
      </c>
      <c r="AA2685" s="109">
        <v>9.9016604761015259E-3</v>
      </c>
      <c r="AB2685" s="143">
        <f t="shared" si="92"/>
        <v>0</v>
      </c>
      <c r="AC2685" s="236" t="e">
        <v>#N/A</v>
      </c>
      <c r="AD2685" s="236">
        <v>9.9016604761015259E-3</v>
      </c>
    </row>
    <row r="2686" spans="23:30" x14ac:dyDescent="0.2">
      <c r="W2686" s="144"/>
      <c r="X2686" s="113" t="str">
        <f t="shared" si="91"/>
        <v>1w</v>
      </c>
      <c r="Y2686" s="106">
        <f>_xll.qlCalendarAdvance(Calendar,Y2685,X2686,"f",FALSE)</f>
        <v>58042</v>
      </c>
      <c r="Z2686" s="108">
        <f>_xll.qlCalendarAdvance(Calendar,Y2686,0&amp;"D")</f>
        <v>58042</v>
      </c>
      <c r="AA2686" s="109">
        <v>9.8957006198130415E-3</v>
      </c>
      <c r="AB2686" s="143">
        <f t="shared" si="92"/>
        <v>0</v>
      </c>
      <c r="AC2686" s="236" t="e">
        <v>#N/A</v>
      </c>
      <c r="AD2686" s="236">
        <v>9.8957006198130415E-3</v>
      </c>
    </row>
    <row r="2687" spans="23:30" x14ac:dyDescent="0.2">
      <c r="W2687" s="144"/>
      <c r="X2687" s="113" t="str">
        <f t="shared" si="91"/>
        <v>1w</v>
      </c>
      <c r="Y2687" s="106">
        <f>_xll.qlCalendarAdvance(Calendar,Y2686,X2687,"f",FALSE)</f>
        <v>58049</v>
      </c>
      <c r="Z2687" s="108">
        <f>_xll.qlCalendarAdvance(Calendar,Y2687,0&amp;"D")</f>
        <v>58049</v>
      </c>
      <c r="AA2687" s="109">
        <v>9.8897802294750647E-3</v>
      </c>
      <c r="AB2687" s="143">
        <f t="shared" si="92"/>
        <v>0</v>
      </c>
      <c r="AC2687" s="236" t="e">
        <v>#N/A</v>
      </c>
      <c r="AD2687" s="236">
        <v>9.8897802294750647E-3</v>
      </c>
    </row>
    <row r="2688" spans="23:30" x14ac:dyDescent="0.2">
      <c r="W2688" s="144"/>
      <c r="X2688" s="113" t="str">
        <f t="shared" si="91"/>
        <v>1w</v>
      </c>
      <c r="Y2688" s="106">
        <f>_xll.qlCalendarAdvance(Calendar,Y2687,X2688,"f",FALSE)</f>
        <v>58056</v>
      </c>
      <c r="Z2688" s="108">
        <f>_xll.qlCalendarAdvance(Calendar,Y2688,0&amp;"D")</f>
        <v>58056</v>
      </c>
      <c r="AA2688" s="109">
        <v>9.8838993050076596E-3</v>
      </c>
      <c r="AB2688" s="143">
        <f t="shared" si="92"/>
        <v>0</v>
      </c>
      <c r="AC2688" s="236" t="e">
        <v>#N/A</v>
      </c>
      <c r="AD2688" s="236">
        <v>9.8838993050076596E-3</v>
      </c>
    </row>
    <row r="2689" spans="23:30" x14ac:dyDescent="0.2">
      <c r="W2689" s="144"/>
      <c r="X2689" s="113" t="str">
        <f t="shared" si="91"/>
        <v>1w</v>
      </c>
      <c r="Y2689" s="106">
        <f>_xll.qlCalendarAdvance(Calendar,Y2688,X2689,"f",FALSE)</f>
        <v>58063</v>
      </c>
      <c r="Z2689" s="108">
        <f>_xll.qlCalendarAdvance(Calendar,Y2689,0&amp;"D")</f>
        <v>58063</v>
      </c>
      <c r="AA2689" s="109">
        <v>9.878057846490762E-3</v>
      </c>
      <c r="AB2689" s="143">
        <f t="shared" si="92"/>
        <v>7.9936057773011271E-14</v>
      </c>
      <c r="AC2689" s="236" t="e">
        <v>#N/A</v>
      </c>
      <c r="AD2689" s="236">
        <v>9.878057846410826E-3</v>
      </c>
    </row>
    <row r="2690" spans="23:30" x14ac:dyDescent="0.2">
      <c r="W2690" s="144"/>
      <c r="X2690" s="113" t="str">
        <f t="shared" si="91"/>
        <v>1w</v>
      </c>
      <c r="Y2690" s="106">
        <f>_xll.qlCalendarAdvance(Calendar,Y2689,X2690,"f",FALSE)</f>
        <v>58071</v>
      </c>
      <c r="Z2690" s="108">
        <f>_xll.qlCalendarAdvance(Calendar,Y2690,0&amp;"D")</f>
        <v>58071</v>
      </c>
      <c r="AA2690" s="109">
        <v>9.8708762970289854E-3</v>
      </c>
      <c r="AB2690" s="143">
        <f t="shared" si="92"/>
        <v>0</v>
      </c>
      <c r="AC2690" s="236" t="e">
        <v>#N/A</v>
      </c>
      <c r="AD2690" s="236">
        <v>9.8708762970289854E-3</v>
      </c>
    </row>
    <row r="2691" spans="23:30" x14ac:dyDescent="0.2">
      <c r="W2691" s="144"/>
      <c r="X2691" s="113" t="str">
        <f t="shared" si="91"/>
        <v>1w</v>
      </c>
      <c r="Y2691" s="106">
        <f>_xll.qlCalendarAdvance(Calendar,Y2690,X2691,"f",FALSE)</f>
        <v>58078</v>
      </c>
      <c r="Z2691" s="108">
        <f>_xll.qlCalendarAdvance(Calendar,Y2691,0&amp;"D")</f>
        <v>58078</v>
      </c>
      <c r="AA2691" s="109">
        <v>9.8651247308456647E-3</v>
      </c>
      <c r="AB2691" s="143">
        <f t="shared" si="92"/>
        <v>-2.6645352591003757E-14</v>
      </c>
      <c r="AC2691" s="236" t="e">
        <v>#N/A</v>
      </c>
      <c r="AD2691" s="236">
        <v>9.86512473087231E-3</v>
      </c>
    </row>
    <row r="2692" spans="23:30" x14ac:dyDescent="0.2">
      <c r="W2692" s="144"/>
      <c r="X2692" s="113" t="str">
        <f t="shared" si="91"/>
        <v>1w</v>
      </c>
      <c r="Y2692" s="106">
        <f>_xll.qlCalendarAdvance(Calendar,Y2691,X2692,"f",FALSE)</f>
        <v>58085</v>
      </c>
      <c r="Z2692" s="108">
        <f>_xll.qlCalendarAdvance(Calendar,Y2692,0&amp;"D")</f>
        <v>58085</v>
      </c>
      <c r="AA2692" s="109">
        <v>9.8594126330375786E-3</v>
      </c>
      <c r="AB2692" s="143">
        <f t="shared" si="92"/>
        <v>5.3290705182007514E-14</v>
      </c>
      <c r="AC2692" s="236" t="e">
        <v>#N/A</v>
      </c>
      <c r="AD2692" s="236">
        <v>9.8594126329842879E-3</v>
      </c>
    </row>
    <row r="2693" spans="23:30" x14ac:dyDescent="0.2">
      <c r="W2693" s="144"/>
      <c r="X2693" s="113" t="str">
        <f t="shared" si="91"/>
        <v>1w</v>
      </c>
      <c r="Y2693" s="106">
        <f>_xll.qlCalendarAdvance(Calendar,Y2692,X2693,"f",FALSE)</f>
        <v>58092</v>
      </c>
      <c r="Z2693" s="108">
        <f>_xll.qlCalendarAdvance(Calendar,Y2693,0&amp;"D")</f>
        <v>58092</v>
      </c>
      <c r="AA2693" s="109">
        <v>9.8537400032849831E-3</v>
      </c>
      <c r="AB2693" s="143">
        <f t="shared" si="92"/>
        <v>0</v>
      </c>
      <c r="AC2693" s="236" t="e">
        <v>#N/A</v>
      </c>
      <c r="AD2693" s="236">
        <v>9.8537400032849831E-3</v>
      </c>
    </row>
    <row r="2694" spans="23:30" x14ac:dyDescent="0.2">
      <c r="W2694" s="144"/>
      <c r="X2694" s="113" t="str">
        <f t="shared" si="91"/>
        <v>1w</v>
      </c>
      <c r="Y2694" s="106">
        <f>_xll.qlCalendarAdvance(Calendar,Y2693,X2694,"f",FALSE)</f>
        <v>58099</v>
      </c>
      <c r="Z2694" s="108">
        <f>_xll.qlCalendarAdvance(Calendar,Y2694,0&amp;"D")</f>
        <v>58099</v>
      </c>
      <c r="AA2694" s="109">
        <v>9.8481068418010409E-3</v>
      </c>
      <c r="AB2694" s="143">
        <f t="shared" si="92"/>
        <v>0</v>
      </c>
      <c r="AC2694" s="236" t="e">
        <v>#N/A</v>
      </c>
      <c r="AD2694" s="236">
        <v>9.8481068418010409E-3</v>
      </c>
    </row>
    <row r="2695" spans="23:30" x14ac:dyDescent="0.2">
      <c r="W2695" s="144"/>
      <c r="X2695" s="113" t="str">
        <f t="shared" si="91"/>
        <v>1w</v>
      </c>
      <c r="Y2695" s="106">
        <f>_xll.qlCalendarAdvance(Calendar,Y2694,X2695,"f",FALSE)</f>
        <v>58106</v>
      </c>
      <c r="Z2695" s="108">
        <f>_xll.qlCalendarAdvance(Calendar,Y2695,0&amp;"D")</f>
        <v>58106</v>
      </c>
      <c r="AA2695" s="109">
        <v>9.8425131485058159E-3</v>
      </c>
      <c r="AB2695" s="143">
        <f t="shared" si="92"/>
        <v>-2.6645352591003757E-14</v>
      </c>
      <c r="AC2695" s="236" t="e">
        <v>#N/A</v>
      </c>
      <c r="AD2695" s="236">
        <v>9.8425131485324613E-3</v>
      </c>
    </row>
    <row r="2696" spans="23:30" x14ac:dyDescent="0.2">
      <c r="W2696" s="144"/>
      <c r="X2696" s="113" t="str">
        <f t="shared" si="91"/>
        <v>1w</v>
      </c>
      <c r="Y2696" s="106">
        <f>_xll.qlCalendarAdvance(Calendar,Y2695,X2696,"f",FALSE)</f>
        <v>58113</v>
      </c>
      <c r="Z2696" s="108">
        <f>_xll.qlCalendarAdvance(Calendar,Y2696,0&amp;"D")</f>
        <v>58113</v>
      </c>
      <c r="AA2696" s="109">
        <v>9.8369589234525989E-3</v>
      </c>
      <c r="AB2696" s="143">
        <f t="shared" si="92"/>
        <v>0</v>
      </c>
      <c r="AC2696" s="236" t="e">
        <v>#N/A</v>
      </c>
      <c r="AD2696" s="236">
        <v>9.8369589234525989E-3</v>
      </c>
    </row>
    <row r="2697" spans="23:30" x14ac:dyDescent="0.2">
      <c r="W2697" s="144"/>
      <c r="X2697" s="113" t="str">
        <f t="shared" si="91"/>
        <v>1w</v>
      </c>
      <c r="Y2697" s="106">
        <f>_xll.qlCalendarAdvance(Calendar,Y2696,X2697,"f",FALSE)</f>
        <v>58120</v>
      </c>
      <c r="Z2697" s="108">
        <f>_xll.qlCalendarAdvance(Calendar,Y2697,0&amp;"D")</f>
        <v>58120</v>
      </c>
      <c r="AA2697" s="109">
        <v>9.8314441665614538E-3</v>
      </c>
      <c r="AB2697" s="143">
        <f t="shared" si="92"/>
        <v>0</v>
      </c>
      <c r="AC2697" s="236" t="e">
        <v>#N/A</v>
      </c>
      <c r="AD2697" s="236">
        <v>9.8314441665614538E-3</v>
      </c>
    </row>
    <row r="2698" spans="23:30" x14ac:dyDescent="0.2">
      <c r="W2698" s="144"/>
      <c r="X2698" s="113" t="str">
        <f t="shared" si="91"/>
        <v>1w</v>
      </c>
      <c r="Y2698" s="106">
        <f>_xll.qlCalendarAdvance(Calendar,Y2697,X2698,"f",FALSE)</f>
        <v>58127</v>
      </c>
      <c r="Z2698" s="108">
        <f>_xll.qlCalendarAdvance(Calendar,Y2698,0&amp;"D")</f>
        <v>58127</v>
      </c>
      <c r="AA2698" s="109">
        <v>9.8259688779123167E-3</v>
      </c>
      <c r="AB2698" s="143">
        <f t="shared" si="92"/>
        <v>0</v>
      </c>
      <c r="AC2698" s="236" t="e">
        <v>#N/A</v>
      </c>
      <c r="AD2698" s="236">
        <v>9.8259688779123167E-3</v>
      </c>
    </row>
    <row r="2699" spans="23:30" x14ac:dyDescent="0.2">
      <c r="W2699" s="144"/>
      <c r="X2699" s="113" t="str">
        <f t="shared" si="91"/>
        <v>1w</v>
      </c>
      <c r="Y2699" s="106">
        <f>_xll.qlCalendarAdvance(Calendar,Y2698,X2699,"f",FALSE)</f>
        <v>58134</v>
      </c>
      <c r="Z2699" s="108">
        <f>_xll.qlCalendarAdvance(Calendar,Y2699,0&amp;"D")</f>
        <v>58134</v>
      </c>
      <c r="AA2699" s="109">
        <v>9.8205330574252514E-3</v>
      </c>
      <c r="AB2699" s="143">
        <f t="shared" si="92"/>
        <v>0</v>
      </c>
      <c r="AC2699" s="236" t="e">
        <v>#N/A</v>
      </c>
      <c r="AD2699" s="236">
        <v>9.8205330574252514E-3</v>
      </c>
    </row>
    <row r="2700" spans="23:30" x14ac:dyDescent="0.2">
      <c r="W2700" s="144"/>
      <c r="X2700" s="113" t="str">
        <f t="shared" si="91"/>
        <v>1w</v>
      </c>
      <c r="Y2700" s="106">
        <f>_xll.qlCalendarAdvance(Calendar,Y2699,X2700,"f",FALSE)</f>
        <v>58141</v>
      </c>
      <c r="Z2700" s="108">
        <f>_xll.qlCalendarAdvance(Calendar,Y2700,0&amp;"D")</f>
        <v>58141</v>
      </c>
      <c r="AA2700" s="109">
        <v>9.8151367050736127E-3</v>
      </c>
      <c r="AB2700" s="143">
        <f t="shared" si="92"/>
        <v>0</v>
      </c>
      <c r="AC2700" s="236" t="e">
        <v>#N/A</v>
      </c>
      <c r="AD2700" s="236">
        <v>9.8151367050736127E-3</v>
      </c>
    </row>
    <row r="2701" spans="23:30" x14ac:dyDescent="0.2">
      <c r="W2701" s="144"/>
      <c r="X2701" s="113" t="str">
        <f t="shared" ref="X2701:X2764" si="93">X2700</f>
        <v>1w</v>
      </c>
      <c r="Y2701" s="106">
        <f>_xll.qlCalendarAdvance(Calendar,Y2700,X2701,"f",FALSE)</f>
        <v>58148</v>
      </c>
      <c r="Z2701" s="108">
        <f>_xll.qlCalendarAdvance(Calendar,Y2701,0&amp;"D")</f>
        <v>58148</v>
      </c>
      <c r="AA2701" s="109">
        <v>9.8097798209373366E-3</v>
      </c>
      <c r="AB2701" s="143">
        <f t="shared" si="92"/>
        <v>-2.6645352591003757E-14</v>
      </c>
      <c r="AC2701" s="236" t="e">
        <v>#N/A</v>
      </c>
      <c r="AD2701" s="236">
        <v>9.8097798209639819E-3</v>
      </c>
    </row>
    <row r="2702" spans="23:30" x14ac:dyDescent="0.2">
      <c r="W2702" s="144"/>
      <c r="X2702" s="113" t="str">
        <f t="shared" si="93"/>
        <v>1w</v>
      </c>
      <c r="Y2702" s="106">
        <f>_xll.qlCalendarAdvance(Calendar,Y2701,X2702,"f",FALSE)</f>
        <v>58155</v>
      </c>
      <c r="Z2702" s="108">
        <f>_xll.qlCalendarAdvance(Calendar,Y2702,0&amp;"D")</f>
        <v>58155</v>
      </c>
      <c r="AA2702" s="109">
        <v>9.8044624049897777E-3</v>
      </c>
      <c r="AB2702" s="143">
        <f t="shared" si="92"/>
        <v>-2.6645352591003757E-14</v>
      </c>
      <c r="AC2702" s="236" t="e">
        <v>#N/A</v>
      </c>
      <c r="AD2702" s="236">
        <v>9.8044624050164231E-3</v>
      </c>
    </row>
    <row r="2703" spans="23:30" x14ac:dyDescent="0.2">
      <c r="W2703" s="144"/>
      <c r="X2703" s="113" t="str">
        <f t="shared" si="93"/>
        <v>1w</v>
      </c>
      <c r="Y2703" s="106">
        <f>_xll.qlCalendarAdvance(Calendar,Y2702,X2703,"f",FALSE)</f>
        <v>58166</v>
      </c>
      <c r="Z2703" s="108">
        <f>_xll.qlCalendarAdvance(Calendar,Y2703,0&amp;"D")</f>
        <v>58166</v>
      </c>
      <c r="AA2703" s="109">
        <v>9.7966676943528341E-3</v>
      </c>
      <c r="AB2703" s="143">
        <f t="shared" si="92"/>
        <v>7.9936057773011271E-14</v>
      </c>
      <c r="AC2703" s="236" t="e">
        <v>#N/A</v>
      </c>
      <c r="AD2703" s="236">
        <v>9.7966676942728981E-3</v>
      </c>
    </row>
    <row r="2704" spans="23:30" x14ac:dyDescent="0.2">
      <c r="W2704" s="144"/>
      <c r="X2704" s="113" t="str">
        <f t="shared" si="93"/>
        <v>1w</v>
      </c>
      <c r="Y2704" s="106">
        <f>_xll.qlCalendarAdvance(Calendar,Y2703,X2704,"f",FALSE)</f>
        <v>58173</v>
      </c>
      <c r="Z2704" s="108">
        <f>_xll.qlCalendarAdvance(Calendar,Y2704,0&amp;"D")</f>
        <v>58173</v>
      </c>
      <c r="AA2704" s="109">
        <v>9.7914464138249002E-3</v>
      </c>
      <c r="AB2704" s="143">
        <f t="shared" si="92"/>
        <v>7.9936057773011271E-14</v>
      </c>
      <c r="AC2704" s="236" t="e">
        <v>#N/A</v>
      </c>
      <c r="AD2704" s="236">
        <v>9.7914464137449642E-3</v>
      </c>
    </row>
    <row r="2705" spans="23:30" x14ac:dyDescent="0.2">
      <c r="W2705" s="144"/>
      <c r="X2705" s="113" t="str">
        <f t="shared" si="93"/>
        <v>1w</v>
      </c>
      <c r="Y2705" s="106">
        <f>_xll.qlCalendarAdvance(Calendar,Y2704,X2705,"f",FALSE)</f>
        <v>58180</v>
      </c>
      <c r="Z2705" s="108">
        <f>_xll.qlCalendarAdvance(Calendar,Y2705,0&amp;"D")</f>
        <v>58180</v>
      </c>
      <c r="AA2705" s="109">
        <v>9.7862645990076658E-3</v>
      </c>
      <c r="AB2705" s="143">
        <f t="shared" si="92"/>
        <v>0</v>
      </c>
      <c r="AC2705" s="236" t="e">
        <v>#N/A</v>
      </c>
      <c r="AD2705" s="236">
        <v>9.7862645990076658E-3</v>
      </c>
    </row>
    <row r="2706" spans="23:30" x14ac:dyDescent="0.2">
      <c r="W2706" s="144"/>
      <c r="X2706" s="113" t="str">
        <f t="shared" si="93"/>
        <v>1w</v>
      </c>
      <c r="Y2706" s="106">
        <f>_xll.qlCalendarAdvance(Calendar,Y2705,X2706,"f",FALSE)</f>
        <v>58187</v>
      </c>
      <c r="Z2706" s="108">
        <f>_xll.qlCalendarAdvance(Calendar,Y2706,0&amp;"D")</f>
        <v>58187</v>
      </c>
      <c r="AA2706" s="109">
        <v>9.7811222500610029E-3</v>
      </c>
      <c r="AB2706" s="143">
        <f t="shared" si="92"/>
        <v>0</v>
      </c>
      <c r="AC2706" s="236" t="e">
        <v>#N/A</v>
      </c>
      <c r="AD2706" s="236">
        <v>9.7811222500610029E-3</v>
      </c>
    </row>
    <row r="2707" spans="23:30" x14ac:dyDescent="0.2">
      <c r="W2707" s="144"/>
      <c r="X2707" s="113" t="str">
        <f t="shared" si="93"/>
        <v>1w</v>
      </c>
      <c r="Y2707" s="106">
        <f>_xll.qlCalendarAdvance(Calendar,Y2706,X2707,"f",FALSE)</f>
        <v>58194</v>
      </c>
      <c r="Z2707" s="108">
        <f>_xll.qlCalendarAdvance(Calendar,Y2707,0&amp;"D")</f>
        <v>58194</v>
      </c>
      <c r="AA2707" s="109">
        <v>9.7760193670648476E-3</v>
      </c>
      <c r="AB2707" s="143">
        <f t="shared" si="92"/>
        <v>0</v>
      </c>
      <c r="AC2707" s="236" t="e">
        <v>#N/A</v>
      </c>
      <c r="AD2707" s="236">
        <v>9.7760193670648476E-3</v>
      </c>
    </row>
    <row r="2708" spans="23:30" x14ac:dyDescent="0.2">
      <c r="W2708" s="144"/>
      <c r="X2708" s="113" t="str">
        <f t="shared" si="93"/>
        <v>1w</v>
      </c>
      <c r="Y2708" s="106">
        <f>_xll.qlCalendarAdvance(Calendar,Y2707,X2708,"f",FALSE)</f>
        <v>58201</v>
      </c>
      <c r="Z2708" s="108">
        <f>_xll.qlCalendarAdvance(Calendar,Y2708,0&amp;"D")</f>
        <v>58201</v>
      </c>
      <c r="AA2708" s="109">
        <v>9.7709559496994558E-3</v>
      </c>
      <c r="AB2708" s="143">
        <f t="shared" si="92"/>
        <v>-7.9936057773011271E-14</v>
      </c>
      <c r="AC2708" s="236" t="e">
        <v>#N/A</v>
      </c>
      <c r="AD2708" s="236">
        <v>9.7709559497793919E-3</v>
      </c>
    </row>
    <row r="2709" spans="23:30" x14ac:dyDescent="0.2">
      <c r="W2709" s="144"/>
      <c r="X2709" s="113" t="str">
        <f t="shared" si="93"/>
        <v>1w</v>
      </c>
      <c r="Y2709" s="106">
        <f>_xll.qlCalendarAdvance(Calendar,Y2708,X2709,"f",FALSE)</f>
        <v>58208</v>
      </c>
      <c r="Z2709" s="108">
        <f>_xll.qlCalendarAdvance(Calendar,Y2709,0&amp;"D")</f>
        <v>58208</v>
      </c>
      <c r="AA2709" s="109">
        <v>9.7659319985243798E-3</v>
      </c>
      <c r="AB2709" s="143">
        <f t="shared" ref="AB2709:AB2772" si="94">AA2709-AD2709</f>
        <v>7.9936057773011271E-14</v>
      </c>
      <c r="AC2709" s="236" t="e">
        <v>#N/A</v>
      </c>
      <c r="AD2709" s="236">
        <v>9.7659319984444437E-3</v>
      </c>
    </row>
    <row r="2710" spans="23:30" x14ac:dyDescent="0.2">
      <c r="W2710" s="144"/>
      <c r="X2710" s="113" t="str">
        <f t="shared" si="93"/>
        <v>1w</v>
      </c>
      <c r="Y2710" s="106">
        <f>_xll.qlCalendarAdvance(Calendar,Y2709,X2710,"f",FALSE)</f>
        <v>58215</v>
      </c>
      <c r="Z2710" s="108">
        <f>_xll.qlCalendarAdvance(Calendar,Y2710,0&amp;"D")</f>
        <v>58215</v>
      </c>
      <c r="AA2710" s="109">
        <v>9.7609475129800671E-3</v>
      </c>
      <c r="AB2710" s="143">
        <f t="shared" si="94"/>
        <v>0</v>
      </c>
      <c r="AC2710" s="236" t="e">
        <v>#N/A</v>
      </c>
      <c r="AD2710" s="236">
        <v>9.7609475129800671E-3</v>
      </c>
    </row>
    <row r="2711" spans="23:30" x14ac:dyDescent="0.2">
      <c r="W2711" s="144"/>
      <c r="X2711" s="113" t="str">
        <f t="shared" si="93"/>
        <v>1w</v>
      </c>
      <c r="Y2711" s="106">
        <f>_xll.qlCalendarAdvance(Calendar,Y2710,X2711,"f",FALSE)</f>
        <v>58222</v>
      </c>
      <c r="Z2711" s="108">
        <f>_xll.qlCalendarAdvance(Calendar,Y2711,0&amp;"D")</f>
        <v>58222</v>
      </c>
      <c r="AA2711" s="109">
        <v>9.756002493146454E-3</v>
      </c>
      <c r="AB2711" s="143">
        <f t="shared" si="94"/>
        <v>-7.9936057773011271E-14</v>
      </c>
      <c r="AC2711" s="236" t="e">
        <v>#N/A</v>
      </c>
      <c r="AD2711" s="236">
        <v>9.75600249322639E-3</v>
      </c>
    </row>
    <row r="2712" spans="23:30" x14ac:dyDescent="0.2">
      <c r="W2712" s="144"/>
      <c r="X2712" s="113" t="str">
        <f t="shared" si="93"/>
        <v>1w</v>
      </c>
      <c r="Y2712" s="106">
        <f>_xll.qlCalendarAdvance(Calendar,Y2711,X2712,"f",FALSE)</f>
        <v>58229</v>
      </c>
      <c r="Z2712" s="108">
        <f>_xll.qlCalendarAdvance(Calendar,Y2712,0&amp;"D")</f>
        <v>58229</v>
      </c>
      <c r="AA2712" s="109">
        <v>9.7510969395031566E-3</v>
      </c>
      <c r="AB2712" s="143">
        <f t="shared" si="94"/>
        <v>0</v>
      </c>
      <c r="AC2712" s="236" t="e">
        <v>#N/A</v>
      </c>
      <c r="AD2712" s="236">
        <v>9.7510969395031566E-3</v>
      </c>
    </row>
    <row r="2713" spans="23:30" x14ac:dyDescent="0.2">
      <c r="W2713" s="144"/>
      <c r="X2713" s="113" t="str">
        <f t="shared" si="93"/>
        <v>1w</v>
      </c>
      <c r="Y2713" s="106">
        <f>_xll.qlCalendarAdvance(Calendar,Y2712,X2713,"f",FALSE)</f>
        <v>58236</v>
      </c>
      <c r="Z2713" s="108">
        <f>_xll.qlCalendarAdvance(Calendar,Y2713,0&amp;"D")</f>
        <v>58236</v>
      </c>
      <c r="AA2713" s="109">
        <v>9.7462308514106866E-3</v>
      </c>
      <c r="AB2713" s="143">
        <f t="shared" si="94"/>
        <v>-7.9936057773011271E-14</v>
      </c>
      <c r="AC2713" s="236" t="e">
        <v>#N/A</v>
      </c>
      <c r="AD2713" s="236">
        <v>9.7462308514906226E-3</v>
      </c>
    </row>
    <row r="2714" spans="23:30" x14ac:dyDescent="0.2">
      <c r="W2714" s="144"/>
      <c r="X2714" s="113" t="str">
        <f t="shared" si="93"/>
        <v>1w</v>
      </c>
      <c r="Y2714" s="106">
        <f>_xll.qlCalendarAdvance(Calendar,Y2713,X2714,"f",FALSE)</f>
        <v>58243</v>
      </c>
      <c r="Z2714" s="108">
        <f>_xll.qlCalendarAdvance(Calendar,Y2714,0&amp;"D")</f>
        <v>58243</v>
      </c>
      <c r="AA2714" s="109">
        <v>9.7414042295085324E-3</v>
      </c>
      <c r="AB2714" s="143">
        <f t="shared" si="94"/>
        <v>7.9936057773011271E-14</v>
      </c>
      <c r="AC2714" s="236" t="e">
        <v>#N/A</v>
      </c>
      <c r="AD2714" s="236">
        <v>9.7414042294285963E-3</v>
      </c>
    </row>
    <row r="2715" spans="23:30" x14ac:dyDescent="0.2">
      <c r="W2715" s="144"/>
      <c r="X2715" s="113" t="str">
        <f t="shared" si="93"/>
        <v>1w</v>
      </c>
      <c r="Y2715" s="106">
        <f>_xll.qlCalendarAdvance(Calendar,Y2714,X2715,"f",FALSE)</f>
        <v>58250</v>
      </c>
      <c r="Z2715" s="108">
        <f>_xll.qlCalendarAdvance(Calendar,Y2715,0&amp;"D")</f>
        <v>58250</v>
      </c>
      <c r="AA2715" s="109">
        <v>9.7366170731572055E-3</v>
      </c>
      <c r="AB2715" s="143">
        <f t="shared" si="94"/>
        <v>7.9936057773011271E-14</v>
      </c>
      <c r="AC2715" s="236" t="e">
        <v>#N/A</v>
      </c>
      <c r="AD2715" s="236">
        <v>9.7366170730772694E-3</v>
      </c>
    </row>
    <row r="2716" spans="23:30" x14ac:dyDescent="0.2">
      <c r="W2716" s="144"/>
      <c r="X2716" s="113" t="str">
        <f t="shared" si="93"/>
        <v>1w</v>
      </c>
      <c r="Y2716" s="106">
        <f>_xll.qlCalendarAdvance(Calendar,Y2715,X2716,"f",FALSE)</f>
        <v>58257</v>
      </c>
      <c r="Z2716" s="108">
        <f>_xll.qlCalendarAdvance(Calendar,Y2716,0&amp;"D")</f>
        <v>58257</v>
      </c>
      <c r="AA2716" s="109">
        <v>9.7318693825965141E-3</v>
      </c>
      <c r="AB2716" s="143">
        <f t="shared" si="94"/>
        <v>0</v>
      </c>
      <c r="AC2716" s="236" t="e">
        <v>#N/A</v>
      </c>
      <c r="AD2716" s="236">
        <v>9.7318693825965141E-3</v>
      </c>
    </row>
    <row r="2717" spans="23:30" x14ac:dyDescent="0.2">
      <c r="W2717" s="144"/>
      <c r="X2717" s="113" t="str">
        <f t="shared" si="93"/>
        <v>1w</v>
      </c>
      <c r="Y2717" s="106">
        <f>_xll.qlCalendarAdvance(Calendar,Y2716,X2717,"f",FALSE)</f>
        <v>58264</v>
      </c>
      <c r="Z2717" s="108">
        <f>_xll.qlCalendarAdvance(Calendar,Y2717,0&amp;"D")</f>
        <v>58264</v>
      </c>
      <c r="AA2717" s="109">
        <v>9.7271611580662665E-3</v>
      </c>
      <c r="AB2717" s="143">
        <f t="shared" si="94"/>
        <v>7.9936057773011271E-14</v>
      </c>
      <c r="AC2717" s="236" t="e">
        <v>#N/A</v>
      </c>
      <c r="AD2717" s="236">
        <v>9.7271611579863304E-3</v>
      </c>
    </row>
    <row r="2718" spans="23:30" x14ac:dyDescent="0.2">
      <c r="W2718" s="144"/>
      <c r="X2718" s="113" t="str">
        <f t="shared" si="93"/>
        <v>1w</v>
      </c>
      <c r="Y2718" s="106">
        <f>_xll.qlCalendarAdvance(Calendar,Y2717,X2718,"f",FALSE)</f>
        <v>58271</v>
      </c>
      <c r="Z2718" s="108">
        <f>_xll.qlCalendarAdvance(Calendar,Y2718,0&amp;"D")</f>
        <v>58271</v>
      </c>
      <c r="AA2718" s="109">
        <v>9.7224923992467183E-3</v>
      </c>
      <c r="AB2718" s="143">
        <f t="shared" si="94"/>
        <v>0</v>
      </c>
      <c r="AC2718" s="236" t="e">
        <v>#N/A</v>
      </c>
      <c r="AD2718" s="236">
        <v>9.7224923992467183E-3</v>
      </c>
    </row>
    <row r="2719" spans="23:30" x14ac:dyDescent="0.2">
      <c r="W2719" s="144"/>
      <c r="X2719" s="113" t="str">
        <f t="shared" si="93"/>
        <v>1w</v>
      </c>
      <c r="Y2719" s="106">
        <f>_xll.qlCalendarAdvance(Calendar,Y2718,X2719,"f",FALSE)</f>
        <v>58278</v>
      </c>
      <c r="Z2719" s="108">
        <f>_xll.qlCalendarAdvance(Calendar,Y2719,0&amp;"D")</f>
        <v>58278</v>
      </c>
      <c r="AA2719" s="109">
        <v>9.7178631062178056E-3</v>
      </c>
      <c r="AB2719" s="143">
        <f t="shared" si="94"/>
        <v>0</v>
      </c>
      <c r="AC2719" s="236" t="e">
        <v>#N/A</v>
      </c>
      <c r="AD2719" s="236">
        <v>9.7178631062178056E-3</v>
      </c>
    </row>
    <row r="2720" spans="23:30" x14ac:dyDescent="0.2">
      <c r="W2720" s="144"/>
      <c r="X2720" s="113" t="str">
        <f t="shared" si="93"/>
        <v>1w</v>
      </c>
      <c r="Y2720" s="106">
        <f>_xll.qlCalendarAdvance(Calendar,Y2719,X2720,"f",FALSE)</f>
        <v>58285</v>
      </c>
      <c r="Z2720" s="108">
        <f>_xll.qlCalendarAdvance(Calendar,Y2720,0&amp;"D")</f>
        <v>58285</v>
      </c>
      <c r="AA2720" s="109">
        <v>9.7132732791394005E-3</v>
      </c>
      <c r="AB2720" s="143">
        <f t="shared" si="94"/>
        <v>0</v>
      </c>
      <c r="AC2720" s="236" t="e">
        <v>#N/A</v>
      </c>
      <c r="AD2720" s="236">
        <v>9.7132732791394005E-3</v>
      </c>
    </row>
    <row r="2721" spans="23:30" x14ac:dyDescent="0.2">
      <c r="W2721" s="144"/>
      <c r="X2721" s="113" t="str">
        <f t="shared" si="93"/>
        <v>1w</v>
      </c>
      <c r="Y2721" s="106">
        <f>_xll.qlCalendarAdvance(Calendar,Y2720,X2721,"f",FALSE)</f>
        <v>58292</v>
      </c>
      <c r="Z2721" s="108">
        <f>_xll.qlCalendarAdvance(Calendar,Y2721,0&amp;"D")</f>
        <v>58292</v>
      </c>
      <c r="AA2721" s="109">
        <v>9.708722917851631E-3</v>
      </c>
      <c r="AB2721" s="143">
        <f t="shared" si="94"/>
        <v>0</v>
      </c>
      <c r="AC2721" s="236" t="e">
        <v>#N/A</v>
      </c>
      <c r="AD2721" s="236">
        <v>9.708722917851631E-3</v>
      </c>
    </row>
    <row r="2722" spans="23:30" x14ac:dyDescent="0.2">
      <c r="W2722" s="144"/>
      <c r="X2722" s="113" t="str">
        <f t="shared" si="93"/>
        <v>1w</v>
      </c>
      <c r="Y2722" s="106">
        <f>_xll.qlCalendarAdvance(Calendar,Y2721,X2722,"f",FALSE)</f>
        <v>58299</v>
      </c>
      <c r="Z2722" s="108">
        <f>_xll.qlCalendarAdvance(Calendar,Y2722,0&amp;"D")</f>
        <v>58299</v>
      </c>
      <c r="AA2722" s="109">
        <v>9.704212022434433E-3</v>
      </c>
      <c r="AB2722" s="143">
        <f t="shared" si="94"/>
        <v>7.9936057773011271E-14</v>
      </c>
      <c r="AC2722" s="236" t="e">
        <v>#N/A</v>
      </c>
      <c r="AD2722" s="236">
        <v>9.704212022354497E-3</v>
      </c>
    </row>
    <row r="2723" spans="23:30" x14ac:dyDescent="0.2">
      <c r="W2723" s="144"/>
      <c r="X2723" s="113" t="str">
        <f t="shared" si="93"/>
        <v>1w</v>
      </c>
      <c r="Y2723" s="106">
        <f>_xll.qlCalendarAdvance(Calendar,Y2722,X2723,"f",FALSE)</f>
        <v>58306</v>
      </c>
      <c r="Z2723" s="108">
        <f>_xll.qlCalendarAdvance(Calendar,Y2723,0&amp;"D")</f>
        <v>58306</v>
      </c>
      <c r="AA2723" s="109">
        <v>9.6997405927279345E-3</v>
      </c>
      <c r="AB2723" s="143">
        <f t="shared" si="94"/>
        <v>-7.9936057773011271E-14</v>
      </c>
      <c r="AC2723" s="236" t="e">
        <v>#N/A</v>
      </c>
      <c r="AD2723" s="236">
        <v>9.6997405928078706E-3</v>
      </c>
    </row>
    <row r="2724" spans="23:30" x14ac:dyDescent="0.2">
      <c r="W2724" s="144"/>
      <c r="X2724" s="113" t="str">
        <f t="shared" si="93"/>
        <v>1w</v>
      </c>
      <c r="Y2724" s="106">
        <f>_xll.qlCalendarAdvance(Calendar,Y2723,X2724,"f",FALSE)</f>
        <v>58313</v>
      </c>
      <c r="Z2724" s="108">
        <f>_xll.qlCalendarAdvance(Calendar,Y2724,0&amp;"D")</f>
        <v>58313</v>
      </c>
      <c r="AA2724" s="109">
        <v>9.6953086288920076E-3</v>
      </c>
      <c r="AB2724" s="143">
        <f t="shared" si="94"/>
        <v>0</v>
      </c>
      <c r="AC2724" s="236" t="e">
        <v>#N/A</v>
      </c>
      <c r="AD2724" s="236">
        <v>9.6953086288920076E-3</v>
      </c>
    </row>
    <row r="2725" spans="23:30" x14ac:dyDescent="0.2">
      <c r="W2725" s="144"/>
      <c r="X2725" s="113" t="str">
        <f t="shared" si="93"/>
        <v>1w</v>
      </c>
      <c r="Y2725" s="106">
        <f>_xll.qlCalendarAdvance(Calendar,Y2724,X2725,"f",FALSE)</f>
        <v>58320</v>
      </c>
      <c r="Z2725" s="108">
        <f>_xll.qlCalendarAdvance(Calendar,Y2725,0&amp;"D")</f>
        <v>58320</v>
      </c>
      <c r="AA2725" s="109">
        <v>9.6909161309266523E-3</v>
      </c>
      <c r="AB2725" s="143">
        <f t="shared" si="94"/>
        <v>0</v>
      </c>
      <c r="AC2725" s="236" t="e">
        <v>#N/A</v>
      </c>
      <c r="AD2725" s="236">
        <v>9.6909161309266523E-3</v>
      </c>
    </row>
    <row r="2726" spans="23:30" x14ac:dyDescent="0.2">
      <c r="W2726" s="144"/>
      <c r="X2726" s="113" t="str">
        <f t="shared" si="93"/>
        <v>1w</v>
      </c>
      <c r="Y2726" s="106">
        <f>_xll.qlCalendarAdvance(Calendar,Y2725,X2726,"f",FALSE)</f>
        <v>58327</v>
      </c>
      <c r="Z2726" s="108">
        <f>_xll.qlCalendarAdvance(Calendar,Y2726,0&amp;"D")</f>
        <v>58327</v>
      </c>
      <c r="AA2726" s="109">
        <v>9.6865630987519324E-3</v>
      </c>
      <c r="AB2726" s="143">
        <f t="shared" si="94"/>
        <v>0</v>
      </c>
      <c r="AC2726" s="236" t="e">
        <v>#N/A</v>
      </c>
      <c r="AD2726" s="236">
        <v>9.6865630987519324E-3</v>
      </c>
    </row>
    <row r="2727" spans="23:30" x14ac:dyDescent="0.2">
      <c r="W2727" s="144"/>
      <c r="X2727" s="113" t="str">
        <f t="shared" si="93"/>
        <v>1w</v>
      </c>
      <c r="Y2727" s="106">
        <f>_xll.qlCalendarAdvance(Calendar,Y2726,X2727,"f",FALSE)</f>
        <v>58334</v>
      </c>
      <c r="Z2727" s="108">
        <f>_xll.qlCalendarAdvance(Calendar,Y2727,0&amp;"D")</f>
        <v>58334</v>
      </c>
      <c r="AA2727" s="109">
        <v>9.6822495324477842E-3</v>
      </c>
      <c r="AB2727" s="143">
        <f t="shared" si="94"/>
        <v>0</v>
      </c>
      <c r="AC2727" s="236" t="e">
        <v>#N/A</v>
      </c>
      <c r="AD2727" s="236">
        <v>9.6822495324477842E-3</v>
      </c>
    </row>
    <row r="2728" spans="23:30" x14ac:dyDescent="0.2">
      <c r="W2728" s="144"/>
      <c r="X2728" s="113" t="str">
        <f t="shared" si="93"/>
        <v>1w</v>
      </c>
      <c r="Y2728" s="106">
        <f>_xll.qlCalendarAdvance(Calendar,Y2727,X2728,"f",FALSE)</f>
        <v>58341</v>
      </c>
      <c r="Z2728" s="108">
        <f>_xll.qlCalendarAdvance(Calendar,Y2728,0&amp;"D")</f>
        <v>58341</v>
      </c>
      <c r="AA2728" s="109">
        <v>9.6779754319342715E-3</v>
      </c>
      <c r="AB2728" s="143">
        <f t="shared" si="94"/>
        <v>7.9936057773011271E-14</v>
      </c>
      <c r="AC2728" s="236" t="e">
        <v>#N/A</v>
      </c>
      <c r="AD2728" s="236">
        <v>9.6779754318543354E-3</v>
      </c>
    </row>
    <row r="2729" spans="23:30" x14ac:dyDescent="0.2">
      <c r="W2729" s="144"/>
      <c r="X2729" s="113" t="str">
        <f t="shared" si="93"/>
        <v>1w</v>
      </c>
      <c r="Y2729" s="106">
        <f>_xll.qlCalendarAdvance(Calendar,Y2728,X2729,"f",FALSE)</f>
        <v>58348</v>
      </c>
      <c r="Z2729" s="108">
        <f>_xll.qlCalendarAdvance(Calendar,Y2729,0&amp;"D")</f>
        <v>58348</v>
      </c>
      <c r="AA2729" s="109">
        <v>9.6737407972913303E-3</v>
      </c>
      <c r="AB2729" s="143">
        <f t="shared" si="94"/>
        <v>0</v>
      </c>
      <c r="AC2729" s="236" t="e">
        <v>#N/A</v>
      </c>
      <c r="AD2729" s="236">
        <v>9.6737407972913303E-3</v>
      </c>
    </row>
    <row r="2730" spans="23:30" x14ac:dyDescent="0.2">
      <c r="W2730" s="144"/>
      <c r="X2730" s="113" t="str">
        <f t="shared" si="93"/>
        <v>1w</v>
      </c>
      <c r="Y2730" s="106">
        <f>_xll.qlCalendarAdvance(Calendar,Y2729,X2730,"f",FALSE)</f>
        <v>58355</v>
      </c>
      <c r="Z2730" s="108">
        <f>_xll.qlCalendarAdvance(Calendar,Y2730,0&amp;"D")</f>
        <v>58355</v>
      </c>
      <c r="AA2730" s="109">
        <v>9.6695456284390247E-3</v>
      </c>
      <c r="AB2730" s="143">
        <f t="shared" si="94"/>
        <v>7.9936057773011271E-14</v>
      </c>
      <c r="AC2730" s="236" t="e">
        <v>#N/A</v>
      </c>
      <c r="AD2730" s="236">
        <v>9.6695456283590886E-3</v>
      </c>
    </row>
    <row r="2731" spans="23:30" x14ac:dyDescent="0.2">
      <c r="W2731" s="144"/>
      <c r="X2731" s="113" t="str">
        <f t="shared" si="93"/>
        <v>1w</v>
      </c>
      <c r="Y2731" s="106">
        <f>_xll.qlCalendarAdvance(Calendar,Y2730,X2731,"f",FALSE)</f>
        <v>58362</v>
      </c>
      <c r="Z2731" s="108">
        <f>_xll.qlCalendarAdvance(Calendar,Y2731,0&amp;"D")</f>
        <v>58362</v>
      </c>
      <c r="AA2731" s="109">
        <v>9.6653899252174824E-3</v>
      </c>
      <c r="AB2731" s="143">
        <f t="shared" si="94"/>
        <v>0</v>
      </c>
      <c r="AC2731" s="236" t="e">
        <v>#N/A</v>
      </c>
      <c r="AD2731" s="236">
        <v>9.6653899252174824E-3</v>
      </c>
    </row>
    <row r="2732" spans="23:30" x14ac:dyDescent="0.2">
      <c r="W2732" s="144"/>
      <c r="X2732" s="113" t="str">
        <f t="shared" si="93"/>
        <v>1w</v>
      </c>
      <c r="Y2732" s="106">
        <f>_xll.qlCalendarAdvance(Calendar,Y2731,X2732,"f",FALSE)</f>
        <v>58369</v>
      </c>
      <c r="Z2732" s="108">
        <f>_xll.qlCalendarAdvance(Calendar,Y2732,0&amp;"D")</f>
        <v>58369</v>
      </c>
      <c r="AA2732" s="109">
        <v>9.6612736881063199E-3</v>
      </c>
      <c r="AB2732" s="143">
        <f t="shared" si="94"/>
        <v>0</v>
      </c>
      <c r="AC2732" s="236" t="e">
        <v>#N/A</v>
      </c>
      <c r="AD2732" s="236">
        <v>9.6612736881063199E-3</v>
      </c>
    </row>
    <row r="2733" spans="23:30" x14ac:dyDescent="0.2">
      <c r="W2733" s="144"/>
      <c r="X2733" s="113" t="str">
        <f t="shared" si="93"/>
        <v>1w</v>
      </c>
      <c r="Y2733" s="106">
        <f>_xll.qlCalendarAdvance(Calendar,Y2732,X2733,"f",FALSE)</f>
        <v>58376</v>
      </c>
      <c r="Z2733" s="108">
        <f>_xll.qlCalendarAdvance(Calendar,Y2733,0&amp;"D")</f>
        <v>58376</v>
      </c>
      <c r="AA2733" s="109">
        <v>9.6571969164660487E-3</v>
      </c>
      <c r="AB2733" s="143">
        <f t="shared" si="94"/>
        <v>-7.9936057773011271E-14</v>
      </c>
      <c r="AC2733" s="236" t="e">
        <v>#N/A</v>
      </c>
      <c r="AD2733" s="236">
        <v>9.6571969165459848E-3</v>
      </c>
    </row>
    <row r="2734" spans="23:30" x14ac:dyDescent="0.2">
      <c r="W2734" s="144"/>
      <c r="X2734" s="113" t="str">
        <f t="shared" si="93"/>
        <v>1w</v>
      </c>
      <c r="Y2734" s="106">
        <f>_xll.qlCalendarAdvance(Calendar,Y2733,X2734,"f",FALSE)</f>
        <v>58383</v>
      </c>
      <c r="Z2734" s="108">
        <f>_xll.qlCalendarAdvance(Calendar,Y2734,0&amp;"D")</f>
        <v>58383</v>
      </c>
      <c r="AA2734" s="109">
        <v>9.6531596108562212E-3</v>
      </c>
      <c r="AB2734" s="143">
        <f t="shared" si="94"/>
        <v>0</v>
      </c>
      <c r="AC2734" s="236" t="e">
        <v>#N/A</v>
      </c>
      <c r="AD2734" s="236">
        <v>9.6531596108562212E-3</v>
      </c>
    </row>
    <row r="2735" spans="23:30" x14ac:dyDescent="0.2">
      <c r="W2735" s="144"/>
      <c r="X2735" s="113" t="str">
        <f t="shared" si="93"/>
        <v>1w</v>
      </c>
      <c r="Y2735" s="106">
        <f>_xll.qlCalendarAdvance(Calendar,Y2734,X2735,"f",FALSE)</f>
        <v>58390</v>
      </c>
      <c r="Z2735" s="108">
        <f>_xll.qlCalendarAdvance(Calendar,Y2735,0&amp;"D")</f>
        <v>58390</v>
      </c>
      <c r="AA2735" s="109">
        <v>9.6491617711169653E-3</v>
      </c>
      <c r="AB2735" s="143">
        <f t="shared" si="94"/>
        <v>0</v>
      </c>
      <c r="AC2735" s="236" t="e">
        <v>#N/A</v>
      </c>
      <c r="AD2735" s="236">
        <v>9.6491617711169653E-3</v>
      </c>
    </row>
    <row r="2736" spans="23:30" x14ac:dyDescent="0.2">
      <c r="W2736" s="144"/>
      <c r="X2736" s="113" t="str">
        <f t="shared" si="93"/>
        <v>1w</v>
      </c>
      <c r="Y2736" s="106">
        <f>_xll.qlCalendarAdvance(Calendar,Y2735,X2736,"f",FALSE)</f>
        <v>58397</v>
      </c>
      <c r="Z2736" s="108">
        <f>_xll.qlCalendarAdvance(Calendar,Y2736,0&amp;"D")</f>
        <v>58397</v>
      </c>
      <c r="AA2736" s="109">
        <v>9.6452033970884088E-3</v>
      </c>
      <c r="AB2736" s="143">
        <f t="shared" si="94"/>
        <v>0</v>
      </c>
      <c r="AC2736" s="236" t="e">
        <v>#N/A</v>
      </c>
      <c r="AD2736" s="236">
        <v>9.6452033970884088E-3</v>
      </c>
    </row>
    <row r="2737" spans="23:30" x14ac:dyDescent="0.2">
      <c r="W2737" s="144"/>
      <c r="X2737" s="113" t="str">
        <f t="shared" si="93"/>
        <v>1w</v>
      </c>
      <c r="Y2737" s="106">
        <f>_xll.qlCalendarAdvance(Calendar,Y2736,X2737,"f",FALSE)</f>
        <v>58404</v>
      </c>
      <c r="Z2737" s="108">
        <f>_xll.qlCalendarAdvance(Calendar,Y2737,0&amp;"D")</f>
        <v>58404</v>
      </c>
      <c r="AA2737" s="109">
        <v>9.6412844888504878E-3</v>
      </c>
      <c r="AB2737" s="143">
        <f t="shared" si="94"/>
        <v>0</v>
      </c>
      <c r="AC2737" s="236" t="e">
        <v>#N/A</v>
      </c>
      <c r="AD2737" s="236">
        <v>9.6412844888504878E-3</v>
      </c>
    </row>
    <row r="2738" spans="23:30" x14ac:dyDescent="0.2">
      <c r="W2738" s="144"/>
      <c r="X2738" s="113" t="str">
        <f t="shared" si="93"/>
        <v>1w</v>
      </c>
      <c r="Y2738" s="106">
        <f>_xll.qlCalendarAdvance(Calendar,Y2737,X2738,"f",FALSE)</f>
        <v>58411</v>
      </c>
      <c r="Z2738" s="108">
        <f>_xll.qlCalendarAdvance(Calendar,Y2738,0&amp;"D")</f>
        <v>58411</v>
      </c>
      <c r="AA2738" s="109">
        <v>9.6374050464032024E-3</v>
      </c>
      <c r="AB2738" s="143">
        <f t="shared" si="94"/>
        <v>7.9936057773011271E-14</v>
      </c>
      <c r="AC2738" s="236" t="e">
        <v>#N/A</v>
      </c>
      <c r="AD2738" s="236">
        <v>9.6374050463232663E-3</v>
      </c>
    </row>
    <row r="2739" spans="23:30" x14ac:dyDescent="0.2">
      <c r="W2739" s="144"/>
      <c r="X2739" s="113" t="str">
        <f t="shared" si="93"/>
        <v>1w</v>
      </c>
      <c r="Y2739" s="106">
        <f>_xll.qlCalendarAdvance(Calendar,Y2738,X2739,"f",FALSE)</f>
        <v>58418</v>
      </c>
      <c r="Z2739" s="108">
        <f>_xll.qlCalendarAdvance(Calendar,Y2739,0&amp;"D")</f>
        <v>58418</v>
      </c>
      <c r="AA2739" s="109">
        <v>9.6335650697465525E-3</v>
      </c>
      <c r="AB2739" s="143">
        <f t="shared" si="94"/>
        <v>-7.9936057773011271E-14</v>
      </c>
      <c r="AC2739" s="236" t="e">
        <v>#N/A</v>
      </c>
      <c r="AD2739" s="236">
        <v>9.6335650698264885E-3</v>
      </c>
    </row>
    <row r="2740" spans="23:30" x14ac:dyDescent="0.2">
      <c r="W2740" s="144"/>
      <c r="X2740" s="113" t="str">
        <f t="shared" si="93"/>
        <v>1w</v>
      </c>
      <c r="Y2740" s="106">
        <f>_xll.qlCalendarAdvance(Calendar,Y2739,X2740,"f",FALSE)</f>
        <v>58425</v>
      </c>
      <c r="Z2740" s="108">
        <f>_xll.qlCalendarAdvance(Calendar,Y2740,0&amp;"D")</f>
        <v>58425</v>
      </c>
      <c r="AA2740" s="109">
        <v>9.6297645590404102E-3</v>
      </c>
      <c r="AB2740" s="143">
        <f t="shared" si="94"/>
        <v>-7.9936057773011271E-14</v>
      </c>
      <c r="AC2740" s="236" t="e">
        <v>#N/A</v>
      </c>
      <c r="AD2740" s="236">
        <v>9.6297645591203462E-3</v>
      </c>
    </row>
    <row r="2741" spans="23:30" x14ac:dyDescent="0.2">
      <c r="W2741" s="144"/>
      <c r="X2741" s="113" t="str">
        <f t="shared" si="93"/>
        <v>1w</v>
      </c>
      <c r="Y2741" s="106">
        <f>_xll.qlCalendarAdvance(Calendar,Y2740,X2741,"f",FALSE)</f>
        <v>58432</v>
      </c>
      <c r="Z2741" s="108">
        <f>_xll.qlCalendarAdvance(Calendar,Y2741,0&amp;"D")</f>
        <v>58432</v>
      </c>
      <c r="AA2741" s="109">
        <v>9.6260035141249034E-3</v>
      </c>
      <c r="AB2741" s="143">
        <f t="shared" si="94"/>
        <v>0</v>
      </c>
      <c r="AC2741" s="236" t="e">
        <v>#N/A</v>
      </c>
      <c r="AD2741" s="236">
        <v>9.6260035141249034E-3</v>
      </c>
    </row>
    <row r="2742" spans="23:30" x14ac:dyDescent="0.2">
      <c r="W2742" s="144"/>
      <c r="X2742" s="113" t="str">
        <f t="shared" si="93"/>
        <v>1w</v>
      </c>
      <c r="Y2742" s="106">
        <f>_xll.qlCalendarAdvance(Calendar,Y2741,X2742,"f",FALSE)</f>
        <v>58439</v>
      </c>
      <c r="Z2742" s="108">
        <f>_xll.qlCalendarAdvance(Calendar,Y2742,0&amp;"D")</f>
        <v>58439</v>
      </c>
      <c r="AA2742" s="109">
        <v>9.62228193484016E-3</v>
      </c>
      <c r="AB2742" s="143">
        <f t="shared" si="94"/>
        <v>0</v>
      </c>
      <c r="AC2742" s="236" t="e">
        <v>#N/A</v>
      </c>
      <c r="AD2742" s="236">
        <v>9.62228193484016E-3</v>
      </c>
    </row>
    <row r="2743" spans="23:30" x14ac:dyDescent="0.2">
      <c r="W2743" s="144"/>
      <c r="X2743" s="113" t="str">
        <f t="shared" si="93"/>
        <v>1w</v>
      </c>
      <c r="Y2743" s="106">
        <f>_xll.qlCalendarAdvance(Calendar,Y2742,X2743,"f",FALSE)</f>
        <v>58446</v>
      </c>
      <c r="Z2743" s="108">
        <f>_xll.qlCalendarAdvance(Calendar,Y2743,0&amp;"D")</f>
        <v>58446</v>
      </c>
      <c r="AA2743" s="109">
        <v>9.6185998215059243E-3</v>
      </c>
      <c r="AB2743" s="143">
        <f t="shared" si="94"/>
        <v>0</v>
      </c>
      <c r="AC2743" s="236" t="e">
        <v>#N/A</v>
      </c>
      <c r="AD2743" s="236">
        <v>9.6185998215059243E-3</v>
      </c>
    </row>
    <row r="2744" spans="23:30" x14ac:dyDescent="0.2">
      <c r="W2744" s="144"/>
      <c r="X2744" s="113" t="str">
        <f t="shared" si="93"/>
        <v>1w</v>
      </c>
      <c r="Y2744" s="106">
        <f>_xll.qlCalendarAdvance(Calendar,Y2743,X2744,"f",FALSE)</f>
        <v>58453</v>
      </c>
      <c r="Z2744" s="108">
        <f>_xll.qlCalendarAdvance(Calendar,Y2744,0&amp;"D")</f>
        <v>58453</v>
      </c>
      <c r="AA2744" s="109">
        <v>9.614957173882388E-3</v>
      </c>
      <c r="AB2744" s="143">
        <f t="shared" si="94"/>
        <v>0</v>
      </c>
      <c r="AC2744" s="236" t="e">
        <v>#N/A</v>
      </c>
      <c r="AD2744" s="236">
        <v>9.614957173882388E-3</v>
      </c>
    </row>
    <row r="2745" spans="23:30" x14ac:dyDescent="0.2">
      <c r="W2745" s="144"/>
      <c r="X2745" s="113" t="str">
        <f t="shared" si="93"/>
        <v>1w</v>
      </c>
      <c r="Y2745" s="106">
        <f>_xll.qlCalendarAdvance(Calendar,Y2744,X2745,"f",FALSE)</f>
        <v>58460</v>
      </c>
      <c r="Z2745" s="108">
        <f>_xll.qlCalendarAdvance(Calendar,Y2745,0&amp;"D")</f>
        <v>58460</v>
      </c>
      <c r="AA2745" s="109">
        <v>9.6113539920494873E-3</v>
      </c>
      <c r="AB2745" s="143">
        <f t="shared" si="94"/>
        <v>0</v>
      </c>
      <c r="AC2745" s="236" t="e">
        <v>#N/A</v>
      </c>
      <c r="AD2745" s="236">
        <v>9.6113539920494873E-3</v>
      </c>
    </row>
    <row r="2746" spans="23:30" x14ac:dyDescent="0.2">
      <c r="W2746" s="144"/>
      <c r="X2746" s="113" t="str">
        <f t="shared" si="93"/>
        <v>1w</v>
      </c>
      <c r="Y2746" s="106">
        <f>_xll.qlCalendarAdvance(Calendar,Y2745,X2746,"f",FALSE)</f>
        <v>58467</v>
      </c>
      <c r="Z2746" s="108">
        <f>_xll.qlCalendarAdvance(Calendar,Y2746,0&amp;"D")</f>
        <v>58467</v>
      </c>
      <c r="AA2746" s="109">
        <v>9.6077902760871581E-3</v>
      </c>
      <c r="AB2746" s="143">
        <f t="shared" si="94"/>
        <v>0</v>
      </c>
      <c r="AC2746" s="236" t="e">
        <v>#N/A</v>
      </c>
      <c r="AD2746" s="236">
        <v>9.6077902760871581E-3</v>
      </c>
    </row>
    <row r="2747" spans="23:30" x14ac:dyDescent="0.2">
      <c r="W2747" s="144"/>
      <c r="X2747" s="113" t="str">
        <f t="shared" si="93"/>
        <v>1w</v>
      </c>
      <c r="Y2747" s="106">
        <f>_xll.qlCalendarAdvance(Calendar,Y2746,X2747,"f",FALSE)</f>
        <v>58474</v>
      </c>
      <c r="Z2747" s="108">
        <f>_xll.qlCalendarAdvance(Calendar,Y2747,0&amp;"D")</f>
        <v>58474</v>
      </c>
      <c r="AA2747" s="109">
        <v>9.6042660259154644E-3</v>
      </c>
      <c r="AB2747" s="143">
        <f t="shared" si="94"/>
        <v>0</v>
      </c>
      <c r="AC2747" s="236" t="e">
        <v>#N/A</v>
      </c>
      <c r="AD2747" s="236">
        <v>9.6042660259154644E-3</v>
      </c>
    </row>
    <row r="2748" spans="23:30" x14ac:dyDescent="0.2">
      <c r="W2748" s="144"/>
      <c r="X2748" s="113" t="str">
        <f t="shared" si="93"/>
        <v>1w</v>
      </c>
      <c r="Y2748" s="106">
        <f>_xll.qlCalendarAdvance(Calendar,Y2747,X2748,"f",FALSE)</f>
        <v>58481</v>
      </c>
      <c r="Z2748" s="108">
        <f>_xll.qlCalendarAdvance(Calendar,Y2748,0&amp;"D")</f>
        <v>58481</v>
      </c>
      <c r="AA2748" s="109">
        <v>9.6007812415344063E-3</v>
      </c>
      <c r="AB2748" s="143">
        <f t="shared" si="94"/>
        <v>0</v>
      </c>
      <c r="AC2748" s="236" t="e">
        <v>#N/A</v>
      </c>
      <c r="AD2748" s="236">
        <v>9.6007812415344063E-3</v>
      </c>
    </row>
    <row r="2749" spans="23:30" x14ac:dyDescent="0.2">
      <c r="W2749" s="144"/>
      <c r="X2749" s="113" t="str">
        <f t="shared" si="93"/>
        <v>1w</v>
      </c>
      <c r="Y2749" s="106">
        <f>_xll.qlCalendarAdvance(Calendar,Y2748,X2749,"f",FALSE)</f>
        <v>58488</v>
      </c>
      <c r="Z2749" s="108">
        <f>_xll.qlCalendarAdvance(Calendar,Y2749,0&amp;"D")</f>
        <v>58488</v>
      </c>
      <c r="AA2749" s="109">
        <v>9.5973359228640476E-3</v>
      </c>
      <c r="AB2749" s="143">
        <f t="shared" si="94"/>
        <v>0</v>
      </c>
      <c r="AC2749" s="236" t="e">
        <v>#N/A</v>
      </c>
      <c r="AD2749" s="236">
        <v>9.5973359228640476E-3</v>
      </c>
    </row>
    <row r="2750" spans="23:30" x14ac:dyDescent="0.2">
      <c r="W2750" s="144"/>
      <c r="X2750" s="113" t="str">
        <f t="shared" si="93"/>
        <v>1w</v>
      </c>
      <c r="Y2750" s="106">
        <f>_xll.qlCalendarAdvance(Calendar,Y2749,X2750,"f",FALSE)</f>
        <v>58495</v>
      </c>
      <c r="Z2750" s="108">
        <f>_xll.qlCalendarAdvance(Calendar,Y2750,0&amp;"D")</f>
        <v>58495</v>
      </c>
      <c r="AA2750" s="109">
        <v>9.5939300701441965E-3</v>
      </c>
      <c r="AB2750" s="143">
        <f t="shared" si="94"/>
        <v>7.9936057773011271E-14</v>
      </c>
      <c r="AC2750" s="236" t="e">
        <v>#N/A</v>
      </c>
      <c r="AD2750" s="236">
        <v>9.5939300700642605E-3</v>
      </c>
    </row>
    <row r="2751" spans="23:30" x14ac:dyDescent="0.2">
      <c r="W2751" s="144"/>
      <c r="X2751" s="113" t="str">
        <f t="shared" si="93"/>
        <v>1w</v>
      </c>
      <c r="Y2751" s="106">
        <f>_xll.qlCalendarAdvance(Calendar,Y2750,X2751,"f",FALSE)</f>
        <v>58502</v>
      </c>
      <c r="Z2751" s="108">
        <f>_xll.qlCalendarAdvance(Calendar,Y2751,0&amp;"D")</f>
        <v>58502</v>
      </c>
      <c r="AA2751" s="109">
        <v>9.5905636830551089E-3</v>
      </c>
      <c r="AB2751" s="143">
        <f t="shared" si="94"/>
        <v>0</v>
      </c>
      <c r="AC2751" s="236" t="e">
        <v>#N/A</v>
      </c>
      <c r="AD2751" s="236">
        <v>9.5905636830551089E-3</v>
      </c>
    </row>
    <row r="2752" spans="23:30" x14ac:dyDescent="0.2">
      <c r="W2752" s="144"/>
      <c r="X2752" s="113" t="str">
        <f t="shared" si="93"/>
        <v>1w</v>
      </c>
      <c r="Y2752" s="106">
        <f>_xll.qlCalendarAdvance(Calendar,Y2751,X2752,"f",FALSE)</f>
        <v>58509</v>
      </c>
      <c r="Z2752" s="108">
        <f>_xll.qlCalendarAdvance(Calendar,Y2752,0&amp;"D")</f>
        <v>58509</v>
      </c>
      <c r="AA2752" s="109">
        <v>9.5872367618365928E-3</v>
      </c>
      <c r="AB2752" s="143">
        <f t="shared" si="94"/>
        <v>0</v>
      </c>
      <c r="AC2752" s="236" t="e">
        <v>#N/A</v>
      </c>
      <c r="AD2752" s="236">
        <v>9.5872367618365928E-3</v>
      </c>
    </row>
    <row r="2753" spans="23:30" x14ac:dyDescent="0.2">
      <c r="W2753" s="144"/>
      <c r="X2753" s="113" t="str">
        <f t="shared" si="93"/>
        <v>1w</v>
      </c>
      <c r="Y2753" s="106">
        <f>_xll.qlCalendarAdvance(Calendar,Y2752,X2753,"f",FALSE)</f>
        <v>58516</v>
      </c>
      <c r="Z2753" s="108">
        <f>_xll.qlCalendarAdvance(Calendar,Y2753,0&amp;"D")</f>
        <v>58516</v>
      </c>
      <c r="AA2753" s="109">
        <v>9.5839493064087122E-3</v>
      </c>
      <c r="AB2753" s="143">
        <f t="shared" si="94"/>
        <v>0</v>
      </c>
      <c r="AC2753" s="236" t="e">
        <v>#N/A</v>
      </c>
      <c r="AD2753" s="236">
        <v>9.5839493064087122E-3</v>
      </c>
    </row>
    <row r="2754" spans="23:30" x14ac:dyDescent="0.2">
      <c r="W2754" s="144"/>
      <c r="X2754" s="113" t="str">
        <f t="shared" si="93"/>
        <v>1w</v>
      </c>
      <c r="Y2754" s="106">
        <f>_xll.qlCalendarAdvance(Calendar,Y2753,X2754,"f",FALSE)</f>
        <v>58523</v>
      </c>
      <c r="Z2754" s="108">
        <f>_xll.qlCalendarAdvance(Calendar,Y2754,0&amp;"D")</f>
        <v>58523</v>
      </c>
      <c r="AA2754" s="109">
        <v>9.5807013166115951E-3</v>
      </c>
      <c r="AB2754" s="143">
        <f t="shared" si="94"/>
        <v>-7.9936057773011271E-14</v>
      </c>
      <c r="AC2754" s="236" t="e">
        <v>#N/A</v>
      </c>
      <c r="AD2754" s="236">
        <v>9.5807013166915311E-3</v>
      </c>
    </row>
    <row r="2755" spans="23:30" x14ac:dyDescent="0.2">
      <c r="W2755" s="144"/>
      <c r="X2755" s="113" t="str">
        <f t="shared" si="93"/>
        <v>1w</v>
      </c>
      <c r="Y2755" s="106">
        <f>_xll.qlCalendarAdvance(Calendar,Y2754,X2755,"f",FALSE)</f>
        <v>58530</v>
      </c>
      <c r="Z2755" s="108">
        <f>_xll.qlCalendarAdvance(Calendar,Y2755,0&amp;"D")</f>
        <v>58530</v>
      </c>
      <c r="AA2755" s="109">
        <v>9.5774927927649856E-3</v>
      </c>
      <c r="AB2755" s="143">
        <f t="shared" si="94"/>
        <v>0</v>
      </c>
      <c r="AC2755" s="236" t="e">
        <v>#N/A</v>
      </c>
      <c r="AD2755" s="236">
        <v>9.5774927927649856E-3</v>
      </c>
    </row>
    <row r="2756" spans="23:30" x14ac:dyDescent="0.2">
      <c r="W2756" s="144"/>
      <c r="X2756" s="113" t="str">
        <f t="shared" si="93"/>
        <v>1w</v>
      </c>
      <c r="Y2756" s="106">
        <f>_xll.qlCalendarAdvance(Calendar,Y2755,X2756,"f",FALSE)</f>
        <v>58537</v>
      </c>
      <c r="Z2756" s="108">
        <f>_xll.qlCalendarAdvance(Calendar,Y2756,0&amp;"D")</f>
        <v>58537</v>
      </c>
      <c r="AA2756" s="109">
        <v>9.5743237347090115E-3</v>
      </c>
      <c r="AB2756" s="143">
        <f t="shared" si="94"/>
        <v>0</v>
      </c>
      <c r="AC2756" s="236" t="e">
        <v>#N/A</v>
      </c>
      <c r="AD2756" s="236">
        <v>9.5743237347090115E-3</v>
      </c>
    </row>
    <row r="2757" spans="23:30" x14ac:dyDescent="0.2">
      <c r="W2757" s="144"/>
      <c r="X2757" s="113" t="str">
        <f t="shared" si="93"/>
        <v>1w</v>
      </c>
      <c r="Y2757" s="106">
        <f>_xll.qlCalendarAdvance(Calendar,Y2756,X2757,"f",FALSE)</f>
        <v>58544</v>
      </c>
      <c r="Z2757" s="108">
        <f>_xll.qlCalendarAdvance(Calendar,Y2757,0&amp;"D")</f>
        <v>58544</v>
      </c>
      <c r="AA2757" s="109">
        <v>9.5711941424436731E-3</v>
      </c>
      <c r="AB2757" s="143">
        <f t="shared" si="94"/>
        <v>7.9936057773011271E-14</v>
      </c>
      <c r="AC2757" s="236" t="e">
        <v>#N/A</v>
      </c>
      <c r="AD2757" s="236">
        <v>9.571194142363737E-3</v>
      </c>
    </row>
    <row r="2758" spans="23:30" x14ac:dyDescent="0.2">
      <c r="W2758" s="144"/>
      <c r="X2758" s="113" t="str">
        <f t="shared" si="93"/>
        <v>1w</v>
      </c>
      <c r="Y2758" s="106">
        <f>_xll.qlCalendarAdvance(Calendar,Y2757,X2758,"f",FALSE)</f>
        <v>58551</v>
      </c>
      <c r="Z2758" s="108">
        <f>_xll.qlCalendarAdvance(Calendar,Y2758,0&amp;"D")</f>
        <v>58551</v>
      </c>
      <c r="AA2758" s="109">
        <v>9.568104015889034E-3</v>
      </c>
      <c r="AB2758" s="143">
        <f t="shared" si="94"/>
        <v>0</v>
      </c>
      <c r="AC2758" s="236" t="e">
        <v>#N/A</v>
      </c>
      <c r="AD2758" s="236">
        <v>9.568104015889034E-3</v>
      </c>
    </row>
    <row r="2759" spans="23:30" x14ac:dyDescent="0.2">
      <c r="W2759" s="144"/>
      <c r="X2759" s="113" t="str">
        <f t="shared" si="93"/>
        <v>1w</v>
      </c>
      <c r="Y2759" s="106">
        <f>_xll.qlCalendarAdvance(Calendar,Y2758,X2759,"f",FALSE)</f>
        <v>58558</v>
      </c>
      <c r="Z2759" s="108">
        <f>_xll.qlCalendarAdvance(Calendar,Y2759,0&amp;"D")</f>
        <v>58558</v>
      </c>
      <c r="AA2759" s="109">
        <v>9.5650533551250305E-3</v>
      </c>
      <c r="AB2759" s="143">
        <f t="shared" si="94"/>
        <v>0</v>
      </c>
      <c r="AC2759" s="236" t="e">
        <v>#N/A</v>
      </c>
      <c r="AD2759" s="236">
        <v>9.5650533551250305E-3</v>
      </c>
    </row>
    <row r="2760" spans="23:30" x14ac:dyDescent="0.2">
      <c r="W2760" s="144"/>
      <c r="X2760" s="113" t="str">
        <f t="shared" si="93"/>
        <v>1w</v>
      </c>
      <c r="Y2760" s="106">
        <f>_xll.qlCalendarAdvance(Calendar,Y2759,X2760,"f",FALSE)</f>
        <v>58565</v>
      </c>
      <c r="Z2760" s="108">
        <f>_xll.qlCalendarAdvance(Calendar,Y2760,0&amp;"D")</f>
        <v>58565</v>
      </c>
      <c r="AA2760" s="109">
        <v>9.5620421602315986E-3</v>
      </c>
      <c r="AB2760" s="143">
        <f t="shared" si="94"/>
        <v>7.9936057773011271E-14</v>
      </c>
      <c r="AC2760" s="236" t="e">
        <v>#N/A</v>
      </c>
      <c r="AD2760" s="236">
        <v>9.5620421601516625E-3</v>
      </c>
    </row>
    <row r="2761" spans="23:30" x14ac:dyDescent="0.2">
      <c r="W2761" s="144"/>
      <c r="X2761" s="113" t="str">
        <f t="shared" si="93"/>
        <v>1w</v>
      </c>
      <c r="Y2761" s="106">
        <f>_xll.qlCalendarAdvance(Calendar,Y2760,X2761,"f",FALSE)</f>
        <v>58572</v>
      </c>
      <c r="Z2761" s="108">
        <f>_xll.qlCalendarAdvance(Calendar,Y2761,0&amp;"D")</f>
        <v>58572</v>
      </c>
      <c r="AA2761" s="109">
        <v>9.5590704311288022E-3</v>
      </c>
      <c r="AB2761" s="143">
        <f t="shared" si="94"/>
        <v>0</v>
      </c>
      <c r="AC2761" s="236" t="e">
        <v>#N/A</v>
      </c>
      <c r="AD2761" s="236">
        <v>9.5590704311288022E-3</v>
      </c>
    </row>
    <row r="2762" spans="23:30" x14ac:dyDescent="0.2">
      <c r="W2762" s="144"/>
      <c r="X2762" s="113" t="str">
        <f t="shared" si="93"/>
        <v>1w</v>
      </c>
      <c r="Y2762" s="106">
        <f>_xll.qlCalendarAdvance(Calendar,Y2761,X2762,"f",FALSE)</f>
        <v>58579</v>
      </c>
      <c r="Z2762" s="108">
        <f>_xll.qlCalendarAdvance(Calendar,Y2762,0&amp;"D")</f>
        <v>58579</v>
      </c>
      <c r="AA2762" s="109">
        <v>9.5561381676567692E-3</v>
      </c>
      <c r="AB2762" s="143">
        <f t="shared" si="94"/>
        <v>0</v>
      </c>
      <c r="AC2762" s="236" t="e">
        <v>#N/A</v>
      </c>
      <c r="AD2762" s="236">
        <v>9.5561381676567692E-3</v>
      </c>
    </row>
    <row r="2763" spans="23:30" x14ac:dyDescent="0.2">
      <c r="W2763" s="144"/>
      <c r="X2763" s="113" t="str">
        <f t="shared" si="93"/>
        <v>1w</v>
      </c>
      <c r="Y2763" s="106">
        <f>_xll.qlCalendarAdvance(Calendar,Y2762,X2763,"f",FALSE)</f>
        <v>58586</v>
      </c>
      <c r="Z2763" s="108">
        <f>_xll.qlCalendarAdvance(Calendar,Y2763,0&amp;"D")</f>
        <v>58586</v>
      </c>
      <c r="AA2763" s="109">
        <v>9.5532453699753717E-3</v>
      </c>
      <c r="AB2763" s="143">
        <f t="shared" si="94"/>
        <v>7.9936057773011271E-14</v>
      </c>
      <c r="AC2763" s="236" t="e">
        <v>#N/A</v>
      </c>
      <c r="AD2763" s="236">
        <v>9.5532453698954356E-3</v>
      </c>
    </row>
    <row r="2764" spans="23:30" x14ac:dyDescent="0.2">
      <c r="W2764" s="144"/>
      <c r="X2764" s="113" t="str">
        <f t="shared" si="93"/>
        <v>1w</v>
      </c>
      <c r="Y2764" s="106">
        <f>_xll.qlCalendarAdvance(Calendar,Y2763,X2764,"f",FALSE)</f>
        <v>58593</v>
      </c>
      <c r="Z2764" s="108">
        <f>_xll.qlCalendarAdvance(Calendar,Y2764,0&amp;"D")</f>
        <v>58593</v>
      </c>
      <c r="AA2764" s="109">
        <v>9.5503920380846097E-3</v>
      </c>
      <c r="AB2764" s="143">
        <f t="shared" si="94"/>
        <v>0</v>
      </c>
      <c r="AC2764" s="236" t="e">
        <v>#N/A</v>
      </c>
      <c r="AD2764" s="236">
        <v>9.5503920380846097E-3</v>
      </c>
    </row>
    <row r="2765" spans="23:30" x14ac:dyDescent="0.2">
      <c r="W2765" s="144"/>
      <c r="X2765" s="113" t="str">
        <f t="shared" ref="X2765:X2828" si="95">X2764</f>
        <v>1w</v>
      </c>
      <c r="Y2765" s="106">
        <f>_xll.qlCalendarAdvance(Calendar,Y2764,X2765,"f",FALSE)</f>
        <v>58600</v>
      </c>
      <c r="Z2765" s="108">
        <f>_xll.qlCalendarAdvance(Calendar,Y2765,0&amp;"D")</f>
        <v>58600</v>
      </c>
      <c r="AA2765" s="109">
        <v>9.5475781720644193E-3</v>
      </c>
      <c r="AB2765" s="143">
        <f t="shared" si="94"/>
        <v>0</v>
      </c>
      <c r="AC2765" s="236" t="e">
        <v>#N/A</v>
      </c>
      <c r="AD2765" s="236">
        <v>9.5475781720644193E-3</v>
      </c>
    </row>
    <row r="2766" spans="23:30" x14ac:dyDescent="0.2">
      <c r="W2766" s="144"/>
      <c r="X2766" s="113" t="str">
        <f t="shared" si="95"/>
        <v>1w</v>
      </c>
      <c r="Y2766" s="106">
        <f>_xll.qlCalendarAdvance(Calendar,Y2765,X2766,"f",FALSE)</f>
        <v>58607</v>
      </c>
      <c r="Z2766" s="108">
        <f>_xll.qlCalendarAdvance(Calendar,Y2766,0&amp;"D")</f>
        <v>58607</v>
      </c>
      <c r="AA2766" s="109">
        <v>9.5448037716749923E-3</v>
      </c>
      <c r="AB2766" s="143">
        <f t="shared" si="94"/>
        <v>-7.9936057773011271E-14</v>
      </c>
      <c r="AC2766" s="236" t="e">
        <v>#N/A</v>
      </c>
      <c r="AD2766" s="236">
        <v>9.5448037717549283E-3</v>
      </c>
    </row>
    <row r="2767" spans="23:30" x14ac:dyDescent="0.2">
      <c r="W2767" s="144"/>
      <c r="X2767" s="113" t="str">
        <f t="shared" si="95"/>
        <v>1w</v>
      </c>
      <c r="Y2767" s="106">
        <f>_xll.qlCalendarAdvance(Calendar,Y2766,X2767,"f",FALSE)</f>
        <v>58614</v>
      </c>
      <c r="Z2767" s="108">
        <f>_xll.qlCalendarAdvance(Calendar,Y2767,0&amp;"D")</f>
        <v>58614</v>
      </c>
      <c r="AA2767" s="109">
        <v>9.5420688370762008E-3</v>
      </c>
      <c r="AB2767" s="143">
        <f t="shared" si="94"/>
        <v>-7.9936057773011271E-14</v>
      </c>
      <c r="AC2767" s="236" t="e">
        <v>#N/A</v>
      </c>
      <c r="AD2767" s="236">
        <v>9.5420688371561369E-3</v>
      </c>
    </row>
    <row r="2768" spans="23:30" x14ac:dyDescent="0.2">
      <c r="W2768" s="144"/>
      <c r="X2768" s="113" t="str">
        <f t="shared" si="95"/>
        <v>1w</v>
      </c>
      <c r="Y2768" s="106">
        <f>_xll.qlCalendarAdvance(Calendar,Y2767,X2768,"f",FALSE)</f>
        <v>58621</v>
      </c>
      <c r="Z2768" s="108">
        <f>_xll.qlCalendarAdvance(Calendar,Y2768,0&amp;"D")</f>
        <v>58621</v>
      </c>
      <c r="AA2768" s="109">
        <v>9.539373368507853E-3</v>
      </c>
      <c r="AB2768" s="143">
        <f t="shared" si="94"/>
        <v>0</v>
      </c>
      <c r="AC2768" s="236" t="e">
        <v>#N/A</v>
      </c>
      <c r="AD2768" s="236">
        <v>9.539373368507853E-3</v>
      </c>
    </row>
    <row r="2769" spans="23:30" x14ac:dyDescent="0.2">
      <c r="W2769" s="144"/>
      <c r="X2769" s="113" t="str">
        <f t="shared" si="95"/>
        <v>1w</v>
      </c>
      <c r="Y2769" s="106">
        <f>_xll.qlCalendarAdvance(Calendar,Y2768,X2769,"f",FALSE)</f>
        <v>58628</v>
      </c>
      <c r="Z2769" s="108">
        <f>_xll.qlCalendarAdvance(Calendar,Y2769,0&amp;"D")</f>
        <v>58628</v>
      </c>
      <c r="AA2769" s="109">
        <v>9.5367173655702686E-3</v>
      </c>
      <c r="AB2769" s="143">
        <f t="shared" si="94"/>
        <v>0</v>
      </c>
      <c r="AC2769" s="236" t="e">
        <v>#N/A</v>
      </c>
      <c r="AD2769" s="236">
        <v>9.5367173655702686E-3</v>
      </c>
    </row>
    <row r="2770" spans="23:30" x14ac:dyDescent="0.2">
      <c r="W2770" s="144"/>
      <c r="X2770" s="113" t="str">
        <f t="shared" si="95"/>
        <v>1w</v>
      </c>
      <c r="Y2770" s="106">
        <f>_xll.qlCalendarAdvance(Calendar,Y2769,X2770,"f",FALSE)</f>
        <v>58635</v>
      </c>
      <c r="Z2770" s="108">
        <f>_xll.qlCalendarAdvance(Calendar,Y2770,0&amp;"D")</f>
        <v>58635</v>
      </c>
      <c r="AA2770" s="109">
        <v>9.5341008282634476E-3</v>
      </c>
      <c r="AB2770" s="143">
        <f t="shared" si="94"/>
        <v>0</v>
      </c>
      <c r="AC2770" s="236" t="e">
        <v>#N/A</v>
      </c>
      <c r="AD2770" s="236">
        <v>9.5341008282634476E-3</v>
      </c>
    </row>
    <row r="2771" spans="23:30" x14ac:dyDescent="0.2">
      <c r="W2771" s="144"/>
      <c r="X2771" s="113" t="str">
        <f t="shared" si="95"/>
        <v>1w</v>
      </c>
      <c r="Y2771" s="106">
        <f>_xll.qlCalendarAdvance(Calendar,Y2770,X2771,"f",FALSE)</f>
        <v>58642</v>
      </c>
      <c r="Z2771" s="108">
        <f>_xll.qlCalendarAdvance(Calendar,Y2771,0&amp;"D")</f>
        <v>58642</v>
      </c>
      <c r="AA2771" s="109">
        <v>9.5315237568271982E-3</v>
      </c>
      <c r="AB2771" s="143">
        <f t="shared" si="94"/>
        <v>0</v>
      </c>
      <c r="AC2771" s="236" t="e">
        <v>#N/A</v>
      </c>
      <c r="AD2771" s="236">
        <v>9.5315237568271982E-3</v>
      </c>
    </row>
    <row r="2772" spans="23:30" x14ac:dyDescent="0.2">
      <c r="W2772" s="144"/>
      <c r="X2772" s="113" t="str">
        <f t="shared" si="95"/>
        <v>1w</v>
      </c>
      <c r="Y2772" s="106">
        <f>_xll.qlCalendarAdvance(Calendar,Y2771,X2772,"f",FALSE)</f>
        <v>58649</v>
      </c>
      <c r="Z2772" s="108">
        <f>_xll.qlCalendarAdvance(Calendar,Y2772,0&amp;"D")</f>
        <v>58649</v>
      </c>
      <c r="AA2772" s="109">
        <v>9.5289861512615204E-3</v>
      </c>
      <c r="AB2772" s="143">
        <f t="shared" si="94"/>
        <v>0</v>
      </c>
      <c r="AC2772" s="236" t="e">
        <v>#N/A</v>
      </c>
      <c r="AD2772" s="236">
        <v>9.5289861512615204E-3</v>
      </c>
    </row>
    <row r="2773" spans="23:30" x14ac:dyDescent="0.2">
      <c r="W2773" s="144"/>
      <c r="X2773" s="113" t="str">
        <f t="shared" si="95"/>
        <v>1w</v>
      </c>
      <c r="Y2773" s="106">
        <f>_xll.qlCalendarAdvance(Calendar,Y2772,X2773,"f",FALSE)</f>
        <v>58656</v>
      </c>
      <c r="Z2773" s="108">
        <f>_xll.qlCalendarAdvance(Calendar,Y2773,0&amp;"D")</f>
        <v>58656</v>
      </c>
      <c r="AA2773" s="109">
        <v>9.5264880113266059E-3</v>
      </c>
      <c r="AB2773" s="143">
        <f t="shared" ref="AB2773:AB2836" si="96">AA2773-AD2773</f>
        <v>0</v>
      </c>
      <c r="AC2773" s="236" t="e">
        <v>#N/A</v>
      </c>
      <c r="AD2773" s="236">
        <v>9.5264880113266059E-3</v>
      </c>
    </row>
    <row r="2774" spans="23:30" x14ac:dyDescent="0.2">
      <c r="W2774" s="144"/>
      <c r="X2774" s="113" t="str">
        <f t="shared" si="95"/>
        <v>1w</v>
      </c>
      <c r="Y2774" s="106">
        <f>_xll.qlCalendarAdvance(Calendar,Y2773,X2774,"f",FALSE)</f>
        <v>58663</v>
      </c>
      <c r="Z2774" s="108">
        <f>_xll.qlCalendarAdvance(Calendar,Y2774,0&amp;"D")</f>
        <v>58663</v>
      </c>
      <c r="AA2774" s="109">
        <v>9.5240293372622631E-3</v>
      </c>
      <c r="AB2774" s="143">
        <f t="shared" si="96"/>
        <v>7.9936057773011271E-14</v>
      </c>
      <c r="AC2774" s="236" t="e">
        <v>#N/A</v>
      </c>
      <c r="AD2774" s="236">
        <v>9.524029337182327E-3</v>
      </c>
    </row>
    <row r="2775" spans="23:30" x14ac:dyDescent="0.2">
      <c r="W2775" s="144"/>
      <c r="X2775" s="113" t="str">
        <f t="shared" si="95"/>
        <v>1w</v>
      </c>
      <c r="Y2775" s="106">
        <f>_xll.qlCalendarAdvance(Calendar,Y2774,X2775,"f",FALSE)</f>
        <v>58670</v>
      </c>
      <c r="Z2775" s="108">
        <f>_xll.qlCalendarAdvance(Calendar,Y2775,0&amp;"D")</f>
        <v>58670</v>
      </c>
      <c r="AA2775" s="109">
        <v>9.5216101287487476E-3</v>
      </c>
      <c r="AB2775" s="143">
        <f t="shared" si="96"/>
        <v>-7.9936057773011271E-14</v>
      </c>
      <c r="AC2775" s="236" t="e">
        <v>#N/A</v>
      </c>
      <c r="AD2775" s="236">
        <v>9.5216101288286836E-3</v>
      </c>
    </row>
    <row r="2776" spans="23:30" x14ac:dyDescent="0.2">
      <c r="W2776" s="144"/>
      <c r="X2776" s="113" t="str">
        <f t="shared" si="95"/>
        <v>1w</v>
      </c>
      <c r="Y2776" s="106">
        <f>_xll.qlCalendarAdvance(Calendar,Y2775,X2776,"f",FALSE)</f>
        <v>58677</v>
      </c>
      <c r="Z2776" s="108">
        <f>_xll.qlCalendarAdvance(Calendar,Y2776,0&amp;"D")</f>
        <v>58677</v>
      </c>
      <c r="AA2776" s="109">
        <v>9.5192303862656757E-3</v>
      </c>
      <c r="AB2776" s="143">
        <f t="shared" si="96"/>
        <v>0</v>
      </c>
      <c r="AC2776" s="236" t="e">
        <v>#N/A</v>
      </c>
      <c r="AD2776" s="236">
        <v>9.5192303862656757E-3</v>
      </c>
    </row>
    <row r="2777" spans="23:30" x14ac:dyDescent="0.2">
      <c r="W2777" s="144"/>
      <c r="X2777" s="113" t="str">
        <f t="shared" si="95"/>
        <v>1w</v>
      </c>
      <c r="Y2777" s="106">
        <f>_xll.qlCalendarAdvance(Calendar,Y2776,X2777,"f",FALSE)</f>
        <v>58684</v>
      </c>
      <c r="Z2777" s="108">
        <f>_xll.qlCalendarAdvance(Calendar,Y2777,0&amp;"D")</f>
        <v>58684</v>
      </c>
      <c r="AA2777" s="109">
        <v>9.5168901095732394E-3</v>
      </c>
      <c r="AB2777" s="143">
        <f t="shared" si="96"/>
        <v>7.9936057773011271E-14</v>
      </c>
      <c r="AC2777" s="236" t="e">
        <v>#N/A</v>
      </c>
      <c r="AD2777" s="236">
        <v>9.5168901094933034E-3</v>
      </c>
    </row>
    <row r="2778" spans="23:30" x14ac:dyDescent="0.2">
      <c r="W2778" s="144"/>
      <c r="X2778" s="113" t="str">
        <f t="shared" si="95"/>
        <v>1w</v>
      </c>
      <c r="Y2778" s="106">
        <f>_xll.qlCalendarAdvance(Calendar,Y2777,X2778,"f",FALSE)</f>
        <v>58691</v>
      </c>
      <c r="Z2778" s="108">
        <f>_xll.qlCalendarAdvance(Calendar,Y2778,0&amp;"D")</f>
        <v>58691</v>
      </c>
      <c r="AA2778" s="109">
        <v>9.5145892982717584E-3</v>
      </c>
      <c r="AB2778" s="143">
        <f t="shared" si="96"/>
        <v>-7.9936057773011271E-14</v>
      </c>
      <c r="AC2778" s="236" t="e">
        <v>#N/A</v>
      </c>
      <c r="AD2778" s="236">
        <v>9.5145892983516944E-3</v>
      </c>
    </row>
    <row r="2779" spans="23:30" x14ac:dyDescent="0.2">
      <c r="W2779" s="144"/>
      <c r="X2779" s="113" t="str">
        <f t="shared" si="95"/>
        <v>1w</v>
      </c>
      <c r="Y2779" s="106">
        <f>_xll.qlCalendarAdvance(Calendar,Y2778,X2779,"f",FALSE)</f>
        <v>58698</v>
      </c>
      <c r="Z2779" s="108">
        <f>_xll.qlCalendarAdvance(Calendar,Y2779,0&amp;"D")</f>
        <v>58698</v>
      </c>
      <c r="AA2779" s="109">
        <v>9.5123279532405292E-3</v>
      </c>
      <c r="AB2779" s="143">
        <f t="shared" si="96"/>
        <v>7.9936057773011271E-14</v>
      </c>
      <c r="AC2779" s="236" t="e">
        <v>#N/A</v>
      </c>
      <c r="AD2779" s="236">
        <v>9.5123279531605931E-3</v>
      </c>
    </row>
    <row r="2780" spans="23:30" x14ac:dyDescent="0.2">
      <c r="W2780" s="144"/>
      <c r="X2780" s="113" t="str">
        <f t="shared" si="95"/>
        <v>1w</v>
      </c>
      <c r="Y2780" s="106">
        <f>_xll.qlCalendarAdvance(Calendar,Y2779,X2780,"f",FALSE)</f>
        <v>58705</v>
      </c>
      <c r="Z2780" s="108">
        <f>_xll.qlCalendarAdvance(Calendar,Y2780,0&amp;"D")</f>
        <v>58705</v>
      </c>
      <c r="AA2780" s="109">
        <v>9.5101060736002552E-3</v>
      </c>
      <c r="AB2780" s="143">
        <f t="shared" si="96"/>
        <v>0</v>
      </c>
      <c r="AC2780" s="236" t="e">
        <v>#N/A</v>
      </c>
      <c r="AD2780" s="236">
        <v>9.5101060736002552E-3</v>
      </c>
    </row>
    <row r="2781" spans="23:30" x14ac:dyDescent="0.2">
      <c r="W2781" s="144"/>
      <c r="X2781" s="113" t="str">
        <f t="shared" si="95"/>
        <v>1w</v>
      </c>
      <c r="Y2781" s="106">
        <f>_xll.qlCalendarAdvance(Calendar,Y2780,X2781,"f",FALSE)</f>
        <v>58712</v>
      </c>
      <c r="Z2781" s="108">
        <f>_xll.qlCalendarAdvance(Calendar,Y2781,0&amp;"D")</f>
        <v>58712</v>
      </c>
      <c r="AA2781" s="109">
        <v>9.5079236598305528E-3</v>
      </c>
      <c r="AB2781" s="143">
        <f t="shared" si="96"/>
        <v>0</v>
      </c>
      <c r="AC2781" s="236" t="e">
        <v>#N/A</v>
      </c>
      <c r="AD2781" s="236">
        <v>9.5079236598305528E-3</v>
      </c>
    </row>
    <row r="2782" spans="23:30" x14ac:dyDescent="0.2">
      <c r="W2782" s="144"/>
      <c r="X2782" s="113" t="str">
        <f t="shared" si="95"/>
        <v>1w</v>
      </c>
      <c r="Y2782" s="106">
        <f>_xll.qlCalendarAdvance(Calendar,Y2781,X2782,"f",FALSE)</f>
        <v>58719</v>
      </c>
      <c r="Z2782" s="108">
        <f>_xll.qlCalendarAdvance(Calendar,Y2782,0&amp;"D")</f>
        <v>58719</v>
      </c>
      <c r="AA2782" s="109">
        <v>9.5057807118514859E-3</v>
      </c>
      <c r="AB2782" s="143">
        <f t="shared" si="96"/>
        <v>7.9936057773011271E-14</v>
      </c>
      <c r="AC2782" s="236" t="e">
        <v>#N/A</v>
      </c>
      <c r="AD2782" s="236">
        <v>9.5057807117715498E-3</v>
      </c>
    </row>
    <row r="2783" spans="23:30" x14ac:dyDescent="0.2">
      <c r="W2783" s="144"/>
      <c r="X2783" s="113" t="str">
        <f t="shared" si="95"/>
        <v>1w</v>
      </c>
      <c r="Y2783" s="106">
        <f>_xll.qlCalendarAdvance(Calendar,Y2782,X2783,"f",FALSE)</f>
        <v>58726</v>
      </c>
      <c r="Z2783" s="108">
        <f>_xll.qlCalendarAdvance(Calendar,Y2783,0&amp;"D")</f>
        <v>58726</v>
      </c>
      <c r="AA2783" s="109">
        <v>9.5036772295031824E-3</v>
      </c>
      <c r="AB2783" s="143">
        <f t="shared" si="96"/>
        <v>-7.9936057773011271E-14</v>
      </c>
      <c r="AC2783" s="236" t="e">
        <v>#N/A</v>
      </c>
      <c r="AD2783" s="236">
        <v>9.5036772295831184E-3</v>
      </c>
    </row>
    <row r="2784" spans="23:30" x14ac:dyDescent="0.2">
      <c r="W2784" s="144"/>
      <c r="X2784" s="113" t="str">
        <f t="shared" si="95"/>
        <v>1w</v>
      </c>
      <c r="Y2784" s="106">
        <f>_xll.qlCalendarAdvance(Calendar,Y2783,X2784,"f",FALSE)</f>
        <v>58733</v>
      </c>
      <c r="Z2784" s="108">
        <f>_xll.qlCalendarAdvance(Calendar,Y2784,0&amp;"D")</f>
        <v>58733</v>
      </c>
      <c r="AA2784" s="109">
        <v>9.5016132131053865E-3</v>
      </c>
      <c r="AB2784" s="143">
        <f t="shared" si="96"/>
        <v>0</v>
      </c>
      <c r="AC2784" s="236" t="e">
        <v>#N/A</v>
      </c>
      <c r="AD2784" s="236">
        <v>9.5016132131053865E-3</v>
      </c>
    </row>
    <row r="2785" spans="23:30" x14ac:dyDescent="0.2">
      <c r="W2785" s="144"/>
      <c r="X2785" s="113" t="str">
        <f t="shared" si="95"/>
        <v>1w</v>
      </c>
      <c r="Y2785" s="106">
        <f>_xll.qlCalendarAdvance(Calendar,Y2784,X2785,"f",FALSE)</f>
        <v>58740</v>
      </c>
      <c r="Z2785" s="108">
        <f>_xll.qlCalendarAdvance(Calendar,Y2785,0&amp;"D")</f>
        <v>58740</v>
      </c>
      <c r="AA2785" s="109">
        <v>9.4995886623383541E-3</v>
      </c>
      <c r="AB2785" s="143">
        <f t="shared" si="96"/>
        <v>0</v>
      </c>
      <c r="AC2785" s="236" t="e">
        <v>#N/A</v>
      </c>
      <c r="AD2785" s="236">
        <v>9.4995886623383541E-3</v>
      </c>
    </row>
    <row r="2786" spans="23:30" x14ac:dyDescent="0.2">
      <c r="W2786" s="144"/>
      <c r="X2786" s="113" t="str">
        <f t="shared" si="95"/>
        <v>1w</v>
      </c>
      <c r="Y2786" s="106">
        <f>_xll.qlCalendarAdvance(Calendar,Y2785,X2786,"f",FALSE)</f>
        <v>58747</v>
      </c>
      <c r="Z2786" s="108">
        <f>_xll.qlCalendarAdvance(Calendar,Y2786,0&amp;"D")</f>
        <v>58747</v>
      </c>
      <c r="AA2786" s="109">
        <v>9.4976035772820211E-3</v>
      </c>
      <c r="AB2786" s="143">
        <f t="shared" si="96"/>
        <v>-7.9936057773011271E-14</v>
      </c>
      <c r="AC2786" s="236" t="e">
        <v>#N/A</v>
      </c>
      <c r="AD2786" s="236">
        <v>9.4976035773619572E-3</v>
      </c>
    </row>
    <row r="2787" spans="23:30" x14ac:dyDescent="0.2">
      <c r="W2787" s="144"/>
      <c r="X2787" s="113" t="str">
        <f t="shared" si="95"/>
        <v>1w</v>
      </c>
      <c r="Y2787" s="106">
        <f>_xll.qlCalendarAdvance(Calendar,Y2786,X2787,"f",FALSE)</f>
        <v>58754</v>
      </c>
      <c r="Z2787" s="108">
        <f>_xll.qlCalendarAdvance(Calendar,Y2787,0&amp;"D")</f>
        <v>58754</v>
      </c>
      <c r="AA2787" s="109">
        <v>9.4956579581761957E-3</v>
      </c>
      <c r="AB2787" s="143">
        <f t="shared" si="96"/>
        <v>0</v>
      </c>
      <c r="AC2787" s="236" t="e">
        <v>#N/A</v>
      </c>
      <c r="AD2787" s="236">
        <v>9.4956579581761957E-3</v>
      </c>
    </row>
    <row r="2788" spans="23:30" x14ac:dyDescent="0.2">
      <c r="W2788" s="144"/>
      <c r="X2788" s="113" t="str">
        <f t="shared" si="95"/>
        <v>1w</v>
      </c>
      <c r="Y2788" s="106">
        <f>_xll.qlCalendarAdvance(Calendar,Y2787,X2788,"f",FALSE)</f>
        <v>58761</v>
      </c>
      <c r="Z2788" s="108">
        <f>_xll.qlCalendarAdvance(Calendar,Y2788,0&amp;"D")</f>
        <v>58761</v>
      </c>
      <c r="AA2788" s="109">
        <v>9.4937518046211977E-3</v>
      </c>
      <c r="AB2788" s="143">
        <f t="shared" si="96"/>
        <v>-7.9936057773011271E-14</v>
      </c>
      <c r="AC2788" s="236" t="e">
        <v>#N/A</v>
      </c>
      <c r="AD2788" s="236">
        <v>9.4937518047011338E-3</v>
      </c>
    </row>
    <row r="2789" spans="23:30" x14ac:dyDescent="0.2">
      <c r="W2789" s="144"/>
      <c r="X2789" s="113" t="str">
        <f t="shared" si="95"/>
        <v>1w</v>
      </c>
      <c r="Y2789" s="106">
        <f>_xll.qlCalendarAdvance(Calendar,Y2788,X2789,"f",FALSE)</f>
        <v>58768</v>
      </c>
      <c r="Z2789" s="108">
        <f>_xll.qlCalendarAdvance(Calendar,Y2789,0&amp;"D")</f>
        <v>58768</v>
      </c>
      <c r="AA2789" s="109">
        <v>9.4918851170966434E-3</v>
      </c>
      <c r="AB2789" s="143">
        <f t="shared" si="96"/>
        <v>0</v>
      </c>
      <c r="AC2789" s="236" t="e">
        <v>#N/A</v>
      </c>
      <c r="AD2789" s="236">
        <v>9.4918851170966434E-3</v>
      </c>
    </row>
    <row r="2790" spans="23:30" x14ac:dyDescent="0.2">
      <c r="W2790" s="144"/>
      <c r="X2790" s="113" t="str">
        <f t="shared" si="95"/>
        <v>1w</v>
      </c>
      <c r="Y2790" s="106">
        <f>_xll.qlCalendarAdvance(Calendar,Y2789,X2790,"f",FALSE)</f>
        <v>58775</v>
      </c>
      <c r="Z2790" s="108">
        <f>_xll.qlCalendarAdvance(Calendar,Y2790,0&amp;"D")</f>
        <v>58775</v>
      </c>
      <c r="AA2790" s="109">
        <v>9.4900578952028525E-3</v>
      </c>
      <c r="AB2790" s="143">
        <f t="shared" si="96"/>
        <v>7.9936057773011271E-14</v>
      </c>
      <c r="AC2790" s="236" t="e">
        <v>#N/A</v>
      </c>
      <c r="AD2790" s="236">
        <v>9.4900578951229164E-3</v>
      </c>
    </row>
    <row r="2791" spans="23:30" x14ac:dyDescent="0.2">
      <c r="W2791" s="144"/>
      <c r="X2791" s="113" t="str">
        <f t="shared" si="95"/>
        <v>1w</v>
      </c>
      <c r="Y2791" s="106">
        <f>_xll.qlCalendarAdvance(Calendar,Y2790,X2791,"f",FALSE)</f>
        <v>58782</v>
      </c>
      <c r="Z2791" s="108">
        <f>_xll.qlCalendarAdvance(Calendar,Y2791,0&amp;"D")</f>
        <v>58782</v>
      </c>
      <c r="AA2791" s="109">
        <v>9.488270139019761E-3</v>
      </c>
      <c r="AB2791" s="143">
        <f t="shared" si="96"/>
        <v>0</v>
      </c>
      <c r="AC2791" s="236" t="e">
        <v>#N/A</v>
      </c>
      <c r="AD2791" s="236">
        <v>9.488270139019761E-3</v>
      </c>
    </row>
    <row r="2792" spans="23:30" x14ac:dyDescent="0.2">
      <c r="W2792" s="144"/>
      <c r="X2792" s="113" t="str">
        <f t="shared" si="95"/>
        <v>1w</v>
      </c>
      <c r="Y2792" s="106">
        <f>_xll.qlCalendarAdvance(Calendar,Y2791,X2792,"f",FALSE)</f>
        <v>58789</v>
      </c>
      <c r="Z2792" s="108">
        <f>_xll.qlCalendarAdvance(Calendar,Y2792,0&amp;"D")</f>
        <v>58789</v>
      </c>
      <c r="AA2792" s="109">
        <v>9.486521848547369E-3</v>
      </c>
      <c r="AB2792" s="143">
        <f t="shared" si="96"/>
        <v>0</v>
      </c>
      <c r="AC2792" s="236" t="e">
        <v>#N/A</v>
      </c>
      <c r="AD2792" s="236">
        <v>9.486521848547369E-3</v>
      </c>
    </row>
    <row r="2793" spans="23:30" x14ac:dyDescent="0.2">
      <c r="W2793" s="144"/>
      <c r="X2793" s="113" t="str">
        <f t="shared" si="95"/>
        <v>1w</v>
      </c>
      <c r="Y2793" s="106">
        <f>_xll.qlCalendarAdvance(Calendar,Y2792,X2793,"f",FALSE)</f>
        <v>58796</v>
      </c>
      <c r="Z2793" s="108">
        <f>_xll.qlCalendarAdvance(Calendar,Y2793,0&amp;"D")</f>
        <v>58796</v>
      </c>
      <c r="AA2793" s="109">
        <v>9.4848130238656125E-3</v>
      </c>
      <c r="AB2793" s="143">
        <f t="shared" si="96"/>
        <v>0</v>
      </c>
      <c r="AC2793" s="236" t="e">
        <v>#N/A</v>
      </c>
      <c r="AD2793" s="236">
        <v>9.4848130238656125E-3</v>
      </c>
    </row>
    <row r="2794" spans="23:30" x14ac:dyDescent="0.2">
      <c r="W2794" s="144"/>
      <c r="X2794" s="113" t="str">
        <f t="shared" si="95"/>
        <v>1w</v>
      </c>
      <c r="Y2794" s="106">
        <f>_xll.qlCalendarAdvance(Calendar,Y2793,X2794,"f",FALSE)</f>
        <v>58803</v>
      </c>
      <c r="Z2794" s="108">
        <f>_xll.qlCalendarAdvance(Calendar,Y2794,0&amp;"D")</f>
        <v>58803</v>
      </c>
      <c r="AA2794" s="109">
        <v>9.4831436648945555E-3</v>
      </c>
      <c r="AB2794" s="143">
        <f t="shared" si="96"/>
        <v>0</v>
      </c>
      <c r="AC2794" s="236" t="e">
        <v>#N/A</v>
      </c>
      <c r="AD2794" s="236">
        <v>9.4831436648945555E-3</v>
      </c>
    </row>
    <row r="2795" spans="23:30" x14ac:dyDescent="0.2">
      <c r="W2795" s="144"/>
      <c r="X2795" s="113" t="str">
        <f t="shared" si="95"/>
        <v>1w</v>
      </c>
      <c r="Y2795" s="106">
        <f>_xll.qlCalendarAdvance(Calendar,Y2794,X2795,"f",FALSE)</f>
        <v>58810</v>
      </c>
      <c r="Z2795" s="108">
        <f>_xll.qlCalendarAdvance(Calendar,Y2795,0&amp;"D")</f>
        <v>58810</v>
      </c>
      <c r="AA2795" s="109">
        <v>9.4815137717940701E-3</v>
      </c>
      <c r="AB2795" s="143">
        <f t="shared" si="96"/>
        <v>0</v>
      </c>
      <c r="AC2795" s="236" t="e">
        <v>#N/A</v>
      </c>
      <c r="AD2795" s="236">
        <v>9.4815137717940701E-3</v>
      </c>
    </row>
    <row r="2796" spans="23:30" x14ac:dyDescent="0.2">
      <c r="W2796" s="144"/>
      <c r="X2796" s="113" t="str">
        <f t="shared" si="95"/>
        <v>1w</v>
      </c>
      <c r="Y2796" s="106">
        <f>_xll.qlCalendarAdvance(Calendar,Y2795,X2796,"f",FALSE)</f>
        <v>58817</v>
      </c>
      <c r="Z2796" s="108">
        <f>_xll.qlCalendarAdvance(Calendar,Y2796,0&amp;"D")</f>
        <v>58817</v>
      </c>
      <c r="AA2796" s="109">
        <v>9.479923344244412E-3</v>
      </c>
      <c r="AB2796" s="143">
        <f t="shared" si="96"/>
        <v>-7.9936057773011271E-14</v>
      </c>
      <c r="AC2796" s="236" t="e">
        <v>#N/A</v>
      </c>
      <c r="AD2796" s="236">
        <v>9.479923344324348E-3</v>
      </c>
    </row>
    <row r="2797" spans="23:30" x14ac:dyDescent="0.2">
      <c r="W2797" s="144"/>
      <c r="X2797" s="113" t="str">
        <f t="shared" si="95"/>
        <v>1w</v>
      </c>
      <c r="Y2797" s="106">
        <f>_xll.qlCalendarAdvance(Calendar,Y2796,X2797,"f",FALSE)</f>
        <v>58824</v>
      </c>
      <c r="Z2797" s="108">
        <f>_xll.qlCalendarAdvance(Calendar,Y2797,0&amp;"D")</f>
        <v>58824</v>
      </c>
      <c r="AA2797" s="109">
        <v>9.4783723827251976E-3</v>
      </c>
      <c r="AB2797" s="143">
        <f t="shared" si="96"/>
        <v>0</v>
      </c>
      <c r="AC2797" s="236" t="e">
        <v>#N/A</v>
      </c>
      <c r="AD2797" s="236">
        <v>9.4783723827251976E-3</v>
      </c>
    </row>
    <row r="2798" spans="23:30" x14ac:dyDescent="0.2">
      <c r="W2798" s="144"/>
      <c r="X2798" s="113" t="str">
        <f t="shared" si="95"/>
        <v>1w</v>
      </c>
      <c r="Y2798" s="106">
        <f>_xll.qlCalendarAdvance(Calendar,Y2797,X2798,"f",FALSE)</f>
        <v>58831</v>
      </c>
      <c r="Z2798" s="108">
        <f>_xll.qlCalendarAdvance(Calendar,Y2798,0&amp;"D")</f>
        <v>58831</v>
      </c>
      <c r="AA2798" s="109">
        <v>9.4768608869166826E-3</v>
      </c>
      <c r="AB2798" s="143">
        <f t="shared" si="96"/>
        <v>7.9936057773011271E-14</v>
      </c>
      <c r="AC2798" s="236" t="e">
        <v>#N/A</v>
      </c>
      <c r="AD2798" s="236">
        <v>9.4768608868367465E-3</v>
      </c>
    </row>
    <row r="2799" spans="23:30" x14ac:dyDescent="0.2">
      <c r="W2799" s="144"/>
      <c r="X2799" s="113" t="str">
        <f t="shared" si="95"/>
        <v>1w</v>
      </c>
      <c r="Y2799" s="106">
        <f>_xll.qlCalendarAdvance(Calendar,Y2798,X2799,"f",FALSE)</f>
        <v>58838</v>
      </c>
      <c r="Z2799" s="108">
        <f>_xll.qlCalendarAdvance(Calendar,Y2799,0&amp;"D")</f>
        <v>58838</v>
      </c>
      <c r="AA2799" s="109">
        <v>9.4753888567389311E-3</v>
      </c>
      <c r="AB2799" s="143">
        <f t="shared" si="96"/>
        <v>7.9936057773011271E-14</v>
      </c>
      <c r="AC2799" s="236" t="e">
        <v>#N/A</v>
      </c>
      <c r="AD2799" s="236">
        <v>9.475388856658995E-3</v>
      </c>
    </row>
    <row r="2800" spans="23:30" x14ac:dyDescent="0.2">
      <c r="W2800" s="144"/>
      <c r="X2800" s="113" t="str">
        <f t="shared" si="95"/>
        <v>1w</v>
      </c>
      <c r="Y2800" s="106">
        <f>_xll.qlCalendarAdvance(Calendar,Y2799,X2800,"f",FALSE)</f>
        <v>58845</v>
      </c>
      <c r="Z2800" s="108">
        <f>_xll.qlCalendarAdvance(Calendar,Y2800,0&amp;"D")</f>
        <v>58845</v>
      </c>
      <c r="AA2800" s="109">
        <v>9.473956292351815E-3</v>
      </c>
      <c r="AB2800" s="143">
        <f t="shared" si="96"/>
        <v>0</v>
      </c>
      <c r="AC2800" s="236" t="e">
        <v>#N/A</v>
      </c>
      <c r="AD2800" s="236">
        <v>9.473956292351815E-3</v>
      </c>
    </row>
    <row r="2801" spans="23:30" x14ac:dyDescent="0.2">
      <c r="W2801" s="144"/>
      <c r="X2801" s="113" t="str">
        <f t="shared" si="95"/>
        <v>1w</v>
      </c>
      <c r="Y2801" s="106">
        <f>_xll.qlCalendarAdvance(Calendar,Y2800,X2801,"f",FALSE)</f>
        <v>58852</v>
      </c>
      <c r="Z2801" s="108">
        <f>_xll.qlCalendarAdvance(Calendar,Y2801,0&amp;"D")</f>
        <v>58852</v>
      </c>
      <c r="AA2801" s="109">
        <v>9.4725631937553345E-3</v>
      </c>
      <c r="AB2801" s="143">
        <f t="shared" si="96"/>
        <v>7.9936057773011271E-14</v>
      </c>
      <c r="AC2801" s="236" t="e">
        <v>#N/A</v>
      </c>
      <c r="AD2801" s="236">
        <v>9.4725631936753985E-3</v>
      </c>
    </row>
    <row r="2802" spans="23:30" x14ac:dyDescent="0.2">
      <c r="W2802" s="144"/>
      <c r="X2802" s="113" t="str">
        <f t="shared" si="95"/>
        <v>1w</v>
      </c>
      <c r="Y2802" s="106">
        <f>_xll.qlCalendarAdvance(Calendar,Y2801,X2802,"f",FALSE)</f>
        <v>58859</v>
      </c>
      <c r="Z2802" s="108">
        <f>_xll.qlCalendarAdvance(Calendar,Y2802,0&amp;"D")</f>
        <v>58859</v>
      </c>
      <c r="AA2802" s="109">
        <v>9.4712095607896174E-3</v>
      </c>
      <c r="AB2802" s="143">
        <f t="shared" si="96"/>
        <v>0</v>
      </c>
      <c r="AC2802" s="236" t="e">
        <v>#N/A</v>
      </c>
      <c r="AD2802" s="236">
        <v>9.4712095607896174E-3</v>
      </c>
    </row>
    <row r="2803" spans="23:30" x14ac:dyDescent="0.2">
      <c r="W2803" s="144"/>
      <c r="X2803" s="113" t="str">
        <f t="shared" si="95"/>
        <v>1w</v>
      </c>
      <c r="Y2803" s="106">
        <f>_xll.qlCalendarAdvance(Calendar,Y2802,X2803,"f",FALSE)</f>
        <v>58866</v>
      </c>
      <c r="Z2803" s="108">
        <f>_xll.qlCalendarAdvance(Calendar,Y2803,0&amp;"D")</f>
        <v>58866</v>
      </c>
      <c r="AA2803" s="109">
        <v>9.4698953936145358E-3</v>
      </c>
      <c r="AB2803" s="143">
        <f t="shared" si="96"/>
        <v>0</v>
      </c>
      <c r="AC2803" s="236" t="e">
        <v>#N/A</v>
      </c>
      <c r="AD2803" s="236">
        <v>9.4698953936145358E-3</v>
      </c>
    </row>
    <row r="2804" spans="23:30" x14ac:dyDescent="0.2">
      <c r="W2804" s="144"/>
      <c r="X2804" s="113" t="str">
        <f t="shared" si="95"/>
        <v>1w</v>
      </c>
      <c r="Y2804" s="106">
        <f>_xll.qlCalendarAdvance(Calendar,Y2803,X2804,"f",FALSE)</f>
        <v>58873</v>
      </c>
      <c r="Z2804" s="108">
        <f>_xll.qlCalendarAdvance(Calendar,Y2804,0&amp;"D")</f>
        <v>58873</v>
      </c>
      <c r="AA2804" s="109">
        <v>9.4686206922300897E-3</v>
      </c>
      <c r="AB2804" s="143">
        <f t="shared" si="96"/>
        <v>0</v>
      </c>
      <c r="AC2804" s="236" t="e">
        <v>#N/A</v>
      </c>
      <c r="AD2804" s="236">
        <v>9.4686206922300897E-3</v>
      </c>
    </row>
    <row r="2805" spans="23:30" x14ac:dyDescent="0.2">
      <c r="W2805" s="144"/>
      <c r="X2805" s="113" t="str">
        <f t="shared" si="95"/>
        <v>1w</v>
      </c>
      <c r="Y2805" s="106">
        <f>_xll.qlCalendarAdvance(Calendar,Y2804,X2805,"f",FALSE)</f>
        <v>58880</v>
      </c>
      <c r="Z2805" s="108">
        <f>_xll.qlCalendarAdvance(Calendar,Y2805,0&amp;"D")</f>
        <v>58880</v>
      </c>
      <c r="AA2805" s="109">
        <v>9.4673854567162152E-3</v>
      </c>
      <c r="AB2805" s="143">
        <f t="shared" si="96"/>
        <v>7.9936057773011271E-14</v>
      </c>
      <c r="AC2805" s="236" t="e">
        <v>#N/A</v>
      </c>
      <c r="AD2805" s="236">
        <v>9.4673854566362792E-3</v>
      </c>
    </row>
    <row r="2806" spans="23:30" x14ac:dyDescent="0.2">
      <c r="W2806" s="144"/>
      <c r="X2806" s="113" t="str">
        <f t="shared" si="95"/>
        <v>1w</v>
      </c>
      <c r="Y2806" s="106">
        <f>_xll.qlCalendarAdvance(Calendar,Y2805,X2806,"f",FALSE)</f>
        <v>58887</v>
      </c>
      <c r="Z2806" s="108">
        <f>_xll.qlCalendarAdvance(Calendar,Y2806,0&amp;"D")</f>
        <v>58887</v>
      </c>
      <c r="AA2806" s="109">
        <v>9.4661896867531681E-3</v>
      </c>
      <c r="AB2806" s="143">
        <f t="shared" si="96"/>
        <v>0</v>
      </c>
      <c r="AC2806" s="236" t="e">
        <v>#N/A</v>
      </c>
      <c r="AD2806" s="236">
        <v>9.4661896867531681E-3</v>
      </c>
    </row>
    <row r="2807" spans="23:30" x14ac:dyDescent="0.2">
      <c r="W2807" s="144"/>
      <c r="X2807" s="113" t="str">
        <f t="shared" si="95"/>
        <v>1w</v>
      </c>
      <c r="Y2807" s="106">
        <f>_xll.qlCalendarAdvance(Calendar,Y2806,X2807,"f",FALSE)</f>
        <v>58894</v>
      </c>
      <c r="Z2807" s="108">
        <f>_xll.qlCalendarAdvance(Calendar,Y2807,0&amp;"D")</f>
        <v>58894</v>
      </c>
      <c r="AA2807" s="109">
        <v>9.4650333826606925E-3</v>
      </c>
      <c r="AB2807" s="143">
        <f t="shared" si="96"/>
        <v>0</v>
      </c>
      <c r="AC2807" s="236" t="e">
        <v>#N/A</v>
      </c>
      <c r="AD2807" s="236">
        <v>9.4650333826606925E-3</v>
      </c>
    </row>
    <row r="2808" spans="23:30" x14ac:dyDescent="0.2">
      <c r="W2808" s="144"/>
      <c r="X2808" s="113" t="str">
        <f t="shared" si="95"/>
        <v>1w</v>
      </c>
      <c r="Y2808" s="106">
        <f>_xll.qlCalendarAdvance(Calendar,Y2807,X2808,"f",FALSE)</f>
        <v>58901</v>
      </c>
      <c r="Z2808" s="108">
        <f>_xll.qlCalendarAdvance(Calendar,Y2808,0&amp;"D")</f>
        <v>58901</v>
      </c>
      <c r="AA2808" s="109">
        <v>9.4639165441989803E-3</v>
      </c>
      <c r="AB2808" s="143">
        <f t="shared" si="96"/>
        <v>-7.9936057773011271E-14</v>
      </c>
      <c r="AC2808" s="236" t="e">
        <v>#N/A</v>
      </c>
      <c r="AD2808" s="236">
        <v>9.4639165442789164E-3</v>
      </c>
    </row>
    <row r="2809" spans="23:30" x14ac:dyDescent="0.2">
      <c r="W2809" s="144"/>
      <c r="X2809" s="113" t="str">
        <f t="shared" si="95"/>
        <v>1w</v>
      </c>
      <c r="Y2809" s="106">
        <f>_xll.qlCalendarAdvance(Calendar,Y2808,X2809,"f",FALSE)</f>
        <v>58908</v>
      </c>
      <c r="Z2809" s="108">
        <f>_xll.qlCalendarAdvance(Calendar,Y2809,0&amp;"D")</f>
        <v>58908</v>
      </c>
      <c r="AA2809" s="109">
        <v>9.4628391716078397E-3</v>
      </c>
      <c r="AB2809" s="143">
        <f t="shared" si="96"/>
        <v>0</v>
      </c>
      <c r="AC2809" s="236" t="e">
        <v>#N/A</v>
      </c>
      <c r="AD2809" s="236">
        <v>9.4628391716078397E-3</v>
      </c>
    </row>
    <row r="2810" spans="23:30" x14ac:dyDescent="0.2">
      <c r="W2810" s="144"/>
      <c r="X2810" s="113" t="str">
        <f t="shared" si="95"/>
        <v>1w</v>
      </c>
      <c r="Y2810" s="106">
        <f>_xll.qlCalendarAdvance(Calendar,Y2809,X2810,"f",FALSE)</f>
        <v>58915</v>
      </c>
      <c r="Z2810" s="108">
        <f>_xll.qlCalendarAdvance(Calendar,Y2810,0&amp;"D")</f>
        <v>58915</v>
      </c>
      <c r="AA2810" s="109">
        <v>9.4618012646474625E-3</v>
      </c>
      <c r="AB2810" s="143">
        <f t="shared" si="96"/>
        <v>0</v>
      </c>
      <c r="AC2810" s="236" t="e">
        <v>#N/A</v>
      </c>
      <c r="AD2810" s="236">
        <v>9.4618012646474625E-3</v>
      </c>
    </row>
    <row r="2811" spans="23:30" x14ac:dyDescent="0.2">
      <c r="W2811" s="144"/>
      <c r="X2811" s="113" t="str">
        <f t="shared" si="95"/>
        <v>1w</v>
      </c>
      <c r="Y2811" s="106">
        <f>_xll.qlCalendarAdvance(Calendar,Y2810,X2811,"f",FALSE)</f>
        <v>58922</v>
      </c>
      <c r="Z2811" s="108">
        <f>_xll.qlCalendarAdvance(Calendar,Y2811,0&amp;"D")</f>
        <v>58922</v>
      </c>
      <c r="AA2811" s="109">
        <v>9.4608028235576569E-3</v>
      </c>
      <c r="AB2811" s="143">
        <f t="shared" si="96"/>
        <v>7.9936057773011271E-14</v>
      </c>
      <c r="AC2811" s="236" t="e">
        <v>#N/A</v>
      </c>
      <c r="AD2811" s="236">
        <v>9.4608028234777208E-3</v>
      </c>
    </row>
    <row r="2812" spans="23:30" x14ac:dyDescent="0.2">
      <c r="W2812" s="144"/>
      <c r="X2812" s="113" t="str">
        <f t="shared" si="95"/>
        <v>1w</v>
      </c>
      <c r="Y2812" s="106">
        <f>_xll.qlCalendarAdvance(Calendar,Y2811,X2812,"f",FALSE)</f>
        <v>58929</v>
      </c>
      <c r="Z2812" s="108">
        <f>_xll.qlCalendarAdvance(Calendar,Y2812,0&amp;"D")</f>
        <v>58929</v>
      </c>
      <c r="AA2812" s="109">
        <v>9.4598438481785507E-3</v>
      </c>
      <c r="AB2812" s="143">
        <f t="shared" si="96"/>
        <v>0</v>
      </c>
      <c r="AC2812" s="236" t="e">
        <v>#N/A</v>
      </c>
      <c r="AD2812" s="236">
        <v>9.4598438481785507E-3</v>
      </c>
    </row>
    <row r="2813" spans="23:30" x14ac:dyDescent="0.2">
      <c r="W2813" s="144"/>
      <c r="X2813" s="113" t="str">
        <f t="shared" si="95"/>
        <v>1w</v>
      </c>
      <c r="Y2813" s="106">
        <f>_xll.qlCalendarAdvance(Calendar,Y2812,X2813,"f",FALSE)</f>
        <v>58936</v>
      </c>
      <c r="Z2813" s="108">
        <f>_xll.qlCalendarAdvance(Calendar,Y2813,0&amp;"D")</f>
        <v>58936</v>
      </c>
      <c r="AA2813" s="109">
        <v>9.458924338510144E-3</v>
      </c>
      <c r="AB2813" s="143">
        <f t="shared" si="96"/>
        <v>7.9936057773011271E-14</v>
      </c>
      <c r="AC2813" s="236" t="e">
        <v>#N/A</v>
      </c>
      <c r="AD2813" s="236">
        <v>9.458924338430208E-3</v>
      </c>
    </row>
    <row r="2814" spans="23:30" x14ac:dyDescent="0.2">
      <c r="W2814" s="144"/>
      <c r="X2814" s="113" t="str">
        <f t="shared" si="95"/>
        <v>1w</v>
      </c>
      <c r="Y2814" s="106">
        <f>_xll.qlCalendarAdvance(Calendar,Y2813,X2814,"f",FALSE)</f>
        <v>58943</v>
      </c>
      <c r="Z2814" s="108">
        <f>_xll.qlCalendarAdvance(Calendar,Y2814,0&amp;"D")</f>
        <v>58943</v>
      </c>
      <c r="AA2814" s="109">
        <v>9.4580442946323728E-3</v>
      </c>
      <c r="AB2814" s="143">
        <f t="shared" si="96"/>
        <v>7.9936057773011271E-14</v>
      </c>
      <c r="AC2814" s="236" t="e">
        <v>#N/A</v>
      </c>
      <c r="AD2814" s="236">
        <v>9.4580442945524368E-3</v>
      </c>
    </row>
    <row r="2815" spans="23:30" x14ac:dyDescent="0.2">
      <c r="W2815" s="144"/>
      <c r="X2815" s="113" t="str">
        <f t="shared" si="95"/>
        <v>1w</v>
      </c>
      <c r="Y2815" s="106">
        <f>_xll.qlCalendarAdvance(Calendar,Y2814,X2815,"f",FALSE)</f>
        <v>58950</v>
      </c>
      <c r="Z2815" s="108">
        <f>_xll.qlCalendarAdvance(Calendar,Y2815,0&amp;"D")</f>
        <v>58950</v>
      </c>
      <c r="AA2815" s="109">
        <v>9.4572037163853651E-3</v>
      </c>
      <c r="AB2815" s="143">
        <f t="shared" si="96"/>
        <v>0</v>
      </c>
      <c r="AC2815" s="236" t="e">
        <v>#N/A</v>
      </c>
      <c r="AD2815" s="236">
        <v>9.4572037163853651E-3</v>
      </c>
    </row>
    <row r="2816" spans="23:30" x14ac:dyDescent="0.2">
      <c r="W2816" s="144"/>
      <c r="X2816" s="113" t="str">
        <f t="shared" si="95"/>
        <v>1w</v>
      </c>
      <c r="Y2816" s="106">
        <f>_xll.qlCalendarAdvance(Calendar,Y2815,X2816,"f",FALSE)</f>
        <v>58957</v>
      </c>
      <c r="Z2816" s="108">
        <f>_xll.qlCalendarAdvance(Calendar,Y2816,0&amp;"D")</f>
        <v>58957</v>
      </c>
      <c r="AA2816" s="109">
        <v>9.4564026039289928E-3</v>
      </c>
      <c r="AB2816" s="143">
        <f t="shared" si="96"/>
        <v>-7.9936057773011271E-14</v>
      </c>
      <c r="AC2816" s="236" t="e">
        <v>#N/A</v>
      </c>
      <c r="AD2816" s="236">
        <v>9.4564026040089288E-3</v>
      </c>
    </row>
    <row r="2817" spans="23:30" x14ac:dyDescent="0.2">
      <c r="W2817" s="144"/>
      <c r="X2817" s="113" t="str">
        <f t="shared" si="95"/>
        <v>1w</v>
      </c>
      <c r="Y2817" s="106">
        <f>_xll.qlCalendarAdvance(Calendar,Y2816,X2817,"f",FALSE)</f>
        <v>58964</v>
      </c>
      <c r="Z2817" s="108">
        <f>_xll.qlCalendarAdvance(Calendar,Y2817,0&amp;"D")</f>
        <v>58964</v>
      </c>
      <c r="AA2817" s="109">
        <v>9.4556409573431921E-3</v>
      </c>
      <c r="AB2817" s="143">
        <f t="shared" si="96"/>
        <v>0</v>
      </c>
      <c r="AC2817" s="236" t="e">
        <v>#N/A</v>
      </c>
      <c r="AD2817" s="236">
        <v>9.4556409573431921E-3</v>
      </c>
    </row>
    <row r="2818" spans="23:30" x14ac:dyDescent="0.2">
      <c r="W2818" s="144"/>
      <c r="X2818" s="113" t="str">
        <f t="shared" si="95"/>
        <v>1w</v>
      </c>
      <c r="Y2818" s="106">
        <f>_xll.qlCalendarAdvance(Calendar,Y2817,X2818,"f",FALSE)</f>
        <v>58971</v>
      </c>
      <c r="Z2818" s="108">
        <f>_xll.qlCalendarAdvance(Calendar,Y2818,0&amp;"D")</f>
        <v>58971</v>
      </c>
      <c r="AA2818" s="109">
        <v>9.4549187763881548E-3</v>
      </c>
      <c r="AB2818" s="143">
        <f t="shared" si="96"/>
        <v>0</v>
      </c>
      <c r="AC2818" s="236" t="e">
        <v>#N/A</v>
      </c>
      <c r="AD2818" s="236">
        <v>9.4549187763881548E-3</v>
      </c>
    </row>
    <row r="2819" spans="23:30" x14ac:dyDescent="0.2">
      <c r="W2819" s="144"/>
      <c r="X2819" s="113" t="str">
        <f t="shared" si="95"/>
        <v>1w</v>
      </c>
      <c r="Y2819" s="106">
        <f>_xll.qlCalendarAdvance(Calendar,Y2818,X2819,"f",FALSE)</f>
        <v>58978</v>
      </c>
      <c r="Z2819" s="108">
        <f>_xll.qlCalendarAdvance(Calendar,Y2819,0&amp;"D")</f>
        <v>58978</v>
      </c>
      <c r="AA2819" s="109">
        <v>9.454236061223753E-3</v>
      </c>
      <c r="AB2819" s="143">
        <f t="shared" si="96"/>
        <v>-7.9936057773011271E-14</v>
      </c>
      <c r="AC2819" s="236" t="e">
        <v>#N/A</v>
      </c>
      <c r="AD2819" s="236">
        <v>9.4542360613036891E-3</v>
      </c>
    </row>
    <row r="2820" spans="23:30" x14ac:dyDescent="0.2">
      <c r="W2820" s="144"/>
      <c r="X2820" s="113" t="str">
        <f t="shared" si="95"/>
        <v>1w</v>
      </c>
      <c r="Y2820" s="106">
        <f>_xll.qlCalendarAdvance(Calendar,Y2819,X2820,"f",FALSE)</f>
        <v>58985</v>
      </c>
      <c r="Z2820" s="108">
        <f>_xll.qlCalendarAdvance(Calendar,Y2820,0&amp;"D")</f>
        <v>58985</v>
      </c>
      <c r="AA2820" s="109">
        <v>9.4535928118499868E-3</v>
      </c>
      <c r="AB2820" s="143">
        <f t="shared" si="96"/>
        <v>0</v>
      </c>
      <c r="AC2820" s="236" t="e">
        <v>#N/A</v>
      </c>
      <c r="AD2820" s="236">
        <v>9.4535928118499868E-3</v>
      </c>
    </row>
    <row r="2821" spans="23:30" x14ac:dyDescent="0.2">
      <c r="W2821" s="144"/>
      <c r="X2821" s="113" t="str">
        <f t="shared" si="95"/>
        <v>1w</v>
      </c>
      <c r="Y2821" s="106">
        <f>_xll.qlCalendarAdvance(Calendar,Y2820,X2821,"f",FALSE)</f>
        <v>58992</v>
      </c>
      <c r="Z2821" s="108">
        <f>_xll.qlCalendarAdvance(Calendar,Y2821,0&amp;"D")</f>
        <v>58992</v>
      </c>
      <c r="AA2821" s="109">
        <v>9.45298902818692E-3</v>
      </c>
      <c r="AB2821" s="143">
        <f t="shared" si="96"/>
        <v>7.9936057773011271E-14</v>
      </c>
      <c r="AC2821" s="236" t="e">
        <v>#N/A</v>
      </c>
      <c r="AD2821" s="236">
        <v>9.4529890281069839E-3</v>
      </c>
    </row>
    <row r="2822" spans="23:30" x14ac:dyDescent="0.2">
      <c r="W2822" s="144"/>
      <c r="X2822" s="113" t="str">
        <f t="shared" si="95"/>
        <v>1w</v>
      </c>
      <c r="Y2822" s="106">
        <f>_xll.qlCalendarAdvance(Calendar,Y2821,X2822,"f",FALSE)</f>
        <v>58999</v>
      </c>
      <c r="Z2822" s="108">
        <f>_xll.qlCalendarAdvance(Calendar,Y2822,0&amp;"D")</f>
        <v>58999</v>
      </c>
      <c r="AA2822" s="109">
        <v>9.4524247101546166E-3</v>
      </c>
      <c r="AB2822" s="143">
        <f t="shared" si="96"/>
        <v>0</v>
      </c>
      <c r="AC2822" s="236" t="e">
        <v>#N/A</v>
      </c>
      <c r="AD2822" s="236">
        <v>9.4524247101546166E-3</v>
      </c>
    </row>
    <row r="2823" spans="23:30" x14ac:dyDescent="0.2">
      <c r="W2823" s="144"/>
      <c r="X2823" s="113" t="str">
        <f t="shared" si="95"/>
        <v>1w</v>
      </c>
      <c r="Y2823" s="106">
        <f>_xll.qlCalendarAdvance(Calendar,Y2822,X2823,"f",FALSE)</f>
        <v>59006</v>
      </c>
      <c r="Z2823" s="108">
        <f>_xll.qlCalendarAdvance(Calendar,Y2823,0&amp;"D")</f>
        <v>59006</v>
      </c>
      <c r="AA2823" s="109">
        <v>9.4518998579129487E-3</v>
      </c>
      <c r="AB2823" s="143">
        <f t="shared" si="96"/>
        <v>0</v>
      </c>
      <c r="AC2823" s="236" t="e">
        <v>#N/A</v>
      </c>
      <c r="AD2823" s="236">
        <v>9.4518998579129487E-3</v>
      </c>
    </row>
    <row r="2824" spans="23:30" x14ac:dyDescent="0.2">
      <c r="W2824" s="144"/>
      <c r="X2824" s="113" t="str">
        <f t="shared" si="95"/>
        <v>1w</v>
      </c>
      <c r="Y2824" s="106">
        <f>_xll.qlCalendarAdvance(Calendar,Y2823,X2824,"f",FALSE)</f>
        <v>59013</v>
      </c>
      <c r="Z2824" s="108">
        <f>_xll.qlCalendarAdvance(Calendar,Y2824,0&amp;"D")</f>
        <v>59013</v>
      </c>
      <c r="AA2824" s="109">
        <v>9.4514144715418524E-3</v>
      </c>
      <c r="AB2824" s="143">
        <f t="shared" si="96"/>
        <v>7.9936057773011271E-14</v>
      </c>
      <c r="AC2824" s="236" t="e">
        <v>#N/A</v>
      </c>
      <c r="AD2824" s="236">
        <v>9.4514144714619164E-3</v>
      </c>
    </row>
    <row r="2825" spans="23:30" x14ac:dyDescent="0.2">
      <c r="W2825" s="144"/>
      <c r="X2825" s="113" t="str">
        <f t="shared" si="95"/>
        <v>1w</v>
      </c>
      <c r="Y2825" s="106">
        <f>_xll.qlCalendarAdvance(Calendar,Y2824,X2825,"f",FALSE)</f>
        <v>59020</v>
      </c>
      <c r="Z2825" s="108">
        <f>_xll.qlCalendarAdvance(Calendar,Y2825,0&amp;"D")</f>
        <v>59020</v>
      </c>
      <c r="AA2825" s="109">
        <v>9.4509685508015195E-3</v>
      </c>
      <c r="AB2825" s="143">
        <f t="shared" si="96"/>
        <v>0</v>
      </c>
      <c r="AC2825" s="236" t="e">
        <v>#N/A</v>
      </c>
      <c r="AD2825" s="236">
        <v>9.4509685508015195E-3</v>
      </c>
    </row>
    <row r="2826" spans="23:30" x14ac:dyDescent="0.2">
      <c r="W2826" s="144"/>
      <c r="X2826" s="113" t="str">
        <f t="shared" si="95"/>
        <v>1w</v>
      </c>
      <c r="Y2826" s="106">
        <f>_xll.qlCalendarAdvance(Calendar,Y2825,X2826,"f",FALSE)</f>
        <v>59027</v>
      </c>
      <c r="Z2826" s="108">
        <f>_xll.qlCalendarAdvance(Calendar,Y2826,0&amp;"D")</f>
        <v>59027</v>
      </c>
      <c r="AA2826" s="109">
        <v>9.4505620959317582E-3</v>
      </c>
      <c r="AB2826" s="143">
        <f t="shared" si="96"/>
        <v>7.9936057773011271E-14</v>
      </c>
      <c r="AC2826" s="236" t="e">
        <v>#N/A</v>
      </c>
      <c r="AD2826" s="236">
        <v>9.4505620958518222E-3</v>
      </c>
    </row>
    <row r="2827" spans="23:30" x14ac:dyDescent="0.2">
      <c r="W2827" s="144"/>
      <c r="X2827" s="113" t="str">
        <f t="shared" si="95"/>
        <v>1w</v>
      </c>
      <c r="Y2827" s="106">
        <f>_xll.qlCalendarAdvance(Calendar,Y2826,X2827,"f",FALSE)</f>
        <v>59034</v>
      </c>
      <c r="Z2827" s="108">
        <f>_xll.qlCalendarAdvance(Calendar,Y2827,0&amp;"D")</f>
        <v>59034</v>
      </c>
      <c r="AA2827" s="109">
        <v>9.4501951065328882E-3</v>
      </c>
      <c r="AB2827" s="143">
        <f t="shared" si="96"/>
        <v>-7.9936057773011271E-14</v>
      </c>
      <c r="AC2827" s="236" t="e">
        <v>#N/A</v>
      </c>
      <c r="AD2827" s="236">
        <v>9.4501951066128242E-3</v>
      </c>
    </row>
    <row r="2828" spans="23:30" x14ac:dyDescent="0.2">
      <c r="W2828" s="144"/>
      <c r="X2828" s="113" t="str">
        <f t="shared" si="95"/>
        <v>1w</v>
      </c>
      <c r="Y2828" s="106">
        <f>_xll.qlCalendarAdvance(Calendar,Y2827,X2828,"f",FALSE)</f>
        <v>59041</v>
      </c>
      <c r="Z2828" s="108">
        <f>_xll.qlCalendarAdvance(Calendar,Y2828,0&amp;"D")</f>
        <v>59041</v>
      </c>
      <c r="AA2828" s="109">
        <v>9.4498675830045897E-3</v>
      </c>
      <c r="AB2828" s="143">
        <f t="shared" si="96"/>
        <v>-7.9936057773011271E-14</v>
      </c>
      <c r="AC2828" s="236" t="e">
        <v>#N/A</v>
      </c>
      <c r="AD2828" s="236">
        <v>9.4498675830845258E-3</v>
      </c>
    </row>
    <row r="2829" spans="23:30" x14ac:dyDescent="0.2">
      <c r="W2829" s="144"/>
      <c r="X2829" s="113" t="str">
        <f t="shared" ref="X2829:X2892" si="97">X2828</f>
        <v>1w</v>
      </c>
      <c r="Y2829" s="106">
        <f>_xll.qlCalendarAdvance(Calendar,Y2828,X2829,"f",FALSE)</f>
        <v>59048</v>
      </c>
      <c r="Z2829" s="108">
        <f>_xll.qlCalendarAdvance(Calendar,Y2829,0&amp;"D")</f>
        <v>59048</v>
      </c>
      <c r="AA2829" s="109">
        <v>9.4495795253468629E-3</v>
      </c>
      <c r="AB2829" s="143">
        <f t="shared" si="96"/>
        <v>0</v>
      </c>
      <c r="AC2829" s="236" t="e">
        <v>#N/A</v>
      </c>
      <c r="AD2829" s="236">
        <v>9.4495795253468629E-3</v>
      </c>
    </row>
    <row r="2830" spans="23:30" x14ac:dyDescent="0.2">
      <c r="W2830" s="144"/>
      <c r="X2830" s="113" t="str">
        <f t="shared" si="97"/>
        <v>1w</v>
      </c>
      <c r="Y2830" s="106">
        <f>_xll.qlCalendarAdvance(Calendar,Y2829,X2830,"f",FALSE)</f>
        <v>59055</v>
      </c>
      <c r="Z2830" s="108">
        <f>_xll.qlCalendarAdvance(Calendar,Y2830,0&amp;"D")</f>
        <v>59055</v>
      </c>
      <c r="AA2830" s="109">
        <v>9.4493309333998354E-3</v>
      </c>
      <c r="AB2830" s="143">
        <f t="shared" si="96"/>
        <v>7.9936057773011271E-14</v>
      </c>
      <c r="AC2830" s="236" t="e">
        <v>#N/A</v>
      </c>
      <c r="AD2830" s="236">
        <v>9.4493309333198994E-3</v>
      </c>
    </row>
    <row r="2831" spans="23:30" x14ac:dyDescent="0.2">
      <c r="W2831" s="144"/>
      <c r="X2831" s="113" t="str">
        <f t="shared" si="97"/>
        <v>1w</v>
      </c>
      <c r="Y2831" s="106">
        <f>_xll.qlCalendarAdvance(Calendar,Y2830,X2831,"f",FALSE)</f>
        <v>59062</v>
      </c>
      <c r="Z2831" s="108">
        <f>_xll.qlCalendarAdvance(Calendar,Y2831,0&amp;"D")</f>
        <v>59062</v>
      </c>
      <c r="AA2831" s="109">
        <v>9.4491218071635075E-3</v>
      </c>
      <c r="AB2831" s="143">
        <f t="shared" si="96"/>
        <v>0</v>
      </c>
      <c r="AC2831" s="236" t="e">
        <v>#N/A</v>
      </c>
      <c r="AD2831" s="236">
        <v>9.4491218071635075E-3</v>
      </c>
    </row>
    <row r="2832" spans="23:30" x14ac:dyDescent="0.2">
      <c r="W2832" s="144"/>
      <c r="X2832" s="113" t="str">
        <f t="shared" si="97"/>
        <v>1w</v>
      </c>
      <c r="Y2832" s="106">
        <f>_xll.qlCalendarAdvance(Calendar,Y2831,X2832,"f",FALSE)</f>
        <v>59069</v>
      </c>
      <c r="Z2832" s="108">
        <f>_xll.qlCalendarAdvance(Calendar,Y2832,0&amp;"D")</f>
        <v>59069</v>
      </c>
      <c r="AA2832" s="109">
        <v>9.4489521465579429E-3</v>
      </c>
      <c r="AB2832" s="143">
        <f t="shared" si="96"/>
        <v>0</v>
      </c>
      <c r="AC2832" s="236" t="e">
        <v>#N/A</v>
      </c>
      <c r="AD2832" s="236">
        <v>9.4489521465579429E-3</v>
      </c>
    </row>
    <row r="2833" spans="23:30" x14ac:dyDescent="0.2">
      <c r="W2833" s="144"/>
      <c r="X2833" s="113" t="str">
        <f t="shared" si="97"/>
        <v>1w</v>
      </c>
      <c r="Y2833" s="106">
        <f>_xll.qlCalendarAdvance(Calendar,Y2832,X2833,"f",FALSE)</f>
        <v>59076</v>
      </c>
      <c r="Z2833" s="108">
        <f>_xll.qlCalendarAdvance(Calendar,Y2833,0&amp;"D")</f>
        <v>59076</v>
      </c>
      <c r="AA2833" s="109">
        <v>9.4488219518229499E-3</v>
      </c>
      <c r="AB2833" s="143">
        <f t="shared" si="96"/>
        <v>0</v>
      </c>
      <c r="AC2833" s="236" t="e">
        <v>#N/A</v>
      </c>
      <c r="AD2833" s="236">
        <v>9.4488219518229499E-3</v>
      </c>
    </row>
    <row r="2834" spans="23:30" x14ac:dyDescent="0.2">
      <c r="W2834" s="144"/>
      <c r="X2834" s="113" t="str">
        <f t="shared" si="97"/>
        <v>1w</v>
      </c>
      <c r="Y2834" s="106">
        <f>_xll.qlCalendarAdvance(Calendar,Y2833,X2834,"f",FALSE)</f>
        <v>59083</v>
      </c>
      <c r="Z2834" s="108">
        <f>_xll.qlCalendarAdvance(Calendar,Y2834,0&amp;"D")</f>
        <v>59083</v>
      </c>
      <c r="AA2834" s="109">
        <v>9.4487312228785925E-3</v>
      </c>
      <c r="AB2834" s="143">
        <f t="shared" si="96"/>
        <v>0</v>
      </c>
      <c r="AC2834" s="236" t="e">
        <v>#N/A</v>
      </c>
      <c r="AD2834" s="236">
        <v>9.4487312228785925E-3</v>
      </c>
    </row>
    <row r="2835" spans="23:30" x14ac:dyDescent="0.2">
      <c r="W2835" s="144"/>
      <c r="X2835" s="113" t="str">
        <f t="shared" si="97"/>
        <v>1w</v>
      </c>
      <c r="Y2835" s="106">
        <f>_xll.qlCalendarAdvance(Calendar,Y2834,X2835,"f",FALSE)</f>
        <v>59090</v>
      </c>
      <c r="Z2835" s="108">
        <f>_xll.qlCalendarAdvance(Calendar,Y2835,0&amp;"D")</f>
        <v>59090</v>
      </c>
      <c r="AA2835" s="109">
        <v>9.4486799595649984E-3</v>
      </c>
      <c r="AB2835" s="143">
        <f t="shared" si="96"/>
        <v>0</v>
      </c>
      <c r="AC2835" s="236" t="e">
        <v>#N/A</v>
      </c>
      <c r="AD2835" s="236">
        <v>9.4486799595649984E-3</v>
      </c>
    </row>
    <row r="2836" spans="23:30" x14ac:dyDescent="0.2">
      <c r="W2836" s="144"/>
      <c r="X2836" s="113" t="str">
        <f t="shared" si="97"/>
        <v>1w</v>
      </c>
      <c r="Y2836" s="106">
        <f>_xll.qlCalendarAdvance(Calendar,Y2835,X2836,"f",FALSE)</f>
        <v>59097</v>
      </c>
      <c r="Z2836" s="108">
        <f>_xll.qlCalendarAdvance(Calendar,Y2836,0&amp;"D")</f>
        <v>59097</v>
      </c>
      <c r="AA2836" s="109">
        <v>9.4486681619621038E-3</v>
      </c>
      <c r="AB2836" s="143">
        <f t="shared" si="96"/>
        <v>0</v>
      </c>
      <c r="AC2836" s="236" t="e">
        <v>#N/A</v>
      </c>
      <c r="AD2836" s="236">
        <v>9.4486681619621038E-3</v>
      </c>
    </row>
    <row r="2837" spans="23:30" x14ac:dyDescent="0.2">
      <c r="W2837" s="144"/>
      <c r="X2837" s="113" t="str">
        <f t="shared" si="97"/>
        <v>1w</v>
      </c>
      <c r="Y2837" s="106">
        <f>_xll.qlCalendarAdvance(Calendar,Y2836,X2837,"f",FALSE)</f>
        <v>59104</v>
      </c>
      <c r="Z2837" s="108">
        <f>_xll.qlCalendarAdvance(Calendar,Y2837,0&amp;"D")</f>
        <v>59104</v>
      </c>
      <c r="AA2837" s="109">
        <v>9.4486958301498447E-3</v>
      </c>
      <c r="AB2837" s="143">
        <f t="shared" ref="AB2837:AB2900" si="98">AA2837-AD2837</f>
        <v>0</v>
      </c>
      <c r="AC2837" s="236" t="e">
        <v>#N/A</v>
      </c>
      <c r="AD2837" s="236">
        <v>9.4486958301498447E-3</v>
      </c>
    </row>
    <row r="2838" spans="23:30" x14ac:dyDescent="0.2">
      <c r="W2838" s="144"/>
      <c r="X2838" s="113" t="str">
        <f t="shared" si="97"/>
        <v>1w</v>
      </c>
      <c r="Y2838" s="106">
        <f>_xll.qlCalendarAdvance(Calendar,Y2837,X2838,"f",FALSE)</f>
        <v>59111</v>
      </c>
      <c r="Z2838" s="108">
        <f>_xll.qlCalendarAdvance(Calendar,Y2838,0&amp;"D")</f>
        <v>59111</v>
      </c>
      <c r="AA2838" s="109">
        <v>9.4487629641282211E-3</v>
      </c>
      <c r="AB2838" s="143">
        <f t="shared" si="98"/>
        <v>0</v>
      </c>
      <c r="AC2838" s="236" t="e">
        <v>#N/A</v>
      </c>
      <c r="AD2838" s="236">
        <v>9.4487629641282211E-3</v>
      </c>
    </row>
    <row r="2839" spans="23:30" x14ac:dyDescent="0.2">
      <c r="W2839" s="144"/>
      <c r="X2839" s="113" t="str">
        <f t="shared" si="97"/>
        <v>1w</v>
      </c>
      <c r="Y2839" s="106">
        <f>_xll.qlCalendarAdvance(Calendar,Y2838,X2839,"f",FALSE)</f>
        <v>59118</v>
      </c>
      <c r="Z2839" s="108">
        <f>_xll.qlCalendarAdvance(Calendar,Y2839,0&amp;"D")</f>
        <v>59118</v>
      </c>
      <c r="AA2839" s="109">
        <v>9.448869563737361E-3</v>
      </c>
      <c r="AB2839" s="143">
        <f t="shared" si="98"/>
        <v>-7.9936057773011271E-14</v>
      </c>
      <c r="AC2839" s="236" t="e">
        <v>#N/A</v>
      </c>
      <c r="AD2839" s="236">
        <v>9.448869563817297E-3</v>
      </c>
    </row>
    <row r="2840" spans="23:30" x14ac:dyDescent="0.2">
      <c r="W2840" s="144"/>
      <c r="X2840" s="113" t="str">
        <f t="shared" si="97"/>
        <v>1w</v>
      </c>
      <c r="Y2840" s="106">
        <f>_xll.qlCalendarAdvance(Calendar,Y2839,X2840,"f",FALSE)</f>
        <v>59125</v>
      </c>
      <c r="Z2840" s="108">
        <f>_xll.qlCalendarAdvance(Calendar,Y2840,0&amp;"D")</f>
        <v>59125</v>
      </c>
      <c r="AA2840" s="109">
        <v>9.4490156292970084E-3</v>
      </c>
      <c r="AB2840" s="143">
        <f t="shared" si="98"/>
        <v>0</v>
      </c>
      <c r="AC2840" s="236" t="e">
        <v>#N/A</v>
      </c>
      <c r="AD2840" s="236">
        <v>9.4490156292970084E-3</v>
      </c>
    </row>
    <row r="2841" spans="23:30" x14ac:dyDescent="0.2">
      <c r="W2841" s="144"/>
      <c r="X2841" s="113" t="str">
        <f t="shared" si="97"/>
        <v>1w</v>
      </c>
      <c r="Y2841" s="106">
        <f>_xll.qlCalendarAdvance(Calendar,Y2840,X2841,"f",FALSE)</f>
        <v>59132</v>
      </c>
      <c r="Z2841" s="108">
        <f>_xll.qlCalendarAdvance(Calendar,Y2841,0&amp;"D")</f>
        <v>59132</v>
      </c>
      <c r="AA2841" s="109">
        <v>9.4492011604874193E-3</v>
      </c>
      <c r="AB2841" s="143">
        <f t="shared" si="98"/>
        <v>7.9936057773011271E-14</v>
      </c>
      <c r="AC2841" s="236" t="e">
        <v>#N/A</v>
      </c>
      <c r="AD2841" s="236">
        <v>9.4492011604074833E-3</v>
      </c>
    </row>
    <row r="2842" spans="23:30" x14ac:dyDescent="0.2">
      <c r="W2842" s="144"/>
      <c r="X2842" s="113" t="str">
        <f t="shared" si="97"/>
        <v>1w</v>
      </c>
      <c r="Y2842" s="106">
        <f>_xll.qlCalendarAdvance(Calendar,Y2841,X2842,"f",FALSE)</f>
        <v>59139</v>
      </c>
      <c r="Z2842" s="108">
        <f>_xll.qlCalendarAdvance(Calendar,Y2842,0&amp;"D")</f>
        <v>59139</v>
      </c>
      <c r="AA2842" s="109">
        <v>9.4494261573085936E-3</v>
      </c>
      <c r="AB2842" s="143">
        <f t="shared" si="98"/>
        <v>-7.9936057773011271E-14</v>
      </c>
      <c r="AC2842" s="236" t="e">
        <v>#N/A</v>
      </c>
      <c r="AD2842" s="236">
        <v>9.4494261573885296E-3</v>
      </c>
    </row>
    <row r="2843" spans="23:30" x14ac:dyDescent="0.2">
      <c r="W2843" s="144"/>
      <c r="X2843" s="113" t="str">
        <f t="shared" si="97"/>
        <v>1w</v>
      </c>
      <c r="Y2843" s="106">
        <f>_xll.qlCalendarAdvance(Calendar,Y2842,X2843,"f",FALSE)</f>
        <v>59146</v>
      </c>
      <c r="Z2843" s="108">
        <f>_xll.qlCalendarAdvance(Calendar,Y2843,0&amp;"D")</f>
        <v>59146</v>
      </c>
      <c r="AA2843" s="109">
        <v>9.4496906199204034E-3</v>
      </c>
      <c r="AB2843" s="143">
        <f t="shared" si="98"/>
        <v>0</v>
      </c>
      <c r="AC2843" s="236" t="e">
        <v>#N/A</v>
      </c>
      <c r="AD2843" s="236">
        <v>9.4496906199204034E-3</v>
      </c>
    </row>
    <row r="2844" spans="23:30" x14ac:dyDescent="0.2">
      <c r="W2844" s="144"/>
      <c r="X2844" s="113" t="str">
        <f t="shared" si="97"/>
        <v>1w</v>
      </c>
      <c r="Y2844" s="106">
        <f>_xll.qlCalendarAdvance(Calendar,Y2843,X2844,"f",FALSE)</f>
        <v>59153</v>
      </c>
      <c r="Z2844" s="108">
        <f>_xll.qlCalendarAdvance(Calendar,Y2844,0&amp;"D")</f>
        <v>59153</v>
      </c>
      <c r="AA2844" s="109">
        <v>9.4499945484827208E-3</v>
      </c>
      <c r="AB2844" s="143">
        <f t="shared" si="98"/>
        <v>1.5987211554602254E-13</v>
      </c>
      <c r="AC2844" s="236" t="e">
        <v>#N/A</v>
      </c>
      <c r="AD2844" s="236">
        <v>9.4499945483228487E-3</v>
      </c>
    </row>
    <row r="2845" spans="23:30" x14ac:dyDescent="0.2">
      <c r="W2845" s="144"/>
      <c r="X2845" s="113" t="str">
        <f t="shared" si="97"/>
        <v>1w</v>
      </c>
      <c r="Y2845" s="106">
        <f>_xll.qlCalendarAdvance(Calendar,Y2844,X2845,"f",FALSE)</f>
        <v>59160</v>
      </c>
      <c r="Z2845" s="108">
        <f>_xll.qlCalendarAdvance(Calendar,Y2845,0&amp;"D")</f>
        <v>59160</v>
      </c>
      <c r="AA2845" s="109">
        <v>9.4503379425159295E-3</v>
      </c>
      <c r="AB2845" s="143">
        <f t="shared" si="98"/>
        <v>-7.9936057773011271E-14</v>
      </c>
      <c r="AC2845" s="236" t="e">
        <v>#N/A</v>
      </c>
      <c r="AD2845" s="236">
        <v>9.4503379425958656E-3</v>
      </c>
    </row>
    <row r="2846" spans="23:30" x14ac:dyDescent="0.2">
      <c r="W2846" s="144"/>
      <c r="X2846" s="113" t="str">
        <f t="shared" si="97"/>
        <v>1w</v>
      </c>
      <c r="Y2846" s="106">
        <f>_xll.qlCalendarAdvance(Calendar,Y2845,X2846,"f",FALSE)</f>
        <v>59167</v>
      </c>
      <c r="Z2846" s="108">
        <f>_xll.qlCalendarAdvance(Calendar,Y2846,0&amp;"D")</f>
        <v>59167</v>
      </c>
      <c r="AA2846" s="109">
        <v>9.4507208024197098E-3</v>
      </c>
      <c r="AB2846" s="143">
        <f t="shared" si="98"/>
        <v>0</v>
      </c>
      <c r="AC2846" s="236" t="e">
        <v>#N/A</v>
      </c>
      <c r="AD2846" s="236">
        <v>9.4507208024197098E-3</v>
      </c>
    </row>
    <row r="2847" spans="23:30" x14ac:dyDescent="0.2">
      <c r="W2847" s="144"/>
      <c r="X2847" s="113" t="str">
        <f t="shared" si="97"/>
        <v>1w</v>
      </c>
      <c r="Y2847" s="106">
        <f>_xll.qlCalendarAdvance(Calendar,Y2846,X2847,"f",FALSE)</f>
        <v>59174</v>
      </c>
      <c r="Z2847" s="108">
        <f>_xll.qlCalendarAdvance(Calendar,Y2847,0&amp;"D")</f>
        <v>59174</v>
      </c>
      <c r="AA2847" s="109">
        <v>9.4511431280341895E-3</v>
      </c>
      <c r="AB2847" s="143">
        <f t="shared" si="98"/>
        <v>0</v>
      </c>
      <c r="AC2847" s="236" t="e">
        <v>#N/A</v>
      </c>
      <c r="AD2847" s="236">
        <v>9.4511431280341895E-3</v>
      </c>
    </row>
    <row r="2848" spans="23:30" x14ac:dyDescent="0.2">
      <c r="W2848" s="144"/>
      <c r="X2848" s="113" t="str">
        <f t="shared" si="97"/>
        <v>1w</v>
      </c>
      <c r="Y2848" s="106">
        <f>_xll.qlCalendarAdvance(Calendar,Y2847,X2848,"f",FALSE)</f>
        <v>59181</v>
      </c>
      <c r="Z2848" s="108">
        <f>_xll.qlCalendarAdvance(Calendar,Y2848,0&amp;"D")</f>
        <v>59181</v>
      </c>
      <c r="AA2848" s="109">
        <v>9.4516049195192409E-3</v>
      </c>
      <c r="AB2848" s="143">
        <f t="shared" si="98"/>
        <v>7.9936057773011271E-14</v>
      </c>
      <c r="AC2848" s="236" t="e">
        <v>#N/A</v>
      </c>
      <c r="AD2848" s="236">
        <v>9.4516049194393048E-3</v>
      </c>
    </row>
    <row r="2849" spans="23:30" x14ac:dyDescent="0.2">
      <c r="W2849" s="144"/>
      <c r="X2849" s="113" t="str">
        <f t="shared" si="97"/>
        <v>1w</v>
      </c>
      <c r="Y2849" s="106">
        <f>_xll.qlCalendarAdvance(Calendar,Y2848,X2849,"f",FALSE)</f>
        <v>59188</v>
      </c>
      <c r="Z2849" s="108">
        <f>_xll.qlCalendarAdvance(Calendar,Y2849,0&amp;"D")</f>
        <v>59188</v>
      </c>
      <c r="AA2849" s="109">
        <v>9.4521061764751835E-3</v>
      </c>
      <c r="AB2849" s="143">
        <f t="shared" si="98"/>
        <v>0</v>
      </c>
      <c r="AC2849" s="236" t="e">
        <v>#N/A</v>
      </c>
      <c r="AD2849" s="236">
        <v>9.4521061764751835E-3</v>
      </c>
    </row>
    <row r="2850" spans="23:30" x14ac:dyDescent="0.2">
      <c r="W2850" s="144"/>
      <c r="X2850" s="113" t="str">
        <f t="shared" si="97"/>
        <v>1w</v>
      </c>
      <c r="Y2850" s="106">
        <f>_xll.qlCalendarAdvance(Calendar,Y2849,X2850,"f",FALSE)</f>
        <v>59195</v>
      </c>
      <c r="Z2850" s="108">
        <f>_xll.qlCalendarAdvance(Calendar,Y2850,0&amp;"D")</f>
        <v>59195</v>
      </c>
      <c r="AA2850" s="109">
        <v>9.4526468994615698E-3</v>
      </c>
      <c r="AB2850" s="143">
        <f t="shared" si="98"/>
        <v>7.9936057773011271E-14</v>
      </c>
      <c r="AC2850" s="236" t="e">
        <v>#N/A</v>
      </c>
      <c r="AD2850" s="236">
        <v>9.4526468993816337E-3</v>
      </c>
    </row>
    <row r="2851" spans="23:30" x14ac:dyDescent="0.2">
      <c r="W2851" s="144"/>
      <c r="X2851" s="113" t="str">
        <f t="shared" si="97"/>
        <v>1w</v>
      </c>
      <c r="Y2851" s="106">
        <f>_xll.qlCalendarAdvance(Calendar,Y2850,X2851,"f",FALSE)</f>
        <v>59202</v>
      </c>
      <c r="Z2851" s="108">
        <f>_xll.qlCalendarAdvance(Calendar,Y2851,0&amp;"D")</f>
        <v>59202</v>
      </c>
      <c r="AA2851" s="109">
        <v>9.4532270879987834E-3</v>
      </c>
      <c r="AB2851" s="143">
        <f t="shared" si="98"/>
        <v>0</v>
      </c>
      <c r="AC2851" s="236" t="e">
        <v>#N/A</v>
      </c>
      <c r="AD2851" s="236">
        <v>9.4532270879987834E-3</v>
      </c>
    </row>
    <row r="2852" spans="23:30" x14ac:dyDescent="0.2">
      <c r="W2852" s="144"/>
      <c r="X2852" s="113" t="str">
        <f t="shared" si="97"/>
        <v>1w</v>
      </c>
      <c r="Y2852" s="106">
        <f>_xll.qlCalendarAdvance(Calendar,Y2851,X2852,"f",FALSE)</f>
        <v>59209</v>
      </c>
      <c r="Z2852" s="108">
        <f>_xll.qlCalendarAdvance(Calendar,Y2852,0&amp;"D")</f>
        <v>59209</v>
      </c>
      <c r="AA2852" s="109">
        <v>9.4538467424865047E-3</v>
      </c>
      <c r="AB2852" s="143">
        <f t="shared" si="98"/>
        <v>0</v>
      </c>
      <c r="AC2852" s="236" t="e">
        <v>#N/A</v>
      </c>
      <c r="AD2852" s="236">
        <v>9.4538467424865047E-3</v>
      </c>
    </row>
    <row r="2853" spans="23:30" x14ac:dyDescent="0.2">
      <c r="W2853" s="144"/>
      <c r="X2853" s="113" t="str">
        <f t="shared" si="97"/>
        <v>1w</v>
      </c>
      <c r="Y2853" s="106">
        <f>_xll.qlCalendarAdvance(Calendar,Y2852,X2853,"f",FALSE)</f>
        <v>59216</v>
      </c>
      <c r="Z2853" s="108">
        <f>_xll.qlCalendarAdvance(Calendar,Y2853,0&amp;"D")</f>
        <v>59216</v>
      </c>
      <c r="AA2853" s="109">
        <v>9.4545058624451173E-3</v>
      </c>
      <c r="AB2853" s="143">
        <f t="shared" si="98"/>
        <v>0</v>
      </c>
      <c r="AC2853" s="236" t="e">
        <v>#N/A</v>
      </c>
      <c r="AD2853" s="236">
        <v>9.4545058624451173E-3</v>
      </c>
    </row>
    <row r="2854" spans="23:30" x14ac:dyDescent="0.2">
      <c r="W2854" s="144"/>
      <c r="X2854" s="113" t="str">
        <f t="shared" si="97"/>
        <v>1w</v>
      </c>
      <c r="Y2854" s="106">
        <f>_xll.qlCalendarAdvance(Calendar,Y2853,X2854,"f",FALSE)</f>
        <v>59223</v>
      </c>
      <c r="Z2854" s="108">
        <f>_xll.qlCalendarAdvance(Calendar,Y2854,0&amp;"D")</f>
        <v>59223</v>
      </c>
      <c r="AA2854" s="109">
        <v>9.4552044481943653E-3</v>
      </c>
      <c r="AB2854" s="143">
        <f t="shared" si="98"/>
        <v>-7.9936057773011271E-14</v>
      </c>
      <c r="AC2854" s="236" t="e">
        <v>#N/A</v>
      </c>
      <c r="AD2854" s="236">
        <v>9.4552044482743014E-3</v>
      </c>
    </row>
    <row r="2855" spans="23:30" x14ac:dyDescent="0.2">
      <c r="W2855" s="144"/>
      <c r="X2855" s="113" t="str">
        <f t="shared" si="97"/>
        <v>1w</v>
      </c>
      <c r="Y2855" s="106">
        <f>_xll.qlCalendarAdvance(Calendar,Y2854,X2855,"f",FALSE)</f>
        <v>59230</v>
      </c>
      <c r="Z2855" s="108">
        <f>_xll.qlCalendarAdvance(Calendar,Y2855,0&amp;"D")</f>
        <v>59230</v>
      </c>
      <c r="AA2855" s="109">
        <v>9.4559425000539932E-3</v>
      </c>
      <c r="AB2855" s="143">
        <f t="shared" si="98"/>
        <v>7.9936057773011271E-14</v>
      </c>
      <c r="AC2855" s="236" t="e">
        <v>#N/A</v>
      </c>
      <c r="AD2855" s="236">
        <v>9.4559424999740571E-3</v>
      </c>
    </row>
    <row r="2856" spans="23:30" x14ac:dyDescent="0.2">
      <c r="W2856" s="144"/>
      <c r="X2856" s="113" t="str">
        <f t="shared" si="97"/>
        <v>1w</v>
      </c>
      <c r="Y2856" s="106">
        <f>_xll.qlCalendarAdvance(Calendar,Y2855,X2856,"f",FALSE)</f>
        <v>59237</v>
      </c>
      <c r="Z2856" s="108">
        <f>_xll.qlCalendarAdvance(Calendar,Y2856,0&amp;"D")</f>
        <v>59237</v>
      </c>
      <c r="AA2856" s="109">
        <v>9.4567200173045762E-3</v>
      </c>
      <c r="AB2856" s="143">
        <f t="shared" si="98"/>
        <v>1.5987211554602254E-13</v>
      </c>
      <c r="AC2856" s="236" t="e">
        <v>#N/A</v>
      </c>
      <c r="AD2856" s="236">
        <v>9.4567200171447041E-3</v>
      </c>
    </row>
    <row r="2857" spans="23:30" x14ac:dyDescent="0.2">
      <c r="W2857" s="144"/>
      <c r="X2857" s="113" t="str">
        <f t="shared" si="97"/>
        <v>1w</v>
      </c>
      <c r="Y2857" s="106">
        <f>_xll.qlCalendarAdvance(Calendar,Y2856,X2857,"f",FALSE)</f>
        <v>59244</v>
      </c>
      <c r="Z2857" s="108">
        <f>_xll.qlCalendarAdvance(Calendar,Y2857,0&amp;"D")</f>
        <v>59244</v>
      </c>
      <c r="AA2857" s="109">
        <v>9.4575370001859227E-3</v>
      </c>
      <c r="AB2857" s="143">
        <f t="shared" si="98"/>
        <v>-7.9936057773011271E-14</v>
      </c>
      <c r="AC2857" s="236" t="e">
        <v>#N/A</v>
      </c>
      <c r="AD2857" s="236">
        <v>9.4575370002658588E-3</v>
      </c>
    </row>
    <row r="2858" spans="23:30" x14ac:dyDescent="0.2">
      <c r="W2858" s="144"/>
      <c r="X2858" s="113" t="str">
        <f t="shared" si="97"/>
        <v>1w</v>
      </c>
      <c r="Y2858" s="106">
        <f>_xll.qlCalendarAdvance(Calendar,Y2857,X2858,"f",FALSE)</f>
        <v>59251</v>
      </c>
      <c r="Z2858" s="108">
        <f>_xll.qlCalendarAdvance(Calendar,Y2858,0&amp;"D")</f>
        <v>59251</v>
      </c>
      <c r="AA2858" s="109">
        <v>9.4583934490177768E-3</v>
      </c>
      <c r="AB2858" s="143">
        <f t="shared" si="98"/>
        <v>-7.9936057773011271E-14</v>
      </c>
      <c r="AC2858" s="236" t="e">
        <v>#N/A</v>
      </c>
      <c r="AD2858" s="236">
        <v>9.4583934490977128E-3</v>
      </c>
    </row>
    <row r="2859" spans="23:30" x14ac:dyDescent="0.2">
      <c r="W2859" s="144"/>
      <c r="X2859" s="113" t="str">
        <f t="shared" si="97"/>
        <v>1w</v>
      </c>
      <c r="Y2859" s="106">
        <f>_xll.qlCalendarAdvance(Calendar,Y2858,X2859,"f",FALSE)</f>
        <v>59258</v>
      </c>
      <c r="Z2859" s="108">
        <f>_xll.qlCalendarAdvance(Calendar,Y2859,0&amp;"D")</f>
        <v>59258</v>
      </c>
      <c r="AA2859" s="109">
        <v>9.4592893636402664E-3</v>
      </c>
      <c r="AB2859" s="143">
        <f t="shared" si="98"/>
        <v>-7.9936057773011271E-14</v>
      </c>
      <c r="AC2859" s="236" t="e">
        <v>#N/A</v>
      </c>
      <c r="AD2859" s="236">
        <v>9.4592893637202025E-3</v>
      </c>
    </row>
    <row r="2860" spans="23:30" x14ac:dyDescent="0.2">
      <c r="W2860" s="144"/>
      <c r="X2860" s="113" t="str">
        <f t="shared" si="97"/>
        <v>1w</v>
      </c>
      <c r="Y2860" s="106">
        <f>_xll.qlCalendarAdvance(Calendar,Y2859,X2860,"f",FALSE)</f>
        <v>59265</v>
      </c>
      <c r="Z2860" s="108">
        <f>_xll.qlCalendarAdvance(Calendar,Y2860,0&amp;"D")</f>
        <v>59265</v>
      </c>
      <c r="AA2860" s="109">
        <v>9.4602247439734555E-3</v>
      </c>
      <c r="AB2860" s="143">
        <f t="shared" si="98"/>
        <v>-7.9936057773011271E-14</v>
      </c>
      <c r="AC2860" s="236" t="e">
        <v>#N/A</v>
      </c>
      <c r="AD2860" s="236">
        <v>9.4602247440533915E-3</v>
      </c>
    </row>
    <row r="2861" spans="23:30" x14ac:dyDescent="0.2">
      <c r="W2861" s="144"/>
      <c r="X2861" s="113" t="str">
        <f t="shared" si="97"/>
        <v>1w</v>
      </c>
      <c r="Y2861" s="106">
        <f>_xll.qlCalendarAdvance(Calendar,Y2860,X2861,"f",FALSE)</f>
        <v>59272</v>
      </c>
      <c r="Z2861" s="108">
        <f>_xll.qlCalendarAdvance(Calendar,Y2861,0&amp;"D")</f>
        <v>59272</v>
      </c>
      <c r="AA2861" s="109">
        <v>9.461199590017344E-3</v>
      </c>
      <c r="AB2861" s="143">
        <f t="shared" si="98"/>
        <v>-7.9936057773011271E-14</v>
      </c>
      <c r="AC2861" s="236" t="e">
        <v>#N/A</v>
      </c>
      <c r="AD2861" s="236">
        <v>9.4611995900972801E-3</v>
      </c>
    </row>
    <row r="2862" spans="23:30" x14ac:dyDescent="0.2">
      <c r="W2862" s="144"/>
      <c r="X2862" s="113" t="str">
        <f t="shared" si="97"/>
        <v>1w</v>
      </c>
      <c r="Y2862" s="106">
        <f>_xll.qlCalendarAdvance(Calendar,Y2861,X2862,"f",FALSE)</f>
        <v>59279</v>
      </c>
      <c r="Z2862" s="108">
        <f>_xll.qlCalendarAdvance(Calendar,Y2862,0&amp;"D")</f>
        <v>59279</v>
      </c>
      <c r="AA2862" s="109">
        <v>9.4622139019318041E-3</v>
      </c>
      <c r="AB2862" s="143">
        <f t="shared" si="98"/>
        <v>0</v>
      </c>
      <c r="AC2862" s="236" t="e">
        <v>#N/A</v>
      </c>
      <c r="AD2862" s="236">
        <v>9.4622139019318041E-3</v>
      </c>
    </row>
    <row r="2863" spans="23:30" x14ac:dyDescent="0.2">
      <c r="W2863" s="144"/>
      <c r="X2863" s="113" t="str">
        <f t="shared" si="97"/>
        <v>1w</v>
      </c>
      <c r="Y2863" s="106">
        <f>_xll.qlCalendarAdvance(Calendar,Y2862,X2863,"f",FALSE)</f>
        <v>59286</v>
      </c>
      <c r="Z2863" s="108">
        <f>_xll.qlCalendarAdvance(Calendar,Y2863,0&amp;"D")</f>
        <v>59286</v>
      </c>
      <c r="AA2863" s="109">
        <v>9.4632676795569637E-3</v>
      </c>
      <c r="AB2863" s="143">
        <f t="shared" si="98"/>
        <v>7.9936057773011271E-14</v>
      </c>
      <c r="AC2863" s="236" t="e">
        <v>#N/A</v>
      </c>
      <c r="AD2863" s="236">
        <v>9.4632676794770276E-3</v>
      </c>
    </row>
    <row r="2864" spans="23:30" x14ac:dyDescent="0.2">
      <c r="W2864" s="144"/>
      <c r="X2864" s="113" t="str">
        <f t="shared" si="97"/>
        <v>1w</v>
      </c>
      <c r="Y2864" s="106">
        <f>_xll.qlCalendarAdvance(Calendar,Y2863,X2864,"f",FALSE)</f>
        <v>59293</v>
      </c>
      <c r="Z2864" s="108">
        <f>_xll.qlCalendarAdvance(Calendar,Y2864,0&amp;"D")</f>
        <v>59293</v>
      </c>
      <c r="AA2864" s="109">
        <v>9.4643609228128867E-3</v>
      </c>
      <c r="AB2864" s="143">
        <f t="shared" si="98"/>
        <v>0</v>
      </c>
      <c r="AC2864" s="236" t="e">
        <v>#N/A</v>
      </c>
      <c r="AD2864" s="236">
        <v>9.4643609228128867E-3</v>
      </c>
    </row>
    <row r="2865" spans="23:30" x14ac:dyDescent="0.2">
      <c r="W2865" s="144"/>
      <c r="X2865" s="113" t="str">
        <f t="shared" si="97"/>
        <v>1w</v>
      </c>
      <c r="Y2865" s="106">
        <f>_xll.qlCalendarAdvance(Calendar,Y2864,X2865,"f",FALSE)</f>
        <v>59300</v>
      </c>
      <c r="Z2865" s="108">
        <f>_xll.qlCalendarAdvance(Calendar,Y2865,0&amp;"D")</f>
        <v>59300</v>
      </c>
      <c r="AA2865" s="109">
        <v>9.4654936317795091E-3</v>
      </c>
      <c r="AB2865" s="143">
        <f t="shared" si="98"/>
        <v>0</v>
      </c>
      <c r="AC2865" s="236" t="e">
        <v>#N/A</v>
      </c>
      <c r="AD2865" s="236">
        <v>9.4654936317795091E-3</v>
      </c>
    </row>
    <row r="2866" spans="23:30" x14ac:dyDescent="0.2">
      <c r="W2866" s="144"/>
      <c r="X2866" s="113" t="str">
        <f t="shared" si="97"/>
        <v>1w</v>
      </c>
      <c r="Y2866" s="106">
        <f>_xll.qlCalendarAdvance(Calendar,Y2865,X2866,"f",FALSE)</f>
        <v>59307</v>
      </c>
      <c r="Z2866" s="108">
        <f>_xll.qlCalendarAdvance(Calendar,Y2866,0&amp;"D")</f>
        <v>59307</v>
      </c>
      <c r="AA2866" s="109">
        <v>9.4666658066167031E-3</v>
      </c>
      <c r="AB2866" s="143">
        <f t="shared" si="98"/>
        <v>-7.9936057773011271E-14</v>
      </c>
      <c r="AC2866" s="236" t="e">
        <v>#N/A</v>
      </c>
      <c r="AD2866" s="236">
        <v>9.4666658066966392E-3</v>
      </c>
    </row>
    <row r="2867" spans="23:30" x14ac:dyDescent="0.2">
      <c r="W2867" s="144"/>
      <c r="X2867" s="113" t="str">
        <f t="shared" si="97"/>
        <v>1w</v>
      </c>
      <c r="Y2867" s="106">
        <f>_xll.qlCalendarAdvance(Calendar,Y2866,X2867,"f",FALSE)</f>
        <v>59314</v>
      </c>
      <c r="Z2867" s="108">
        <f>_xll.qlCalendarAdvance(Calendar,Y2867,0&amp;"D")</f>
        <v>59314</v>
      </c>
      <c r="AA2867" s="109">
        <v>9.4678774473244687E-3</v>
      </c>
      <c r="AB2867" s="143">
        <f t="shared" si="98"/>
        <v>7.9936057773011271E-14</v>
      </c>
      <c r="AC2867" s="236" t="e">
        <v>#N/A</v>
      </c>
      <c r="AD2867" s="236">
        <v>9.4678774472445326E-3</v>
      </c>
    </row>
    <row r="2868" spans="23:30" x14ac:dyDescent="0.2">
      <c r="W2868" s="144"/>
      <c r="X2868" s="113" t="str">
        <f t="shared" si="97"/>
        <v>1w</v>
      </c>
      <c r="Y2868" s="106">
        <f>_xll.qlCalendarAdvance(Calendar,Y2867,X2868,"f",FALSE)</f>
        <v>59321</v>
      </c>
      <c r="Z2868" s="108">
        <f>_xll.qlCalendarAdvance(Calendar,Y2868,0&amp;"D")</f>
        <v>59321</v>
      </c>
      <c r="AA2868" s="109">
        <v>9.4691285535031255E-3</v>
      </c>
      <c r="AB2868" s="143">
        <f t="shared" si="98"/>
        <v>0</v>
      </c>
      <c r="AC2868" s="236" t="e">
        <v>#N/A</v>
      </c>
      <c r="AD2868" s="236">
        <v>9.4691285535031255E-3</v>
      </c>
    </row>
    <row r="2869" spans="23:30" x14ac:dyDescent="0.2">
      <c r="W2869" s="144"/>
      <c r="X2869" s="113" t="str">
        <f t="shared" si="97"/>
        <v>1w</v>
      </c>
      <c r="Y2869" s="106">
        <f>_xll.qlCalendarAdvance(Calendar,Y2868,X2869,"f",FALSE)</f>
        <v>59328</v>
      </c>
      <c r="Z2869" s="108">
        <f>_xll.qlCalendarAdvance(Calendar,Y2869,0&amp;"D")</f>
        <v>59328</v>
      </c>
      <c r="AA2869" s="109">
        <v>9.470419125552354E-3</v>
      </c>
      <c r="AB2869" s="143">
        <f t="shared" si="98"/>
        <v>0</v>
      </c>
      <c r="AC2869" s="236" t="e">
        <v>#N/A</v>
      </c>
      <c r="AD2869" s="236">
        <v>9.470419125552354E-3</v>
      </c>
    </row>
    <row r="2870" spans="23:30" x14ac:dyDescent="0.2">
      <c r="W2870" s="144"/>
      <c r="X2870" s="113" t="str">
        <f t="shared" si="97"/>
        <v>1w</v>
      </c>
      <c r="Y2870" s="106">
        <f>_xll.qlCalendarAdvance(Calendar,Y2869,X2870,"f",FALSE)</f>
        <v>59335</v>
      </c>
      <c r="Z2870" s="108">
        <f>_xll.qlCalendarAdvance(Calendar,Y2870,0&amp;"D")</f>
        <v>59335</v>
      </c>
      <c r="AA2870" s="109">
        <v>9.471749163392218E-3</v>
      </c>
      <c r="AB2870" s="143">
        <f t="shared" si="98"/>
        <v>0</v>
      </c>
      <c r="AC2870" s="236" t="e">
        <v>#N/A</v>
      </c>
      <c r="AD2870" s="236">
        <v>9.471749163392218E-3</v>
      </c>
    </row>
    <row r="2871" spans="23:30" x14ac:dyDescent="0.2">
      <c r="W2871" s="144"/>
      <c r="X2871" s="113" t="str">
        <f t="shared" si="97"/>
        <v>1w</v>
      </c>
      <c r="Y2871" s="106">
        <f>_xll.qlCalendarAdvance(Calendar,Y2870,X2871,"f",FALSE)</f>
        <v>59342</v>
      </c>
      <c r="Z2871" s="108">
        <f>_xll.qlCalendarAdvance(Calendar,Y2871,0&amp;"D")</f>
        <v>59342</v>
      </c>
      <c r="AA2871" s="109">
        <v>9.4731186669427814E-3</v>
      </c>
      <c r="AB2871" s="143">
        <f t="shared" si="98"/>
        <v>0</v>
      </c>
      <c r="AC2871" s="236" t="e">
        <v>#N/A</v>
      </c>
      <c r="AD2871" s="236">
        <v>9.4731186669427814E-3</v>
      </c>
    </row>
    <row r="2872" spans="23:30" x14ac:dyDescent="0.2">
      <c r="W2872" s="144"/>
      <c r="X2872" s="113" t="str">
        <f t="shared" si="97"/>
        <v>1w</v>
      </c>
      <c r="Y2872" s="106">
        <f>_xll.qlCalendarAdvance(Calendar,Y2871,X2872,"f",FALSE)</f>
        <v>59349</v>
      </c>
      <c r="Z2872" s="108">
        <f>_xll.qlCalendarAdvance(Calendar,Y2872,0&amp;"D")</f>
        <v>59349</v>
      </c>
      <c r="AA2872" s="109">
        <v>9.4745276362040443E-3</v>
      </c>
      <c r="AB2872" s="143">
        <f t="shared" si="98"/>
        <v>0</v>
      </c>
      <c r="AC2872" s="236" t="e">
        <v>#N/A</v>
      </c>
      <c r="AD2872" s="236">
        <v>9.4745276362040443E-3</v>
      </c>
    </row>
    <row r="2873" spans="23:30" x14ac:dyDescent="0.2">
      <c r="W2873" s="144"/>
      <c r="X2873" s="113" t="str">
        <f t="shared" si="97"/>
        <v>1w</v>
      </c>
      <c r="Y2873" s="106">
        <f>_xll.qlCalendarAdvance(Calendar,Y2872,X2873,"f",FALSE)</f>
        <v>59356</v>
      </c>
      <c r="Z2873" s="108">
        <f>_xll.qlCalendarAdvance(Calendar,Y2873,0&amp;"D")</f>
        <v>59356</v>
      </c>
      <c r="AA2873" s="109">
        <v>9.4759760712559427E-3</v>
      </c>
      <c r="AB2873" s="143">
        <f t="shared" si="98"/>
        <v>0</v>
      </c>
      <c r="AC2873" s="236" t="e">
        <v>#N/A</v>
      </c>
      <c r="AD2873" s="236">
        <v>9.4759760712559427E-3</v>
      </c>
    </row>
    <row r="2874" spans="23:30" x14ac:dyDescent="0.2">
      <c r="W2874" s="144"/>
      <c r="X2874" s="113" t="str">
        <f t="shared" si="97"/>
        <v>1w</v>
      </c>
      <c r="Y2874" s="106">
        <f>_xll.qlCalendarAdvance(Calendar,Y2873,X2874,"f",FALSE)</f>
        <v>59363</v>
      </c>
      <c r="Z2874" s="108">
        <f>_xll.qlCalendarAdvance(Calendar,Y2874,0&amp;"D")</f>
        <v>59363</v>
      </c>
      <c r="AA2874" s="109">
        <v>9.4774639721784126E-3</v>
      </c>
      <c r="AB2874" s="143">
        <f t="shared" si="98"/>
        <v>7.9936057773011271E-14</v>
      </c>
      <c r="AC2874" s="236" t="e">
        <v>#N/A</v>
      </c>
      <c r="AD2874" s="236">
        <v>9.4774639720984766E-3</v>
      </c>
    </row>
    <row r="2875" spans="23:30" x14ac:dyDescent="0.2">
      <c r="W2875" s="144"/>
      <c r="X2875" s="113" t="str">
        <f t="shared" si="97"/>
        <v>1w</v>
      </c>
      <c r="Y2875" s="106">
        <f>_xll.qlCalendarAdvance(Calendar,Y2874,X2875,"f",FALSE)</f>
        <v>59370</v>
      </c>
      <c r="Z2875" s="108">
        <f>_xll.qlCalendarAdvance(Calendar,Y2875,0&amp;"D")</f>
        <v>59370</v>
      </c>
      <c r="AA2875" s="109">
        <v>9.47899133865171E-3</v>
      </c>
      <c r="AB2875" s="143">
        <f t="shared" si="98"/>
        <v>0</v>
      </c>
      <c r="AC2875" s="236" t="e">
        <v>#N/A</v>
      </c>
      <c r="AD2875" s="236">
        <v>9.47899133865171E-3</v>
      </c>
    </row>
    <row r="2876" spans="23:30" x14ac:dyDescent="0.2">
      <c r="W2876" s="144"/>
      <c r="X2876" s="113" t="str">
        <f t="shared" si="97"/>
        <v>1w</v>
      </c>
      <c r="Y2876" s="106">
        <f>_xll.qlCalendarAdvance(Calendar,Y2875,X2876,"f",FALSE)</f>
        <v>59377</v>
      </c>
      <c r="Z2876" s="108">
        <f>_xll.qlCalendarAdvance(Calendar,Y2876,0&amp;"D")</f>
        <v>59377</v>
      </c>
      <c r="AA2876" s="109">
        <v>9.4805581709955788E-3</v>
      </c>
      <c r="AB2876" s="143">
        <f t="shared" si="98"/>
        <v>0</v>
      </c>
      <c r="AC2876" s="236" t="e">
        <v>#N/A</v>
      </c>
      <c r="AD2876" s="236">
        <v>9.4805581709955788E-3</v>
      </c>
    </row>
    <row r="2877" spans="23:30" x14ac:dyDescent="0.2">
      <c r="W2877" s="144"/>
      <c r="X2877" s="113" t="str">
        <f t="shared" si="97"/>
        <v>1w</v>
      </c>
      <c r="Y2877" s="106">
        <f>_xll.qlCalendarAdvance(Calendar,Y2876,X2877,"f",FALSE)</f>
        <v>59384</v>
      </c>
      <c r="Z2877" s="108">
        <f>_xll.qlCalendarAdvance(Calendar,Y2877,0&amp;"D")</f>
        <v>59384</v>
      </c>
      <c r="AA2877" s="109">
        <v>9.4821644690501472E-3</v>
      </c>
      <c r="AB2877" s="143">
        <f t="shared" si="98"/>
        <v>0</v>
      </c>
      <c r="AC2877" s="236" t="e">
        <v>#N/A</v>
      </c>
      <c r="AD2877" s="236">
        <v>9.4821644690501472E-3</v>
      </c>
    </row>
    <row r="2878" spans="23:30" x14ac:dyDescent="0.2">
      <c r="W2878" s="144"/>
      <c r="X2878" s="113" t="str">
        <f t="shared" si="97"/>
        <v>1w</v>
      </c>
      <c r="Y2878" s="106">
        <f>_xll.qlCalendarAdvance(Calendar,Y2877,X2878,"f",FALSE)</f>
        <v>59391</v>
      </c>
      <c r="Z2878" s="108">
        <f>_xll.qlCalendarAdvance(Calendar,Y2878,0&amp;"D")</f>
        <v>59391</v>
      </c>
      <c r="AA2878" s="109">
        <v>9.483810232815415E-3</v>
      </c>
      <c r="AB2878" s="143">
        <f t="shared" si="98"/>
        <v>0</v>
      </c>
      <c r="AC2878" s="236" t="e">
        <v>#N/A</v>
      </c>
      <c r="AD2878" s="236">
        <v>9.483810232815415E-3</v>
      </c>
    </row>
    <row r="2879" spans="23:30" x14ac:dyDescent="0.2">
      <c r="W2879" s="144"/>
      <c r="X2879" s="113" t="str">
        <f t="shared" si="97"/>
        <v>1w</v>
      </c>
      <c r="Y2879" s="106">
        <f>_xll.qlCalendarAdvance(Calendar,Y2878,X2879,"f",FALSE)</f>
        <v>59398</v>
      </c>
      <c r="Z2879" s="108">
        <f>_xll.qlCalendarAdvance(Calendar,Y2879,0&amp;"D")</f>
        <v>59398</v>
      </c>
      <c r="AA2879" s="109">
        <v>9.4854954623713184E-3</v>
      </c>
      <c r="AB2879" s="143">
        <f t="shared" si="98"/>
        <v>0</v>
      </c>
      <c r="AC2879" s="236" t="e">
        <v>#N/A</v>
      </c>
      <c r="AD2879" s="236">
        <v>9.4854954623713184E-3</v>
      </c>
    </row>
    <row r="2880" spans="23:30" x14ac:dyDescent="0.2">
      <c r="W2880" s="144"/>
      <c r="X2880" s="113" t="str">
        <f t="shared" si="97"/>
        <v>1w</v>
      </c>
      <c r="Y2880" s="106">
        <f>_xll.qlCalendarAdvance(Calendar,Y2879,X2880,"f",FALSE)</f>
        <v>59405</v>
      </c>
      <c r="Z2880" s="108">
        <f>_xll.qlCalendarAdvance(Calendar,Y2880,0&amp;"D")</f>
        <v>59405</v>
      </c>
      <c r="AA2880" s="109">
        <v>9.4872201577977933E-3</v>
      </c>
      <c r="AB2880" s="143">
        <f t="shared" si="98"/>
        <v>0</v>
      </c>
      <c r="AC2880" s="236" t="e">
        <v>#N/A</v>
      </c>
      <c r="AD2880" s="236">
        <v>9.4872201577977933E-3</v>
      </c>
    </row>
    <row r="2881" spans="23:30" x14ac:dyDescent="0.2">
      <c r="W2881" s="144"/>
      <c r="X2881" s="113" t="str">
        <f t="shared" si="97"/>
        <v>1w</v>
      </c>
      <c r="Y2881" s="106">
        <f>_xll.qlCalendarAdvance(Calendar,Y2880,X2881,"f",FALSE)</f>
        <v>59412</v>
      </c>
      <c r="Z2881" s="108">
        <f>_xll.qlCalendarAdvance(Calendar,Y2881,0&amp;"D")</f>
        <v>59412</v>
      </c>
      <c r="AA2881" s="109">
        <v>9.4889843189349676E-3</v>
      </c>
      <c r="AB2881" s="143">
        <f t="shared" si="98"/>
        <v>0</v>
      </c>
      <c r="AC2881" s="236" t="e">
        <v>#N/A</v>
      </c>
      <c r="AD2881" s="236">
        <v>9.4889843189349676E-3</v>
      </c>
    </row>
    <row r="2882" spans="23:30" x14ac:dyDescent="0.2">
      <c r="W2882" s="144"/>
      <c r="X2882" s="113" t="str">
        <f t="shared" si="97"/>
        <v>1w</v>
      </c>
      <c r="Y2882" s="106">
        <f>_xll.qlCalendarAdvance(Calendar,Y2881,X2882,"f",FALSE)</f>
        <v>59419</v>
      </c>
      <c r="Z2882" s="108">
        <f>_xll.qlCalendarAdvance(Calendar,Y2882,0&amp;"D")</f>
        <v>59419</v>
      </c>
      <c r="AA2882" s="109">
        <v>9.4907879457029054E-3</v>
      </c>
      <c r="AB2882" s="143">
        <f t="shared" si="98"/>
        <v>0</v>
      </c>
      <c r="AC2882" s="236" t="e">
        <v>#N/A</v>
      </c>
      <c r="AD2882" s="236">
        <v>9.4907879457029054E-3</v>
      </c>
    </row>
    <row r="2883" spans="23:30" x14ac:dyDescent="0.2">
      <c r="W2883" s="144"/>
      <c r="X2883" s="113" t="str">
        <f t="shared" si="97"/>
        <v>1w</v>
      </c>
      <c r="Y2883" s="106">
        <f>_xll.qlCalendarAdvance(Calendar,Y2882,X2883,"f",FALSE)</f>
        <v>59426</v>
      </c>
      <c r="Z2883" s="108">
        <f>_xll.qlCalendarAdvance(Calendar,Y2883,0&amp;"D")</f>
        <v>59426</v>
      </c>
      <c r="AA2883" s="109">
        <v>9.4926310381815426E-3</v>
      </c>
      <c r="AB2883" s="143">
        <f t="shared" si="98"/>
        <v>0</v>
      </c>
      <c r="AC2883" s="236" t="e">
        <v>#N/A</v>
      </c>
      <c r="AD2883" s="236">
        <v>9.4926310381815426E-3</v>
      </c>
    </row>
    <row r="2884" spans="23:30" x14ac:dyDescent="0.2">
      <c r="W2884" s="144"/>
      <c r="X2884" s="113" t="str">
        <f t="shared" si="97"/>
        <v>1w</v>
      </c>
      <c r="Y2884" s="106">
        <f>_xll.qlCalendarAdvance(Calendar,Y2883,X2884,"f",FALSE)</f>
        <v>59433</v>
      </c>
      <c r="Z2884" s="108">
        <f>_xll.qlCalendarAdvance(Calendar,Y2884,0&amp;"D")</f>
        <v>59433</v>
      </c>
      <c r="AA2884" s="109">
        <v>9.4945135966106875E-3</v>
      </c>
      <c r="AB2884" s="143">
        <f t="shared" si="98"/>
        <v>0</v>
      </c>
      <c r="AC2884" s="236" t="e">
        <v>#N/A</v>
      </c>
      <c r="AD2884" s="236">
        <v>9.4945135966106875E-3</v>
      </c>
    </row>
    <row r="2885" spans="23:30" x14ac:dyDescent="0.2">
      <c r="W2885" s="144"/>
      <c r="X2885" s="113" t="str">
        <f t="shared" si="97"/>
        <v>1w</v>
      </c>
      <c r="Y2885" s="106">
        <f>_xll.qlCalendarAdvance(Calendar,Y2884,X2885,"f",FALSE)</f>
        <v>59440</v>
      </c>
      <c r="Z2885" s="108">
        <f>_xll.qlCalendarAdvance(Calendar,Y2885,0&amp;"D")</f>
        <v>59440</v>
      </c>
      <c r="AA2885" s="109">
        <v>9.4964356208304679E-3</v>
      </c>
      <c r="AB2885" s="143">
        <f t="shared" si="98"/>
        <v>0</v>
      </c>
      <c r="AC2885" s="236" t="e">
        <v>#N/A</v>
      </c>
      <c r="AD2885" s="236">
        <v>9.4964356208304679E-3</v>
      </c>
    </row>
    <row r="2886" spans="23:30" x14ac:dyDescent="0.2">
      <c r="W2886" s="144"/>
      <c r="X2886" s="113" t="str">
        <f t="shared" si="97"/>
        <v>1w</v>
      </c>
      <c r="Y2886" s="106">
        <f>_xll.qlCalendarAdvance(Calendar,Y2885,X2886,"f",FALSE)</f>
        <v>59447</v>
      </c>
      <c r="Z2886" s="108">
        <f>_xll.qlCalendarAdvance(Calendar,Y2886,0&amp;"D")</f>
        <v>59447</v>
      </c>
      <c r="AA2886" s="109">
        <v>9.4983971106010756E-3</v>
      </c>
      <c r="AB2886" s="143">
        <f t="shared" si="98"/>
        <v>7.9936057773011271E-14</v>
      </c>
      <c r="AC2886" s="236" t="e">
        <v>#N/A</v>
      </c>
      <c r="AD2886" s="236">
        <v>9.4983971105211396E-3</v>
      </c>
    </row>
    <row r="2887" spans="23:30" x14ac:dyDescent="0.2">
      <c r="W2887" s="144"/>
      <c r="X2887" s="113" t="str">
        <f t="shared" si="97"/>
        <v>1w</v>
      </c>
      <c r="Y2887" s="106">
        <f>_xll.qlCalendarAdvance(Calendar,Y2886,X2887,"f",FALSE)</f>
        <v>59454</v>
      </c>
      <c r="Z2887" s="108">
        <f>_xll.qlCalendarAdvance(Calendar,Y2887,0&amp;"D")</f>
        <v>59454</v>
      </c>
      <c r="AA2887" s="109">
        <v>9.5003980662422549E-3</v>
      </c>
      <c r="AB2887" s="143">
        <f t="shared" si="98"/>
        <v>0</v>
      </c>
      <c r="AC2887" s="236" t="e">
        <v>#N/A</v>
      </c>
      <c r="AD2887" s="236">
        <v>9.5003980662422549E-3</v>
      </c>
    </row>
    <row r="2888" spans="23:30" x14ac:dyDescent="0.2">
      <c r="W2888" s="144"/>
      <c r="X2888" s="113" t="str">
        <f t="shared" si="97"/>
        <v>1w</v>
      </c>
      <c r="Y2888" s="106">
        <f>_xll.qlCalendarAdvance(Calendar,Y2887,X2888,"f",FALSE)</f>
        <v>59461</v>
      </c>
      <c r="Z2888" s="108">
        <f>_xll.qlCalendarAdvance(Calendar,Y2888,0&amp;"D")</f>
        <v>59461</v>
      </c>
      <c r="AA2888" s="109">
        <v>9.5024384876740697E-3</v>
      </c>
      <c r="AB2888" s="143">
        <f t="shared" si="98"/>
        <v>0</v>
      </c>
      <c r="AC2888" s="236" t="e">
        <v>#N/A</v>
      </c>
      <c r="AD2888" s="236">
        <v>9.5024384876740697E-3</v>
      </c>
    </row>
    <row r="2889" spans="23:30" x14ac:dyDescent="0.2">
      <c r="W2889" s="144"/>
      <c r="X2889" s="113" t="str">
        <f t="shared" si="97"/>
        <v>1w</v>
      </c>
      <c r="Y2889" s="106">
        <f>_xll.qlCalendarAdvance(Calendar,Y2888,X2889,"f",FALSE)</f>
        <v>59468</v>
      </c>
      <c r="Z2889" s="108">
        <f>_xll.qlCalendarAdvance(Calendar,Y2889,0&amp;"D")</f>
        <v>59468</v>
      </c>
      <c r="AA2889" s="109">
        <v>9.504518374736648E-3</v>
      </c>
      <c r="AB2889" s="143">
        <f t="shared" si="98"/>
        <v>0</v>
      </c>
      <c r="AC2889" s="236" t="e">
        <v>#N/A</v>
      </c>
      <c r="AD2889" s="236">
        <v>9.504518374736648E-3</v>
      </c>
    </row>
    <row r="2890" spans="23:30" x14ac:dyDescent="0.2">
      <c r="W2890" s="144"/>
      <c r="X2890" s="113" t="str">
        <f t="shared" si="97"/>
        <v>1w</v>
      </c>
      <c r="Y2890" s="106">
        <f>_xll.qlCalendarAdvance(Calendar,Y2889,X2890,"f",FALSE)</f>
        <v>59475</v>
      </c>
      <c r="Z2890" s="108">
        <f>_xll.qlCalendarAdvance(Calendar,Y2890,0&amp;"D")</f>
        <v>59475</v>
      </c>
      <c r="AA2890" s="109">
        <v>9.5066377276697978E-3</v>
      </c>
      <c r="AB2890" s="143">
        <f t="shared" si="98"/>
        <v>0</v>
      </c>
      <c r="AC2890" s="236" t="e">
        <v>#N/A</v>
      </c>
      <c r="AD2890" s="236">
        <v>9.5066377276697978E-3</v>
      </c>
    </row>
    <row r="2891" spans="23:30" x14ac:dyDescent="0.2">
      <c r="W2891" s="144"/>
      <c r="X2891" s="113" t="str">
        <f t="shared" si="97"/>
        <v>1w</v>
      </c>
      <c r="Y2891" s="106">
        <f>_xll.qlCalendarAdvance(Calendar,Y2890,X2891,"f",FALSE)</f>
        <v>59482</v>
      </c>
      <c r="Z2891" s="108">
        <f>_xll.qlCalendarAdvance(Calendar,Y2891,0&amp;"D")</f>
        <v>59482</v>
      </c>
      <c r="AA2891" s="109">
        <v>9.5087965464735191E-3</v>
      </c>
      <c r="AB2891" s="143">
        <f t="shared" si="98"/>
        <v>7.9936057773011271E-14</v>
      </c>
      <c r="AC2891" s="236" t="e">
        <v>#N/A</v>
      </c>
      <c r="AD2891" s="236">
        <v>9.5087965463935831E-3</v>
      </c>
    </row>
    <row r="2892" spans="23:30" x14ac:dyDescent="0.2">
      <c r="W2892" s="144"/>
      <c r="X2892" s="113" t="str">
        <f t="shared" si="97"/>
        <v>1w</v>
      </c>
      <c r="Y2892" s="106">
        <f>_xll.qlCalendarAdvance(Calendar,Y2891,X2892,"f",FALSE)</f>
        <v>59489</v>
      </c>
      <c r="Z2892" s="108">
        <f>_xll.qlCalendarAdvance(Calendar,Y2892,0&amp;"D")</f>
        <v>59489</v>
      </c>
      <c r="AA2892" s="109">
        <v>9.5109948309080039E-3</v>
      </c>
      <c r="AB2892" s="143">
        <f t="shared" si="98"/>
        <v>0</v>
      </c>
      <c r="AC2892" s="236" t="e">
        <v>#N/A</v>
      </c>
      <c r="AD2892" s="236">
        <v>9.5109948309080039E-3</v>
      </c>
    </row>
    <row r="2893" spans="23:30" x14ac:dyDescent="0.2">
      <c r="W2893" s="144"/>
      <c r="X2893" s="113" t="str">
        <f t="shared" ref="X2893:X2956" si="99">X2892</f>
        <v>1w</v>
      </c>
      <c r="Y2893" s="106">
        <f>_xll.qlCalendarAdvance(Calendar,Y2892,X2893,"f",FALSE)</f>
        <v>59496</v>
      </c>
      <c r="Z2893" s="108">
        <f>_xll.qlCalendarAdvance(Calendar,Y2893,0&amp;"D")</f>
        <v>59496</v>
      </c>
      <c r="AA2893" s="109">
        <v>9.5132325809732521E-3</v>
      </c>
      <c r="AB2893" s="143">
        <f t="shared" si="98"/>
        <v>0</v>
      </c>
      <c r="AC2893" s="236" t="e">
        <v>#N/A</v>
      </c>
      <c r="AD2893" s="236">
        <v>9.5132325809732521E-3</v>
      </c>
    </row>
    <row r="2894" spans="23:30" x14ac:dyDescent="0.2">
      <c r="W2894" s="144"/>
      <c r="X2894" s="113" t="str">
        <f t="shared" si="99"/>
        <v>1w</v>
      </c>
      <c r="Y2894" s="106">
        <f>_xll.qlCalendarAdvance(Calendar,Y2893,X2894,"f",FALSE)</f>
        <v>59503</v>
      </c>
      <c r="Z2894" s="108">
        <f>_xll.qlCalendarAdvance(Calendar,Y2894,0&amp;"D")</f>
        <v>59503</v>
      </c>
      <c r="AA2894" s="109">
        <v>9.5155097969090718E-3</v>
      </c>
      <c r="AB2894" s="143">
        <f t="shared" si="98"/>
        <v>0</v>
      </c>
      <c r="AC2894" s="236" t="e">
        <v>#N/A</v>
      </c>
      <c r="AD2894" s="236">
        <v>9.5155097969090718E-3</v>
      </c>
    </row>
    <row r="2895" spans="23:30" x14ac:dyDescent="0.2">
      <c r="W2895" s="144"/>
      <c r="X2895" s="113" t="str">
        <f t="shared" si="99"/>
        <v>1w</v>
      </c>
      <c r="Y2895" s="106">
        <f>_xll.qlCalendarAdvance(Calendar,Y2894,X2895,"f",FALSE)</f>
        <v>59510</v>
      </c>
      <c r="Z2895" s="108">
        <f>_xll.qlCalendarAdvance(Calendar,Y2895,0&amp;"D")</f>
        <v>59510</v>
      </c>
      <c r="AA2895" s="109">
        <v>9.5178264786355271E-3</v>
      </c>
      <c r="AB2895" s="143">
        <f t="shared" si="98"/>
        <v>-7.9936057773011271E-14</v>
      </c>
      <c r="AC2895" s="236" t="e">
        <v>#N/A</v>
      </c>
      <c r="AD2895" s="236">
        <v>9.5178264787154632E-3</v>
      </c>
    </row>
    <row r="2896" spans="23:30" x14ac:dyDescent="0.2">
      <c r="W2896" s="144"/>
      <c r="X2896" s="113" t="str">
        <f t="shared" si="99"/>
        <v>1w</v>
      </c>
      <c r="Y2896" s="106">
        <f>_xll.qlCalendarAdvance(Calendar,Y2895,X2896,"f",FALSE)</f>
        <v>59517</v>
      </c>
      <c r="Z2896" s="108">
        <f>_xll.qlCalendarAdvance(Calendar,Y2896,0&amp;"D")</f>
        <v>59517</v>
      </c>
      <c r="AA2896" s="109">
        <v>9.5201826261526179E-3</v>
      </c>
      <c r="AB2896" s="143">
        <f t="shared" si="98"/>
        <v>-7.9936057773011271E-14</v>
      </c>
      <c r="AC2896" s="236" t="e">
        <v>#N/A</v>
      </c>
      <c r="AD2896" s="236">
        <v>9.520182626232554E-3</v>
      </c>
    </row>
    <row r="2897" spans="23:30" x14ac:dyDescent="0.2">
      <c r="W2897" s="144"/>
      <c r="X2897" s="113" t="str">
        <f t="shared" si="99"/>
        <v>1w</v>
      </c>
      <c r="Y2897" s="106">
        <f>_xll.qlCalendarAdvance(Calendar,Y2896,X2897,"f",FALSE)</f>
        <v>59524</v>
      </c>
      <c r="Z2897" s="108">
        <f>_xll.qlCalendarAdvance(Calendar,Y2897,0&amp;"D")</f>
        <v>59524</v>
      </c>
      <c r="AA2897" s="109">
        <v>9.5225782393804081E-3</v>
      </c>
      <c r="AB2897" s="143">
        <f t="shared" si="98"/>
        <v>-7.9936057773011271E-14</v>
      </c>
      <c r="AC2897" s="236" t="e">
        <v>#N/A</v>
      </c>
      <c r="AD2897" s="236">
        <v>9.5225782394603442E-3</v>
      </c>
    </row>
    <row r="2898" spans="23:30" x14ac:dyDescent="0.2">
      <c r="W2898" s="144"/>
      <c r="X2898" s="113" t="str">
        <f t="shared" si="99"/>
        <v>1w</v>
      </c>
      <c r="Y2898" s="106">
        <f>_xll.qlCalendarAdvance(Calendar,Y2897,X2898,"f",FALSE)</f>
        <v>59532</v>
      </c>
      <c r="Z2898" s="108">
        <f>_xll.qlCalendarAdvance(Calendar,Y2898,0&amp;"D")</f>
        <v>59532</v>
      </c>
      <c r="AA2898" s="109">
        <v>9.5253644087556211E-3</v>
      </c>
      <c r="AB2898" s="143">
        <f t="shared" si="98"/>
        <v>0</v>
      </c>
      <c r="AC2898" s="236" t="e">
        <v>#N/A</v>
      </c>
      <c r="AD2898" s="236">
        <v>9.5253644087556211E-3</v>
      </c>
    </row>
    <row r="2899" spans="23:30" x14ac:dyDescent="0.2">
      <c r="W2899" s="144"/>
      <c r="X2899" s="113" t="str">
        <f t="shared" si="99"/>
        <v>1w</v>
      </c>
      <c r="Y2899" s="106">
        <f>_xll.qlCalendarAdvance(Calendar,Y2898,X2899,"f",FALSE)</f>
        <v>59539</v>
      </c>
      <c r="Z2899" s="108">
        <f>_xll.qlCalendarAdvance(Calendar,Y2899,0&amp;"D")</f>
        <v>59539</v>
      </c>
      <c r="AA2899" s="109">
        <v>9.527844591374901E-3</v>
      </c>
      <c r="AB2899" s="143">
        <f t="shared" si="98"/>
        <v>0</v>
      </c>
      <c r="AC2899" s="236" t="e">
        <v>#N/A</v>
      </c>
      <c r="AD2899" s="236">
        <v>9.527844591374901E-3</v>
      </c>
    </row>
    <row r="2900" spans="23:30" x14ac:dyDescent="0.2">
      <c r="W2900" s="144"/>
      <c r="X2900" s="113" t="str">
        <f t="shared" si="99"/>
        <v>1w</v>
      </c>
      <c r="Y2900" s="106">
        <f>_xll.qlCalendarAdvance(Calendar,Y2899,X2900,"f",FALSE)</f>
        <v>59546</v>
      </c>
      <c r="Z2900" s="108">
        <f>_xll.qlCalendarAdvance(Calendar,Y2900,0&amp;"D")</f>
        <v>59546</v>
      </c>
      <c r="AA2900" s="109">
        <v>9.5303642399446886E-3</v>
      </c>
      <c r="AB2900" s="143">
        <f t="shared" si="98"/>
        <v>0</v>
      </c>
      <c r="AC2900" s="236" t="e">
        <v>#N/A</v>
      </c>
      <c r="AD2900" s="236">
        <v>9.5303642399446886E-3</v>
      </c>
    </row>
    <row r="2901" spans="23:30" x14ac:dyDescent="0.2">
      <c r="W2901" s="144"/>
      <c r="X2901" s="113" t="str">
        <f t="shared" si="99"/>
        <v>1w</v>
      </c>
      <c r="Y2901" s="106">
        <f>_xll.qlCalendarAdvance(Calendar,Y2900,X2901,"f",FALSE)</f>
        <v>59553</v>
      </c>
      <c r="Z2901" s="108">
        <f>_xll.qlCalendarAdvance(Calendar,Y2901,0&amp;"D")</f>
        <v>59553</v>
      </c>
      <c r="AA2901" s="109">
        <v>9.5329233542251757E-3</v>
      </c>
      <c r="AB2901" s="143">
        <f t="shared" ref="AB2901:AB2964" si="100">AA2901-AD2901</f>
        <v>0</v>
      </c>
      <c r="AC2901" s="236" t="e">
        <v>#N/A</v>
      </c>
      <c r="AD2901" s="236">
        <v>9.5329233542251757E-3</v>
      </c>
    </row>
    <row r="2902" spans="23:30" x14ac:dyDescent="0.2">
      <c r="W2902" s="144"/>
      <c r="X2902" s="113" t="str">
        <f t="shared" si="99"/>
        <v>1w</v>
      </c>
      <c r="Y2902" s="106">
        <f>_xll.qlCalendarAdvance(Calendar,Y2901,X2902,"f",FALSE)</f>
        <v>59560</v>
      </c>
      <c r="Z2902" s="108">
        <f>_xll.qlCalendarAdvance(Calendar,Y2902,0&amp;"D")</f>
        <v>59560</v>
      </c>
      <c r="AA2902" s="109">
        <v>9.5355219342163622E-3</v>
      </c>
      <c r="AB2902" s="143">
        <f t="shared" si="100"/>
        <v>0</v>
      </c>
      <c r="AC2902" s="236" t="e">
        <v>#N/A</v>
      </c>
      <c r="AD2902" s="236">
        <v>9.5355219342163622E-3</v>
      </c>
    </row>
    <row r="2903" spans="23:30" x14ac:dyDescent="0.2">
      <c r="W2903" s="144"/>
      <c r="X2903" s="113" t="str">
        <f t="shared" si="99"/>
        <v>1w</v>
      </c>
      <c r="Y2903" s="106">
        <f>_xll.qlCalendarAdvance(Calendar,Y2902,X2903,"f",FALSE)</f>
        <v>59567</v>
      </c>
      <c r="Z2903" s="108">
        <f>_xll.qlCalendarAdvance(Calendar,Y2903,0&amp;"D")</f>
        <v>59567</v>
      </c>
      <c r="AA2903" s="109">
        <v>9.5381599801580563E-3</v>
      </c>
      <c r="AB2903" s="143">
        <f t="shared" si="100"/>
        <v>0</v>
      </c>
      <c r="AC2903" s="236" t="e">
        <v>#N/A</v>
      </c>
      <c r="AD2903" s="236">
        <v>9.5381599801580563E-3</v>
      </c>
    </row>
    <row r="2904" spans="23:30" x14ac:dyDescent="0.2">
      <c r="W2904" s="144"/>
      <c r="X2904" s="113" t="str">
        <f t="shared" si="99"/>
        <v>1w</v>
      </c>
      <c r="Y2904" s="106">
        <f>_xll.qlCalendarAdvance(Calendar,Y2903,X2904,"f",FALSE)</f>
        <v>59574</v>
      </c>
      <c r="Z2904" s="108">
        <f>_xll.qlCalendarAdvance(Calendar,Y2904,0&amp;"D")</f>
        <v>59574</v>
      </c>
      <c r="AA2904" s="109">
        <v>9.5408374917305139E-3</v>
      </c>
      <c r="AB2904" s="143">
        <f t="shared" si="100"/>
        <v>0</v>
      </c>
      <c r="AC2904" s="236" t="e">
        <v>#N/A</v>
      </c>
      <c r="AD2904" s="236">
        <v>9.5408374917305139E-3</v>
      </c>
    </row>
    <row r="2905" spans="23:30" x14ac:dyDescent="0.2">
      <c r="W2905" s="144"/>
      <c r="X2905" s="113" t="str">
        <f t="shared" si="99"/>
        <v>1w</v>
      </c>
      <c r="Y2905" s="106">
        <f>_xll.qlCalendarAdvance(Calendar,Y2904,X2905,"f",FALSE)</f>
        <v>59581</v>
      </c>
      <c r="Z2905" s="108">
        <f>_xll.qlCalendarAdvance(Calendar,Y2905,0&amp;"D")</f>
        <v>59581</v>
      </c>
      <c r="AA2905" s="109">
        <v>9.5435544692534791E-3</v>
      </c>
      <c r="AB2905" s="143">
        <f t="shared" si="100"/>
        <v>7.9936057773011271E-14</v>
      </c>
      <c r="AC2905" s="236" t="e">
        <v>#N/A</v>
      </c>
      <c r="AD2905" s="236">
        <v>9.543554469173543E-3</v>
      </c>
    </row>
    <row r="2906" spans="23:30" x14ac:dyDescent="0.2">
      <c r="W2906" s="144"/>
      <c r="X2906" s="113" t="str">
        <f t="shared" si="99"/>
        <v>1w</v>
      </c>
      <c r="Y2906" s="106">
        <f>_xll.qlCalendarAdvance(Calendar,Y2905,X2906,"f",FALSE)</f>
        <v>59588</v>
      </c>
      <c r="Z2906" s="108">
        <f>_xll.qlCalendarAdvance(Calendar,Y2906,0&amp;"D")</f>
        <v>59588</v>
      </c>
      <c r="AA2906" s="109">
        <v>9.5463109122473355E-3</v>
      </c>
      <c r="AB2906" s="143">
        <f t="shared" si="100"/>
        <v>-7.9936057773011271E-14</v>
      </c>
      <c r="AC2906" s="236" t="e">
        <v>#N/A</v>
      </c>
      <c r="AD2906" s="236">
        <v>9.5463109123272716E-3</v>
      </c>
    </row>
    <row r="2907" spans="23:30" x14ac:dyDescent="0.2">
      <c r="W2907" s="144"/>
      <c r="X2907" s="113" t="str">
        <f t="shared" si="99"/>
        <v>1w</v>
      </c>
      <c r="Y2907" s="106">
        <f>_xll.qlCalendarAdvance(Calendar,Y2906,X2907,"f",FALSE)</f>
        <v>59595</v>
      </c>
      <c r="Z2907" s="108">
        <f>_xll.qlCalendarAdvance(Calendar,Y2907,0&amp;"D")</f>
        <v>59595</v>
      </c>
      <c r="AA2907" s="109">
        <v>9.5491068212716357E-3</v>
      </c>
      <c r="AB2907" s="143">
        <f t="shared" si="100"/>
        <v>0</v>
      </c>
      <c r="AC2907" s="236" t="e">
        <v>#N/A</v>
      </c>
      <c r="AD2907" s="236">
        <v>9.5491068212716357E-3</v>
      </c>
    </row>
    <row r="2908" spans="23:30" x14ac:dyDescent="0.2">
      <c r="W2908" s="144"/>
      <c r="X2908" s="113" t="str">
        <f t="shared" si="99"/>
        <v>1w</v>
      </c>
      <c r="Y2908" s="106">
        <f>_xll.qlCalendarAdvance(Calendar,Y2907,X2908,"f",FALSE)</f>
        <v>59602</v>
      </c>
      <c r="Z2908" s="108">
        <f>_xll.qlCalendarAdvance(Calendar,Y2908,0&amp;"D")</f>
        <v>59602</v>
      </c>
      <c r="AA2908" s="109">
        <v>9.5519421959266992E-3</v>
      </c>
      <c r="AB2908" s="143">
        <f t="shared" si="100"/>
        <v>-7.9936057773011271E-14</v>
      </c>
      <c r="AC2908" s="236" t="e">
        <v>#N/A</v>
      </c>
      <c r="AD2908" s="236">
        <v>9.5519421960066353E-3</v>
      </c>
    </row>
    <row r="2909" spans="23:30" x14ac:dyDescent="0.2">
      <c r="W2909" s="144"/>
      <c r="X2909" s="113" t="str">
        <f t="shared" si="99"/>
        <v>1w</v>
      </c>
      <c r="Y2909" s="106">
        <f>_xll.qlCalendarAdvance(Calendar,Y2908,X2909,"f",FALSE)</f>
        <v>59609</v>
      </c>
      <c r="Z2909" s="108">
        <f>_xll.qlCalendarAdvance(Calendar,Y2909,0&amp;"D")</f>
        <v>59609</v>
      </c>
      <c r="AA2909" s="109">
        <v>9.5548170362924623E-3</v>
      </c>
      <c r="AB2909" s="143">
        <f t="shared" si="100"/>
        <v>-7.9936057773011271E-14</v>
      </c>
      <c r="AC2909" s="236" t="e">
        <v>#N/A</v>
      </c>
      <c r="AD2909" s="236">
        <v>9.5548170363723983E-3</v>
      </c>
    </row>
    <row r="2910" spans="23:30" x14ac:dyDescent="0.2">
      <c r="W2910" s="144"/>
      <c r="X2910" s="113" t="str">
        <f t="shared" si="99"/>
        <v>1w</v>
      </c>
      <c r="Y2910" s="106">
        <f>_xll.qlCalendarAdvance(Calendar,Y2909,X2910,"f",FALSE)</f>
        <v>59616</v>
      </c>
      <c r="Z2910" s="108">
        <f>_xll.qlCalendarAdvance(Calendar,Y2910,0&amp;"D")</f>
        <v>59616</v>
      </c>
      <c r="AA2910" s="109">
        <v>9.557731342688669E-3</v>
      </c>
      <c r="AB2910" s="143">
        <f t="shared" si="100"/>
        <v>0</v>
      </c>
      <c r="AC2910" s="236" t="e">
        <v>#N/A</v>
      </c>
      <c r="AD2910" s="236">
        <v>9.557731342688669E-3</v>
      </c>
    </row>
    <row r="2911" spans="23:30" x14ac:dyDescent="0.2">
      <c r="W2911" s="144"/>
      <c r="X2911" s="113" t="str">
        <f t="shared" si="99"/>
        <v>1w</v>
      </c>
      <c r="Y2911" s="106">
        <f>_xll.qlCalendarAdvance(Calendar,Y2910,X2911,"f",FALSE)</f>
        <v>59623</v>
      </c>
      <c r="Z2911" s="108">
        <f>_xll.qlCalendarAdvance(Calendar,Y2911,0&amp;"D")</f>
        <v>59623</v>
      </c>
      <c r="AA2911" s="109">
        <v>9.5606851147955751E-3</v>
      </c>
      <c r="AB2911" s="143">
        <f t="shared" si="100"/>
        <v>0</v>
      </c>
      <c r="AC2911" s="236" t="e">
        <v>#N/A</v>
      </c>
      <c r="AD2911" s="236">
        <v>9.5606851147955751E-3</v>
      </c>
    </row>
    <row r="2912" spans="23:30" x14ac:dyDescent="0.2">
      <c r="W2912" s="144"/>
      <c r="X2912" s="113" t="str">
        <f t="shared" si="99"/>
        <v>1w</v>
      </c>
      <c r="Y2912" s="106">
        <f>_xll.qlCalendarAdvance(Calendar,Y2911,X2912,"f",FALSE)</f>
        <v>59630</v>
      </c>
      <c r="Z2912" s="108">
        <f>_xll.qlCalendarAdvance(Calendar,Y2912,0&amp;"D")</f>
        <v>59630</v>
      </c>
      <c r="AA2912" s="109">
        <v>9.5636783525332447E-3</v>
      </c>
      <c r="AB2912" s="143">
        <f t="shared" si="100"/>
        <v>0</v>
      </c>
      <c r="AC2912" s="236" t="e">
        <v>#N/A</v>
      </c>
      <c r="AD2912" s="236">
        <v>9.5636783525332447E-3</v>
      </c>
    </row>
    <row r="2913" spans="23:30" x14ac:dyDescent="0.2">
      <c r="W2913" s="144"/>
      <c r="X2913" s="113" t="str">
        <f t="shared" si="99"/>
        <v>1w</v>
      </c>
      <c r="Y2913" s="106">
        <f>_xll.qlCalendarAdvance(Calendar,Y2912,X2913,"f",FALSE)</f>
        <v>59637</v>
      </c>
      <c r="Z2913" s="108">
        <f>_xll.qlCalendarAdvance(Calendar,Y2913,0&amp;"D")</f>
        <v>59637</v>
      </c>
      <c r="AA2913" s="109">
        <v>9.5667110562214219E-3</v>
      </c>
      <c r="AB2913" s="143">
        <f t="shared" si="100"/>
        <v>7.9936057773011271E-14</v>
      </c>
      <c r="AC2913" s="236" t="e">
        <v>#N/A</v>
      </c>
      <c r="AD2913" s="236">
        <v>9.5667110561414859E-3</v>
      </c>
    </row>
    <row r="2914" spans="23:30" x14ac:dyDescent="0.2">
      <c r="W2914" s="144"/>
      <c r="X2914" s="113" t="str">
        <f t="shared" si="99"/>
        <v>1w</v>
      </c>
      <c r="Y2914" s="106">
        <f>_xll.qlCalendarAdvance(Calendar,Y2913,X2914,"f",FALSE)</f>
        <v>59644</v>
      </c>
      <c r="Z2914" s="108">
        <f>_xll.qlCalendarAdvance(Calendar,Y2914,0&amp;"D")</f>
        <v>59644</v>
      </c>
      <c r="AA2914" s="109">
        <v>9.5697832255403625E-3</v>
      </c>
      <c r="AB2914" s="143">
        <f t="shared" si="100"/>
        <v>0</v>
      </c>
      <c r="AC2914" s="236" t="e">
        <v>#N/A</v>
      </c>
      <c r="AD2914" s="236">
        <v>9.5697832255403625E-3</v>
      </c>
    </row>
    <row r="2915" spans="23:30" x14ac:dyDescent="0.2">
      <c r="W2915" s="144"/>
      <c r="X2915" s="113" t="str">
        <f t="shared" si="99"/>
        <v>1w</v>
      </c>
      <c r="Y2915" s="106">
        <f>_xll.qlCalendarAdvance(Calendar,Y2914,X2915,"f",FALSE)</f>
        <v>59651</v>
      </c>
      <c r="Z2915" s="108">
        <f>_xll.qlCalendarAdvance(Calendar,Y2915,0&amp;"D")</f>
        <v>59651</v>
      </c>
      <c r="AA2915" s="109">
        <v>9.5728948608098108E-3</v>
      </c>
      <c r="AB2915" s="143">
        <f t="shared" si="100"/>
        <v>7.9936057773011271E-14</v>
      </c>
      <c r="AC2915" s="236" t="e">
        <v>#N/A</v>
      </c>
      <c r="AD2915" s="236">
        <v>9.5728948607298747E-3</v>
      </c>
    </row>
    <row r="2916" spans="23:30" x14ac:dyDescent="0.2">
      <c r="W2916" s="144"/>
      <c r="X2916" s="113" t="str">
        <f t="shared" si="99"/>
        <v>1w</v>
      </c>
      <c r="Y2916" s="106">
        <f>_xll.qlCalendarAdvance(Calendar,Y2915,X2916,"f",FALSE)</f>
        <v>59658</v>
      </c>
      <c r="Z2916" s="108">
        <f>_xll.qlCalendarAdvance(Calendar,Y2916,0&amp;"D")</f>
        <v>59658</v>
      </c>
      <c r="AA2916" s="109">
        <v>9.5760459617899585E-3</v>
      </c>
      <c r="AB2916" s="143">
        <f t="shared" si="100"/>
        <v>0</v>
      </c>
      <c r="AC2916" s="236" t="e">
        <v>#N/A</v>
      </c>
      <c r="AD2916" s="236">
        <v>9.5760459617899585E-3</v>
      </c>
    </row>
    <row r="2917" spans="23:30" x14ac:dyDescent="0.2">
      <c r="W2917" s="144"/>
      <c r="X2917" s="113" t="str">
        <f t="shared" si="99"/>
        <v>1w</v>
      </c>
      <c r="Y2917" s="106">
        <f>_xll.qlCalendarAdvance(Calendar,Y2916,X2917,"f",FALSE)</f>
        <v>59665</v>
      </c>
      <c r="Z2917" s="108">
        <f>_xll.qlCalendarAdvance(Calendar,Y2917,0&amp;"D")</f>
        <v>59665</v>
      </c>
      <c r="AA2917" s="109">
        <v>9.5792365284008696E-3</v>
      </c>
      <c r="AB2917" s="143">
        <f t="shared" si="100"/>
        <v>0</v>
      </c>
      <c r="AC2917" s="236" t="e">
        <v>#N/A</v>
      </c>
      <c r="AD2917" s="236">
        <v>9.5792365284008696E-3</v>
      </c>
    </row>
    <row r="2918" spans="23:30" x14ac:dyDescent="0.2">
      <c r="W2918" s="144"/>
      <c r="X2918" s="113" t="str">
        <f t="shared" si="99"/>
        <v>1w</v>
      </c>
      <c r="Y2918" s="106">
        <f>_xll.qlCalendarAdvance(Calendar,Y2917,X2918,"f",FALSE)</f>
        <v>59672</v>
      </c>
      <c r="Z2918" s="108">
        <f>_xll.qlCalendarAdvance(Calendar,Y2918,0&amp;"D")</f>
        <v>59672</v>
      </c>
      <c r="AA2918" s="109">
        <v>9.5824665610422244E-3</v>
      </c>
      <c r="AB2918" s="143">
        <f t="shared" si="100"/>
        <v>0</v>
      </c>
      <c r="AC2918" s="236" t="e">
        <v>#N/A</v>
      </c>
      <c r="AD2918" s="236">
        <v>9.5824665610422244E-3</v>
      </c>
    </row>
    <row r="2919" spans="23:30" x14ac:dyDescent="0.2">
      <c r="W2919" s="144"/>
      <c r="X2919" s="113" t="str">
        <f t="shared" si="99"/>
        <v>1w</v>
      </c>
      <c r="Y2919" s="106">
        <f>_xll.qlCalendarAdvance(Calendar,Y2918,X2919,"f",FALSE)</f>
        <v>59679</v>
      </c>
      <c r="Z2919" s="108">
        <f>_xll.qlCalendarAdvance(Calendar,Y2919,0&amp;"D")</f>
        <v>59679</v>
      </c>
      <c r="AA2919" s="109">
        <v>9.5857360593942786E-3</v>
      </c>
      <c r="AB2919" s="143">
        <f t="shared" si="100"/>
        <v>0</v>
      </c>
      <c r="AC2919" s="236" t="e">
        <v>#N/A</v>
      </c>
      <c r="AD2919" s="236">
        <v>9.5857360593942786E-3</v>
      </c>
    </row>
    <row r="2920" spans="23:30" x14ac:dyDescent="0.2">
      <c r="W2920" s="144"/>
      <c r="X2920" s="113" t="str">
        <f t="shared" si="99"/>
        <v>1w</v>
      </c>
      <c r="Y2920" s="106">
        <f>_xll.qlCalendarAdvance(Calendar,Y2919,X2920,"f",FALSE)</f>
        <v>59686</v>
      </c>
      <c r="Z2920" s="108">
        <f>_xll.qlCalendarAdvance(Calendar,Y2920,0&amp;"D")</f>
        <v>59686</v>
      </c>
      <c r="AA2920" s="109">
        <v>9.5890450233770963E-3</v>
      </c>
      <c r="AB2920" s="143">
        <f t="shared" si="100"/>
        <v>0</v>
      </c>
      <c r="AC2920" s="236" t="e">
        <v>#N/A</v>
      </c>
      <c r="AD2920" s="236">
        <v>9.5890450233770963E-3</v>
      </c>
    </row>
    <row r="2921" spans="23:30" x14ac:dyDescent="0.2">
      <c r="W2921" s="144"/>
      <c r="X2921" s="113" t="str">
        <f t="shared" si="99"/>
        <v>1w</v>
      </c>
      <c r="Y2921" s="106">
        <f>_xll.qlCalendarAdvance(Calendar,Y2920,X2921,"f",FALSE)</f>
        <v>59693</v>
      </c>
      <c r="Z2921" s="108">
        <f>_xll.qlCalendarAdvance(Calendar,Y2921,0&amp;"D")</f>
        <v>59693</v>
      </c>
      <c r="AA2921" s="109">
        <v>9.5923934533903576E-3</v>
      </c>
      <c r="AB2921" s="143">
        <f t="shared" si="100"/>
        <v>7.9936057773011271E-14</v>
      </c>
      <c r="AC2921" s="236" t="e">
        <v>#N/A</v>
      </c>
      <c r="AD2921" s="236">
        <v>9.5923934533104216E-3</v>
      </c>
    </row>
    <row r="2922" spans="23:30" x14ac:dyDescent="0.2">
      <c r="W2922" s="144"/>
      <c r="X2922" s="113" t="str">
        <f t="shared" si="99"/>
        <v>1w</v>
      </c>
      <c r="Y2922" s="106">
        <f>_xll.qlCalendarAdvance(Calendar,Y2921,X2922,"f",FALSE)</f>
        <v>59700</v>
      </c>
      <c r="Z2922" s="108">
        <f>_xll.qlCalendarAdvance(Calendar,Y2922,0&amp;"D")</f>
        <v>59700</v>
      </c>
      <c r="AA2922" s="109">
        <v>9.5957813490343824E-3</v>
      </c>
      <c r="AB2922" s="143">
        <f t="shared" si="100"/>
        <v>0</v>
      </c>
      <c r="AC2922" s="236" t="e">
        <v>#N/A</v>
      </c>
      <c r="AD2922" s="236">
        <v>9.5957813490343824E-3</v>
      </c>
    </row>
    <row r="2923" spans="23:30" x14ac:dyDescent="0.2">
      <c r="W2923" s="144"/>
      <c r="X2923" s="113" t="str">
        <f t="shared" si="99"/>
        <v>1w</v>
      </c>
      <c r="Y2923" s="106">
        <f>_xll.qlCalendarAdvance(Calendar,Y2922,X2923,"f",FALSE)</f>
        <v>59707</v>
      </c>
      <c r="Z2923" s="108">
        <f>_xll.qlCalendarAdvance(Calendar,Y2923,0&amp;"D")</f>
        <v>59707</v>
      </c>
      <c r="AA2923" s="109">
        <v>9.5992087103891066E-3</v>
      </c>
      <c r="AB2923" s="143">
        <f t="shared" si="100"/>
        <v>0</v>
      </c>
      <c r="AC2923" s="236" t="e">
        <v>#N/A</v>
      </c>
      <c r="AD2923" s="236">
        <v>9.5992087103891066E-3</v>
      </c>
    </row>
    <row r="2924" spans="23:30" x14ac:dyDescent="0.2">
      <c r="W2924" s="144"/>
      <c r="X2924" s="113" t="str">
        <f t="shared" si="99"/>
        <v>1w</v>
      </c>
      <c r="Y2924" s="106">
        <f>_xll.qlCalendarAdvance(Calendar,Y2923,X2924,"f",FALSE)</f>
        <v>59714</v>
      </c>
      <c r="Z2924" s="108">
        <f>_xll.qlCalendarAdvance(Calendar,Y2924,0&amp;"D")</f>
        <v>59714</v>
      </c>
      <c r="AA2924" s="109">
        <v>9.6026755377742745E-3</v>
      </c>
      <c r="AB2924" s="143">
        <f t="shared" si="100"/>
        <v>0</v>
      </c>
      <c r="AC2924" s="236" t="e">
        <v>#N/A</v>
      </c>
      <c r="AD2924" s="236">
        <v>9.6026755377742745E-3</v>
      </c>
    </row>
    <row r="2925" spans="23:30" x14ac:dyDescent="0.2">
      <c r="W2925" s="144"/>
      <c r="X2925" s="113" t="str">
        <f t="shared" si="99"/>
        <v>1w</v>
      </c>
      <c r="Y2925" s="106">
        <f>_xll.qlCalendarAdvance(Calendar,Y2924,X2925,"f",FALSE)</f>
        <v>59721</v>
      </c>
      <c r="Z2925" s="108">
        <f>_xll.qlCalendarAdvance(Calendar,Y2925,0&amp;"D")</f>
        <v>59721</v>
      </c>
      <c r="AA2925" s="109">
        <v>9.6061818309500779E-3</v>
      </c>
      <c r="AB2925" s="143">
        <f t="shared" si="100"/>
        <v>7.9936057773011271E-14</v>
      </c>
      <c r="AC2925" s="236" t="e">
        <v>#N/A</v>
      </c>
      <c r="AD2925" s="236">
        <v>9.6061818308701419E-3</v>
      </c>
    </row>
    <row r="2926" spans="23:30" x14ac:dyDescent="0.2">
      <c r="W2926" s="144"/>
      <c r="X2926" s="113" t="str">
        <f t="shared" si="99"/>
        <v>1w</v>
      </c>
      <c r="Y2926" s="106">
        <f>_xll.qlCalendarAdvance(Calendar,Y2925,X2926,"f",FALSE)</f>
        <v>59728</v>
      </c>
      <c r="Z2926" s="108">
        <f>_xll.qlCalendarAdvance(Calendar,Y2926,0&amp;"D")</f>
        <v>59728</v>
      </c>
      <c r="AA2926" s="109">
        <v>9.6097275896767087E-3</v>
      </c>
      <c r="AB2926" s="143">
        <f t="shared" si="100"/>
        <v>7.9936057773011271E-14</v>
      </c>
      <c r="AC2926" s="236" t="e">
        <v>#N/A</v>
      </c>
      <c r="AD2926" s="236">
        <v>9.6097275895967726E-3</v>
      </c>
    </row>
    <row r="2927" spans="23:30" x14ac:dyDescent="0.2">
      <c r="W2927" s="144"/>
      <c r="X2927" s="113" t="str">
        <f t="shared" si="99"/>
        <v>1w</v>
      </c>
      <c r="Y2927" s="106">
        <f>_xll.qlCalendarAdvance(Calendar,Y2926,X2927,"f",FALSE)</f>
        <v>59735</v>
      </c>
      <c r="Z2927" s="108">
        <f>_xll.qlCalendarAdvance(Calendar,Y2927,0&amp;"D")</f>
        <v>59735</v>
      </c>
      <c r="AA2927" s="109">
        <v>9.6133128143538471E-3</v>
      </c>
      <c r="AB2927" s="143">
        <f t="shared" si="100"/>
        <v>0</v>
      </c>
      <c r="AC2927" s="236" t="e">
        <v>#N/A</v>
      </c>
      <c r="AD2927" s="236">
        <v>9.6133128143538471E-3</v>
      </c>
    </row>
    <row r="2928" spans="23:30" x14ac:dyDescent="0.2">
      <c r="W2928" s="144"/>
      <c r="X2928" s="113" t="str">
        <f t="shared" si="99"/>
        <v>1w</v>
      </c>
      <c r="Y2928" s="106">
        <f>_xll.qlCalendarAdvance(Calendar,Y2927,X2928,"f",FALSE)</f>
        <v>59742</v>
      </c>
      <c r="Z2928" s="108">
        <f>_xll.qlCalendarAdvance(Calendar,Y2928,0&amp;"D")</f>
        <v>59742</v>
      </c>
      <c r="AA2928" s="109">
        <v>9.616937504741685E-3</v>
      </c>
      <c r="AB2928" s="143">
        <f t="shared" si="100"/>
        <v>0</v>
      </c>
      <c r="AC2928" s="236" t="e">
        <v>#N/A</v>
      </c>
      <c r="AD2928" s="236">
        <v>9.616937504741685E-3</v>
      </c>
    </row>
    <row r="2929" spans="23:30" x14ac:dyDescent="0.2">
      <c r="W2929" s="144"/>
      <c r="X2929" s="113" t="str">
        <f t="shared" si="99"/>
        <v>1w</v>
      </c>
      <c r="Y2929" s="106">
        <f>_xll.qlCalendarAdvance(Calendar,Y2928,X2929,"f",FALSE)</f>
        <v>59749</v>
      </c>
      <c r="Z2929" s="108">
        <f>_xll.qlCalendarAdvance(Calendar,Y2929,0&amp;"D")</f>
        <v>59749</v>
      </c>
      <c r="AA2929" s="109">
        <v>9.6206016610800305E-3</v>
      </c>
      <c r="AB2929" s="143">
        <f t="shared" si="100"/>
        <v>-7.9936057773011271E-14</v>
      </c>
      <c r="AC2929" s="236" t="e">
        <v>#N/A</v>
      </c>
      <c r="AD2929" s="236">
        <v>9.6206016611599665E-3</v>
      </c>
    </row>
    <row r="2930" spans="23:30" x14ac:dyDescent="0.2">
      <c r="W2930" s="144"/>
      <c r="X2930" s="113" t="str">
        <f t="shared" si="99"/>
        <v>1w</v>
      </c>
      <c r="Y2930" s="106">
        <f>_xll.qlCalendarAdvance(Calendar,Y2929,X2930,"f",FALSE)</f>
        <v>59756</v>
      </c>
      <c r="Z2930" s="108">
        <f>_xll.qlCalendarAdvance(Calendar,Y2930,0&amp;"D")</f>
        <v>59756</v>
      </c>
      <c r="AA2930" s="109">
        <v>9.6243052831290754E-3</v>
      </c>
      <c r="AB2930" s="143">
        <f t="shared" si="100"/>
        <v>0</v>
      </c>
      <c r="AC2930" s="236" t="e">
        <v>#N/A</v>
      </c>
      <c r="AD2930" s="236">
        <v>9.6243052831290754E-3</v>
      </c>
    </row>
    <row r="2931" spans="23:30" x14ac:dyDescent="0.2">
      <c r="W2931" s="144"/>
      <c r="X2931" s="113" t="str">
        <f t="shared" si="99"/>
        <v>1w</v>
      </c>
      <c r="Y2931" s="106">
        <f>_xll.qlCalendarAdvance(Calendar,Y2930,X2931,"f",FALSE)</f>
        <v>59763</v>
      </c>
      <c r="Z2931" s="108">
        <f>_xll.qlCalendarAdvance(Calendar,Y2931,0&amp;"D")</f>
        <v>59763</v>
      </c>
      <c r="AA2931" s="109">
        <v>9.6280483708088838E-3</v>
      </c>
      <c r="AB2931" s="143">
        <f t="shared" si="100"/>
        <v>0</v>
      </c>
      <c r="AC2931" s="236" t="e">
        <v>#N/A</v>
      </c>
      <c r="AD2931" s="236">
        <v>9.6280483708088838E-3</v>
      </c>
    </row>
    <row r="2932" spans="23:30" x14ac:dyDescent="0.2">
      <c r="W2932" s="144"/>
      <c r="X2932" s="113" t="str">
        <f t="shared" si="99"/>
        <v>1w</v>
      </c>
      <c r="Y2932" s="106">
        <f>_xll.qlCalendarAdvance(Calendar,Y2931,X2932,"f",FALSE)</f>
        <v>59770</v>
      </c>
      <c r="Z2932" s="108">
        <f>_xll.qlCalendarAdvance(Calendar,Y2932,0&amp;"D")</f>
        <v>59770</v>
      </c>
      <c r="AA2932" s="109">
        <v>9.6318309245191358E-3</v>
      </c>
      <c r="AB2932" s="143">
        <f t="shared" si="100"/>
        <v>0</v>
      </c>
      <c r="AC2932" s="236" t="e">
        <v>#N/A</v>
      </c>
      <c r="AD2932" s="236">
        <v>9.6318309245191358E-3</v>
      </c>
    </row>
    <row r="2933" spans="23:30" x14ac:dyDescent="0.2">
      <c r="W2933" s="144"/>
      <c r="X2933" s="113" t="str">
        <f t="shared" si="99"/>
        <v>1w</v>
      </c>
      <c r="Y2933" s="106">
        <f>_xll.qlCalendarAdvance(Calendar,Y2932,X2933,"f",FALSE)</f>
        <v>59777</v>
      </c>
      <c r="Z2933" s="108">
        <f>_xll.qlCalendarAdvance(Calendar,Y2933,0&amp;"D")</f>
        <v>59777</v>
      </c>
      <c r="AA2933" s="109">
        <v>9.6356529440200234E-3</v>
      </c>
      <c r="AB2933" s="143">
        <f t="shared" si="100"/>
        <v>0</v>
      </c>
      <c r="AC2933" s="236" t="e">
        <v>#N/A</v>
      </c>
      <c r="AD2933" s="236">
        <v>9.6356529440200234E-3</v>
      </c>
    </row>
    <row r="2934" spans="23:30" x14ac:dyDescent="0.2">
      <c r="W2934" s="144"/>
      <c r="X2934" s="113" t="str">
        <f t="shared" si="99"/>
        <v>1w</v>
      </c>
      <c r="Y2934" s="106">
        <f>_xll.qlCalendarAdvance(Calendar,Y2933,X2934,"f",FALSE)</f>
        <v>59784</v>
      </c>
      <c r="Z2934" s="108">
        <f>_xll.qlCalendarAdvance(Calendar,Y2934,0&amp;"D")</f>
        <v>59784</v>
      </c>
      <c r="AA2934" s="109">
        <v>9.6395144292316104E-3</v>
      </c>
      <c r="AB2934" s="143">
        <f t="shared" si="100"/>
        <v>7.9936057773011271E-14</v>
      </c>
      <c r="AC2934" s="236" t="e">
        <v>#N/A</v>
      </c>
      <c r="AD2934" s="236">
        <v>9.6395144291516743E-3</v>
      </c>
    </row>
    <row r="2935" spans="23:30" x14ac:dyDescent="0.2">
      <c r="W2935" s="144"/>
      <c r="X2935" s="113" t="str">
        <f t="shared" si="99"/>
        <v>1w</v>
      </c>
      <c r="Y2935" s="106">
        <f>_xll.qlCalendarAdvance(Calendar,Y2934,X2935,"f",FALSE)</f>
        <v>59791</v>
      </c>
      <c r="Z2935" s="108">
        <f>_xll.qlCalendarAdvance(Calendar,Y2935,0&amp;"D")</f>
        <v>59791</v>
      </c>
      <c r="AA2935" s="109">
        <v>9.643415380313769E-3</v>
      </c>
      <c r="AB2935" s="143">
        <f t="shared" si="100"/>
        <v>7.9936057773011271E-14</v>
      </c>
      <c r="AC2935" s="236" t="e">
        <v>#N/A</v>
      </c>
      <c r="AD2935" s="236">
        <v>9.6434153802338329E-3</v>
      </c>
    </row>
    <row r="2936" spans="23:30" x14ac:dyDescent="0.2">
      <c r="W2936" s="144"/>
      <c r="X2936" s="113" t="str">
        <f t="shared" si="99"/>
        <v>1w</v>
      </c>
      <c r="Y2936" s="106">
        <f>_xll.qlCalendarAdvance(Calendar,Y2935,X2936,"f",FALSE)</f>
        <v>59798</v>
      </c>
      <c r="Z2936" s="108">
        <f>_xll.qlCalendarAdvance(Calendar,Y2936,0&amp;"D")</f>
        <v>59798</v>
      </c>
      <c r="AA2936" s="109">
        <v>9.6473557971066271E-3</v>
      </c>
      <c r="AB2936" s="143">
        <f t="shared" si="100"/>
        <v>-7.9936057773011271E-14</v>
      </c>
      <c r="AC2936" s="236" t="e">
        <v>#N/A</v>
      </c>
      <c r="AD2936" s="236">
        <v>9.6473557971865631E-3</v>
      </c>
    </row>
    <row r="2937" spans="23:30" x14ac:dyDescent="0.2">
      <c r="W2937" s="144"/>
      <c r="X2937" s="113" t="str">
        <f t="shared" si="99"/>
        <v>1w</v>
      </c>
      <c r="Y2937" s="106">
        <f>_xll.qlCalendarAdvance(Calendar,Y2936,X2937,"f",FALSE)</f>
        <v>59805</v>
      </c>
      <c r="Z2937" s="108">
        <f>_xll.qlCalendarAdvance(Calendar,Y2937,0&amp;"D")</f>
        <v>59805</v>
      </c>
      <c r="AA2937" s="109">
        <v>9.6513356798499927E-3</v>
      </c>
      <c r="AB2937" s="143">
        <f t="shared" si="100"/>
        <v>-7.9936057773011271E-14</v>
      </c>
      <c r="AC2937" s="236" t="e">
        <v>#N/A</v>
      </c>
      <c r="AD2937" s="236">
        <v>9.6513356799299288E-3</v>
      </c>
    </row>
    <row r="2938" spans="23:30" x14ac:dyDescent="0.2">
      <c r="W2938" s="144"/>
      <c r="X2938" s="113" t="str">
        <f t="shared" si="99"/>
        <v>1w</v>
      </c>
      <c r="Y2938" s="106">
        <f>_xll.qlCalendarAdvance(Calendar,Y2937,X2938,"f",FALSE)</f>
        <v>59812</v>
      </c>
      <c r="Z2938" s="108">
        <f>_xll.qlCalendarAdvance(Calendar,Y2938,0&amp;"D")</f>
        <v>59812</v>
      </c>
      <c r="AA2938" s="109">
        <v>9.655355028383994E-3</v>
      </c>
      <c r="AB2938" s="143">
        <f t="shared" si="100"/>
        <v>0</v>
      </c>
      <c r="AC2938" s="236" t="e">
        <v>#N/A</v>
      </c>
      <c r="AD2938" s="236">
        <v>9.655355028383994E-3</v>
      </c>
    </row>
    <row r="2939" spans="23:30" x14ac:dyDescent="0.2">
      <c r="W2939" s="144"/>
      <c r="X2939" s="113" t="str">
        <f t="shared" si="99"/>
        <v>1w</v>
      </c>
      <c r="Y2939" s="106">
        <f>_xll.qlCalendarAdvance(Calendar,Y2938,X2939,"f",FALSE)</f>
        <v>59819</v>
      </c>
      <c r="Z2939" s="108">
        <f>_xll.qlCalendarAdvance(Calendar,Y2939,0&amp;"D")</f>
        <v>59819</v>
      </c>
      <c r="AA2939" s="109">
        <v>9.6594138426286946E-3</v>
      </c>
      <c r="AB2939" s="143">
        <f t="shared" si="100"/>
        <v>0</v>
      </c>
      <c r="AC2939" s="236" t="e">
        <v>#N/A</v>
      </c>
      <c r="AD2939" s="236">
        <v>9.6594138426286946E-3</v>
      </c>
    </row>
    <row r="2940" spans="23:30" x14ac:dyDescent="0.2">
      <c r="W2940" s="144"/>
      <c r="X2940" s="113" t="str">
        <f t="shared" si="99"/>
        <v>1w</v>
      </c>
      <c r="Y2940" s="106">
        <f>_xll.qlCalendarAdvance(Calendar,Y2939,X2940,"f",FALSE)</f>
        <v>59826</v>
      </c>
      <c r="Z2940" s="108">
        <f>_xll.qlCalendarAdvance(Calendar,Y2940,0&amp;"D")</f>
        <v>59826</v>
      </c>
      <c r="AA2940" s="109">
        <v>9.6635121227439669E-3</v>
      </c>
      <c r="AB2940" s="143">
        <f t="shared" si="100"/>
        <v>0</v>
      </c>
      <c r="AC2940" s="236" t="e">
        <v>#N/A</v>
      </c>
      <c r="AD2940" s="236">
        <v>9.6635121227439669E-3</v>
      </c>
    </row>
    <row r="2941" spans="23:30" x14ac:dyDescent="0.2">
      <c r="W2941" s="144"/>
      <c r="X2941" s="113" t="str">
        <f t="shared" si="99"/>
        <v>1w</v>
      </c>
      <c r="Y2941" s="106">
        <f>_xll.qlCalendarAdvance(Calendar,Y2940,X2941,"f",FALSE)</f>
        <v>59833</v>
      </c>
      <c r="Z2941" s="108">
        <f>_xll.qlCalendarAdvance(Calendar,Y2941,0&amp;"D")</f>
        <v>59833</v>
      </c>
      <c r="AA2941" s="109">
        <v>9.6676498686498746E-3</v>
      </c>
      <c r="AB2941" s="143">
        <f t="shared" si="100"/>
        <v>-7.9936057773011271E-14</v>
      </c>
      <c r="AC2941" s="236" t="e">
        <v>#N/A</v>
      </c>
      <c r="AD2941" s="236">
        <v>9.6676498687298107E-3</v>
      </c>
    </row>
    <row r="2942" spans="23:30" x14ac:dyDescent="0.2">
      <c r="W2942" s="144"/>
      <c r="X2942" s="113" t="str">
        <f t="shared" si="99"/>
        <v>1w</v>
      </c>
      <c r="Y2942" s="106">
        <f>_xll.qlCalendarAdvance(Calendar,Y2941,X2942,"f",FALSE)</f>
        <v>59840</v>
      </c>
      <c r="Z2942" s="108">
        <f>_xll.qlCalendarAdvance(Calendar,Y2942,0&amp;"D")</f>
        <v>59840</v>
      </c>
      <c r="AA2942" s="109">
        <v>9.671827080426354E-3</v>
      </c>
      <c r="AB2942" s="143">
        <f t="shared" si="100"/>
        <v>0</v>
      </c>
      <c r="AC2942" s="236" t="e">
        <v>#N/A</v>
      </c>
      <c r="AD2942" s="236">
        <v>9.671827080426354E-3</v>
      </c>
    </row>
    <row r="2943" spans="23:30" x14ac:dyDescent="0.2">
      <c r="W2943" s="144"/>
      <c r="X2943" s="113" t="str">
        <f t="shared" si="99"/>
        <v>1w</v>
      </c>
      <c r="Y2943" s="106">
        <f>_xll.qlCalendarAdvance(Calendar,Y2942,X2943,"f",FALSE)</f>
        <v>59847</v>
      </c>
      <c r="Z2943" s="108">
        <f>_xll.qlCalendarAdvance(Calendar,Y2943,0&amp;"D")</f>
        <v>59847</v>
      </c>
      <c r="AA2943" s="109">
        <v>9.6760437580734049E-3</v>
      </c>
      <c r="AB2943" s="143">
        <f t="shared" si="100"/>
        <v>0</v>
      </c>
      <c r="AC2943" s="236" t="e">
        <v>#N/A</v>
      </c>
      <c r="AD2943" s="236">
        <v>9.6760437580734049E-3</v>
      </c>
    </row>
    <row r="2944" spans="23:30" x14ac:dyDescent="0.2">
      <c r="W2944" s="144"/>
      <c r="X2944" s="113" t="str">
        <f t="shared" si="99"/>
        <v>1w</v>
      </c>
      <c r="Y2944" s="106">
        <f>_xll.qlCalendarAdvance(Calendar,Y2943,X2944,"f",FALSE)</f>
        <v>59854</v>
      </c>
      <c r="Z2944" s="108">
        <f>_xll.qlCalendarAdvance(Calendar,Y2944,0&amp;"D")</f>
        <v>59854</v>
      </c>
      <c r="AA2944" s="109">
        <v>9.6802999014311553E-3</v>
      </c>
      <c r="AB2944" s="143">
        <f t="shared" si="100"/>
        <v>7.9936057773011271E-14</v>
      </c>
      <c r="AC2944" s="236" t="e">
        <v>#N/A</v>
      </c>
      <c r="AD2944" s="236">
        <v>9.6802999013512192E-3</v>
      </c>
    </row>
    <row r="2945" spans="23:30" x14ac:dyDescent="0.2">
      <c r="W2945" s="144"/>
      <c r="X2945" s="113" t="str">
        <f t="shared" si="99"/>
        <v>1w</v>
      </c>
      <c r="Y2945" s="106">
        <f>_xll.qlCalendarAdvance(Calendar,Y2944,X2945,"f",FALSE)</f>
        <v>59861</v>
      </c>
      <c r="Z2945" s="108">
        <f>_xll.qlCalendarAdvance(Calendar,Y2945,0&amp;"D")</f>
        <v>59861</v>
      </c>
      <c r="AA2945" s="109">
        <v>9.6845955105795412E-3</v>
      </c>
      <c r="AB2945" s="143">
        <f t="shared" si="100"/>
        <v>7.9936057773011271E-14</v>
      </c>
      <c r="AC2945" s="236" t="e">
        <v>#N/A</v>
      </c>
      <c r="AD2945" s="236">
        <v>9.6845955104996051E-3</v>
      </c>
    </row>
    <row r="2946" spans="23:30" x14ac:dyDescent="0.2">
      <c r="W2946" s="144"/>
      <c r="X2946" s="113" t="str">
        <f t="shared" si="99"/>
        <v>1w</v>
      </c>
      <c r="Y2946" s="106">
        <f>_xll.qlCalendarAdvance(Calendar,Y2945,X2946,"f",FALSE)</f>
        <v>59868</v>
      </c>
      <c r="Z2946" s="108">
        <f>_xll.qlCalendarAdvance(Calendar,Y2946,0&amp;"D")</f>
        <v>59868</v>
      </c>
      <c r="AA2946" s="109">
        <v>9.6889305854386265E-3</v>
      </c>
      <c r="AB2946" s="143">
        <f t="shared" si="100"/>
        <v>-7.9936057773011271E-14</v>
      </c>
      <c r="AC2946" s="236" t="e">
        <v>#N/A</v>
      </c>
      <c r="AD2946" s="236">
        <v>9.6889305855185626E-3</v>
      </c>
    </row>
    <row r="2947" spans="23:30" x14ac:dyDescent="0.2">
      <c r="W2947" s="144"/>
      <c r="X2947" s="113" t="str">
        <f t="shared" si="99"/>
        <v>1w</v>
      </c>
      <c r="Y2947" s="106">
        <f>_xll.qlCalendarAdvance(Calendar,Y2946,X2947,"f",FALSE)</f>
        <v>59875</v>
      </c>
      <c r="Z2947" s="108">
        <f>_xll.qlCalendarAdvance(Calendar,Y2947,0&amp;"D")</f>
        <v>59875</v>
      </c>
      <c r="AA2947" s="109">
        <v>9.6933051264080916E-3</v>
      </c>
      <c r="AB2947" s="143">
        <f t="shared" si="100"/>
        <v>0</v>
      </c>
      <c r="AC2947" s="236" t="e">
        <v>#N/A</v>
      </c>
      <c r="AD2947" s="236">
        <v>9.6933051264080916E-3</v>
      </c>
    </row>
    <row r="2948" spans="23:30" x14ac:dyDescent="0.2">
      <c r="W2948" s="144"/>
      <c r="X2948" s="113" t="str">
        <f t="shared" si="99"/>
        <v>1w</v>
      </c>
      <c r="Y2948" s="106">
        <f>_xll.qlCalendarAdvance(Calendar,Y2947,X2948,"f",FALSE)</f>
        <v>59882</v>
      </c>
      <c r="Z2948" s="108">
        <f>_xll.qlCalendarAdvance(Calendar,Y2948,0&amp;"D")</f>
        <v>59882</v>
      </c>
      <c r="AA2948" s="109">
        <v>9.6977191330083201E-3</v>
      </c>
      <c r="AB2948" s="143">
        <f t="shared" si="100"/>
        <v>0</v>
      </c>
      <c r="AC2948" s="236" t="e">
        <v>#N/A</v>
      </c>
      <c r="AD2948" s="236">
        <v>9.6977191330083201E-3</v>
      </c>
    </row>
    <row r="2949" spans="23:30" x14ac:dyDescent="0.2">
      <c r="W2949" s="144"/>
      <c r="X2949" s="113" t="str">
        <f t="shared" si="99"/>
        <v>1w</v>
      </c>
      <c r="Y2949" s="106">
        <f>_xll.qlCalendarAdvance(Calendar,Y2948,X2949,"f",FALSE)</f>
        <v>59889</v>
      </c>
      <c r="Z2949" s="108">
        <f>_xll.qlCalendarAdvance(Calendar,Y2949,0&amp;"D")</f>
        <v>59889</v>
      </c>
      <c r="AA2949" s="109">
        <v>9.7021726056389923E-3</v>
      </c>
      <c r="AB2949" s="143">
        <f t="shared" si="100"/>
        <v>7.9936057773011271E-14</v>
      </c>
      <c r="AC2949" s="236" t="e">
        <v>#N/A</v>
      </c>
      <c r="AD2949" s="236">
        <v>9.7021726055590563E-3</v>
      </c>
    </row>
    <row r="2950" spans="23:30" x14ac:dyDescent="0.2">
      <c r="W2950" s="144"/>
      <c r="X2950" s="113" t="str">
        <f t="shared" si="99"/>
        <v>1w</v>
      </c>
      <c r="Y2950" s="106">
        <f>_xll.qlCalendarAdvance(Calendar,Y2949,X2950,"f",FALSE)</f>
        <v>59897</v>
      </c>
      <c r="Z2950" s="108">
        <f>_xll.qlCalendarAdvance(Calendar,Y2950,0&amp;"D")</f>
        <v>59897</v>
      </c>
      <c r="AA2950" s="109">
        <v>9.7073106139777821E-3</v>
      </c>
      <c r="AB2950" s="143">
        <f t="shared" si="100"/>
        <v>0</v>
      </c>
      <c r="AC2950" s="236" t="e">
        <v>#N/A</v>
      </c>
      <c r="AD2950" s="236">
        <v>9.7073106139777821E-3</v>
      </c>
    </row>
    <row r="2951" spans="23:30" x14ac:dyDescent="0.2">
      <c r="W2951" s="144"/>
      <c r="X2951" s="113" t="str">
        <f t="shared" si="99"/>
        <v>1w</v>
      </c>
      <c r="Y2951" s="106">
        <f>_xll.qlCalendarAdvance(Calendar,Y2950,X2951,"f",FALSE)</f>
        <v>59904</v>
      </c>
      <c r="Z2951" s="108">
        <f>_xll.qlCalendarAdvance(Calendar,Y2951,0&amp;"D")</f>
        <v>59904</v>
      </c>
      <c r="AA2951" s="109">
        <v>9.711848655999944E-3</v>
      </c>
      <c r="AB2951" s="143">
        <f t="shared" si="100"/>
        <v>0</v>
      </c>
      <c r="AC2951" s="236" t="e">
        <v>#N/A</v>
      </c>
      <c r="AD2951" s="236">
        <v>9.711848655999944E-3</v>
      </c>
    </row>
    <row r="2952" spans="23:30" x14ac:dyDescent="0.2">
      <c r="W2952" s="144"/>
      <c r="X2952" s="113" t="str">
        <f t="shared" si="99"/>
        <v>1w</v>
      </c>
      <c r="Y2952" s="106">
        <f>_xll.qlCalendarAdvance(Calendar,Y2951,X2952,"f",FALSE)</f>
        <v>59911</v>
      </c>
      <c r="Z2952" s="108">
        <f>_xll.qlCalendarAdvance(Calendar,Y2952,0&amp;"D")</f>
        <v>59911</v>
      </c>
      <c r="AA2952" s="109">
        <v>9.7164261639726135E-3</v>
      </c>
      <c r="AB2952" s="143">
        <f t="shared" si="100"/>
        <v>0</v>
      </c>
      <c r="AC2952" s="236" t="e">
        <v>#N/A</v>
      </c>
      <c r="AD2952" s="236">
        <v>9.7164261639726135E-3</v>
      </c>
    </row>
    <row r="2953" spans="23:30" x14ac:dyDescent="0.2">
      <c r="W2953" s="144"/>
      <c r="X2953" s="113" t="str">
        <f t="shared" si="99"/>
        <v>1w</v>
      </c>
      <c r="Y2953" s="106">
        <f>_xll.qlCalendarAdvance(Calendar,Y2952,X2953,"f",FALSE)</f>
        <v>59918</v>
      </c>
      <c r="Z2953" s="108">
        <f>_xll.qlCalendarAdvance(Calendar,Y2953,0&amp;"D")</f>
        <v>59918</v>
      </c>
      <c r="AA2953" s="109">
        <v>9.7210431375760464E-3</v>
      </c>
      <c r="AB2953" s="143">
        <f t="shared" si="100"/>
        <v>-7.9936057773011271E-14</v>
      </c>
      <c r="AC2953" s="236" t="e">
        <v>#N/A</v>
      </c>
      <c r="AD2953" s="236">
        <v>9.7210431376559825E-3</v>
      </c>
    </row>
    <row r="2954" spans="23:30" x14ac:dyDescent="0.2">
      <c r="W2954" s="144"/>
      <c r="X2954" s="113" t="str">
        <f t="shared" si="99"/>
        <v>1w</v>
      </c>
      <c r="Y2954" s="106">
        <f>_xll.qlCalendarAdvance(Calendar,Y2953,X2954,"f",FALSE)</f>
        <v>59925</v>
      </c>
      <c r="Z2954" s="108">
        <f>_xll.qlCalendarAdvance(Calendar,Y2954,0&amp;"D")</f>
        <v>59925</v>
      </c>
      <c r="AA2954" s="109">
        <v>9.7256995772099231E-3</v>
      </c>
      <c r="AB2954" s="143">
        <f t="shared" si="100"/>
        <v>-7.9936057773011271E-14</v>
      </c>
      <c r="AC2954" s="236" t="e">
        <v>#N/A</v>
      </c>
      <c r="AD2954" s="236">
        <v>9.7256995772898591E-3</v>
      </c>
    </row>
    <row r="2955" spans="23:30" x14ac:dyDescent="0.2">
      <c r="W2955" s="144"/>
      <c r="X2955" s="113" t="str">
        <f t="shared" si="99"/>
        <v>1w</v>
      </c>
      <c r="Y2955" s="106">
        <f>_xll.qlCalendarAdvance(Calendar,Y2954,X2955,"f",FALSE)</f>
        <v>59932</v>
      </c>
      <c r="Z2955" s="108">
        <f>_xll.qlCalendarAdvance(Calendar,Y2955,0&amp;"D")</f>
        <v>59932</v>
      </c>
      <c r="AA2955" s="109">
        <v>9.7303954828742434E-3</v>
      </c>
      <c r="AB2955" s="143">
        <f t="shared" si="100"/>
        <v>7.9936057773011271E-14</v>
      </c>
      <c r="AC2955" s="236" t="e">
        <v>#N/A</v>
      </c>
      <c r="AD2955" s="236">
        <v>9.7303954827943073E-3</v>
      </c>
    </row>
    <row r="2956" spans="23:30" x14ac:dyDescent="0.2">
      <c r="W2956" s="144"/>
      <c r="X2956" s="113" t="str">
        <f t="shared" si="99"/>
        <v>1w</v>
      </c>
      <c r="Y2956" s="106">
        <f>_xll.qlCalendarAdvance(Calendar,Y2955,X2956,"f",FALSE)</f>
        <v>59939</v>
      </c>
      <c r="Z2956" s="108">
        <f>_xll.qlCalendarAdvance(Calendar,Y2956,0&amp;"D")</f>
        <v>59939</v>
      </c>
      <c r="AA2956" s="109">
        <v>9.7351308540893911E-3</v>
      </c>
      <c r="AB2956" s="143">
        <f t="shared" si="100"/>
        <v>7.9936057773011271E-14</v>
      </c>
      <c r="AC2956" s="236" t="e">
        <v>#N/A</v>
      </c>
      <c r="AD2956" s="236">
        <v>9.735130854009455E-3</v>
      </c>
    </row>
    <row r="2957" spans="23:30" x14ac:dyDescent="0.2">
      <c r="W2957" s="144"/>
      <c r="X2957" s="113" t="str">
        <f t="shared" ref="X2957:X3020" si="101">X2956</f>
        <v>1w</v>
      </c>
      <c r="Y2957" s="106">
        <f>_xll.qlCalendarAdvance(Calendar,Y2956,X2957,"f",FALSE)</f>
        <v>59946</v>
      </c>
      <c r="Z2957" s="108">
        <f>_xll.qlCalendarAdvance(Calendar,Y2957,0&amp;"D")</f>
        <v>59946</v>
      </c>
      <c r="AA2957" s="109">
        <v>9.7399056911751103E-3</v>
      </c>
      <c r="AB2957" s="143">
        <f t="shared" si="100"/>
        <v>0</v>
      </c>
      <c r="AC2957" s="236" t="e">
        <v>#N/A</v>
      </c>
      <c r="AD2957" s="236">
        <v>9.7399056911751103E-3</v>
      </c>
    </row>
    <row r="2958" spans="23:30" x14ac:dyDescent="0.2">
      <c r="W2958" s="144"/>
      <c r="X2958" s="113" t="str">
        <f t="shared" si="101"/>
        <v>1w</v>
      </c>
      <c r="Y2958" s="106">
        <f>_xll.qlCalendarAdvance(Calendar,Y2957,X2958,"f",FALSE)</f>
        <v>59953</v>
      </c>
      <c r="Z2958" s="108">
        <f>_xll.qlCalendarAdvance(Calendar,Y2958,0&amp;"D")</f>
        <v>59953</v>
      </c>
      <c r="AA2958" s="109">
        <v>9.744719993971529E-3</v>
      </c>
      <c r="AB2958" s="143">
        <f t="shared" si="100"/>
        <v>0</v>
      </c>
      <c r="AC2958" s="236" t="e">
        <v>#N/A</v>
      </c>
      <c r="AD2958" s="236">
        <v>9.744719993971529E-3</v>
      </c>
    </row>
    <row r="2959" spans="23:30" x14ac:dyDescent="0.2">
      <c r="W2959" s="144"/>
      <c r="X2959" s="113" t="str">
        <f t="shared" si="101"/>
        <v>1w</v>
      </c>
      <c r="Y2959" s="106">
        <f>_xll.qlCalendarAdvance(Calendar,Y2958,X2959,"f",FALSE)</f>
        <v>59960</v>
      </c>
      <c r="Z2959" s="108">
        <f>_xll.qlCalendarAdvance(Calendar,Y2959,0&amp;"D")</f>
        <v>59960</v>
      </c>
      <c r="AA2959" s="109">
        <v>9.7495737627983914E-3</v>
      </c>
      <c r="AB2959" s="143">
        <f t="shared" si="100"/>
        <v>0</v>
      </c>
      <c r="AC2959" s="236" t="e">
        <v>#N/A</v>
      </c>
      <c r="AD2959" s="236">
        <v>9.7495737627983914E-3</v>
      </c>
    </row>
    <row r="2960" spans="23:30" x14ac:dyDescent="0.2">
      <c r="W2960" s="144"/>
      <c r="X2960" s="113" t="str">
        <f t="shared" si="101"/>
        <v>1w</v>
      </c>
      <c r="Y2960" s="106">
        <f>_xll.qlCalendarAdvance(Calendar,Y2959,X2960,"f",FALSE)</f>
        <v>59967</v>
      </c>
      <c r="Z2960" s="108">
        <f>_xll.qlCalendarAdvance(Calendar,Y2960,0&amp;"D")</f>
        <v>59967</v>
      </c>
      <c r="AA2960" s="109">
        <v>9.7544669974158893E-3</v>
      </c>
      <c r="AB2960" s="143">
        <f t="shared" si="100"/>
        <v>-7.9936057773011271E-14</v>
      </c>
      <c r="AC2960" s="236" t="e">
        <v>#N/A</v>
      </c>
      <c r="AD2960" s="236">
        <v>9.7544669974958254E-3</v>
      </c>
    </row>
    <row r="2961" spans="23:30" x14ac:dyDescent="0.2">
      <c r="W2961" s="144"/>
      <c r="X2961" s="113" t="str">
        <f t="shared" si="101"/>
        <v>1w</v>
      </c>
      <c r="Y2961" s="106">
        <f>_xll.qlCalendarAdvance(Calendar,Y2960,X2961,"f",FALSE)</f>
        <v>59974</v>
      </c>
      <c r="Z2961" s="108">
        <f>_xll.qlCalendarAdvance(Calendar,Y2961,0&amp;"D")</f>
        <v>59974</v>
      </c>
      <c r="AA2961" s="109">
        <v>9.7593996980638309E-3</v>
      </c>
      <c r="AB2961" s="143">
        <f t="shared" si="100"/>
        <v>0</v>
      </c>
      <c r="AC2961" s="236" t="e">
        <v>#N/A</v>
      </c>
      <c r="AD2961" s="236">
        <v>9.7593996980638309E-3</v>
      </c>
    </row>
    <row r="2962" spans="23:30" x14ac:dyDescent="0.2">
      <c r="W2962" s="144"/>
      <c r="X2962" s="113" t="str">
        <f t="shared" si="101"/>
        <v>1w</v>
      </c>
      <c r="Y2962" s="106">
        <f>_xll.qlCalendarAdvance(Calendar,Y2961,X2962,"f",FALSE)</f>
        <v>59981</v>
      </c>
      <c r="Z2962" s="108">
        <f>_xll.qlCalendarAdvance(Calendar,Y2962,0&amp;"D")</f>
        <v>59981</v>
      </c>
      <c r="AA2962" s="109">
        <v>9.7643718643425359E-3</v>
      </c>
      <c r="AB2962" s="143">
        <f t="shared" si="100"/>
        <v>7.9936057773011271E-14</v>
      </c>
      <c r="AC2962" s="236" t="e">
        <v>#N/A</v>
      </c>
      <c r="AD2962" s="236">
        <v>9.7643718642625998E-3</v>
      </c>
    </row>
    <row r="2963" spans="23:30" x14ac:dyDescent="0.2">
      <c r="W2963" s="144"/>
      <c r="X2963" s="113" t="str">
        <f t="shared" si="101"/>
        <v>1w</v>
      </c>
      <c r="Y2963" s="106">
        <f>_xll.qlCalendarAdvance(Calendar,Y2962,X2963,"f",FALSE)</f>
        <v>59988</v>
      </c>
      <c r="Z2963" s="108">
        <f>_xll.qlCalendarAdvance(Calendar,Y2963,0&amp;"D")</f>
        <v>59988</v>
      </c>
      <c r="AA2963" s="109">
        <v>9.7693834964118764E-3</v>
      </c>
      <c r="AB2963" s="143">
        <f t="shared" si="100"/>
        <v>-7.9936057773011271E-14</v>
      </c>
      <c r="AC2963" s="236" t="e">
        <v>#N/A</v>
      </c>
      <c r="AD2963" s="236">
        <v>9.7693834964918125E-3</v>
      </c>
    </row>
    <row r="2964" spans="23:30" x14ac:dyDescent="0.2">
      <c r="W2964" s="144"/>
      <c r="X2964" s="113" t="str">
        <f t="shared" si="101"/>
        <v>1w</v>
      </c>
      <c r="Y2964" s="106">
        <f>_xll.qlCalendarAdvance(Calendar,Y2963,X2964,"f",FALSE)</f>
        <v>59995</v>
      </c>
      <c r="Z2964" s="108">
        <f>_xll.qlCalendarAdvance(Calendar,Y2964,0&amp;"D")</f>
        <v>59995</v>
      </c>
      <c r="AA2964" s="109">
        <v>9.7764167670018054E-3</v>
      </c>
      <c r="AB2964" s="143">
        <f t="shared" si="100"/>
        <v>0</v>
      </c>
      <c r="AC2964" s="236" t="e">
        <v>#N/A</v>
      </c>
      <c r="AD2964" s="236">
        <v>9.7764167670018054E-3</v>
      </c>
    </row>
    <row r="2965" spans="23:30" x14ac:dyDescent="0.2">
      <c r="W2965" s="144"/>
      <c r="X2965" s="113" t="str">
        <f t="shared" si="101"/>
        <v>1w</v>
      </c>
      <c r="Y2965" s="106">
        <f>_xll.qlCalendarAdvance(Calendar,Y2964,X2965,"f",FALSE)</f>
        <v>60002</v>
      </c>
      <c r="Z2965" s="108">
        <f>_xll.qlCalendarAdvance(Calendar,Y2965,0&amp;"D")</f>
        <v>60002</v>
      </c>
      <c r="AA2965" s="109">
        <v>9.7795251584020804E-3</v>
      </c>
      <c r="AB2965" s="143">
        <f t="shared" ref="AB2965:AB3028" si="102">AA2965-AD2965</f>
        <v>0</v>
      </c>
      <c r="AC2965" s="236" t="e">
        <v>#N/A</v>
      </c>
      <c r="AD2965" s="236">
        <v>9.7795251584020804E-3</v>
      </c>
    </row>
    <row r="2966" spans="23:30" x14ac:dyDescent="0.2">
      <c r="W2966" s="144"/>
      <c r="X2966" s="113" t="str">
        <f t="shared" si="101"/>
        <v>1w</v>
      </c>
      <c r="Y2966" s="106">
        <f>_xll.qlCalendarAdvance(Calendar,Y2965,X2966,"f",FALSE)</f>
        <v>60009</v>
      </c>
      <c r="Z2966" s="108">
        <f>_xll.qlCalendarAdvance(Calendar,Y2966,0&amp;"D")</f>
        <v>60009</v>
      </c>
      <c r="AA2966" s="109">
        <v>9.7846551879232635E-3</v>
      </c>
      <c r="AB2966" s="143">
        <f t="shared" si="102"/>
        <v>-7.9936057773011271E-14</v>
      </c>
      <c r="AC2966" s="236" t="e">
        <v>#N/A</v>
      </c>
      <c r="AD2966" s="236">
        <v>9.7846551880031996E-3</v>
      </c>
    </row>
    <row r="2967" spans="23:30" x14ac:dyDescent="0.2">
      <c r="W2967" s="144"/>
      <c r="X2967" s="113" t="str">
        <f t="shared" si="101"/>
        <v>1w</v>
      </c>
      <c r="Y2967" s="106">
        <f>_xll.qlCalendarAdvance(Calendar,Y2966,X2967,"f",FALSE)</f>
        <v>60016</v>
      </c>
      <c r="Z2967" s="108">
        <f>_xll.qlCalendarAdvance(Calendar,Y2967,0&amp;"D")</f>
        <v>60016</v>
      </c>
      <c r="AA2967" s="109">
        <v>9.7898246836347624E-3</v>
      </c>
      <c r="AB2967" s="143">
        <f t="shared" si="102"/>
        <v>0</v>
      </c>
      <c r="AC2967" s="236" t="e">
        <v>#N/A</v>
      </c>
      <c r="AD2967" s="236">
        <v>9.7898246836347624E-3</v>
      </c>
    </row>
    <row r="2968" spans="23:30" x14ac:dyDescent="0.2">
      <c r="W2968" s="144"/>
      <c r="X2968" s="113" t="str">
        <f t="shared" si="101"/>
        <v>1w</v>
      </c>
      <c r="Y2968" s="106">
        <f>_xll.qlCalendarAdvance(Calendar,Y2967,X2968,"f",FALSE)</f>
        <v>60024</v>
      </c>
      <c r="Z2968" s="108">
        <f>_xll.qlCalendarAdvance(Calendar,Y2968,0&amp;"D")</f>
        <v>60024</v>
      </c>
      <c r="AA2968" s="109">
        <v>9.7967960283629196E-3</v>
      </c>
      <c r="AB2968" s="143">
        <f t="shared" si="102"/>
        <v>2.6645352591003757E-14</v>
      </c>
      <c r="AC2968" s="236" t="e">
        <v>#N/A</v>
      </c>
      <c r="AD2968" s="236">
        <v>9.7967960283362743E-3</v>
      </c>
    </row>
    <row r="2969" spans="23:30" x14ac:dyDescent="0.2">
      <c r="W2969" s="144"/>
      <c r="X2969" s="113" t="str">
        <f t="shared" si="101"/>
        <v>1w</v>
      </c>
      <c r="Y2969" s="106">
        <f>_xll.qlCalendarAdvance(Calendar,Y2968,X2969,"f",FALSE)</f>
        <v>60031</v>
      </c>
      <c r="Z2969" s="108">
        <f>_xll.qlCalendarAdvance(Calendar,Y2969,0&amp;"D")</f>
        <v>60031</v>
      </c>
      <c r="AA2969" s="109">
        <v>9.8020560179001848E-3</v>
      </c>
      <c r="AB2969" s="143">
        <f t="shared" si="102"/>
        <v>0</v>
      </c>
      <c r="AC2969" s="236" t="e">
        <v>#N/A</v>
      </c>
      <c r="AD2969" s="236">
        <v>9.8020560179001848E-3</v>
      </c>
    </row>
    <row r="2970" spans="23:30" x14ac:dyDescent="0.2">
      <c r="W2970" s="144"/>
      <c r="X2970" s="113" t="str">
        <f t="shared" si="101"/>
        <v>1w</v>
      </c>
      <c r="Y2970" s="106">
        <f>_xll.qlCalendarAdvance(Calendar,Y2969,X2970,"f",FALSE)</f>
        <v>60038</v>
      </c>
      <c r="Z2970" s="108">
        <f>_xll.qlCalendarAdvance(Calendar,Y2970,0&amp;"D")</f>
        <v>60038</v>
      </c>
      <c r="AA2970" s="109">
        <v>9.8073554756528125E-3</v>
      </c>
      <c r="AB2970" s="143">
        <f t="shared" si="102"/>
        <v>0</v>
      </c>
      <c r="AC2970" s="236" t="e">
        <v>#N/A</v>
      </c>
      <c r="AD2970" s="236">
        <v>9.8073554756528125E-3</v>
      </c>
    </row>
    <row r="2971" spans="23:30" x14ac:dyDescent="0.2">
      <c r="W2971" s="144"/>
      <c r="X2971" s="113" t="str">
        <f t="shared" si="101"/>
        <v>1w</v>
      </c>
      <c r="Y2971" s="106">
        <f>_xll.qlCalendarAdvance(Calendar,Y2970,X2971,"f",FALSE)</f>
        <v>60045</v>
      </c>
      <c r="Z2971" s="108">
        <f>_xll.qlCalendarAdvance(Calendar,Y2971,0&amp;"D")</f>
        <v>60045</v>
      </c>
      <c r="AA2971" s="109">
        <v>9.8126944015675122E-3</v>
      </c>
      <c r="AB2971" s="143">
        <f t="shared" si="102"/>
        <v>2.6645352591003757E-14</v>
      </c>
      <c r="AC2971" s="236" t="e">
        <v>#N/A</v>
      </c>
      <c r="AD2971" s="236">
        <v>9.8126944015408668E-3</v>
      </c>
    </row>
    <row r="2972" spans="23:30" x14ac:dyDescent="0.2">
      <c r="W2972" s="144"/>
      <c r="X2972" s="113" t="str">
        <f t="shared" si="101"/>
        <v>1w</v>
      </c>
      <c r="Y2972" s="106">
        <f>_xll.qlCalendarAdvance(Calendar,Y2971,X2972,"f",FALSE)</f>
        <v>60052</v>
      </c>
      <c r="Z2972" s="108">
        <f>_xll.qlCalendarAdvance(Calendar,Y2972,0&amp;"D")</f>
        <v>60052</v>
      </c>
      <c r="AA2972" s="109">
        <v>9.8180727956709291E-3</v>
      </c>
      <c r="AB2972" s="143">
        <f t="shared" si="102"/>
        <v>0</v>
      </c>
      <c r="AC2972" s="236" t="e">
        <v>#N/A</v>
      </c>
      <c r="AD2972" s="236">
        <v>9.8180727956709291E-3</v>
      </c>
    </row>
    <row r="2973" spans="23:30" x14ac:dyDescent="0.2">
      <c r="W2973" s="144"/>
      <c r="X2973" s="113" t="str">
        <f t="shared" si="101"/>
        <v>1w</v>
      </c>
      <c r="Y2973" s="106">
        <f>_xll.qlCalendarAdvance(Calendar,Y2972,X2973,"f",FALSE)</f>
        <v>60059</v>
      </c>
      <c r="Z2973" s="108">
        <f>_xll.qlCalendarAdvance(Calendar,Y2973,0&amp;"D")</f>
        <v>60059</v>
      </c>
      <c r="AA2973" s="109">
        <v>9.8234906579097725E-3</v>
      </c>
      <c r="AB2973" s="143">
        <f t="shared" si="102"/>
        <v>0</v>
      </c>
      <c r="AC2973" s="236" t="e">
        <v>#N/A</v>
      </c>
      <c r="AD2973" s="236">
        <v>9.8234906579097725E-3</v>
      </c>
    </row>
    <row r="2974" spans="23:30" x14ac:dyDescent="0.2">
      <c r="W2974" s="144"/>
      <c r="X2974" s="113" t="str">
        <f t="shared" si="101"/>
        <v>1w</v>
      </c>
      <c r="Y2974" s="106">
        <f>_xll.qlCalendarAdvance(Calendar,Y2973,X2974,"f",FALSE)</f>
        <v>60066</v>
      </c>
      <c r="Z2974" s="108">
        <f>_xll.qlCalendarAdvance(Calendar,Y2974,0&amp;"D")</f>
        <v>60066</v>
      </c>
      <c r="AA2974" s="109">
        <v>9.8289479883906239E-3</v>
      </c>
      <c r="AB2974" s="143">
        <f t="shared" si="102"/>
        <v>2.6645352591003757E-14</v>
      </c>
      <c r="AC2974" s="236" t="e">
        <v>#N/A</v>
      </c>
      <c r="AD2974" s="236">
        <v>9.8289479883639785E-3</v>
      </c>
    </row>
    <row r="2975" spans="23:30" x14ac:dyDescent="0.2">
      <c r="W2975" s="144"/>
      <c r="X2975" s="113" t="str">
        <f t="shared" si="101"/>
        <v>1w</v>
      </c>
      <c r="Y2975" s="106">
        <f>_xll.qlCalendarAdvance(Calendar,Y2974,X2975,"f",FALSE)</f>
        <v>60073</v>
      </c>
      <c r="Z2975" s="108">
        <f>_xll.qlCalendarAdvance(Calendar,Y2975,0&amp;"D")</f>
        <v>60073</v>
      </c>
      <c r="AA2975" s="109">
        <v>9.8344447870069018E-3</v>
      </c>
      <c r="AB2975" s="143">
        <f t="shared" si="102"/>
        <v>2.6645352591003757E-14</v>
      </c>
      <c r="AC2975" s="236" t="e">
        <v>#N/A</v>
      </c>
      <c r="AD2975" s="236">
        <v>9.8344447869802565E-3</v>
      </c>
    </row>
    <row r="2976" spans="23:30" x14ac:dyDescent="0.2">
      <c r="W2976" s="144"/>
      <c r="X2976" s="113" t="str">
        <f t="shared" si="101"/>
        <v>1w</v>
      </c>
      <c r="Y2976" s="106">
        <f>_xll.qlCalendarAdvance(Calendar,Y2975,X2976,"f",FALSE)</f>
        <v>60080</v>
      </c>
      <c r="Z2976" s="108">
        <f>_xll.qlCalendarAdvance(Calendar,Y2976,0&amp;"D")</f>
        <v>60080</v>
      </c>
      <c r="AA2976" s="109">
        <v>9.8399810538385424E-3</v>
      </c>
      <c r="AB2976" s="143">
        <f t="shared" si="102"/>
        <v>-2.6645352591003757E-14</v>
      </c>
      <c r="AC2976" s="236" t="e">
        <v>#N/A</v>
      </c>
      <c r="AD2976" s="236">
        <v>9.8399810538651877E-3</v>
      </c>
    </row>
    <row r="2977" spans="23:30" x14ac:dyDescent="0.2">
      <c r="W2977" s="144"/>
      <c r="X2977" s="113" t="str">
        <f t="shared" si="101"/>
        <v>1w</v>
      </c>
      <c r="Y2977" s="106">
        <f>_xll.qlCalendarAdvance(Calendar,Y2976,X2977,"f",FALSE)</f>
        <v>60087</v>
      </c>
      <c r="Z2977" s="108">
        <f>_xll.qlCalendarAdvance(Calendar,Y2977,0&amp;"D")</f>
        <v>60087</v>
      </c>
      <c r="AA2977" s="109">
        <v>9.8455567888855455E-3</v>
      </c>
      <c r="AB2977" s="143">
        <f t="shared" si="102"/>
        <v>2.6645352591003757E-14</v>
      </c>
      <c r="AC2977" s="236" t="e">
        <v>#N/A</v>
      </c>
      <c r="AD2977" s="236">
        <v>9.8455567888589002E-3</v>
      </c>
    </row>
    <row r="2978" spans="23:30" x14ac:dyDescent="0.2">
      <c r="W2978" s="144"/>
      <c r="X2978" s="113" t="str">
        <f t="shared" si="101"/>
        <v>1w</v>
      </c>
      <c r="Y2978" s="106">
        <f>_xll.qlCalendarAdvance(Calendar,Y2977,X2978,"f",FALSE)</f>
        <v>60094</v>
      </c>
      <c r="Z2978" s="108">
        <f>_xll.qlCalendarAdvance(Calendar,Y2978,0&amp;"D")</f>
        <v>60094</v>
      </c>
      <c r="AA2978" s="109">
        <v>9.8511719921479113E-3</v>
      </c>
      <c r="AB2978" s="143">
        <f t="shared" si="102"/>
        <v>0</v>
      </c>
      <c r="AC2978" s="236" t="e">
        <v>#N/A</v>
      </c>
      <c r="AD2978" s="236">
        <v>9.8511719921479113E-3</v>
      </c>
    </row>
    <row r="2979" spans="23:30" x14ac:dyDescent="0.2">
      <c r="W2979" s="144"/>
      <c r="X2979" s="113" t="str">
        <f t="shared" si="101"/>
        <v>1w</v>
      </c>
      <c r="Y2979" s="106">
        <f>_xll.qlCalendarAdvance(Calendar,Y2978,X2979,"f",FALSE)</f>
        <v>60101</v>
      </c>
      <c r="Z2979" s="108">
        <f>_xll.qlCalendarAdvance(Calendar,Y2979,0&amp;"D")</f>
        <v>60101</v>
      </c>
      <c r="AA2979" s="109">
        <v>9.8568266635989943E-3</v>
      </c>
      <c r="AB2979" s="143">
        <f t="shared" si="102"/>
        <v>0</v>
      </c>
      <c r="AC2979" s="236" t="e">
        <v>#N/A</v>
      </c>
      <c r="AD2979" s="236">
        <v>9.8568266635989943E-3</v>
      </c>
    </row>
    <row r="2980" spans="23:30" x14ac:dyDescent="0.2">
      <c r="W2980" s="144"/>
      <c r="X2980" s="113" t="str">
        <f t="shared" si="101"/>
        <v>1w</v>
      </c>
      <c r="Y2980" s="106">
        <f>_xll.qlCalendarAdvance(Calendar,Y2979,X2980,"f",FALSE)</f>
        <v>60108</v>
      </c>
      <c r="Z2980" s="108">
        <f>_xll.qlCalendarAdvance(Calendar,Y2980,0&amp;"D")</f>
        <v>60108</v>
      </c>
      <c r="AA2980" s="109">
        <v>9.8625208032654399E-3</v>
      </c>
      <c r="AB2980" s="143">
        <f t="shared" si="102"/>
        <v>0</v>
      </c>
      <c r="AC2980" s="236" t="e">
        <v>#N/A</v>
      </c>
      <c r="AD2980" s="236">
        <v>9.8625208032654399E-3</v>
      </c>
    </row>
    <row r="2981" spans="23:30" x14ac:dyDescent="0.2">
      <c r="W2981" s="144"/>
      <c r="X2981" s="113" t="str">
        <f t="shared" si="101"/>
        <v>1w</v>
      </c>
      <c r="Y2981" s="106">
        <f>_xll.qlCalendarAdvance(Calendar,Y2980,X2981,"f",FALSE)</f>
        <v>60115</v>
      </c>
      <c r="Z2981" s="108">
        <f>_xll.qlCalendarAdvance(Calendar,Y2981,0&amp;"D")</f>
        <v>60115</v>
      </c>
      <c r="AA2981" s="109">
        <v>9.8682544111206028E-3</v>
      </c>
      <c r="AB2981" s="143">
        <f t="shared" si="102"/>
        <v>0</v>
      </c>
      <c r="AC2981" s="236" t="e">
        <v>#N/A</v>
      </c>
      <c r="AD2981" s="236">
        <v>9.8682544111206028E-3</v>
      </c>
    </row>
    <row r="2982" spans="23:30" x14ac:dyDescent="0.2">
      <c r="W2982" s="144"/>
      <c r="X2982" s="113" t="str">
        <f t="shared" si="101"/>
        <v>1w</v>
      </c>
      <c r="Y2982" s="106">
        <f>_xll.qlCalendarAdvance(Calendar,Y2981,X2982,"f",FALSE)</f>
        <v>60122</v>
      </c>
      <c r="Z2982" s="108">
        <f>_xll.qlCalendarAdvance(Calendar,Y2982,0&amp;"D")</f>
        <v>60122</v>
      </c>
      <c r="AA2982" s="109">
        <v>9.8740274872977096E-3</v>
      </c>
      <c r="AB2982" s="143">
        <f t="shared" si="102"/>
        <v>2.6645352591003757E-14</v>
      </c>
      <c r="AC2982" s="236" t="e">
        <v>#N/A</v>
      </c>
      <c r="AD2982" s="236">
        <v>9.8740274872710643E-3</v>
      </c>
    </row>
    <row r="2983" spans="23:30" x14ac:dyDescent="0.2">
      <c r="W2983" s="144"/>
      <c r="X2983" s="113" t="str">
        <f t="shared" si="101"/>
        <v>1w</v>
      </c>
      <c r="Y2983" s="106">
        <f>_xll.qlCalendarAdvance(Calendar,Y2982,X2983,"f",FALSE)</f>
        <v>60129</v>
      </c>
      <c r="Z2983" s="108">
        <f>_xll.qlCalendarAdvance(Calendar,Y2983,0&amp;"D")</f>
        <v>60129</v>
      </c>
      <c r="AA2983" s="109">
        <v>9.879840031610243E-3</v>
      </c>
      <c r="AB2983" s="143">
        <f t="shared" si="102"/>
        <v>0</v>
      </c>
      <c r="AC2983" s="236" t="e">
        <v>#N/A</v>
      </c>
      <c r="AD2983" s="236">
        <v>9.879840031610243E-3</v>
      </c>
    </row>
    <row r="2984" spans="23:30" x14ac:dyDescent="0.2">
      <c r="W2984" s="144"/>
      <c r="X2984" s="113" t="str">
        <f t="shared" si="101"/>
        <v>1w</v>
      </c>
      <c r="Y2984" s="106">
        <f>_xll.qlCalendarAdvance(Calendar,Y2983,X2984,"f",FALSE)</f>
        <v>60136</v>
      </c>
      <c r="Z2984" s="108">
        <f>_xll.qlCalendarAdvance(Calendar,Y2984,0&amp;"D")</f>
        <v>60136</v>
      </c>
      <c r="AA2984" s="109">
        <v>9.8856920442447205E-3</v>
      </c>
      <c r="AB2984" s="143">
        <f t="shared" si="102"/>
        <v>2.6645352591003757E-14</v>
      </c>
      <c r="AC2984" s="236" t="e">
        <v>#N/A</v>
      </c>
      <c r="AD2984" s="236">
        <v>9.8856920442180751E-3</v>
      </c>
    </row>
    <row r="2985" spans="23:30" x14ac:dyDescent="0.2">
      <c r="W2985" s="144"/>
      <c r="X2985" s="113" t="str">
        <f t="shared" si="101"/>
        <v>1w</v>
      </c>
      <c r="Y2985" s="106">
        <f>_xll.qlCalendarAdvance(Calendar,Y2984,X2985,"f",FALSE)</f>
        <v>60143</v>
      </c>
      <c r="Z2985" s="108">
        <f>_xll.qlCalendarAdvance(Calendar,Y2985,0&amp;"D")</f>
        <v>60143</v>
      </c>
      <c r="AA2985" s="109">
        <v>9.8915835250679152E-3</v>
      </c>
      <c r="AB2985" s="143">
        <f t="shared" si="102"/>
        <v>0</v>
      </c>
      <c r="AC2985" s="236" t="e">
        <v>#N/A</v>
      </c>
      <c r="AD2985" s="236">
        <v>9.8915835250679152E-3</v>
      </c>
    </row>
    <row r="2986" spans="23:30" x14ac:dyDescent="0.2">
      <c r="W2986" s="144"/>
      <c r="X2986" s="113" t="str">
        <f t="shared" si="101"/>
        <v>1w</v>
      </c>
      <c r="Y2986" s="106">
        <f>_xll.qlCalendarAdvance(Calendar,Y2985,X2986,"f",FALSE)</f>
        <v>60150</v>
      </c>
      <c r="Z2986" s="108">
        <f>_xll.qlCalendarAdvance(Calendar,Y2986,0&amp;"D")</f>
        <v>60150</v>
      </c>
      <c r="AA2986" s="109">
        <v>9.8975144741597632E-3</v>
      </c>
      <c r="AB2986" s="143">
        <f t="shared" si="102"/>
        <v>0</v>
      </c>
      <c r="AC2986" s="236" t="e">
        <v>#N/A</v>
      </c>
      <c r="AD2986" s="236">
        <v>9.8975144741597632E-3</v>
      </c>
    </row>
    <row r="2987" spans="23:30" x14ac:dyDescent="0.2">
      <c r="W2987" s="144"/>
      <c r="X2987" s="113" t="str">
        <f t="shared" si="101"/>
        <v>1w</v>
      </c>
      <c r="Y2987" s="106">
        <f>_xll.qlCalendarAdvance(Calendar,Y2986,X2987,"f",FALSE)</f>
        <v>60157</v>
      </c>
      <c r="Z2987" s="108">
        <f>_xll.qlCalendarAdvance(Calendar,Y2987,0&amp;"D")</f>
        <v>60157</v>
      </c>
      <c r="AA2987" s="109">
        <v>9.9034848914936191E-3</v>
      </c>
      <c r="AB2987" s="143">
        <f t="shared" si="102"/>
        <v>0</v>
      </c>
      <c r="AC2987" s="236" t="e">
        <v>#N/A</v>
      </c>
      <c r="AD2987" s="236">
        <v>9.9034848914936191E-3</v>
      </c>
    </row>
    <row r="2988" spans="23:30" x14ac:dyDescent="0.2">
      <c r="W2988" s="144"/>
      <c r="X2988" s="113" t="str">
        <f t="shared" si="101"/>
        <v>1w</v>
      </c>
      <c r="Y2988" s="106">
        <f>_xll.qlCalendarAdvance(Calendar,Y2987,X2988,"f",FALSE)</f>
        <v>60164</v>
      </c>
      <c r="Z2988" s="108">
        <f>_xll.qlCalendarAdvance(Calendar,Y2988,0&amp;"D")</f>
        <v>60164</v>
      </c>
      <c r="AA2988" s="109">
        <v>9.9094947771227737E-3</v>
      </c>
      <c r="AB2988" s="143">
        <f t="shared" si="102"/>
        <v>0</v>
      </c>
      <c r="AC2988" s="236" t="e">
        <v>#N/A</v>
      </c>
      <c r="AD2988" s="236">
        <v>9.9094947771227737E-3</v>
      </c>
    </row>
    <row r="2989" spans="23:30" x14ac:dyDescent="0.2">
      <c r="W2989" s="144"/>
      <c r="X2989" s="113" t="str">
        <f t="shared" si="101"/>
        <v>1w</v>
      </c>
      <c r="Y2989" s="106">
        <f>_xll.qlCalendarAdvance(Calendar,Y2988,X2989,"f",FALSE)</f>
        <v>60171</v>
      </c>
      <c r="Z2989" s="108">
        <f>_xll.qlCalendarAdvance(Calendar,Y2989,0&amp;"D")</f>
        <v>60171</v>
      </c>
      <c r="AA2989" s="109">
        <v>9.9155441309672909E-3</v>
      </c>
      <c r="AB2989" s="143">
        <f t="shared" si="102"/>
        <v>-2.6645352591003757E-14</v>
      </c>
      <c r="AC2989" s="236" t="e">
        <v>#N/A</v>
      </c>
      <c r="AD2989" s="236">
        <v>9.9155441309939363E-3</v>
      </c>
    </row>
    <row r="2990" spans="23:30" x14ac:dyDescent="0.2">
      <c r="W2990" s="144"/>
      <c r="X2990" s="113" t="str">
        <f t="shared" si="101"/>
        <v>1w</v>
      </c>
      <c r="Y2990" s="106">
        <f>_xll.qlCalendarAdvance(Calendar,Y2989,X2990,"f",FALSE)</f>
        <v>60178</v>
      </c>
      <c r="Z2990" s="108">
        <f>_xll.qlCalendarAdvance(Calendar,Y2990,0&amp;"D")</f>
        <v>60178</v>
      </c>
      <c r="AA2990" s="109">
        <v>9.9216329531603975E-3</v>
      </c>
      <c r="AB2990" s="143">
        <f t="shared" si="102"/>
        <v>2.6645352591003757E-14</v>
      </c>
      <c r="AC2990" s="236" t="e">
        <v>#N/A</v>
      </c>
      <c r="AD2990" s="236">
        <v>9.9216329531337522E-3</v>
      </c>
    </row>
    <row r="2991" spans="23:30" x14ac:dyDescent="0.2">
      <c r="W2991" s="144"/>
      <c r="X2991" s="113" t="str">
        <f t="shared" si="101"/>
        <v>1w</v>
      </c>
      <c r="Y2991" s="106">
        <f>_xll.qlCalendarAdvance(Calendar,Y2990,X2991,"f",FALSE)</f>
        <v>60185</v>
      </c>
      <c r="Z2991" s="108">
        <f>_xll.qlCalendarAdvance(Calendar,Y2991,0&amp;"D")</f>
        <v>60185</v>
      </c>
      <c r="AA2991" s="109">
        <v>9.9277612435688667E-3</v>
      </c>
      <c r="AB2991" s="143">
        <f t="shared" si="102"/>
        <v>0</v>
      </c>
      <c r="AC2991" s="236" t="e">
        <v>#N/A</v>
      </c>
      <c r="AD2991" s="236">
        <v>9.9277612435688667E-3</v>
      </c>
    </row>
    <row r="2992" spans="23:30" x14ac:dyDescent="0.2">
      <c r="W2992" s="144"/>
      <c r="X2992" s="113" t="str">
        <f t="shared" si="101"/>
        <v>1w</v>
      </c>
      <c r="Y2992" s="106">
        <f>_xll.qlCalendarAdvance(Calendar,Y2991,X2992,"f",FALSE)</f>
        <v>60192</v>
      </c>
      <c r="Z2992" s="108">
        <f>_xll.qlCalendarAdvance(Calendar,Y2992,0&amp;"D")</f>
        <v>60192</v>
      </c>
      <c r="AA2992" s="109">
        <v>9.9339290023525706E-3</v>
      </c>
      <c r="AB2992" s="143">
        <f t="shared" si="102"/>
        <v>2.6645352591003757E-14</v>
      </c>
      <c r="AC2992" s="236" t="e">
        <v>#N/A</v>
      </c>
      <c r="AD2992" s="236">
        <v>9.9339290023259252E-3</v>
      </c>
    </row>
    <row r="2993" spans="23:30" x14ac:dyDescent="0.2">
      <c r="W2993" s="144"/>
      <c r="X2993" s="113" t="str">
        <f t="shared" si="101"/>
        <v>1w</v>
      </c>
      <c r="Y2993" s="106">
        <f>_xll.qlCalendarAdvance(Calendar,Y2992,X2993,"f",FALSE)</f>
        <v>60199</v>
      </c>
      <c r="Z2993" s="108">
        <f>_xll.qlCalendarAdvance(Calendar,Y2993,0&amp;"D")</f>
        <v>60199</v>
      </c>
      <c r="AA2993" s="109">
        <v>9.9401362293516371E-3</v>
      </c>
      <c r="AB2993" s="143">
        <f t="shared" si="102"/>
        <v>0</v>
      </c>
      <c r="AC2993" s="236" t="e">
        <v>#N/A</v>
      </c>
      <c r="AD2993" s="236">
        <v>9.9401362293516371E-3</v>
      </c>
    </row>
    <row r="2994" spans="23:30" x14ac:dyDescent="0.2">
      <c r="W2994" s="144"/>
      <c r="X2994" s="113" t="str">
        <f t="shared" si="101"/>
        <v>1w</v>
      </c>
      <c r="Y2994" s="106">
        <f>_xll.qlCalendarAdvance(Calendar,Y2993,X2994,"f",FALSE)</f>
        <v>60206</v>
      </c>
      <c r="Z2994" s="108">
        <f>_xll.qlCalendarAdvance(Calendar,Y2994,0&amp;"D")</f>
        <v>60206</v>
      </c>
      <c r="AA2994" s="109">
        <v>9.9463829246460023E-3</v>
      </c>
      <c r="AB2994" s="143">
        <f t="shared" si="102"/>
        <v>0</v>
      </c>
      <c r="AC2994" s="236" t="e">
        <v>#N/A</v>
      </c>
      <c r="AD2994" s="236">
        <v>9.9463829246460023E-3</v>
      </c>
    </row>
    <row r="2995" spans="23:30" x14ac:dyDescent="0.2">
      <c r="W2995" s="144"/>
      <c r="X2995" s="113" t="str">
        <f t="shared" si="101"/>
        <v>1w</v>
      </c>
      <c r="Y2995" s="106">
        <f>_xll.qlCalendarAdvance(Calendar,Y2994,X2995,"f",FALSE)</f>
        <v>60213</v>
      </c>
      <c r="Z2995" s="108">
        <f>_xll.qlCalendarAdvance(Calendar,Y2995,0&amp;"D")</f>
        <v>60213</v>
      </c>
      <c r="AA2995" s="109">
        <v>9.9526690882356661E-3</v>
      </c>
      <c r="AB2995" s="143">
        <f t="shared" si="102"/>
        <v>0</v>
      </c>
      <c r="AC2995" s="236" t="e">
        <v>#N/A</v>
      </c>
      <c r="AD2995" s="236">
        <v>9.9526690882356661E-3</v>
      </c>
    </row>
    <row r="2996" spans="23:30" x14ac:dyDescent="0.2">
      <c r="W2996" s="144"/>
      <c r="X2996" s="113" t="str">
        <f t="shared" si="101"/>
        <v>1w</v>
      </c>
      <c r="Y2996" s="106">
        <f>_xll.qlCalendarAdvance(Calendar,Y2995,X2996,"f",FALSE)</f>
        <v>60220</v>
      </c>
      <c r="Z2996" s="108">
        <f>_xll.qlCalendarAdvance(Calendar,Y2996,0&amp;"D")</f>
        <v>60220</v>
      </c>
      <c r="AA2996" s="109">
        <v>9.9589947202005646E-3</v>
      </c>
      <c r="AB2996" s="143">
        <f t="shared" si="102"/>
        <v>0</v>
      </c>
      <c r="AC2996" s="236" t="e">
        <v>#N/A</v>
      </c>
      <c r="AD2996" s="236">
        <v>9.9589947202005646E-3</v>
      </c>
    </row>
    <row r="2997" spans="23:30" x14ac:dyDescent="0.2">
      <c r="W2997" s="144"/>
      <c r="X2997" s="113" t="str">
        <f t="shared" si="101"/>
        <v>1w</v>
      </c>
      <c r="Y2997" s="106">
        <f>_xll.qlCalendarAdvance(Calendar,Y2996,X2997,"f",FALSE)</f>
        <v>60227</v>
      </c>
      <c r="Z2997" s="108">
        <f>_xll.qlCalendarAdvance(Calendar,Y2997,0&amp;"D")</f>
        <v>60227</v>
      </c>
      <c r="AA2997" s="109">
        <v>9.9653598204874072E-3</v>
      </c>
      <c r="AB2997" s="143">
        <f t="shared" si="102"/>
        <v>0</v>
      </c>
      <c r="AC2997" s="236" t="e">
        <v>#N/A</v>
      </c>
      <c r="AD2997" s="236">
        <v>9.9653598204874072E-3</v>
      </c>
    </row>
    <row r="2998" spans="23:30" x14ac:dyDescent="0.2">
      <c r="W2998" s="144"/>
      <c r="X2998" s="113" t="str">
        <f t="shared" si="101"/>
        <v>1w</v>
      </c>
      <c r="Y2998" s="106">
        <f>_xll.qlCalendarAdvance(Calendar,Y2997,X2998,"f",FALSE)</f>
        <v>60234</v>
      </c>
      <c r="Z2998" s="108">
        <f>_xll.qlCalendarAdvance(Calendar,Y2998,0&amp;"D")</f>
        <v>60234</v>
      </c>
      <c r="AA2998" s="109">
        <v>9.9717643890429031E-3</v>
      </c>
      <c r="AB2998" s="143">
        <f t="shared" si="102"/>
        <v>0</v>
      </c>
      <c r="AC2998" s="236" t="e">
        <v>#N/A</v>
      </c>
      <c r="AD2998" s="236">
        <v>9.9717643890429031E-3</v>
      </c>
    </row>
    <row r="2999" spans="23:30" x14ac:dyDescent="0.2">
      <c r="W2999" s="144"/>
      <c r="X2999" s="113" t="str">
        <f t="shared" si="101"/>
        <v>1w</v>
      </c>
      <c r="Y2999" s="106">
        <f>_xll.qlCalendarAdvance(Calendar,Y2998,X2999,"f",FALSE)</f>
        <v>60241</v>
      </c>
      <c r="Z2999" s="108">
        <f>_xll.qlCalendarAdvance(Calendar,Y2999,0&amp;"D")</f>
        <v>60241</v>
      </c>
      <c r="AA2999" s="109">
        <v>9.9782084259469883E-3</v>
      </c>
      <c r="AB2999" s="143">
        <f t="shared" si="102"/>
        <v>2.6645352591003757E-14</v>
      </c>
      <c r="AC2999" s="236" t="e">
        <v>#N/A</v>
      </c>
      <c r="AD2999" s="236">
        <v>9.978208425920343E-3</v>
      </c>
    </row>
    <row r="3000" spans="23:30" x14ac:dyDescent="0.2">
      <c r="W3000" s="144"/>
      <c r="X3000" s="113" t="str">
        <f t="shared" si="101"/>
        <v>1w</v>
      </c>
      <c r="Y3000" s="106">
        <f>_xll.qlCalendarAdvance(Calendar,Y2999,X3000,"f",FALSE)</f>
        <v>60248</v>
      </c>
      <c r="Z3000" s="108">
        <f>_xll.qlCalendarAdvance(Calendar,Y3000,0&amp;"D")</f>
        <v>60248</v>
      </c>
      <c r="AA3000" s="109">
        <v>9.9846919312263083E-3</v>
      </c>
      <c r="AB3000" s="143">
        <f t="shared" si="102"/>
        <v>0</v>
      </c>
      <c r="AC3000" s="236" t="e">
        <v>#N/A</v>
      </c>
      <c r="AD3000" s="236">
        <v>9.9846919312263083E-3</v>
      </c>
    </row>
    <row r="3001" spans="23:30" x14ac:dyDescent="0.2">
      <c r="W3001" s="144"/>
      <c r="X3001" s="113" t="str">
        <f t="shared" si="101"/>
        <v>1w</v>
      </c>
      <c r="Y3001" s="106">
        <f>_xll.qlCalendarAdvance(Calendar,Y3000,X3001,"f",FALSE)</f>
        <v>60255</v>
      </c>
      <c r="Z3001" s="108">
        <f>_xll.qlCalendarAdvance(Calendar,Y3001,0&amp;"D")</f>
        <v>60255</v>
      </c>
      <c r="AA3001" s="109">
        <v>9.9912149047742815E-3</v>
      </c>
      <c r="AB3001" s="143">
        <f t="shared" si="102"/>
        <v>2.6645352591003757E-14</v>
      </c>
      <c r="AC3001" s="236" t="e">
        <v>#N/A</v>
      </c>
      <c r="AD3001" s="236">
        <v>9.9912149047476362E-3</v>
      </c>
    </row>
    <row r="3002" spans="23:30" x14ac:dyDescent="0.2">
      <c r="W3002" s="144"/>
      <c r="X3002" s="113" t="str">
        <f t="shared" si="101"/>
        <v>1w</v>
      </c>
      <c r="Y3002" s="106">
        <f>_xll.qlCalendarAdvance(Calendar,Y3001,X3002,"f",FALSE)</f>
        <v>60265</v>
      </c>
      <c r="Z3002" s="108">
        <f>_xll.qlCalendarAdvance(Calendar,Y3002,0&amp;"D")</f>
        <v>60265</v>
      </c>
      <c r="AA3002" s="109">
        <v>9.999381564922416E-3</v>
      </c>
      <c r="AB3002" s="143">
        <f t="shared" si="102"/>
        <v>0</v>
      </c>
      <c r="AC3002" s="236" t="e">
        <v>#N/A</v>
      </c>
      <c r="AD3002" s="236">
        <v>9.999381564922416E-3</v>
      </c>
    </row>
    <row r="3003" spans="23:30" x14ac:dyDescent="0.2">
      <c r="W3003" s="144"/>
      <c r="X3003" s="113" t="str">
        <f t="shared" si="101"/>
        <v>1w</v>
      </c>
      <c r="Y3003" s="106">
        <f>_xll.qlCalendarAdvance(Calendar,Y3002,X3003,"f",FALSE)</f>
        <v>60272</v>
      </c>
      <c r="Z3003" s="108">
        <f>_xll.qlCalendarAdvance(Calendar,Y3003,0&amp;"D")</f>
        <v>60272</v>
      </c>
      <c r="AA3003" s="109">
        <v>1.0005994384414407E-2</v>
      </c>
      <c r="AB3003" s="143">
        <f t="shared" si="102"/>
        <v>7.9936057773011271E-14</v>
      </c>
      <c r="AC3003" s="236" t="e">
        <v>#N/A</v>
      </c>
      <c r="AD3003" s="236">
        <v>1.0005994384334471E-2</v>
      </c>
    </row>
    <row r="3004" spans="23:30" x14ac:dyDescent="0.2">
      <c r="W3004" s="144"/>
      <c r="X3004" s="113" t="str">
        <f t="shared" si="101"/>
        <v>1w</v>
      </c>
      <c r="Y3004" s="106">
        <f>_xll.qlCalendarAdvance(Calendar,Y3003,X3004,"f",FALSE)</f>
        <v>60279</v>
      </c>
      <c r="Z3004" s="108">
        <f>_xll.qlCalendarAdvance(Calendar,Y3004,0&amp;"D")</f>
        <v>60279</v>
      </c>
      <c r="AA3004" s="109">
        <v>1.0012646669856906E-2</v>
      </c>
      <c r="AB3004" s="143">
        <f t="shared" si="102"/>
        <v>7.9936057773011271E-14</v>
      </c>
      <c r="AC3004" s="236" t="e">
        <v>#N/A</v>
      </c>
      <c r="AD3004" s="236">
        <v>1.001264666977697E-2</v>
      </c>
    </row>
    <row r="3005" spans="23:30" x14ac:dyDescent="0.2">
      <c r="W3005" s="144"/>
      <c r="X3005" s="113" t="str">
        <f t="shared" si="101"/>
        <v>1w</v>
      </c>
      <c r="Y3005" s="106">
        <f>_xll.qlCalendarAdvance(Calendar,Y3004,X3005,"f",FALSE)</f>
        <v>60286</v>
      </c>
      <c r="Z3005" s="108">
        <f>_xll.qlCalendarAdvance(Calendar,Y3005,0&amp;"D")</f>
        <v>60286</v>
      </c>
      <c r="AA3005" s="109">
        <v>1.0019338421169977E-2</v>
      </c>
      <c r="AB3005" s="143">
        <f t="shared" si="102"/>
        <v>0</v>
      </c>
      <c r="AC3005" s="236" t="e">
        <v>#N/A</v>
      </c>
      <c r="AD3005" s="236">
        <v>1.0019338421169977E-2</v>
      </c>
    </row>
    <row r="3006" spans="23:30" x14ac:dyDescent="0.2">
      <c r="W3006" s="144"/>
      <c r="X3006" s="113" t="str">
        <f t="shared" si="101"/>
        <v>1w</v>
      </c>
      <c r="Y3006" s="106">
        <f>_xll.qlCalendarAdvance(Calendar,Y3005,X3006,"f",FALSE)</f>
        <v>60293</v>
      </c>
      <c r="Z3006" s="108">
        <f>_xll.qlCalendarAdvance(Calendar,Y3006,0&amp;"D")</f>
        <v>60293</v>
      </c>
      <c r="AA3006" s="109">
        <v>1.0026069638433555E-2</v>
      </c>
      <c r="AB3006" s="143">
        <f t="shared" si="102"/>
        <v>-7.9936057773011271E-14</v>
      </c>
      <c r="AC3006" s="236" t="e">
        <v>#N/A</v>
      </c>
      <c r="AD3006" s="236">
        <v>1.0026069638513491E-2</v>
      </c>
    </row>
    <row r="3007" spans="23:30" x14ac:dyDescent="0.2">
      <c r="W3007" s="144"/>
      <c r="X3007" s="113" t="str">
        <f t="shared" si="101"/>
        <v>1w</v>
      </c>
      <c r="Y3007" s="106">
        <f>_xll.qlCalendarAdvance(Calendar,Y3006,X3007,"f",FALSE)</f>
        <v>60300</v>
      </c>
      <c r="Z3007" s="108">
        <f>_xll.qlCalendarAdvance(Calendar,Y3007,0&amp;"D")</f>
        <v>60300</v>
      </c>
      <c r="AA3007" s="109">
        <v>1.003284032164764E-2</v>
      </c>
      <c r="AB3007" s="143">
        <f t="shared" si="102"/>
        <v>0</v>
      </c>
      <c r="AC3007" s="236" t="e">
        <v>#N/A</v>
      </c>
      <c r="AD3007" s="236">
        <v>1.003284032164764E-2</v>
      </c>
    </row>
    <row r="3008" spans="23:30" x14ac:dyDescent="0.2">
      <c r="W3008" s="144"/>
      <c r="X3008" s="113" t="str">
        <f t="shared" si="101"/>
        <v>1w</v>
      </c>
      <c r="Y3008" s="106">
        <f>_xll.qlCalendarAdvance(Calendar,Y3007,X3008,"f",FALSE)</f>
        <v>60307</v>
      </c>
      <c r="Z3008" s="108">
        <f>_xll.qlCalendarAdvance(Calendar,Y3008,0&amp;"D")</f>
        <v>60307</v>
      </c>
      <c r="AA3008" s="109">
        <v>1.0039650470732298E-2</v>
      </c>
      <c r="AB3008" s="143">
        <f t="shared" si="102"/>
        <v>7.9936057773011271E-14</v>
      </c>
      <c r="AC3008" s="236" t="e">
        <v>#N/A</v>
      </c>
      <c r="AD3008" s="236">
        <v>1.0039650470652361E-2</v>
      </c>
    </row>
    <row r="3009" spans="23:30" x14ac:dyDescent="0.2">
      <c r="W3009" s="144"/>
      <c r="X3009" s="113" t="str">
        <f t="shared" si="101"/>
        <v>1w</v>
      </c>
      <c r="Y3009" s="106">
        <f>_xll.qlCalendarAdvance(Calendar,Y3008,X3009,"f",FALSE)</f>
        <v>60314</v>
      </c>
      <c r="Z3009" s="108">
        <f>_xll.qlCalendarAdvance(Calendar,Y3009,0&amp;"D")</f>
        <v>60314</v>
      </c>
      <c r="AA3009" s="109">
        <v>1.0046500085767462E-2</v>
      </c>
      <c r="AB3009" s="143">
        <f t="shared" si="102"/>
        <v>-7.9936057773011271E-14</v>
      </c>
      <c r="AC3009" s="236" t="e">
        <v>#N/A</v>
      </c>
      <c r="AD3009" s="236">
        <v>1.0046500085847399E-2</v>
      </c>
    </row>
    <row r="3010" spans="23:30" x14ac:dyDescent="0.2">
      <c r="W3010" s="144"/>
      <c r="X3010" s="113" t="str">
        <f t="shared" si="101"/>
        <v>1w</v>
      </c>
      <c r="Y3010" s="106">
        <f>_xll.qlCalendarAdvance(Calendar,Y3009,X3010,"f",FALSE)</f>
        <v>60321</v>
      </c>
      <c r="Z3010" s="108">
        <f>_xll.qlCalendarAdvance(Calendar,Y3010,0&amp;"D")</f>
        <v>60321</v>
      </c>
      <c r="AA3010" s="109">
        <v>1.0053389166833071E-2</v>
      </c>
      <c r="AB3010" s="143">
        <f t="shared" si="102"/>
        <v>0</v>
      </c>
      <c r="AC3010" s="236" t="e">
        <v>#N/A</v>
      </c>
      <c r="AD3010" s="236">
        <v>1.0053389166833071E-2</v>
      </c>
    </row>
    <row r="3011" spans="23:30" x14ac:dyDescent="0.2">
      <c r="W3011" s="144"/>
      <c r="X3011" s="113" t="str">
        <f t="shared" si="101"/>
        <v>1w</v>
      </c>
      <c r="Y3011" s="106">
        <f>_xll.qlCalendarAdvance(Calendar,Y3010,X3011,"f",FALSE)</f>
        <v>60328</v>
      </c>
      <c r="Z3011" s="108">
        <f>_xll.qlCalendarAdvance(Calendar,Y3011,0&amp;"D")</f>
        <v>60328</v>
      </c>
      <c r="AA3011" s="109">
        <v>1.0060317713769251E-2</v>
      </c>
      <c r="AB3011" s="143">
        <f t="shared" si="102"/>
        <v>0</v>
      </c>
      <c r="AC3011" s="236" t="e">
        <v>#N/A</v>
      </c>
      <c r="AD3011" s="236">
        <v>1.0060317713769251E-2</v>
      </c>
    </row>
    <row r="3012" spans="23:30" x14ac:dyDescent="0.2">
      <c r="W3012" s="144"/>
      <c r="X3012" s="113" t="str">
        <f t="shared" si="101"/>
        <v>1w</v>
      </c>
      <c r="Y3012" s="106">
        <f>_xll.qlCalendarAdvance(Calendar,Y3011,X3012,"f",FALSE)</f>
        <v>60335</v>
      </c>
      <c r="Z3012" s="108">
        <f>_xll.qlCalendarAdvance(Calendar,Y3012,0&amp;"D")</f>
        <v>60335</v>
      </c>
      <c r="AA3012" s="109">
        <v>1.0067285726735875E-2</v>
      </c>
      <c r="AB3012" s="143">
        <f t="shared" si="102"/>
        <v>0</v>
      </c>
      <c r="AC3012" s="236" t="e">
        <v>#N/A</v>
      </c>
      <c r="AD3012" s="236">
        <v>1.0067285726735875E-2</v>
      </c>
    </row>
    <row r="3013" spans="23:30" x14ac:dyDescent="0.2">
      <c r="W3013" s="144"/>
      <c r="X3013" s="113" t="str">
        <f t="shared" si="101"/>
        <v>1w</v>
      </c>
      <c r="Y3013" s="106">
        <f>_xll.qlCalendarAdvance(Calendar,Y3012,X3013,"f",FALSE)</f>
        <v>60342</v>
      </c>
      <c r="Z3013" s="108">
        <f>_xll.qlCalendarAdvance(Calendar,Y3013,0&amp;"D")</f>
        <v>60342</v>
      </c>
      <c r="AA3013" s="109">
        <v>1.0074293205573071E-2</v>
      </c>
      <c r="AB3013" s="143">
        <f t="shared" si="102"/>
        <v>0</v>
      </c>
      <c r="AC3013" s="236" t="e">
        <v>#N/A</v>
      </c>
      <c r="AD3013" s="236">
        <v>1.0074293205573071E-2</v>
      </c>
    </row>
    <row r="3014" spans="23:30" x14ac:dyDescent="0.2">
      <c r="W3014" s="144"/>
      <c r="X3014" s="113" t="str">
        <f t="shared" si="101"/>
        <v>1w</v>
      </c>
      <c r="Y3014" s="106">
        <f>_xll.qlCalendarAdvance(Calendar,Y3013,X3014,"f",FALSE)</f>
        <v>60349</v>
      </c>
      <c r="Z3014" s="108">
        <f>_xll.qlCalendarAdvance(Calendar,Y3014,0&amp;"D")</f>
        <v>60349</v>
      </c>
      <c r="AA3014" s="109">
        <v>1.0081340150360774E-2</v>
      </c>
      <c r="AB3014" s="143">
        <f t="shared" si="102"/>
        <v>7.9936057773011271E-14</v>
      </c>
      <c r="AC3014" s="236" t="e">
        <v>#N/A</v>
      </c>
      <c r="AD3014" s="236">
        <v>1.0081340150280838E-2</v>
      </c>
    </row>
    <row r="3015" spans="23:30" x14ac:dyDescent="0.2">
      <c r="W3015" s="144"/>
      <c r="X3015" s="113" t="str">
        <f t="shared" si="101"/>
        <v>1w</v>
      </c>
      <c r="Y3015" s="106">
        <f>_xll.qlCalendarAdvance(Calendar,Y3014,X3015,"f",FALSE)</f>
        <v>60357</v>
      </c>
      <c r="Z3015" s="108">
        <f>_xll.qlCalendarAdvance(Calendar,Y3015,0&amp;"D")</f>
        <v>60357</v>
      </c>
      <c r="AA3015" s="109">
        <v>1.0089442127210191E-2</v>
      </c>
      <c r="AB3015" s="143">
        <f t="shared" si="102"/>
        <v>0</v>
      </c>
      <c r="AC3015" s="236" t="e">
        <v>#N/A</v>
      </c>
      <c r="AD3015" s="236">
        <v>1.0089442127210191E-2</v>
      </c>
    </row>
    <row r="3016" spans="23:30" x14ac:dyDescent="0.2">
      <c r="W3016" s="144"/>
      <c r="X3016" s="113" t="str">
        <f t="shared" si="101"/>
        <v>1w</v>
      </c>
      <c r="Y3016" s="106">
        <f>_xll.qlCalendarAdvance(Calendar,Y3015,X3016,"f",FALSE)</f>
        <v>60364</v>
      </c>
      <c r="Z3016" s="108">
        <f>_xll.qlCalendarAdvance(Calendar,Y3016,0&amp;"D")</f>
        <v>60364</v>
      </c>
      <c r="AA3016" s="109">
        <v>1.0096573641709128E-2</v>
      </c>
      <c r="AB3016" s="143">
        <f t="shared" si="102"/>
        <v>-7.9936057773011271E-14</v>
      </c>
      <c r="AC3016" s="236" t="e">
        <v>#N/A</v>
      </c>
      <c r="AD3016" s="236">
        <v>1.0096573641789064E-2</v>
      </c>
    </row>
    <row r="3017" spans="23:30" x14ac:dyDescent="0.2">
      <c r="W3017" s="144"/>
      <c r="X3017" s="113" t="str">
        <f t="shared" si="101"/>
        <v>1w</v>
      </c>
      <c r="Y3017" s="106">
        <f>_xll.qlCalendarAdvance(Calendar,Y3016,X3017,"f",FALSE)</f>
        <v>60371</v>
      </c>
      <c r="Z3017" s="108">
        <f>_xll.qlCalendarAdvance(Calendar,Y3017,0&amp;"D")</f>
        <v>60371</v>
      </c>
      <c r="AA3017" s="109">
        <v>1.0103744622478317E-2</v>
      </c>
      <c r="AB3017" s="143">
        <f t="shared" si="102"/>
        <v>-7.9936057773011271E-14</v>
      </c>
      <c r="AC3017" s="236" t="e">
        <v>#N/A</v>
      </c>
      <c r="AD3017" s="236">
        <v>1.0103744622558253E-2</v>
      </c>
    </row>
    <row r="3018" spans="23:30" x14ac:dyDescent="0.2">
      <c r="W3018" s="144"/>
      <c r="X3018" s="113" t="str">
        <f t="shared" si="101"/>
        <v>1w</v>
      </c>
      <c r="Y3018" s="106">
        <f>_xll.qlCalendarAdvance(Calendar,Y3017,X3018,"f",FALSE)</f>
        <v>60378</v>
      </c>
      <c r="Z3018" s="108">
        <f>_xll.qlCalendarAdvance(Calendar,Y3018,0&amp;"D")</f>
        <v>60378</v>
      </c>
      <c r="AA3018" s="109">
        <v>1.0110955069118077E-2</v>
      </c>
      <c r="AB3018" s="143">
        <f t="shared" si="102"/>
        <v>0</v>
      </c>
      <c r="AC3018" s="236" t="e">
        <v>#N/A</v>
      </c>
      <c r="AD3018" s="236">
        <v>1.0110955069118077E-2</v>
      </c>
    </row>
    <row r="3019" spans="23:30" x14ac:dyDescent="0.2">
      <c r="W3019" s="144"/>
      <c r="X3019" s="113" t="str">
        <f t="shared" si="101"/>
        <v>1w</v>
      </c>
      <c r="Y3019" s="106">
        <f>_xll.qlCalendarAdvance(Calendar,Y3018,X3019,"f",FALSE)</f>
        <v>60385</v>
      </c>
      <c r="Z3019" s="108">
        <f>_xll.qlCalendarAdvance(Calendar,Y3019,0&amp;"D")</f>
        <v>60385</v>
      </c>
      <c r="AA3019" s="109">
        <v>1.0118204981708345E-2</v>
      </c>
      <c r="AB3019" s="143">
        <f t="shared" si="102"/>
        <v>0</v>
      </c>
      <c r="AC3019" s="236" t="e">
        <v>#N/A</v>
      </c>
      <c r="AD3019" s="236">
        <v>1.0118204981708345E-2</v>
      </c>
    </row>
    <row r="3020" spans="23:30" x14ac:dyDescent="0.2">
      <c r="W3020" s="144"/>
      <c r="X3020" s="113" t="str">
        <f t="shared" si="101"/>
        <v>1w</v>
      </c>
      <c r="Y3020" s="106">
        <f>_xll.qlCalendarAdvance(Calendar,Y3019,X3020,"f",FALSE)</f>
        <v>60392</v>
      </c>
      <c r="Z3020" s="108">
        <f>_xll.qlCalendarAdvance(Calendar,Y3020,0&amp;"D")</f>
        <v>60392</v>
      </c>
      <c r="AA3020" s="109">
        <v>1.0125494360249121E-2</v>
      </c>
      <c r="AB3020" s="143">
        <f t="shared" si="102"/>
        <v>0</v>
      </c>
      <c r="AC3020" s="236" t="e">
        <v>#N/A</v>
      </c>
      <c r="AD3020" s="236">
        <v>1.0125494360249121E-2</v>
      </c>
    </row>
    <row r="3021" spans="23:30" x14ac:dyDescent="0.2">
      <c r="W3021" s="144"/>
      <c r="X3021" s="113" t="str">
        <f t="shared" ref="X3021:X3084" si="103">X3020</f>
        <v>1w</v>
      </c>
      <c r="Y3021" s="106">
        <f>_xll.qlCalendarAdvance(Calendar,Y3020,X3021,"f",FALSE)</f>
        <v>60399</v>
      </c>
      <c r="Z3021" s="108">
        <f>_xll.qlCalendarAdvance(Calendar,Y3021,0&amp;"D")</f>
        <v>60399</v>
      </c>
      <c r="AA3021" s="109">
        <v>1.0132823204740404E-2</v>
      </c>
      <c r="AB3021" s="143">
        <f t="shared" si="102"/>
        <v>0</v>
      </c>
      <c r="AC3021" s="236" t="e">
        <v>#N/A</v>
      </c>
      <c r="AD3021" s="236">
        <v>1.0132823204740404E-2</v>
      </c>
    </row>
    <row r="3022" spans="23:30" x14ac:dyDescent="0.2">
      <c r="W3022" s="144"/>
      <c r="X3022" s="113" t="str">
        <f t="shared" si="103"/>
        <v>1w</v>
      </c>
      <c r="Y3022" s="106">
        <f>_xll.qlCalendarAdvance(Calendar,Y3021,X3022,"f",FALSE)</f>
        <v>60406</v>
      </c>
      <c r="Z3022" s="108">
        <f>_xll.qlCalendarAdvance(Calendar,Y3022,0&amp;"D")</f>
        <v>60406</v>
      </c>
      <c r="AA3022" s="109">
        <v>1.0140191515262131E-2</v>
      </c>
      <c r="AB3022" s="143">
        <f t="shared" si="102"/>
        <v>0</v>
      </c>
      <c r="AC3022" s="236" t="e">
        <v>#N/A</v>
      </c>
      <c r="AD3022" s="236">
        <v>1.0140191515262131E-2</v>
      </c>
    </row>
    <row r="3023" spans="23:30" x14ac:dyDescent="0.2">
      <c r="W3023" s="144"/>
      <c r="X3023" s="113" t="str">
        <f t="shared" si="103"/>
        <v>1w</v>
      </c>
      <c r="Y3023" s="106">
        <f>_xll.qlCalendarAdvance(Calendar,Y3022,X3023,"f",FALSE)</f>
        <v>60413</v>
      </c>
      <c r="Z3023" s="108">
        <f>_xll.qlCalendarAdvance(Calendar,Y3023,0&amp;"D")</f>
        <v>60413</v>
      </c>
      <c r="AA3023" s="109">
        <v>1.0147599291574494E-2</v>
      </c>
      <c r="AB3023" s="143">
        <f t="shared" si="102"/>
        <v>-7.9936057773011271E-14</v>
      </c>
      <c r="AC3023" s="236" t="e">
        <v>#N/A</v>
      </c>
      <c r="AD3023" s="236">
        <v>1.014759929165443E-2</v>
      </c>
    </row>
    <row r="3024" spans="23:30" x14ac:dyDescent="0.2">
      <c r="W3024" s="144"/>
      <c r="X3024" s="113" t="str">
        <f t="shared" si="103"/>
        <v>1w</v>
      </c>
      <c r="Y3024" s="106">
        <f>_xll.qlCalendarAdvance(Calendar,Y3023,X3024,"f",FALSE)</f>
        <v>60420</v>
      </c>
      <c r="Z3024" s="108">
        <f>_xll.qlCalendarAdvance(Calendar,Y3024,0&amp;"D")</f>
        <v>60420</v>
      </c>
      <c r="AA3024" s="109">
        <v>1.0155045254300887E-2</v>
      </c>
      <c r="AB3024" s="143">
        <f t="shared" si="102"/>
        <v>7.9936057773011271E-14</v>
      </c>
      <c r="AC3024" s="236" t="e">
        <v>#N/A</v>
      </c>
      <c r="AD3024" s="236">
        <v>1.0155045254220951E-2</v>
      </c>
    </row>
    <row r="3025" spans="23:30" x14ac:dyDescent="0.2">
      <c r="W3025" s="144"/>
      <c r="X3025" s="113" t="str">
        <f t="shared" si="103"/>
        <v>1w</v>
      </c>
      <c r="Y3025" s="106">
        <f>_xll.qlCalendarAdvance(Calendar,Y3024,X3025,"f",FALSE)</f>
        <v>60427</v>
      </c>
      <c r="Z3025" s="108">
        <f>_xll.qlCalendarAdvance(Calendar,Y3025,0&amp;"D")</f>
        <v>60427</v>
      </c>
      <c r="AA3025" s="109">
        <v>1.0162493566747699E-2</v>
      </c>
      <c r="AB3025" s="143">
        <f t="shared" si="102"/>
        <v>0</v>
      </c>
      <c r="AC3025" s="236" t="e">
        <v>#N/A</v>
      </c>
      <c r="AD3025" s="236">
        <v>1.0162493566747699E-2</v>
      </c>
    </row>
    <row r="3026" spans="23:30" x14ac:dyDescent="0.2">
      <c r="W3026" s="144"/>
      <c r="X3026" s="113" t="str">
        <f t="shared" si="103"/>
        <v>1w</v>
      </c>
      <c r="Y3026" s="106">
        <f>_xll.qlCalendarAdvance(Calendar,Y3025,X3026,"f",FALSE)</f>
        <v>60434</v>
      </c>
      <c r="Z3026" s="108">
        <f>_xll.qlCalendarAdvance(Calendar,Y3026,0&amp;"D")</f>
        <v>60434</v>
      </c>
      <c r="AA3026" s="109">
        <v>1.0169927591023864E-2</v>
      </c>
      <c r="AB3026" s="143">
        <f t="shared" si="102"/>
        <v>0</v>
      </c>
      <c r="AC3026" s="236" t="e">
        <v>#N/A</v>
      </c>
      <c r="AD3026" s="236">
        <v>1.0169927591023864E-2</v>
      </c>
    </row>
    <row r="3027" spans="23:30" x14ac:dyDescent="0.2">
      <c r="W3027" s="144"/>
      <c r="X3027" s="113" t="str">
        <f t="shared" si="103"/>
        <v>1w</v>
      </c>
      <c r="Y3027" s="106">
        <f>_xll.qlCalendarAdvance(Calendar,Y3026,X3027,"f",FALSE)</f>
        <v>60441</v>
      </c>
      <c r="Z3027" s="108">
        <f>_xll.qlCalendarAdvance(Calendar,Y3027,0&amp;"D")</f>
        <v>60441</v>
      </c>
      <c r="AA3027" s="109">
        <v>1.0177347327129382E-2</v>
      </c>
      <c r="AB3027" s="143">
        <f t="shared" si="102"/>
        <v>-7.9936057773011271E-14</v>
      </c>
      <c r="AC3027" s="236" t="e">
        <v>#N/A</v>
      </c>
      <c r="AD3027" s="236">
        <v>1.0177347327209318E-2</v>
      </c>
    </row>
    <row r="3028" spans="23:30" x14ac:dyDescent="0.2">
      <c r="W3028" s="144"/>
      <c r="X3028" s="113" t="str">
        <f t="shared" si="103"/>
        <v>1w</v>
      </c>
      <c r="Y3028" s="106">
        <f>_xll.qlCalendarAdvance(Calendar,Y3027,X3028,"f",FALSE)</f>
        <v>60448</v>
      </c>
      <c r="Z3028" s="108">
        <f>_xll.qlCalendarAdvance(Calendar,Y3028,0&amp;"D")</f>
        <v>60448</v>
      </c>
      <c r="AA3028" s="109">
        <v>1.0184752775224126E-2</v>
      </c>
      <c r="AB3028" s="143">
        <f t="shared" si="102"/>
        <v>0</v>
      </c>
      <c r="AC3028" s="236" t="e">
        <v>#N/A</v>
      </c>
      <c r="AD3028" s="236">
        <v>1.0184752775224126E-2</v>
      </c>
    </row>
    <row r="3029" spans="23:30" x14ac:dyDescent="0.2">
      <c r="W3029" s="144"/>
      <c r="X3029" s="113" t="str">
        <f t="shared" si="103"/>
        <v>1w</v>
      </c>
      <c r="Y3029" s="106">
        <f>_xll.qlCalendarAdvance(Calendar,Y3028,X3029,"f",FALSE)</f>
        <v>60455</v>
      </c>
      <c r="Z3029" s="108">
        <f>_xll.qlCalendarAdvance(Calendar,Y3029,0&amp;"D")</f>
        <v>60455</v>
      </c>
      <c r="AA3029" s="109">
        <v>1.0192143934988351E-2</v>
      </c>
      <c r="AB3029" s="143">
        <f t="shared" ref="AB3029:AB3092" si="104">AA3029-AD3029</f>
        <v>0</v>
      </c>
      <c r="AC3029" s="236" t="e">
        <v>#N/A</v>
      </c>
      <c r="AD3029" s="236">
        <v>1.0192143934988351E-2</v>
      </c>
    </row>
    <row r="3030" spans="23:30" x14ac:dyDescent="0.2">
      <c r="W3030" s="144"/>
      <c r="X3030" s="113" t="str">
        <f t="shared" si="103"/>
        <v>1w</v>
      </c>
      <c r="Y3030" s="106">
        <f>_xll.qlCalendarAdvance(Calendar,Y3029,X3030,"f",FALSE)</f>
        <v>60462</v>
      </c>
      <c r="Z3030" s="108">
        <f>_xll.qlCalendarAdvance(Calendar,Y3030,0&amp;"D")</f>
        <v>60462</v>
      </c>
      <c r="AA3030" s="109">
        <v>1.0199520806501994E-2</v>
      </c>
      <c r="AB3030" s="143">
        <f t="shared" si="104"/>
        <v>0</v>
      </c>
      <c r="AC3030" s="236" t="e">
        <v>#N/A</v>
      </c>
      <c r="AD3030" s="236">
        <v>1.0199520806501994E-2</v>
      </c>
    </row>
    <row r="3031" spans="23:30" x14ac:dyDescent="0.2">
      <c r="W3031" s="144"/>
      <c r="X3031" s="113" t="str">
        <f t="shared" si="103"/>
        <v>1w</v>
      </c>
      <c r="Y3031" s="106">
        <f>_xll.qlCalendarAdvance(Calendar,Y3030,X3031,"f",FALSE)</f>
        <v>60469</v>
      </c>
      <c r="Z3031" s="108">
        <f>_xll.qlCalendarAdvance(Calendar,Y3031,0&amp;"D")</f>
        <v>60469</v>
      </c>
      <c r="AA3031" s="109">
        <v>1.0206883390004862E-2</v>
      </c>
      <c r="AB3031" s="143">
        <f t="shared" si="104"/>
        <v>7.9936057773011271E-14</v>
      </c>
      <c r="AC3031" s="236" t="e">
        <v>#N/A</v>
      </c>
      <c r="AD3031" s="236">
        <v>1.0206883389924926E-2</v>
      </c>
    </row>
    <row r="3032" spans="23:30" x14ac:dyDescent="0.2">
      <c r="W3032" s="144"/>
      <c r="X3032" s="113" t="str">
        <f t="shared" si="103"/>
        <v>1w</v>
      </c>
      <c r="Y3032" s="106">
        <f>_xll.qlCalendarAdvance(Calendar,Y3031,X3032,"f",FALSE)</f>
        <v>60476</v>
      </c>
      <c r="Z3032" s="108">
        <f>_xll.qlCalendarAdvance(Calendar,Y3032,0&amp;"D")</f>
        <v>60476</v>
      </c>
      <c r="AA3032" s="109">
        <v>1.0214231685017339E-2</v>
      </c>
      <c r="AB3032" s="143">
        <f t="shared" si="104"/>
        <v>0</v>
      </c>
      <c r="AC3032" s="236" t="e">
        <v>#N/A</v>
      </c>
      <c r="AD3032" s="236">
        <v>1.0214231685017339E-2</v>
      </c>
    </row>
    <row r="3033" spans="23:30" x14ac:dyDescent="0.2">
      <c r="W3033" s="144"/>
      <c r="X3033" s="113" t="str">
        <f t="shared" si="103"/>
        <v>1w</v>
      </c>
      <c r="Y3033" s="106">
        <f>_xll.qlCalendarAdvance(Calendar,Y3032,X3033,"f",FALSE)</f>
        <v>60483</v>
      </c>
      <c r="Z3033" s="108">
        <f>_xll.qlCalendarAdvance(Calendar,Y3033,0&amp;"D")</f>
        <v>60483</v>
      </c>
      <c r="AA3033" s="109">
        <v>1.0221565692098977E-2</v>
      </c>
      <c r="AB3033" s="143">
        <f t="shared" si="104"/>
        <v>7.9936057773011271E-14</v>
      </c>
      <c r="AC3033" s="236" t="e">
        <v>#N/A</v>
      </c>
      <c r="AD3033" s="236">
        <v>1.0221565692019041E-2</v>
      </c>
    </row>
    <row r="3034" spans="23:30" x14ac:dyDescent="0.2">
      <c r="W3034" s="144"/>
      <c r="X3034" s="113" t="str">
        <f t="shared" si="103"/>
        <v>1w</v>
      </c>
      <c r="Y3034" s="106">
        <f>_xll.qlCalendarAdvance(Calendar,Y3033,X3034,"f",FALSE)</f>
        <v>60490</v>
      </c>
      <c r="Z3034" s="108">
        <f>_xll.qlCalendarAdvance(Calendar,Y3034,0&amp;"D")</f>
        <v>60490</v>
      </c>
      <c r="AA3034" s="109">
        <v>1.0228885410690225E-2</v>
      </c>
      <c r="AB3034" s="143">
        <f t="shared" si="104"/>
        <v>0</v>
      </c>
      <c r="AC3034" s="236" t="e">
        <v>#N/A</v>
      </c>
      <c r="AD3034" s="236">
        <v>1.0228885410690225E-2</v>
      </c>
    </row>
    <row r="3035" spans="23:30" x14ac:dyDescent="0.2">
      <c r="W3035" s="144"/>
      <c r="X3035" s="113" t="str">
        <f t="shared" si="103"/>
        <v>1w</v>
      </c>
      <c r="Y3035" s="106">
        <f>_xll.qlCalendarAdvance(Calendar,Y3034,X3035,"f",FALSE)</f>
        <v>60497</v>
      </c>
      <c r="Z3035" s="108">
        <f>_xll.qlCalendarAdvance(Calendar,Y3035,0&amp;"D")</f>
        <v>60497</v>
      </c>
      <c r="AA3035" s="109">
        <v>1.0236190841190762E-2</v>
      </c>
      <c r="AB3035" s="143">
        <f t="shared" si="104"/>
        <v>0</v>
      </c>
      <c r="AC3035" s="236" t="e">
        <v>#N/A</v>
      </c>
      <c r="AD3035" s="236">
        <v>1.0236190841190762E-2</v>
      </c>
    </row>
    <row r="3036" spans="23:30" x14ac:dyDescent="0.2">
      <c r="W3036" s="144"/>
      <c r="X3036" s="113" t="str">
        <f t="shared" si="103"/>
        <v>1w</v>
      </c>
      <c r="Y3036" s="106">
        <f>_xll.qlCalendarAdvance(Calendar,Y3035,X3036,"f",FALSE)</f>
        <v>60504</v>
      </c>
      <c r="Z3036" s="108">
        <f>_xll.qlCalendarAdvance(Calendar,Y3036,0&amp;"D")</f>
        <v>60504</v>
      </c>
      <c r="AA3036" s="109">
        <v>1.0243481983680525E-2</v>
      </c>
      <c r="AB3036" s="143">
        <f t="shared" si="104"/>
        <v>0</v>
      </c>
      <c r="AC3036" s="236" t="e">
        <v>#N/A</v>
      </c>
      <c r="AD3036" s="236">
        <v>1.0243481983680525E-2</v>
      </c>
    </row>
    <row r="3037" spans="23:30" x14ac:dyDescent="0.2">
      <c r="W3037" s="144"/>
      <c r="X3037" s="113" t="str">
        <f t="shared" si="103"/>
        <v>1w</v>
      </c>
      <c r="Y3037" s="106">
        <f>_xll.qlCalendarAdvance(Calendar,Y3036,X3037,"f",FALSE)</f>
        <v>60511</v>
      </c>
      <c r="Z3037" s="108">
        <f>_xll.qlCalendarAdvance(Calendar,Y3037,0&amp;"D")</f>
        <v>60511</v>
      </c>
      <c r="AA3037" s="109">
        <v>1.0250758837759832E-2</v>
      </c>
      <c r="AB3037" s="143">
        <f t="shared" si="104"/>
        <v>0</v>
      </c>
      <c r="AC3037" s="236" t="e">
        <v>#N/A</v>
      </c>
      <c r="AD3037" s="236">
        <v>1.0250758837759832E-2</v>
      </c>
    </row>
    <row r="3038" spans="23:30" x14ac:dyDescent="0.2">
      <c r="W3038" s="144"/>
      <c r="X3038" s="113" t="str">
        <f t="shared" si="103"/>
        <v>1w</v>
      </c>
      <c r="Y3038" s="106">
        <f>_xll.qlCalendarAdvance(Calendar,Y3037,X3038,"f",FALSE)</f>
        <v>60518</v>
      </c>
      <c r="Z3038" s="108">
        <f>_xll.qlCalendarAdvance(Calendar,Y3038,0&amp;"D")</f>
        <v>60518</v>
      </c>
      <c r="AA3038" s="109">
        <v>1.0258021403668494E-2</v>
      </c>
      <c r="AB3038" s="143">
        <f t="shared" si="104"/>
        <v>0</v>
      </c>
      <c r="AC3038" s="236" t="e">
        <v>#N/A</v>
      </c>
      <c r="AD3038" s="236">
        <v>1.0258021403668494E-2</v>
      </c>
    </row>
    <row r="3039" spans="23:30" x14ac:dyDescent="0.2">
      <c r="W3039" s="144"/>
      <c r="X3039" s="113" t="str">
        <f t="shared" si="103"/>
        <v>1w</v>
      </c>
      <c r="Y3039" s="106">
        <f>_xll.qlCalendarAdvance(Calendar,Y3038,X3039,"f",FALSE)</f>
        <v>60525</v>
      </c>
      <c r="Z3039" s="108">
        <f>_xll.qlCalendarAdvance(Calendar,Y3039,0&amp;"D")</f>
        <v>60525</v>
      </c>
      <c r="AA3039" s="109">
        <v>1.0265269681406508E-2</v>
      </c>
      <c r="AB3039" s="143">
        <f t="shared" si="104"/>
        <v>7.9936057773011271E-14</v>
      </c>
      <c r="AC3039" s="236" t="e">
        <v>#N/A</v>
      </c>
      <c r="AD3039" s="236">
        <v>1.0265269681326572E-2</v>
      </c>
    </row>
    <row r="3040" spans="23:30" x14ac:dyDescent="0.2">
      <c r="W3040" s="144"/>
      <c r="X3040" s="113" t="str">
        <f t="shared" si="103"/>
        <v>1w</v>
      </c>
      <c r="Y3040" s="106">
        <f>_xll.qlCalendarAdvance(Calendar,Y3039,X3040,"f",FALSE)</f>
        <v>60532</v>
      </c>
      <c r="Z3040" s="108">
        <f>_xll.qlCalendarAdvance(Calendar,Y3040,0&amp;"D")</f>
        <v>60532</v>
      </c>
      <c r="AA3040" s="109">
        <v>1.0272503670814004E-2</v>
      </c>
      <c r="AB3040" s="143">
        <f t="shared" si="104"/>
        <v>-7.9936057773011271E-14</v>
      </c>
      <c r="AC3040" s="236" t="e">
        <v>#N/A</v>
      </c>
      <c r="AD3040" s="236">
        <v>1.027250367089394E-2</v>
      </c>
    </row>
    <row r="3041" spans="23:30" x14ac:dyDescent="0.2">
      <c r="W3041" s="144"/>
      <c r="X3041" s="113" t="str">
        <f t="shared" si="103"/>
        <v>1w</v>
      </c>
      <c r="Y3041" s="106">
        <f>_xll.qlCalendarAdvance(Calendar,Y3040,X3041,"f",FALSE)</f>
        <v>60539</v>
      </c>
      <c r="Z3041" s="108">
        <f>_xll.qlCalendarAdvance(Calendar,Y3041,0&amp;"D")</f>
        <v>60539</v>
      </c>
      <c r="AA3041" s="109">
        <v>1.0279723372210725E-2</v>
      </c>
      <c r="AB3041" s="143">
        <f t="shared" si="104"/>
        <v>0</v>
      </c>
      <c r="AC3041" s="236" t="e">
        <v>#N/A</v>
      </c>
      <c r="AD3041" s="236">
        <v>1.0279723372210725E-2</v>
      </c>
    </row>
    <row r="3042" spans="23:30" x14ac:dyDescent="0.2">
      <c r="W3042" s="144"/>
      <c r="X3042" s="113" t="str">
        <f t="shared" si="103"/>
        <v>1w</v>
      </c>
      <c r="Y3042" s="106">
        <f>_xll.qlCalendarAdvance(Calendar,Y3041,X3042,"f",FALSE)</f>
        <v>60546</v>
      </c>
      <c r="Z3042" s="108">
        <f>_xll.qlCalendarAdvance(Calendar,Y3042,0&amp;"D")</f>
        <v>60546</v>
      </c>
      <c r="AA3042" s="109">
        <v>1.0286928785356864E-2</v>
      </c>
      <c r="AB3042" s="143">
        <f t="shared" si="104"/>
        <v>7.9936057773011271E-14</v>
      </c>
      <c r="AC3042" s="236" t="e">
        <v>#N/A</v>
      </c>
      <c r="AD3042" s="236">
        <v>1.0286928785276928E-2</v>
      </c>
    </row>
    <row r="3043" spans="23:30" x14ac:dyDescent="0.2">
      <c r="W3043" s="144"/>
      <c r="X3043" s="113" t="str">
        <f t="shared" si="103"/>
        <v>1w</v>
      </c>
      <c r="Y3043" s="106">
        <f>_xll.qlCalendarAdvance(Calendar,Y3042,X3043,"f",FALSE)</f>
        <v>60553</v>
      </c>
      <c r="Z3043" s="108">
        <f>_xll.qlCalendarAdvance(Calendar,Y3043,0&amp;"D")</f>
        <v>60553</v>
      </c>
      <c r="AA3043" s="109">
        <v>1.0294119910332356E-2</v>
      </c>
      <c r="AB3043" s="143">
        <f t="shared" si="104"/>
        <v>7.9936057773011271E-14</v>
      </c>
      <c r="AC3043" s="236" t="e">
        <v>#N/A</v>
      </c>
      <c r="AD3043" s="236">
        <v>1.0294119910252419E-2</v>
      </c>
    </row>
    <row r="3044" spans="23:30" x14ac:dyDescent="0.2">
      <c r="W3044" s="144"/>
      <c r="X3044" s="113" t="str">
        <f t="shared" si="103"/>
        <v>1w</v>
      </c>
      <c r="Y3044" s="106">
        <f>_xll.qlCalendarAdvance(Calendar,Y3043,X3044,"f",FALSE)</f>
        <v>60560</v>
      </c>
      <c r="Z3044" s="108">
        <f>_xll.qlCalendarAdvance(Calendar,Y3044,0&amp;"D")</f>
        <v>60560</v>
      </c>
      <c r="AA3044" s="109">
        <v>1.0301296746897393E-2</v>
      </c>
      <c r="AB3044" s="143">
        <f t="shared" si="104"/>
        <v>0</v>
      </c>
      <c r="AC3044" s="236" t="e">
        <v>#N/A</v>
      </c>
      <c r="AD3044" s="236">
        <v>1.0301296746897393E-2</v>
      </c>
    </row>
    <row r="3045" spans="23:30" x14ac:dyDescent="0.2">
      <c r="W3045" s="144"/>
      <c r="X3045" s="113" t="str">
        <f t="shared" si="103"/>
        <v>1w</v>
      </c>
      <c r="Y3045" s="106">
        <f>_xll.qlCalendarAdvance(Calendar,Y3044,X3045,"f",FALSE)</f>
        <v>60567</v>
      </c>
      <c r="Z3045" s="108">
        <f>_xll.qlCalendarAdvance(Calendar,Y3045,0&amp;"D")</f>
        <v>60567</v>
      </c>
      <c r="AA3045" s="109">
        <v>1.0308459295451655E-2</v>
      </c>
      <c r="AB3045" s="143">
        <f t="shared" si="104"/>
        <v>0</v>
      </c>
      <c r="AC3045" s="236" t="e">
        <v>#N/A</v>
      </c>
      <c r="AD3045" s="236">
        <v>1.0308459295451655E-2</v>
      </c>
    </row>
    <row r="3046" spans="23:30" x14ac:dyDescent="0.2">
      <c r="W3046" s="144"/>
      <c r="X3046" s="113" t="str">
        <f t="shared" si="103"/>
        <v>1w</v>
      </c>
      <c r="Y3046" s="106">
        <f>_xll.qlCalendarAdvance(Calendar,Y3045,X3046,"f",FALSE)</f>
        <v>60574</v>
      </c>
      <c r="Z3046" s="108">
        <f>_xll.qlCalendarAdvance(Calendar,Y3046,0&amp;"D")</f>
        <v>60574</v>
      </c>
      <c r="AA3046" s="109">
        <v>1.0315607555595463E-2</v>
      </c>
      <c r="AB3046" s="143">
        <f t="shared" si="104"/>
        <v>0</v>
      </c>
      <c r="AC3046" s="236" t="e">
        <v>#N/A</v>
      </c>
      <c r="AD3046" s="236">
        <v>1.0315607555595463E-2</v>
      </c>
    </row>
    <row r="3047" spans="23:30" x14ac:dyDescent="0.2">
      <c r="W3047" s="144"/>
      <c r="X3047" s="113" t="str">
        <f t="shared" si="103"/>
        <v>1w</v>
      </c>
      <c r="Y3047" s="106">
        <f>_xll.qlCalendarAdvance(Calendar,Y3046,X3047,"f",FALSE)</f>
        <v>60581</v>
      </c>
      <c r="Z3047" s="108">
        <f>_xll.qlCalendarAdvance(Calendar,Y3047,0&amp;"D")</f>
        <v>60581</v>
      </c>
      <c r="AA3047" s="109">
        <v>1.0322741527568624E-2</v>
      </c>
      <c r="AB3047" s="143">
        <f t="shared" si="104"/>
        <v>0</v>
      </c>
      <c r="AC3047" s="236" t="e">
        <v>#N/A</v>
      </c>
      <c r="AD3047" s="236">
        <v>1.0322741527568624E-2</v>
      </c>
    </row>
    <row r="3048" spans="23:30" x14ac:dyDescent="0.2">
      <c r="W3048" s="144"/>
      <c r="X3048" s="113" t="str">
        <f t="shared" si="103"/>
        <v>1w</v>
      </c>
      <c r="Y3048" s="106">
        <f>_xll.qlCalendarAdvance(Calendar,Y3047,X3048,"f",FALSE)</f>
        <v>60588</v>
      </c>
      <c r="Z3048" s="108">
        <f>_xll.qlCalendarAdvance(Calendar,Y3048,0&amp;"D")</f>
        <v>60588</v>
      </c>
      <c r="AA3048" s="109">
        <v>1.0329861211371139E-2</v>
      </c>
      <c r="AB3048" s="143">
        <f t="shared" si="104"/>
        <v>0</v>
      </c>
      <c r="AC3048" s="236" t="e">
        <v>#N/A</v>
      </c>
      <c r="AD3048" s="236">
        <v>1.0329861211371139E-2</v>
      </c>
    </row>
    <row r="3049" spans="23:30" x14ac:dyDescent="0.2">
      <c r="W3049" s="144"/>
      <c r="X3049" s="113" t="str">
        <f t="shared" si="103"/>
        <v>1w</v>
      </c>
      <c r="Y3049" s="106">
        <f>_xll.qlCalendarAdvance(Calendar,Y3048,X3049,"f",FALSE)</f>
        <v>60595</v>
      </c>
      <c r="Z3049" s="108">
        <f>_xll.qlCalendarAdvance(Calendar,Y3049,0&amp;"D")</f>
        <v>60595</v>
      </c>
      <c r="AA3049" s="109">
        <v>1.0336966607082942E-2</v>
      </c>
      <c r="AB3049" s="143">
        <f t="shared" si="104"/>
        <v>7.9936057773011271E-14</v>
      </c>
      <c r="AC3049" s="236" t="e">
        <v>#N/A</v>
      </c>
      <c r="AD3049" s="236">
        <v>1.0336966607003006E-2</v>
      </c>
    </row>
    <row r="3050" spans="23:30" x14ac:dyDescent="0.2">
      <c r="W3050" s="144"/>
      <c r="X3050" s="113" t="str">
        <f t="shared" si="103"/>
        <v>1w</v>
      </c>
      <c r="Y3050" s="106">
        <f>_xll.qlCalendarAdvance(Calendar,Y3049,X3050,"f",FALSE)</f>
        <v>60602</v>
      </c>
      <c r="Z3050" s="108">
        <f>_xll.qlCalendarAdvance(Calendar,Y3050,0&amp;"D")</f>
        <v>60602</v>
      </c>
      <c r="AA3050" s="109">
        <v>1.0344057714464228E-2</v>
      </c>
      <c r="AB3050" s="143">
        <f t="shared" si="104"/>
        <v>0</v>
      </c>
      <c r="AC3050" s="236" t="e">
        <v>#N/A</v>
      </c>
      <c r="AD3050" s="236">
        <v>1.0344057714464228E-2</v>
      </c>
    </row>
    <row r="3051" spans="23:30" x14ac:dyDescent="0.2">
      <c r="W3051" s="144"/>
      <c r="X3051" s="113" t="str">
        <f t="shared" si="103"/>
        <v>1w</v>
      </c>
      <c r="Y3051" s="106">
        <f>_xll.qlCalendarAdvance(Calendar,Y3050,X3051,"f",FALSE)</f>
        <v>60609</v>
      </c>
      <c r="Z3051" s="108">
        <f>_xll.qlCalendarAdvance(Calendar,Y3051,0&amp;"D")</f>
        <v>60609</v>
      </c>
      <c r="AA3051" s="109">
        <v>1.0351134533514994E-2</v>
      </c>
      <c r="AB3051" s="143">
        <f t="shared" si="104"/>
        <v>0</v>
      </c>
      <c r="AC3051" s="236" t="e">
        <v>#N/A</v>
      </c>
      <c r="AD3051" s="236">
        <v>1.0351134533514994E-2</v>
      </c>
    </row>
    <row r="3052" spans="23:30" x14ac:dyDescent="0.2">
      <c r="W3052" s="144"/>
      <c r="X3052" s="113" t="str">
        <f t="shared" si="103"/>
        <v>1w</v>
      </c>
      <c r="Y3052" s="106">
        <f>_xll.qlCalendarAdvance(Calendar,Y3051,X3052,"f",FALSE)</f>
        <v>60616</v>
      </c>
      <c r="Z3052" s="108">
        <f>_xll.qlCalendarAdvance(Calendar,Y3052,0&amp;"D")</f>
        <v>60616</v>
      </c>
      <c r="AA3052" s="109">
        <v>1.0358197064634922E-2</v>
      </c>
      <c r="AB3052" s="143">
        <f t="shared" si="104"/>
        <v>7.9936057773011271E-14</v>
      </c>
      <c r="AC3052" s="236" t="e">
        <v>#N/A</v>
      </c>
      <c r="AD3052" s="236">
        <v>1.0358197064554986E-2</v>
      </c>
    </row>
    <row r="3053" spans="23:30" x14ac:dyDescent="0.2">
      <c r="W3053" s="144"/>
      <c r="X3053" s="113" t="str">
        <f t="shared" si="103"/>
        <v>1w</v>
      </c>
      <c r="Y3053" s="106">
        <f>_xll.qlCalendarAdvance(Calendar,Y3052,X3053,"f",FALSE)</f>
        <v>60623</v>
      </c>
      <c r="Z3053" s="108">
        <f>_xll.qlCalendarAdvance(Calendar,Y3053,0&amp;"D")</f>
        <v>60623</v>
      </c>
      <c r="AA3053" s="109">
        <v>1.0365245307184523E-2</v>
      </c>
      <c r="AB3053" s="143">
        <f t="shared" si="104"/>
        <v>-7.9936057773011271E-14</v>
      </c>
      <c r="AC3053" s="236" t="e">
        <v>#N/A</v>
      </c>
      <c r="AD3053" s="236">
        <v>1.0365245307264459E-2</v>
      </c>
    </row>
    <row r="3054" spans="23:30" x14ac:dyDescent="0.2">
      <c r="W3054" s="144"/>
      <c r="X3054" s="113" t="str">
        <f t="shared" si="103"/>
        <v>1w</v>
      </c>
      <c r="Y3054" s="106">
        <f>_xll.qlCalendarAdvance(Calendar,Y3053,X3054,"f",FALSE)</f>
        <v>60630</v>
      </c>
      <c r="Z3054" s="108">
        <f>_xll.qlCalendarAdvance(Calendar,Y3054,0&amp;"D")</f>
        <v>60630</v>
      </c>
      <c r="AA3054" s="109">
        <v>1.0372279261723349E-2</v>
      </c>
      <c r="AB3054" s="143">
        <f t="shared" si="104"/>
        <v>0</v>
      </c>
      <c r="AC3054" s="236" t="e">
        <v>#N/A</v>
      </c>
      <c r="AD3054" s="236">
        <v>1.0372279261723349E-2</v>
      </c>
    </row>
    <row r="3055" spans="23:30" x14ac:dyDescent="0.2">
      <c r="W3055" s="144"/>
      <c r="X3055" s="113" t="str">
        <f t="shared" si="103"/>
        <v>1w</v>
      </c>
      <c r="Y3055" s="106">
        <f>_xll.qlCalendarAdvance(Calendar,Y3054,X3055,"f",FALSE)</f>
        <v>60637</v>
      </c>
      <c r="Z3055" s="108">
        <f>_xll.qlCalendarAdvance(Calendar,Y3055,0&amp;"D")</f>
        <v>60637</v>
      </c>
      <c r="AA3055" s="109">
        <v>1.0379298928011593E-2</v>
      </c>
      <c r="AB3055" s="143">
        <f t="shared" si="104"/>
        <v>-7.9936057773011271E-14</v>
      </c>
      <c r="AC3055" s="236" t="e">
        <v>#N/A</v>
      </c>
      <c r="AD3055" s="236">
        <v>1.0379298928091529E-2</v>
      </c>
    </row>
    <row r="3056" spans="23:30" x14ac:dyDescent="0.2">
      <c r="W3056" s="144"/>
      <c r="X3056" s="113" t="str">
        <f t="shared" si="103"/>
        <v>1w</v>
      </c>
      <c r="Y3056" s="106">
        <f>_xll.qlCalendarAdvance(Calendar,Y3055,X3056,"f",FALSE)</f>
        <v>60644</v>
      </c>
      <c r="Z3056" s="108">
        <f>_xll.qlCalendarAdvance(Calendar,Y3056,0&amp;"D")</f>
        <v>60644</v>
      </c>
      <c r="AA3056" s="109">
        <v>1.038630430612919E-2</v>
      </c>
      <c r="AB3056" s="143">
        <f t="shared" si="104"/>
        <v>-7.9936057773011271E-14</v>
      </c>
      <c r="AC3056" s="236" t="e">
        <v>#N/A</v>
      </c>
      <c r="AD3056" s="236">
        <v>1.0386304306209126E-2</v>
      </c>
    </row>
    <row r="3057" spans="23:30" x14ac:dyDescent="0.2">
      <c r="W3057" s="144"/>
      <c r="X3057" s="113" t="str">
        <f t="shared" si="103"/>
        <v>1w</v>
      </c>
      <c r="Y3057" s="106">
        <f>_xll.qlCalendarAdvance(Calendar,Y3056,X3057,"f",FALSE)</f>
        <v>60651</v>
      </c>
      <c r="Z3057" s="108">
        <f>_xll.qlCalendarAdvance(Calendar,Y3057,0&amp;"D")</f>
        <v>60651</v>
      </c>
      <c r="AA3057" s="109">
        <v>1.0393295396076141E-2</v>
      </c>
      <c r="AB3057" s="143">
        <f t="shared" si="104"/>
        <v>0</v>
      </c>
      <c r="AC3057" s="236" t="e">
        <v>#N/A</v>
      </c>
      <c r="AD3057" s="236">
        <v>1.0393295396076141E-2</v>
      </c>
    </row>
    <row r="3058" spans="23:30" x14ac:dyDescent="0.2">
      <c r="W3058" s="144"/>
      <c r="X3058" s="113" t="str">
        <f t="shared" si="103"/>
        <v>1w</v>
      </c>
      <c r="Y3058" s="106">
        <f>_xll.qlCalendarAdvance(Calendar,Y3057,X3058,"f",FALSE)</f>
        <v>60658</v>
      </c>
      <c r="Z3058" s="108">
        <f>_xll.qlCalendarAdvance(Calendar,Y3058,0&amp;"D")</f>
        <v>60658</v>
      </c>
      <c r="AA3058" s="109">
        <v>1.0400272197692573E-2</v>
      </c>
      <c r="AB3058" s="143">
        <f t="shared" si="104"/>
        <v>7.9936057773011271E-14</v>
      </c>
      <c r="AC3058" s="236" t="e">
        <v>#N/A</v>
      </c>
      <c r="AD3058" s="236">
        <v>1.0400272197612637E-2</v>
      </c>
    </row>
    <row r="3059" spans="23:30" x14ac:dyDescent="0.2">
      <c r="W3059" s="144"/>
      <c r="X3059" s="113" t="str">
        <f t="shared" si="103"/>
        <v>1w</v>
      </c>
      <c r="Y3059" s="106">
        <f>_xll.qlCalendarAdvance(Calendar,Y3058,X3059,"f",FALSE)</f>
        <v>60665</v>
      </c>
      <c r="Z3059" s="108">
        <f>_xll.qlCalendarAdvance(Calendar,Y3059,0&amp;"D")</f>
        <v>60665</v>
      </c>
      <c r="AA3059" s="109">
        <v>1.0407234711058422E-2</v>
      </c>
      <c r="AB3059" s="143">
        <f t="shared" si="104"/>
        <v>7.9936057773011271E-14</v>
      </c>
      <c r="AC3059" s="236" t="e">
        <v>#N/A</v>
      </c>
      <c r="AD3059" s="236">
        <v>1.0407234710978486E-2</v>
      </c>
    </row>
    <row r="3060" spans="23:30" x14ac:dyDescent="0.2">
      <c r="W3060" s="144"/>
      <c r="X3060" s="113" t="str">
        <f t="shared" si="103"/>
        <v>1w</v>
      </c>
      <c r="Y3060" s="106">
        <f>_xll.qlCalendarAdvance(Calendar,Y3059,X3060,"f",FALSE)</f>
        <v>60672</v>
      </c>
      <c r="Z3060" s="108">
        <f>_xll.qlCalendarAdvance(Calendar,Y3060,0&amp;"D")</f>
        <v>60672</v>
      </c>
      <c r="AA3060" s="109">
        <v>1.0414182936093752E-2</v>
      </c>
      <c r="AB3060" s="143">
        <f t="shared" si="104"/>
        <v>0</v>
      </c>
      <c r="AC3060" s="236" t="e">
        <v>#N/A</v>
      </c>
      <c r="AD3060" s="236">
        <v>1.0414182936093752E-2</v>
      </c>
    </row>
    <row r="3061" spans="23:30" x14ac:dyDescent="0.2">
      <c r="W3061" s="144"/>
      <c r="X3061" s="113" t="str">
        <f t="shared" si="103"/>
        <v>1w</v>
      </c>
      <c r="Y3061" s="106">
        <f>_xll.qlCalendarAdvance(Calendar,Y3060,X3061,"f",FALSE)</f>
        <v>60679</v>
      </c>
      <c r="Z3061" s="108">
        <f>_xll.qlCalendarAdvance(Calendar,Y3061,0&amp;"D")</f>
        <v>60679</v>
      </c>
      <c r="AA3061" s="109">
        <v>1.0421116873038372E-2</v>
      </c>
      <c r="AB3061" s="143">
        <f t="shared" si="104"/>
        <v>0</v>
      </c>
      <c r="AC3061" s="236" t="e">
        <v>#N/A</v>
      </c>
      <c r="AD3061" s="236">
        <v>1.0421116873038372E-2</v>
      </c>
    </row>
    <row r="3062" spans="23:30" x14ac:dyDescent="0.2">
      <c r="W3062" s="144"/>
      <c r="X3062" s="113" t="str">
        <f t="shared" si="103"/>
        <v>1w</v>
      </c>
      <c r="Y3062" s="106">
        <f>_xll.qlCalendarAdvance(Calendar,Y3061,X3062,"f",FALSE)</f>
        <v>60686</v>
      </c>
      <c r="Z3062" s="108">
        <f>_xll.qlCalendarAdvance(Calendar,Y3062,0&amp;"D")</f>
        <v>60686</v>
      </c>
      <c r="AA3062" s="109">
        <v>1.0428036521812345E-2</v>
      </c>
      <c r="AB3062" s="143">
        <f t="shared" si="104"/>
        <v>0</v>
      </c>
      <c r="AC3062" s="236" t="e">
        <v>#N/A</v>
      </c>
      <c r="AD3062" s="236">
        <v>1.0428036521812345E-2</v>
      </c>
    </row>
    <row r="3063" spans="23:30" x14ac:dyDescent="0.2">
      <c r="W3063" s="144"/>
      <c r="X3063" s="113" t="str">
        <f t="shared" si="103"/>
        <v>1w</v>
      </c>
      <c r="Y3063" s="106">
        <f>_xll.qlCalendarAdvance(Calendar,Y3062,X3063,"f",FALSE)</f>
        <v>60693</v>
      </c>
      <c r="Z3063" s="108">
        <f>_xll.qlCalendarAdvance(Calendar,Y3063,0&amp;"D")</f>
        <v>60693</v>
      </c>
      <c r="AA3063" s="109">
        <v>1.0434941882175863E-2</v>
      </c>
      <c r="AB3063" s="143">
        <f t="shared" si="104"/>
        <v>-7.9936057773011271E-14</v>
      </c>
      <c r="AC3063" s="236" t="e">
        <v>#N/A</v>
      </c>
      <c r="AD3063" s="236">
        <v>1.0434941882255799E-2</v>
      </c>
    </row>
    <row r="3064" spans="23:30" x14ac:dyDescent="0.2">
      <c r="W3064" s="144"/>
      <c r="X3064" s="113" t="str">
        <f t="shared" si="103"/>
        <v>1w</v>
      </c>
      <c r="Y3064" s="106">
        <f>_xll.qlCalendarAdvance(Calendar,Y3063,X3064,"f",FALSE)</f>
        <v>60700</v>
      </c>
      <c r="Z3064" s="108">
        <f>_xll.qlCalendarAdvance(Calendar,Y3064,0&amp;"D")</f>
        <v>60700</v>
      </c>
      <c r="AA3064" s="109">
        <v>1.0441832954688479E-2</v>
      </c>
      <c r="AB3064" s="143">
        <f t="shared" si="104"/>
        <v>7.9936057773011271E-14</v>
      </c>
      <c r="AC3064" s="236" t="e">
        <v>#N/A</v>
      </c>
      <c r="AD3064" s="236">
        <v>1.0441832954608543E-2</v>
      </c>
    </row>
    <row r="3065" spans="23:30" x14ac:dyDescent="0.2">
      <c r="W3065" s="144"/>
      <c r="X3065" s="113" t="str">
        <f t="shared" si="103"/>
        <v>1w</v>
      </c>
      <c r="Y3065" s="106">
        <f>_xll.qlCalendarAdvance(Calendar,Y3064,X3065,"f",FALSE)</f>
        <v>60707</v>
      </c>
      <c r="Z3065" s="108">
        <f>_xll.qlCalendarAdvance(Calendar,Y3065,0&amp;"D")</f>
        <v>60707</v>
      </c>
      <c r="AA3065" s="109">
        <v>1.0448709738630768E-2</v>
      </c>
      <c r="AB3065" s="143">
        <f t="shared" si="104"/>
        <v>0</v>
      </c>
      <c r="AC3065" s="236" t="e">
        <v>#N/A</v>
      </c>
      <c r="AD3065" s="236">
        <v>1.0448709738630768E-2</v>
      </c>
    </row>
    <row r="3066" spans="23:30" x14ac:dyDescent="0.2">
      <c r="W3066" s="144"/>
      <c r="X3066" s="113" t="str">
        <f t="shared" si="103"/>
        <v>1w</v>
      </c>
      <c r="Y3066" s="106">
        <f>_xll.qlCalendarAdvance(Calendar,Y3065,X3066,"f",FALSE)</f>
        <v>60714</v>
      </c>
      <c r="Z3066" s="108">
        <f>_xll.qlCalendarAdvance(Calendar,Y3066,0&amp;"D")</f>
        <v>60714</v>
      </c>
      <c r="AA3066" s="109">
        <v>1.0455572234322474E-2</v>
      </c>
      <c r="AB3066" s="143">
        <f t="shared" si="104"/>
        <v>-7.9936057773011271E-14</v>
      </c>
      <c r="AC3066" s="236" t="e">
        <v>#N/A</v>
      </c>
      <c r="AD3066" s="236">
        <v>1.045557223440241E-2</v>
      </c>
    </row>
    <row r="3067" spans="23:30" x14ac:dyDescent="0.2">
      <c r="W3067" s="144"/>
      <c r="X3067" s="113" t="str">
        <f t="shared" si="103"/>
        <v>1w</v>
      </c>
      <c r="Y3067" s="106">
        <f>_xll.qlCalendarAdvance(Calendar,Y3066,X3067,"f",FALSE)</f>
        <v>60721</v>
      </c>
      <c r="Z3067" s="108">
        <f>_xll.qlCalendarAdvance(Calendar,Y3067,0&amp;"D")</f>
        <v>60721</v>
      </c>
      <c r="AA3067" s="109">
        <v>1.0462420442003406E-2</v>
      </c>
      <c r="AB3067" s="143">
        <f t="shared" si="104"/>
        <v>0</v>
      </c>
      <c r="AC3067" s="236" t="e">
        <v>#N/A</v>
      </c>
      <c r="AD3067" s="236">
        <v>1.0462420442003406E-2</v>
      </c>
    </row>
    <row r="3068" spans="23:30" x14ac:dyDescent="0.2">
      <c r="W3068" s="144"/>
      <c r="X3068" s="113" t="str">
        <f t="shared" si="103"/>
        <v>1w</v>
      </c>
      <c r="Y3068" s="106">
        <f>_xll.qlCalendarAdvance(Calendar,Y3067,X3068,"f",FALSE)</f>
        <v>60728</v>
      </c>
      <c r="Z3068" s="108">
        <f>_xll.qlCalendarAdvance(Calendar,Y3068,0&amp;"D")</f>
        <v>60728</v>
      </c>
      <c r="AA3068" s="109">
        <v>1.0469254361433755E-2</v>
      </c>
      <c r="AB3068" s="143">
        <f t="shared" si="104"/>
        <v>7.9936057773011271E-14</v>
      </c>
      <c r="AC3068" s="236" t="e">
        <v>#N/A</v>
      </c>
      <c r="AD3068" s="236">
        <v>1.0469254361353819E-2</v>
      </c>
    </row>
    <row r="3069" spans="23:30" x14ac:dyDescent="0.2">
      <c r="W3069" s="144"/>
      <c r="X3069" s="113" t="str">
        <f t="shared" si="103"/>
        <v>1w</v>
      </c>
      <c r="Y3069" s="106">
        <f>_xll.qlCalendarAdvance(Calendar,Y3068,X3069,"f",FALSE)</f>
        <v>60735</v>
      </c>
      <c r="Z3069" s="108">
        <f>_xll.qlCalendarAdvance(Calendar,Y3069,0&amp;"D")</f>
        <v>60735</v>
      </c>
      <c r="AA3069" s="109">
        <v>1.0476073992453649E-2</v>
      </c>
      <c r="AB3069" s="143">
        <f t="shared" si="104"/>
        <v>0</v>
      </c>
      <c r="AC3069" s="236" t="e">
        <v>#N/A</v>
      </c>
      <c r="AD3069" s="236">
        <v>1.0476073992453649E-2</v>
      </c>
    </row>
    <row r="3070" spans="23:30" x14ac:dyDescent="0.2">
      <c r="W3070" s="144"/>
      <c r="X3070" s="113" t="str">
        <f t="shared" si="103"/>
        <v>1w</v>
      </c>
      <c r="Y3070" s="106">
        <f>_xll.qlCalendarAdvance(Calendar,Y3069,X3070,"f",FALSE)</f>
        <v>60742</v>
      </c>
      <c r="Z3070" s="108">
        <f>_xll.qlCalendarAdvance(Calendar,Y3070,0&amp;"D")</f>
        <v>60742</v>
      </c>
      <c r="AA3070" s="109">
        <v>1.0482879335143025E-2</v>
      </c>
      <c r="AB3070" s="143">
        <f t="shared" si="104"/>
        <v>-7.9936057773011271E-14</v>
      </c>
      <c r="AC3070" s="236" t="e">
        <v>#N/A</v>
      </c>
      <c r="AD3070" s="236">
        <v>1.0482879335222961E-2</v>
      </c>
    </row>
    <row r="3071" spans="23:30" x14ac:dyDescent="0.2">
      <c r="W3071" s="144"/>
      <c r="X3071" s="113" t="str">
        <f t="shared" si="103"/>
        <v>1w</v>
      </c>
      <c r="Y3071" s="106">
        <f>_xll.qlCalendarAdvance(Calendar,Y3070,X3071,"f",FALSE)</f>
        <v>60749</v>
      </c>
      <c r="Z3071" s="108">
        <f>_xll.qlCalendarAdvance(Calendar,Y3071,0&amp;"D")</f>
        <v>60749</v>
      </c>
      <c r="AA3071" s="109">
        <v>1.0489670389901562E-2</v>
      </c>
      <c r="AB3071" s="143">
        <f t="shared" si="104"/>
        <v>7.9936057773011271E-14</v>
      </c>
      <c r="AC3071" s="236" t="e">
        <v>#N/A</v>
      </c>
      <c r="AD3071" s="236">
        <v>1.0489670389821626E-2</v>
      </c>
    </row>
    <row r="3072" spans="23:30" x14ac:dyDescent="0.2">
      <c r="W3072" s="144"/>
      <c r="X3072" s="113" t="str">
        <f t="shared" si="103"/>
        <v>1w</v>
      </c>
      <c r="Y3072" s="106">
        <f>_xll.qlCalendarAdvance(Calendar,Y3071,X3072,"f",FALSE)</f>
        <v>60756</v>
      </c>
      <c r="Z3072" s="108">
        <f>_xll.qlCalendarAdvance(Calendar,Y3072,0&amp;"D")</f>
        <v>60756</v>
      </c>
      <c r="AA3072" s="109">
        <v>1.0496447156409516E-2</v>
      </c>
      <c r="AB3072" s="143">
        <f t="shared" si="104"/>
        <v>0</v>
      </c>
      <c r="AC3072" s="236" t="e">
        <v>#N/A</v>
      </c>
      <c r="AD3072" s="236">
        <v>1.0496447156409516E-2</v>
      </c>
    </row>
    <row r="3073" spans="23:30" x14ac:dyDescent="0.2">
      <c r="W3073" s="144"/>
      <c r="X3073" s="113" t="str">
        <f t="shared" si="103"/>
        <v>1w</v>
      </c>
      <c r="Y3073" s="106">
        <f>_xll.qlCalendarAdvance(Calendar,Y3072,X3073,"f",FALSE)</f>
        <v>60763</v>
      </c>
      <c r="Z3073" s="108">
        <f>_xll.qlCalendarAdvance(Calendar,Y3073,0&amp;"D")</f>
        <v>60763</v>
      </c>
      <c r="AA3073" s="109">
        <v>1.0503209634507016E-2</v>
      </c>
      <c r="AB3073" s="143">
        <f t="shared" si="104"/>
        <v>0</v>
      </c>
      <c r="AC3073" s="236" t="e">
        <v>#N/A</v>
      </c>
      <c r="AD3073" s="236">
        <v>1.0503209634507016E-2</v>
      </c>
    </row>
    <row r="3074" spans="23:30" x14ac:dyDescent="0.2">
      <c r="W3074" s="144"/>
      <c r="X3074" s="113" t="str">
        <f t="shared" si="103"/>
        <v>1w</v>
      </c>
      <c r="Y3074" s="106">
        <f>_xll.qlCalendarAdvance(Calendar,Y3073,X3074,"f",FALSE)</f>
        <v>60770</v>
      </c>
      <c r="Z3074" s="108">
        <f>_xll.qlCalendarAdvance(Calendar,Y3074,0&amp;"D")</f>
        <v>60770</v>
      </c>
      <c r="AA3074" s="109">
        <v>1.0509957824433869E-2</v>
      </c>
      <c r="AB3074" s="143">
        <f t="shared" si="104"/>
        <v>-7.9936057773011271E-14</v>
      </c>
      <c r="AC3074" s="236" t="e">
        <v>#N/A</v>
      </c>
      <c r="AD3074" s="236">
        <v>1.0509957824513805E-2</v>
      </c>
    </row>
    <row r="3075" spans="23:30" x14ac:dyDescent="0.2">
      <c r="W3075" s="144"/>
      <c r="X3075" s="113" t="str">
        <f t="shared" si="103"/>
        <v>1w</v>
      </c>
      <c r="Y3075" s="106">
        <f>_xll.qlCalendarAdvance(Calendar,Y3074,X3075,"f",FALSE)</f>
        <v>60777</v>
      </c>
      <c r="Z3075" s="108">
        <f>_xll.qlCalendarAdvance(Calendar,Y3075,0&amp;"D")</f>
        <v>60777</v>
      </c>
      <c r="AA3075" s="109">
        <v>1.0516691726190075E-2</v>
      </c>
      <c r="AB3075" s="143">
        <f t="shared" si="104"/>
        <v>0</v>
      </c>
      <c r="AC3075" s="236" t="e">
        <v>#N/A</v>
      </c>
      <c r="AD3075" s="236">
        <v>1.0516691726190075E-2</v>
      </c>
    </row>
    <row r="3076" spans="23:30" x14ac:dyDescent="0.2">
      <c r="W3076" s="144"/>
      <c r="X3076" s="113" t="str">
        <f t="shared" si="103"/>
        <v>1w</v>
      </c>
      <c r="Y3076" s="106">
        <f>_xll.qlCalendarAdvance(Calendar,Y3075,X3076,"f",FALSE)</f>
        <v>60784</v>
      </c>
      <c r="Z3076" s="108">
        <f>_xll.qlCalendarAdvance(Calendar,Y3076,0&amp;"D")</f>
        <v>60784</v>
      </c>
      <c r="AA3076" s="109">
        <v>1.0523411339615762E-2</v>
      </c>
      <c r="AB3076" s="143">
        <f t="shared" si="104"/>
        <v>7.9936057773011271E-14</v>
      </c>
      <c r="AC3076" s="236" t="e">
        <v>#N/A</v>
      </c>
      <c r="AD3076" s="236">
        <v>1.0523411339535826E-2</v>
      </c>
    </row>
    <row r="3077" spans="23:30" x14ac:dyDescent="0.2">
      <c r="W3077" s="144"/>
      <c r="X3077" s="113" t="str">
        <f t="shared" si="103"/>
        <v>1w</v>
      </c>
      <c r="Y3077" s="106">
        <f>_xll.qlCalendarAdvance(Calendar,Y3076,X3077,"f",FALSE)</f>
        <v>60791</v>
      </c>
      <c r="Z3077" s="108">
        <f>_xll.qlCalendarAdvance(Calendar,Y3077,0&amp;"D")</f>
        <v>60791</v>
      </c>
      <c r="AA3077" s="109">
        <v>1.0530116664790867E-2</v>
      </c>
      <c r="AB3077" s="143">
        <f t="shared" si="104"/>
        <v>0</v>
      </c>
      <c r="AC3077" s="236" t="e">
        <v>#N/A</v>
      </c>
      <c r="AD3077" s="236">
        <v>1.0530116664790867E-2</v>
      </c>
    </row>
    <row r="3078" spans="23:30" x14ac:dyDescent="0.2">
      <c r="W3078" s="144"/>
      <c r="X3078" s="113" t="str">
        <f t="shared" si="103"/>
        <v>1w</v>
      </c>
      <c r="Y3078" s="106">
        <f>_xll.qlCalendarAdvance(Calendar,Y3077,X3078,"f",FALSE)</f>
        <v>60798</v>
      </c>
      <c r="Z3078" s="108">
        <f>_xll.qlCalendarAdvance(Calendar,Y3078,0&amp;"D")</f>
        <v>60798</v>
      </c>
      <c r="AA3078" s="109">
        <v>1.0536807701795325E-2</v>
      </c>
      <c r="AB3078" s="143">
        <f t="shared" si="104"/>
        <v>7.9936057773011271E-14</v>
      </c>
      <c r="AC3078" s="236" t="e">
        <v>#N/A</v>
      </c>
      <c r="AD3078" s="236">
        <v>1.0536807701715389E-2</v>
      </c>
    </row>
    <row r="3079" spans="23:30" x14ac:dyDescent="0.2">
      <c r="W3079" s="144"/>
      <c r="X3079" s="113" t="str">
        <f t="shared" si="103"/>
        <v>1w</v>
      </c>
      <c r="Y3079" s="106">
        <f>_xll.qlCalendarAdvance(Calendar,Y3078,X3079,"f",FALSE)</f>
        <v>60805</v>
      </c>
      <c r="Z3079" s="108">
        <f>_xll.qlCalendarAdvance(Calendar,Y3079,0&amp;"D")</f>
        <v>60805</v>
      </c>
      <c r="AA3079" s="109">
        <v>1.0543484450389329E-2</v>
      </c>
      <c r="AB3079" s="143">
        <f t="shared" si="104"/>
        <v>-7.9936057773011271E-14</v>
      </c>
      <c r="AC3079" s="236" t="e">
        <v>#N/A</v>
      </c>
      <c r="AD3079" s="236">
        <v>1.0543484450469265E-2</v>
      </c>
    </row>
    <row r="3080" spans="23:30" x14ac:dyDescent="0.2">
      <c r="W3080" s="144"/>
      <c r="X3080" s="113" t="str">
        <f t="shared" si="103"/>
        <v>1w</v>
      </c>
      <c r="Y3080" s="106">
        <f>_xll.qlCalendarAdvance(Calendar,Y3079,X3080,"f",FALSE)</f>
        <v>60812</v>
      </c>
      <c r="Z3080" s="108">
        <f>_xll.qlCalendarAdvance(Calendar,Y3080,0&amp;"D")</f>
        <v>60812</v>
      </c>
      <c r="AA3080" s="109">
        <v>1.055014691113243E-2</v>
      </c>
      <c r="AB3080" s="143">
        <f t="shared" si="104"/>
        <v>0</v>
      </c>
      <c r="AC3080" s="236" t="e">
        <v>#N/A</v>
      </c>
      <c r="AD3080" s="236">
        <v>1.055014691113243E-2</v>
      </c>
    </row>
    <row r="3081" spans="23:30" x14ac:dyDescent="0.2">
      <c r="W3081" s="144"/>
      <c r="X3081" s="113" t="str">
        <f t="shared" si="103"/>
        <v>1w</v>
      </c>
      <c r="Y3081" s="106">
        <f>_xll.qlCalendarAdvance(Calendar,Y3080,X3081,"f",FALSE)</f>
        <v>60819</v>
      </c>
      <c r="Z3081" s="108">
        <f>_xll.qlCalendarAdvance(Calendar,Y3081,0&amp;"D")</f>
        <v>60819</v>
      </c>
      <c r="AA3081" s="109">
        <v>1.055679508338514E-2</v>
      </c>
      <c r="AB3081" s="143">
        <f t="shared" si="104"/>
        <v>7.9936057773011271E-14</v>
      </c>
      <c r="AC3081" s="236" t="e">
        <v>#N/A</v>
      </c>
      <c r="AD3081" s="236">
        <v>1.0556795083305204E-2</v>
      </c>
    </row>
    <row r="3082" spans="23:30" x14ac:dyDescent="0.2">
      <c r="W3082" s="144"/>
      <c r="X3082" s="113" t="str">
        <f t="shared" si="103"/>
        <v>1w</v>
      </c>
      <c r="Y3082" s="106">
        <f>_xll.qlCalendarAdvance(Calendar,Y3081,X3082,"f",FALSE)</f>
        <v>60826</v>
      </c>
      <c r="Z3082" s="108">
        <f>_xll.qlCalendarAdvance(Calendar,Y3082,0&amp;"D")</f>
        <v>60826</v>
      </c>
      <c r="AA3082" s="109">
        <v>1.0563428967387267E-2</v>
      </c>
      <c r="AB3082" s="143">
        <f t="shared" si="104"/>
        <v>0</v>
      </c>
      <c r="AC3082" s="236" t="e">
        <v>#N/A</v>
      </c>
      <c r="AD3082" s="236">
        <v>1.0563428967387267E-2</v>
      </c>
    </row>
    <row r="3083" spans="23:30" x14ac:dyDescent="0.2">
      <c r="W3083" s="144"/>
      <c r="X3083" s="113" t="str">
        <f t="shared" si="103"/>
        <v>1w</v>
      </c>
      <c r="Y3083" s="106">
        <f>_xll.qlCalendarAdvance(Calendar,Y3082,X3083,"f",FALSE)</f>
        <v>60833</v>
      </c>
      <c r="Z3083" s="108">
        <f>_xll.qlCalendarAdvance(Calendar,Y3083,0&amp;"D")</f>
        <v>60833</v>
      </c>
      <c r="AA3083" s="109">
        <v>1.0570048563058876E-2</v>
      </c>
      <c r="AB3083" s="143">
        <f t="shared" si="104"/>
        <v>0</v>
      </c>
      <c r="AC3083" s="236" t="e">
        <v>#N/A</v>
      </c>
      <c r="AD3083" s="236">
        <v>1.0570048563058876E-2</v>
      </c>
    </row>
    <row r="3084" spans="23:30" x14ac:dyDescent="0.2">
      <c r="W3084" s="144"/>
      <c r="X3084" s="113" t="str">
        <f t="shared" si="103"/>
        <v>1w</v>
      </c>
      <c r="Y3084" s="106">
        <f>_xll.qlCalendarAdvance(Calendar,Y3083,X3084,"f",FALSE)</f>
        <v>60840</v>
      </c>
      <c r="Z3084" s="108">
        <f>_xll.qlCalendarAdvance(Calendar,Y3084,0&amp;"D")</f>
        <v>60840</v>
      </c>
      <c r="AA3084" s="109">
        <v>1.0576653870559838E-2</v>
      </c>
      <c r="AB3084" s="143">
        <f t="shared" si="104"/>
        <v>0</v>
      </c>
      <c r="AC3084" s="236" t="e">
        <v>#N/A</v>
      </c>
      <c r="AD3084" s="236">
        <v>1.0576653870559838E-2</v>
      </c>
    </row>
    <row r="3085" spans="23:30" x14ac:dyDescent="0.2">
      <c r="W3085" s="144"/>
      <c r="X3085" s="113" t="str">
        <f t="shared" ref="X3085:X3148" si="105">X3084</f>
        <v>1w</v>
      </c>
      <c r="Y3085" s="106">
        <f>_xll.qlCalendarAdvance(Calendar,Y3084,X3085,"f",FALSE)</f>
        <v>60847</v>
      </c>
      <c r="Z3085" s="108">
        <f>_xll.qlCalendarAdvance(Calendar,Y3085,0&amp;"D")</f>
        <v>60847</v>
      </c>
      <c r="AA3085" s="109">
        <v>1.0583244889890153E-2</v>
      </c>
      <c r="AB3085" s="143">
        <f t="shared" si="104"/>
        <v>0</v>
      </c>
      <c r="AC3085" s="236" t="e">
        <v>#N/A</v>
      </c>
      <c r="AD3085" s="236">
        <v>1.0583244889890153E-2</v>
      </c>
    </row>
    <row r="3086" spans="23:30" x14ac:dyDescent="0.2">
      <c r="W3086" s="144"/>
      <c r="X3086" s="113" t="str">
        <f t="shared" si="105"/>
        <v>1w</v>
      </c>
      <c r="Y3086" s="106">
        <f>_xll.qlCalendarAdvance(Calendar,Y3085,X3086,"f",FALSE)</f>
        <v>60854</v>
      </c>
      <c r="Z3086" s="108">
        <f>_xll.qlCalendarAdvance(Calendar,Y3086,0&amp;"D")</f>
        <v>60854</v>
      </c>
      <c r="AA3086" s="109">
        <v>1.0589821621049822E-2</v>
      </c>
      <c r="AB3086" s="143">
        <f t="shared" si="104"/>
        <v>7.9936057773011271E-14</v>
      </c>
      <c r="AC3086" s="236" t="e">
        <v>#N/A</v>
      </c>
      <c r="AD3086" s="236">
        <v>1.0589821620969886E-2</v>
      </c>
    </row>
    <row r="3087" spans="23:30" x14ac:dyDescent="0.2">
      <c r="W3087" s="144"/>
      <c r="X3087" s="113" t="str">
        <f t="shared" si="105"/>
        <v>1w</v>
      </c>
      <c r="Y3087" s="106">
        <f>_xll.qlCalendarAdvance(Calendar,Y3086,X3087,"f",FALSE)</f>
        <v>60861</v>
      </c>
      <c r="Z3087" s="108">
        <f>_xll.qlCalendarAdvance(Calendar,Y3087,0&amp;"D")</f>
        <v>60861</v>
      </c>
      <c r="AA3087" s="109">
        <v>1.05963840637191E-2</v>
      </c>
      <c r="AB3087" s="143">
        <f t="shared" si="104"/>
        <v>-7.9936057773011271E-14</v>
      </c>
      <c r="AC3087" s="236" t="e">
        <v>#N/A</v>
      </c>
      <c r="AD3087" s="236">
        <v>1.0596384063799036E-2</v>
      </c>
    </row>
    <row r="3088" spans="23:30" x14ac:dyDescent="0.2">
      <c r="W3088" s="144"/>
      <c r="X3088" s="113" t="str">
        <f t="shared" si="105"/>
        <v>1w</v>
      </c>
      <c r="Y3088" s="106">
        <f>_xll.qlCalendarAdvance(Calendar,Y3087,X3088,"f",FALSE)</f>
        <v>60868</v>
      </c>
      <c r="Z3088" s="108">
        <f>_xll.qlCalendarAdvance(Calendar,Y3088,0&amp;"D")</f>
        <v>60868</v>
      </c>
      <c r="AA3088" s="109">
        <v>1.0602932218217731E-2</v>
      </c>
      <c r="AB3088" s="143">
        <f t="shared" si="104"/>
        <v>0</v>
      </c>
      <c r="AC3088" s="236" t="e">
        <v>#N/A</v>
      </c>
      <c r="AD3088" s="236">
        <v>1.0602932218217731E-2</v>
      </c>
    </row>
    <row r="3089" spans="23:30" x14ac:dyDescent="0.2">
      <c r="W3089" s="144"/>
      <c r="X3089" s="113" t="str">
        <f t="shared" si="105"/>
        <v>1w</v>
      </c>
      <c r="Y3089" s="106">
        <f>_xll.qlCalendarAdvance(Calendar,Y3088,X3089,"f",FALSE)</f>
        <v>60875</v>
      </c>
      <c r="Z3089" s="108">
        <f>_xll.qlCalendarAdvance(Calendar,Y3089,0&amp;"D")</f>
        <v>60875</v>
      </c>
      <c r="AA3089" s="109">
        <v>1.0609466084625652E-2</v>
      </c>
      <c r="AB3089" s="143">
        <f t="shared" si="104"/>
        <v>7.9936057773011271E-14</v>
      </c>
      <c r="AC3089" s="236" t="e">
        <v>#N/A</v>
      </c>
      <c r="AD3089" s="236">
        <v>1.0609466084545716E-2</v>
      </c>
    </row>
    <row r="3090" spans="23:30" x14ac:dyDescent="0.2">
      <c r="W3090" s="144"/>
      <c r="X3090" s="113" t="str">
        <f t="shared" si="105"/>
        <v>1w</v>
      </c>
      <c r="Y3090" s="106">
        <f>_xll.qlCalendarAdvance(Calendar,Y3089,X3090,"f",FALSE)</f>
        <v>60882</v>
      </c>
      <c r="Z3090" s="108">
        <f>_xll.qlCalendarAdvance(Calendar,Y3090,0&amp;"D")</f>
        <v>60882</v>
      </c>
      <c r="AA3090" s="109">
        <v>1.0615985662543181E-2</v>
      </c>
      <c r="AB3090" s="143">
        <f t="shared" si="104"/>
        <v>0</v>
      </c>
      <c r="AC3090" s="236" t="e">
        <v>#N/A</v>
      </c>
      <c r="AD3090" s="236">
        <v>1.0615985662543181E-2</v>
      </c>
    </row>
    <row r="3091" spans="23:30" x14ac:dyDescent="0.2">
      <c r="W3091" s="144"/>
      <c r="X3091" s="113" t="str">
        <f t="shared" si="105"/>
        <v>1w</v>
      </c>
      <c r="Y3091" s="106">
        <f>_xll.qlCalendarAdvance(Calendar,Y3090,X3091,"f",FALSE)</f>
        <v>60889</v>
      </c>
      <c r="Z3091" s="108">
        <f>_xll.qlCalendarAdvance(Calendar,Y3091,0&amp;"D")</f>
        <v>60889</v>
      </c>
      <c r="AA3091" s="109">
        <v>1.0622490952449937E-2</v>
      </c>
      <c r="AB3091" s="143">
        <f t="shared" si="104"/>
        <v>7.9936057773011271E-14</v>
      </c>
      <c r="AC3091" s="236" t="e">
        <v>#N/A</v>
      </c>
      <c r="AD3091" s="236">
        <v>1.0622490952370001E-2</v>
      </c>
    </row>
    <row r="3092" spans="23:30" x14ac:dyDescent="0.2">
      <c r="W3092" s="144"/>
      <c r="X3092" s="113" t="str">
        <f t="shared" si="105"/>
        <v>1w</v>
      </c>
      <c r="Y3092" s="106">
        <f>_xll.qlCalendarAdvance(Calendar,Y3091,X3092,"f",FALSE)</f>
        <v>60896</v>
      </c>
      <c r="Z3092" s="108">
        <f>_xll.qlCalendarAdvance(Calendar,Y3092,0&amp;"D")</f>
        <v>60896</v>
      </c>
      <c r="AA3092" s="109">
        <v>1.0628981953866301E-2</v>
      </c>
      <c r="AB3092" s="143">
        <f t="shared" si="104"/>
        <v>-7.9936057773011271E-14</v>
      </c>
      <c r="AC3092" s="236" t="e">
        <v>#N/A</v>
      </c>
      <c r="AD3092" s="236">
        <v>1.0628981953946237E-2</v>
      </c>
    </row>
    <row r="3093" spans="23:30" x14ac:dyDescent="0.2">
      <c r="W3093" s="144"/>
      <c r="X3093" s="113" t="str">
        <f t="shared" si="105"/>
        <v>1w</v>
      </c>
      <c r="Y3093" s="106">
        <f>_xll.qlCalendarAdvance(Calendar,Y3092,X3093,"f",FALSE)</f>
        <v>60903</v>
      </c>
      <c r="Z3093" s="108">
        <f>_xll.qlCalendarAdvance(Calendar,Y3093,0&amp;"D")</f>
        <v>60903</v>
      </c>
      <c r="AA3093" s="109">
        <v>1.0635458667112019E-2</v>
      </c>
      <c r="AB3093" s="143">
        <f t="shared" ref="AB3093:AB3156" si="106">AA3093-AD3093</f>
        <v>-7.9936057773011271E-14</v>
      </c>
      <c r="AC3093" s="236" t="e">
        <v>#N/A</v>
      </c>
      <c r="AD3093" s="236">
        <v>1.0635458667191955E-2</v>
      </c>
    </row>
    <row r="3094" spans="23:30" x14ac:dyDescent="0.2">
      <c r="W3094" s="144"/>
      <c r="X3094" s="113" t="str">
        <f t="shared" si="105"/>
        <v>1w</v>
      </c>
      <c r="Y3094" s="106">
        <f>_xll.qlCalendarAdvance(Calendar,Y3093,X3094,"f",FALSE)</f>
        <v>60910</v>
      </c>
      <c r="Z3094" s="108">
        <f>_xll.qlCalendarAdvance(Calendar,Y3094,0&amp;"D")</f>
        <v>60910</v>
      </c>
      <c r="AA3094" s="109">
        <v>1.0641921092267026E-2</v>
      </c>
      <c r="AB3094" s="143">
        <f t="shared" si="106"/>
        <v>0</v>
      </c>
      <c r="AC3094" s="236" t="e">
        <v>#N/A</v>
      </c>
      <c r="AD3094" s="236">
        <v>1.0641921092267026E-2</v>
      </c>
    </row>
    <row r="3095" spans="23:30" x14ac:dyDescent="0.2">
      <c r="W3095" s="144"/>
      <c r="X3095" s="113" t="str">
        <f t="shared" si="105"/>
        <v>1w</v>
      </c>
      <c r="Y3095" s="106">
        <f>_xll.qlCalendarAdvance(Calendar,Y3094,X3095,"f",FALSE)</f>
        <v>60917</v>
      </c>
      <c r="Z3095" s="108">
        <f>_xll.qlCalendarAdvance(Calendar,Y3095,0&amp;"D")</f>
        <v>60917</v>
      </c>
      <c r="AA3095" s="109">
        <v>1.0648369229091514E-2</v>
      </c>
      <c r="AB3095" s="143">
        <f t="shared" si="106"/>
        <v>0</v>
      </c>
      <c r="AC3095" s="236" t="e">
        <v>#N/A</v>
      </c>
      <c r="AD3095" s="236">
        <v>1.0648369229091514E-2</v>
      </c>
    </row>
    <row r="3096" spans="23:30" x14ac:dyDescent="0.2">
      <c r="W3096" s="144"/>
      <c r="X3096" s="113" t="str">
        <f t="shared" si="105"/>
        <v>1w</v>
      </c>
      <c r="Y3096" s="106">
        <f>_xll.qlCalendarAdvance(Calendar,Y3095,X3096,"f",FALSE)</f>
        <v>60924</v>
      </c>
      <c r="Z3096" s="108">
        <f>_xll.qlCalendarAdvance(Calendar,Y3096,0&amp;"D")</f>
        <v>60924</v>
      </c>
      <c r="AA3096" s="109">
        <v>1.0654803077505548E-2</v>
      </c>
      <c r="AB3096" s="143">
        <f t="shared" si="106"/>
        <v>-7.9936057773011271E-14</v>
      </c>
      <c r="AC3096" s="236" t="e">
        <v>#N/A</v>
      </c>
      <c r="AD3096" s="236">
        <v>1.0654803077585484E-2</v>
      </c>
    </row>
    <row r="3097" spans="23:30" x14ac:dyDescent="0.2">
      <c r="W3097" s="144"/>
      <c r="X3097" s="113" t="str">
        <f t="shared" si="105"/>
        <v>1w</v>
      </c>
      <c r="Y3097" s="106">
        <f>_xll.qlCalendarAdvance(Calendar,Y3096,X3097,"f",FALSE)</f>
        <v>60931</v>
      </c>
      <c r="Z3097" s="108">
        <f>_xll.qlCalendarAdvance(Calendar,Y3097,0&amp;"D")</f>
        <v>60931</v>
      </c>
      <c r="AA3097" s="109">
        <v>1.0661222637748935E-2</v>
      </c>
      <c r="AB3097" s="143">
        <f t="shared" si="106"/>
        <v>-7.9936057773011271E-14</v>
      </c>
      <c r="AC3097" s="236" t="e">
        <v>#N/A</v>
      </c>
      <c r="AD3097" s="236">
        <v>1.0661222637828871E-2</v>
      </c>
    </row>
    <row r="3098" spans="23:30" x14ac:dyDescent="0.2">
      <c r="W3098" s="144"/>
      <c r="X3098" s="113" t="str">
        <f t="shared" si="105"/>
        <v>1w</v>
      </c>
      <c r="Y3098" s="106">
        <f>_xll.qlCalendarAdvance(Calendar,Y3097,X3098,"f",FALSE)</f>
        <v>60938</v>
      </c>
      <c r="Z3098" s="108">
        <f>_xll.qlCalendarAdvance(Calendar,Y3098,0&amp;"D")</f>
        <v>60938</v>
      </c>
      <c r="AA3098" s="109">
        <v>1.0667627909901611E-2</v>
      </c>
      <c r="AB3098" s="143">
        <f t="shared" si="106"/>
        <v>-7.9936057773011271E-14</v>
      </c>
      <c r="AC3098" s="236" t="e">
        <v>#N/A</v>
      </c>
      <c r="AD3098" s="236">
        <v>1.0667627909981547E-2</v>
      </c>
    </row>
    <row r="3099" spans="23:30" x14ac:dyDescent="0.2">
      <c r="W3099" s="144"/>
      <c r="X3099" s="113" t="str">
        <f t="shared" si="105"/>
        <v>1w</v>
      </c>
      <c r="Y3099" s="106">
        <f>_xll.qlCalendarAdvance(Calendar,Y3098,X3099,"f",FALSE)</f>
        <v>60945</v>
      </c>
      <c r="Z3099" s="108">
        <f>_xll.qlCalendarAdvance(Calendar,Y3099,0&amp;"D")</f>
        <v>60945</v>
      </c>
      <c r="AA3099" s="109">
        <v>1.0674018893643833E-2</v>
      </c>
      <c r="AB3099" s="143">
        <f t="shared" si="106"/>
        <v>0</v>
      </c>
      <c r="AC3099" s="236" t="e">
        <v>#N/A</v>
      </c>
      <c r="AD3099" s="236">
        <v>1.0674018893643833E-2</v>
      </c>
    </row>
    <row r="3100" spans="23:30" x14ac:dyDescent="0.2">
      <c r="W3100" s="144"/>
      <c r="X3100" s="113" t="str">
        <f t="shared" si="105"/>
        <v>1w</v>
      </c>
      <c r="Y3100" s="106">
        <f>_xll.qlCalendarAdvance(Calendar,Y3099,X3100,"f",FALSE)</f>
        <v>60952</v>
      </c>
      <c r="Z3100" s="108">
        <f>_xll.qlCalendarAdvance(Calendar,Y3100,0&amp;"D")</f>
        <v>60952</v>
      </c>
      <c r="AA3100" s="109">
        <v>1.0680395589135472E-2</v>
      </c>
      <c r="AB3100" s="143">
        <f t="shared" si="106"/>
        <v>0</v>
      </c>
      <c r="AC3100" s="236" t="e">
        <v>#N/A</v>
      </c>
      <c r="AD3100" s="236">
        <v>1.0680395589135472E-2</v>
      </c>
    </row>
    <row r="3101" spans="23:30" x14ac:dyDescent="0.2">
      <c r="W3101" s="144"/>
      <c r="X3101" s="113" t="str">
        <f t="shared" si="105"/>
        <v>1w</v>
      </c>
      <c r="Y3101" s="106">
        <f>_xll.qlCalendarAdvance(Calendar,Y3100,X3101,"f",FALSE)</f>
        <v>60959</v>
      </c>
      <c r="Z3101" s="108">
        <f>_xll.qlCalendarAdvance(Calendar,Y3101,0&amp;"D")</f>
        <v>60959</v>
      </c>
      <c r="AA3101" s="109">
        <v>1.0686757996376528E-2</v>
      </c>
      <c r="AB3101" s="143">
        <f t="shared" si="106"/>
        <v>0</v>
      </c>
      <c r="AC3101" s="236" t="e">
        <v>#N/A</v>
      </c>
      <c r="AD3101" s="236">
        <v>1.0686757996376528E-2</v>
      </c>
    </row>
    <row r="3102" spans="23:30" x14ac:dyDescent="0.2">
      <c r="W3102" s="144"/>
      <c r="X3102" s="113" t="str">
        <f t="shared" si="105"/>
        <v>1w</v>
      </c>
      <c r="Y3102" s="106">
        <f>_xll.qlCalendarAdvance(Calendar,Y3101,X3102,"f",FALSE)</f>
        <v>60966</v>
      </c>
      <c r="Z3102" s="108">
        <f>_xll.qlCalendarAdvance(Calendar,Y3102,0&amp;"D")</f>
        <v>60966</v>
      </c>
      <c r="AA3102" s="109">
        <v>1.0693106115287065E-2</v>
      </c>
      <c r="AB3102" s="143">
        <f t="shared" si="106"/>
        <v>0</v>
      </c>
      <c r="AC3102" s="236" t="e">
        <v>#N/A</v>
      </c>
      <c r="AD3102" s="236">
        <v>1.0693106115287065E-2</v>
      </c>
    </row>
    <row r="3103" spans="23:30" x14ac:dyDescent="0.2">
      <c r="W3103" s="144"/>
      <c r="X3103" s="113" t="str">
        <f t="shared" si="105"/>
        <v>1w</v>
      </c>
      <c r="Y3103" s="106">
        <f>_xll.qlCalendarAdvance(Calendar,Y3102,X3103,"f",FALSE)</f>
        <v>60973</v>
      </c>
      <c r="Z3103" s="108">
        <f>_xll.qlCalendarAdvance(Calendar,Y3103,0&amp;"D")</f>
        <v>60973</v>
      </c>
      <c r="AA3103" s="109">
        <v>1.0699439946026956E-2</v>
      </c>
      <c r="AB3103" s="143">
        <f t="shared" si="106"/>
        <v>7.9936057773011271E-14</v>
      </c>
      <c r="AC3103" s="236" t="e">
        <v>#N/A</v>
      </c>
      <c r="AD3103" s="236">
        <v>1.069943994594702E-2</v>
      </c>
    </row>
    <row r="3104" spans="23:30" x14ac:dyDescent="0.2">
      <c r="W3104" s="144"/>
      <c r="X3104" s="113" t="str">
        <f t="shared" si="105"/>
        <v>1w</v>
      </c>
      <c r="Y3104" s="106">
        <f>_xll.qlCalendarAdvance(Calendar,Y3103,X3104,"f",FALSE)</f>
        <v>60980</v>
      </c>
      <c r="Z3104" s="108">
        <f>_xll.qlCalendarAdvance(Calendar,Y3104,0&amp;"D")</f>
        <v>60980</v>
      </c>
      <c r="AA3104" s="109">
        <v>1.0705759488516264E-2</v>
      </c>
      <c r="AB3104" s="143">
        <f t="shared" si="106"/>
        <v>-7.9936057773011271E-14</v>
      </c>
      <c r="AC3104" s="236" t="e">
        <v>#N/A</v>
      </c>
      <c r="AD3104" s="236">
        <v>1.07057594885962E-2</v>
      </c>
    </row>
    <row r="3105" spans="23:30" x14ac:dyDescent="0.2">
      <c r="W3105" s="144"/>
      <c r="X3105" s="113" t="str">
        <f t="shared" si="105"/>
        <v>1w</v>
      </c>
      <c r="Y3105" s="106">
        <f>_xll.qlCalendarAdvance(Calendar,Y3104,X3105,"f",FALSE)</f>
        <v>60987</v>
      </c>
      <c r="Z3105" s="108">
        <f>_xll.qlCalendarAdvance(Calendar,Y3105,0&amp;"D")</f>
        <v>60987</v>
      </c>
      <c r="AA3105" s="109">
        <v>1.071206474275499E-2</v>
      </c>
      <c r="AB3105" s="143">
        <f t="shared" si="106"/>
        <v>0</v>
      </c>
      <c r="AC3105" s="236" t="e">
        <v>#N/A</v>
      </c>
      <c r="AD3105" s="236">
        <v>1.071206474275499E-2</v>
      </c>
    </row>
    <row r="3106" spans="23:30" x14ac:dyDescent="0.2">
      <c r="W3106" s="144"/>
      <c r="X3106" s="113" t="str">
        <f t="shared" si="105"/>
        <v>1w</v>
      </c>
      <c r="Y3106" s="106">
        <f>_xll.qlCalendarAdvance(Calendar,Y3105,X3106,"f",FALSE)</f>
        <v>60994</v>
      </c>
      <c r="Z3106" s="108">
        <f>_xll.qlCalendarAdvance(Calendar,Y3106,0&amp;"D")</f>
        <v>60994</v>
      </c>
      <c r="AA3106" s="109">
        <v>1.0718355708743132E-2</v>
      </c>
      <c r="AB3106" s="143">
        <f t="shared" si="106"/>
        <v>7.9936057773011271E-14</v>
      </c>
      <c r="AC3106" s="236" t="e">
        <v>#N/A</v>
      </c>
      <c r="AD3106" s="236">
        <v>1.0718355708663196E-2</v>
      </c>
    </row>
    <row r="3107" spans="23:30" x14ac:dyDescent="0.2">
      <c r="W3107" s="144"/>
      <c r="X3107" s="113" t="str">
        <f t="shared" si="105"/>
        <v>1w</v>
      </c>
      <c r="Y3107" s="106">
        <f>_xll.qlCalendarAdvance(Calendar,Y3106,X3107,"f",FALSE)</f>
        <v>61001</v>
      </c>
      <c r="Z3107" s="108">
        <f>_xll.qlCalendarAdvance(Calendar,Y3107,0&amp;"D")</f>
        <v>61001</v>
      </c>
      <c r="AA3107" s="109">
        <v>1.0724632386480693E-2</v>
      </c>
      <c r="AB3107" s="143">
        <f t="shared" si="106"/>
        <v>7.9936057773011271E-14</v>
      </c>
      <c r="AC3107" s="236" t="e">
        <v>#N/A</v>
      </c>
      <c r="AD3107" s="236">
        <v>1.0724632386400756E-2</v>
      </c>
    </row>
    <row r="3108" spans="23:30" x14ac:dyDescent="0.2">
      <c r="W3108" s="144"/>
      <c r="X3108" s="113" t="str">
        <f t="shared" si="105"/>
        <v>1w</v>
      </c>
      <c r="Y3108" s="106">
        <f>_xll.qlCalendarAdvance(Calendar,Y3107,X3108,"f",FALSE)</f>
        <v>61008</v>
      </c>
      <c r="Z3108" s="108">
        <f>_xll.qlCalendarAdvance(Calendar,Y3108,0&amp;"D")</f>
        <v>61008</v>
      </c>
      <c r="AA3108" s="109">
        <v>1.0730894775727862E-2</v>
      </c>
      <c r="AB3108" s="143">
        <f t="shared" si="106"/>
        <v>0</v>
      </c>
      <c r="AC3108" s="236" t="e">
        <v>#N/A</v>
      </c>
      <c r="AD3108" s="236">
        <v>1.0730894775727862E-2</v>
      </c>
    </row>
    <row r="3109" spans="23:30" x14ac:dyDescent="0.2">
      <c r="W3109" s="144"/>
      <c r="X3109" s="113" t="str">
        <f t="shared" si="105"/>
        <v>1w</v>
      </c>
      <c r="Y3109" s="106">
        <f>_xll.qlCalendarAdvance(Calendar,Y3108,X3109,"f",FALSE)</f>
        <v>61015</v>
      </c>
      <c r="Z3109" s="108">
        <f>_xll.qlCalendarAdvance(Calendar,Y3109,0&amp;"D")</f>
        <v>61015</v>
      </c>
      <c r="AA3109" s="109">
        <v>1.073714287688432E-2</v>
      </c>
      <c r="AB3109" s="143">
        <f t="shared" si="106"/>
        <v>-7.9936057773011271E-14</v>
      </c>
      <c r="AC3109" s="236" t="e">
        <v>#N/A</v>
      </c>
      <c r="AD3109" s="236">
        <v>1.0737142876964256E-2</v>
      </c>
    </row>
    <row r="3110" spans="23:30" x14ac:dyDescent="0.2">
      <c r="W3110" s="144"/>
      <c r="X3110" s="113" t="str">
        <f t="shared" si="105"/>
        <v>1w</v>
      </c>
      <c r="Y3110" s="106">
        <f>_xll.qlCalendarAdvance(Calendar,Y3109,X3110,"f",FALSE)</f>
        <v>61022</v>
      </c>
      <c r="Z3110" s="108">
        <f>_xll.qlCalendarAdvance(Calendar,Y3110,0&amp;"D")</f>
        <v>61022</v>
      </c>
      <c r="AA3110" s="109">
        <v>1.0743376689790196E-2</v>
      </c>
      <c r="AB3110" s="143">
        <f t="shared" si="106"/>
        <v>0</v>
      </c>
      <c r="AC3110" s="236" t="e">
        <v>#N/A</v>
      </c>
      <c r="AD3110" s="236">
        <v>1.0743376689790196E-2</v>
      </c>
    </row>
    <row r="3111" spans="23:30" x14ac:dyDescent="0.2">
      <c r="W3111" s="144"/>
      <c r="X3111" s="113" t="str">
        <f t="shared" si="105"/>
        <v>1w</v>
      </c>
      <c r="Y3111" s="106">
        <f>_xll.qlCalendarAdvance(Calendar,Y3110,X3111,"f",FALSE)</f>
        <v>61029</v>
      </c>
      <c r="Z3111" s="108">
        <f>_xll.qlCalendarAdvance(Calendar,Y3111,0&amp;"D")</f>
        <v>61029</v>
      </c>
      <c r="AA3111" s="109">
        <v>1.0749596214445489E-2</v>
      </c>
      <c r="AB3111" s="143">
        <f t="shared" si="106"/>
        <v>-7.9936057773011271E-14</v>
      </c>
      <c r="AC3111" s="236" t="e">
        <v>#N/A</v>
      </c>
      <c r="AD3111" s="236">
        <v>1.0749596214525425E-2</v>
      </c>
    </row>
    <row r="3112" spans="23:30" x14ac:dyDescent="0.2">
      <c r="W3112" s="144"/>
      <c r="X3112" s="113" t="str">
        <f t="shared" si="105"/>
        <v>1w</v>
      </c>
      <c r="Y3112" s="106">
        <f>_xll.qlCalendarAdvance(Calendar,Y3111,X3112,"f",FALSE)</f>
        <v>61036</v>
      </c>
      <c r="Z3112" s="108">
        <f>_xll.qlCalendarAdvance(Calendar,Y3112,0&amp;"D")</f>
        <v>61036</v>
      </c>
      <c r="AA3112" s="109">
        <v>1.0755801450930136E-2</v>
      </c>
      <c r="AB3112" s="143">
        <f t="shared" si="106"/>
        <v>0</v>
      </c>
      <c r="AC3112" s="236" t="e">
        <v>#N/A</v>
      </c>
      <c r="AD3112" s="236">
        <v>1.0755801450930136E-2</v>
      </c>
    </row>
    <row r="3113" spans="23:30" x14ac:dyDescent="0.2">
      <c r="W3113" s="144"/>
      <c r="X3113" s="113" t="str">
        <f t="shared" si="105"/>
        <v>1w</v>
      </c>
      <c r="Y3113" s="106">
        <f>_xll.qlCalendarAdvance(Calendar,Y3112,X3113,"f",FALSE)</f>
        <v>61043</v>
      </c>
      <c r="Z3113" s="108">
        <f>_xll.qlCalendarAdvance(Calendar,Y3113,0&amp;"D")</f>
        <v>61043</v>
      </c>
      <c r="AA3113" s="109">
        <v>1.0761992398924392E-2</v>
      </c>
      <c r="AB3113" s="143">
        <f t="shared" si="106"/>
        <v>-7.9936057773011271E-14</v>
      </c>
      <c r="AC3113" s="236" t="e">
        <v>#N/A</v>
      </c>
      <c r="AD3113" s="236">
        <v>1.0761992399004328E-2</v>
      </c>
    </row>
    <row r="3114" spans="23:30" x14ac:dyDescent="0.2">
      <c r="W3114" s="144"/>
      <c r="X3114" s="113" t="str">
        <f t="shared" si="105"/>
        <v>1w</v>
      </c>
      <c r="Y3114" s="106">
        <f>_xll.qlCalendarAdvance(Calendar,Y3113,X3114,"f",FALSE)</f>
        <v>61050</v>
      </c>
      <c r="Z3114" s="108">
        <f>_xll.qlCalendarAdvance(Calendar,Y3114,0&amp;"D")</f>
        <v>61050</v>
      </c>
      <c r="AA3114" s="109">
        <v>1.0768169058907873E-2</v>
      </c>
      <c r="AB3114" s="143">
        <f t="shared" si="106"/>
        <v>7.9936057773011271E-14</v>
      </c>
      <c r="AC3114" s="236" t="e">
        <v>#N/A</v>
      </c>
      <c r="AD3114" s="236">
        <v>1.0768169058827937E-2</v>
      </c>
    </row>
    <row r="3115" spans="23:30" x14ac:dyDescent="0.2">
      <c r="W3115" s="144"/>
      <c r="X3115" s="113" t="str">
        <f t="shared" si="105"/>
        <v>1w</v>
      </c>
      <c r="Y3115" s="106">
        <f>_xll.qlCalendarAdvance(Calendar,Y3114,X3115,"f",FALSE)</f>
        <v>61057</v>
      </c>
      <c r="Z3115" s="108">
        <f>_xll.qlCalendarAdvance(Calendar,Y3115,0&amp;"D")</f>
        <v>61057</v>
      </c>
      <c r="AA3115" s="109">
        <v>1.0774331430480899E-2</v>
      </c>
      <c r="AB3115" s="143">
        <f t="shared" si="106"/>
        <v>0</v>
      </c>
      <c r="AC3115" s="236" t="e">
        <v>#N/A</v>
      </c>
      <c r="AD3115" s="236">
        <v>1.0774331430480899E-2</v>
      </c>
    </row>
    <row r="3116" spans="23:30" x14ac:dyDescent="0.2">
      <c r="W3116" s="144"/>
      <c r="X3116" s="113" t="str">
        <f t="shared" si="105"/>
        <v>1w</v>
      </c>
      <c r="Y3116" s="106">
        <f>_xll.qlCalendarAdvance(Calendar,Y3115,X3116,"f",FALSE)</f>
        <v>61064</v>
      </c>
      <c r="Z3116" s="108">
        <f>_xll.qlCalendarAdvance(Calendar,Y3116,0&amp;"D")</f>
        <v>61064</v>
      </c>
      <c r="AA3116" s="109">
        <v>1.0780479513643471E-2</v>
      </c>
      <c r="AB3116" s="143">
        <f t="shared" si="106"/>
        <v>0</v>
      </c>
      <c r="AC3116" s="236" t="e">
        <v>#N/A</v>
      </c>
      <c r="AD3116" s="236">
        <v>1.0780479513643471E-2</v>
      </c>
    </row>
    <row r="3117" spans="23:30" x14ac:dyDescent="0.2">
      <c r="W3117" s="144"/>
      <c r="X3117" s="113" t="str">
        <f t="shared" si="105"/>
        <v>1w</v>
      </c>
      <c r="Y3117" s="106">
        <f>_xll.qlCalendarAdvance(Calendar,Y3116,X3117,"f",FALSE)</f>
        <v>61071</v>
      </c>
      <c r="Z3117" s="108">
        <f>_xll.qlCalendarAdvance(Calendar,Y3117,0&amp;"D")</f>
        <v>61071</v>
      </c>
      <c r="AA3117" s="109">
        <v>1.0786613308715332E-2</v>
      </c>
      <c r="AB3117" s="143">
        <f t="shared" si="106"/>
        <v>7.9936057773011271E-14</v>
      </c>
      <c r="AC3117" s="236" t="e">
        <v>#N/A</v>
      </c>
      <c r="AD3117" s="236">
        <v>1.0786613308635395E-2</v>
      </c>
    </row>
    <row r="3118" spans="23:30" x14ac:dyDescent="0.2">
      <c r="W3118" s="144"/>
      <c r="X3118" s="113" t="str">
        <f t="shared" si="105"/>
        <v>1w</v>
      </c>
      <c r="Y3118" s="106">
        <f>_xll.qlCalendarAdvance(Calendar,Y3117,X3118,"f",FALSE)</f>
        <v>61078</v>
      </c>
      <c r="Z3118" s="108">
        <f>_xll.qlCalendarAdvance(Calendar,Y3118,0&amp;"D")</f>
        <v>61078</v>
      </c>
      <c r="AA3118" s="109">
        <v>1.0792732815376738E-2</v>
      </c>
      <c r="AB3118" s="143">
        <f t="shared" si="106"/>
        <v>-7.9936057773011271E-14</v>
      </c>
      <c r="AC3118" s="236" t="e">
        <v>#N/A</v>
      </c>
      <c r="AD3118" s="236">
        <v>1.0792732815456674E-2</v>
      </c>
    </row>
    <row r="3119" spans="23:30" x14ac:dyDescent="0.2">
      <c r="W3119" s="144"/>
      <c r="X3119" s="113" t="str">
        <f t="shared" si="105"/>
        <v>1w</v>
      </c>
      <c r="Y3119" s="106">
        <f>_xll.qlCalendarAdvance(Calendar,Y3118,X3119,"f",FALSE)</f>
        <v>61085</v>
      </c>
      <c r="Z3119" s="108">
        <f>_xll.qlCalendarAdvance(Calendar,Y3119,0&amp;"D")</f>
        <v>61085</v>
      </c>
      <c r="AA3119" s="109">
        <v>1.0798838034027369E-2</v>
      </c>
      <c r="AB3119" s="143">
        <f t="shared" si="106"/>
        <v>0</v>
      </c>
      <c r="AC3119" s="236" t="e">
        <v>#N/A</v>
      </c>
      <c r="AD3119" s="236">
        <v>1.0798838034027369E-2</v>
      </c>
    </row>
    <row r="3120" spans="23:30" x14ac:dyDescent="0.2">
      <c r="W3120" s="144"/>
      <c r="X3120" s="113" t="str">
        <f t="shared" si="105"/>
        <v>1w</v>
      </c>
      <c r="Y3120" s="106">
        <f>_xll.qlCalendarAdvance(Calendar,Y3119,X3120,"f",FALSE)</f>
        <v>61092</v>
      </c>
      <c r="Z3120" s="108">
        <f>_xll.qlCalendarAdvance(Calendar,Y3120,0&amp;"D")</f>
        <v>61092</v>
      </c>
      <c r="AA3120" s="109">
        <v>1.080492896418761E-2</v>
      </c>
      <c r="AB3120" s="143">
        <f t="shared" si="106"/>
        <v>7.9936057773011271E-14</v>
      </c>
      <c r="AC3120" s="236" t="e">
        <v>#N/A</v>
      </c>
      <c r="AD3120" s="236">
        <v>1.0804928964107674E-2</v>
      </c>
    </row>
    <row r="3121" spans="23:30" x14ac:dyDescent="0.2">
      <c r="W3121" s="144"/>
      <c r="X3121" s="113" t="str">
        <f t="shared" si="105"/>
        <v>1w</v>
      </c>
      <c r="Y3121" s="106">
        <f>_xll.qlCalendarAdvance(Calendar,Y3120,X3121,"f",FALSE)</f>
        <v>61099</v>
      </c>
      <c r="Z3121" s="108">
        <f>_xll.qlCalendarAdvance(Calendar,Y3121,0&amp;"D")</f>
        <v>61099</v>
      </c>
      <c r="AA3121" s="109">
        <v>1.0811005606177204E-2</v>
      </c>
      <c r="AB3121" s="143">
        <f t="shared" si="106"/>
        <v>7.9936057773011271E-14</v>
      </c>
      <c r="AC3121" s="236" t="e">
        <v>#N/A</v>
      </c>
      <c r="AD3121" s="236">
        <v>1.0811005606097268E-2</v>
      </c>
    </row>
    <row r="3122" spans="23:30" x14ac:dyDescent="0.2">
      <c r="W3122" s="144"/>
      <c r="X3122" s="113" t="str">
        <f t="shared" si="105"/>
        <v>1w</v>
      </c>
      <c r="Y3122" s="106">
        <f>_xll.qlCalendarAdvance(Calendar,Y3121,X3122,"f",FALSE)</f>
        <v>61106</v>
      </c>
      <c r="Z3122" s="108">
        <f>_xll.qlCalendarAdvance(Calendar,Y3122,0&amp;"D")</f>
        <v>61106</v>
      </c>
      <c r="AA3122" s="109">
        <v>1.0817067959756343E-2</v>
      </c>
      <c r="AB3122" s="143">
        <f t="shared" si="106"/>
        <v>0</v>
      </c>
      <c r="AC3122" s="236" t="e">
        <v>#N/A</v>
      </c>
      <c r="AD3122" s="236">
        <v>1.0817067959756343E-2</v>
      </c>
    </row>
    <row r="3123" spans="23:30" x14ac:dyDescent="0.2">
      <c r="W3123" s="144"/>
      <c r="X3123" s="113" t="str">
        <f t="shared" si="105"/>
        <v>1w</v>
      </c>
      <c r="Y3123" s="106">
        <f>_xll.qlCalendarAdvance(Calendar,Y3122,X3123,"f",FALSE)</f>
        <v>61113</v>
      </c>
      <c r="Z3123" s="108">
        <f>_xll.qlCalendarAdvance(Calendar,Y3123,0&amp;"D")</f>
        <v>61113</v>
      </c>
      <c r="AA3123" s="109">
        <v>1.0823116025164836E-2</v>
      </c>
      <c r="AB3123" s="143">
        <f t="shared" si="106"/>
        <v>0</v>
      </c>
      <c r="AC3123" s="236" t="e">
        <v>#N/A</v>
      </c>
      <c r="AD3123" s="236">
        <v>1.0823116025164836E-2</v>
      </c>
    </row>
    <row r="3124" spans="23:30" x14ac:dyDescent="0.2">
      <c r="W3124" s="144"/>
      <c r="X3124" s="113" t="str">
        <f t="shared" si="105"/>
        <v>1w</v>
      </c>
      <c r="Y3124" s="106">
        <f>_xll.qlCalendarAdvance(Calendar,Y3123,X3124,"f",FALSE)</f>
        <v>61120</v>
      </c>
      <c r="Z3124" s="108">
        <f>_xll.qlCalendarAdvance(Calendar,Y3124,0&amp;"D")</f>
        <v>61120</v>
      </c>
      <c r="AA3124" s="109">
        <v>1.082914980224281E-2</v>
      </c>
      <c r="AB3124" s="143">
        <f t="shared" si="106"/>
        <v>7.9936057773011271E-14</v>
      </c>
      <c r="AC3124" s="236" t="e">
        <v>#N/A</v>
      </c>
      <c r="AD3124" s="236">
        <v>1.0829149802162874E-2</v>
      </c>
    </row>
    <row r="3125" spans="23:30" x14ac:dyDescent="0.2">
      <c r="W3125" s="144"/>
      <c r="X3125" s="113" t="str">
        <f t="shared" si="105"/>
        <v>1w</v>
      </c>
      <c r="Y3125" s="106">
        <f>_xll.qlCalendarAdvance(Calendar,Y3124,X3125,"f",FALSE)</f>
        <v>61127</v>
      </c>
      <c r="Z3125" s="108">
        <f>_xll.qlCalendarAdvance(Calendar,Y3125,0&amp;"D")</f>
        <v>61127</v>
      </c>
      <c r="AA3125" s="109">
        <v>1.0835169291070201E-2</v>
      </c>
      <c r="AB3125" s="143">
        <f t="shared" si="106"/>
        <v>-7.9936057773011271E-14</v>
      </c>
      <c r="AC3125" s="236" t="e">
        <v>#N/A</v>
      </c>
      <c r="AD3125" s="236">
        <v>1.0835169291150137E-2</v>
      </c>
    </row>
    <row r="3126" spans="23:30" x14ac:dyDescent="0.2">
      <c r="W3126" s="144"/>
      <c r="X3126" s="113" t="str">
        <f t="shared" si="105"/>
        <v>1w</v>
      </c>
      <c r="Y3126" s="106">
        <f>_xll.qlCalendarAdvance(Calendar,Y3125,X3126,"f",FALSE)</f>
        <v>61134</v>
      </c>
      <c r="Z3126" s="108">
        <f>_xll.qlCalendarAdvance(Calendar,Y3126,0&amp;"D")</f>
        <v>61134</v>
      </c>
      <c r="AA3126" s="109">
        <v>1.084117449164701E-2</v>
      </c>
      <c r="AB3126" s="143">
        <f t="shared" si="106"/>
        <v>-7.9936057773011271E-14</v>
      </c>
      <c r="AC3126" s="236" t="e">
        <v>#N/A</v>
      </c>
      <c r="AD3126" s="236">
        <v>1.0841174491726946E-2</v>
      </c>
    </row>
    <row r="3127" spans="23:30" x14ac:dyDescent="0.2">
      <c r="W3127" s="144"/>
      <c r="X3127" s="113" t="str">
        <f t="shared" si="105"/>
        <v>1w</v>
      </c>
      <c r="Y3127" s="106">
        <f>_xll.qlCalendarAdvance(Calendar,Y3126,X3127,"f",FALSE)</f>
        <v>61141</v>
      </c>
      <c r="Z3127" s="108">
        <f>_xll.qlCalendarAdvance(Calendar,Y3127,0&amp;"D")</f>
        <v>61141</v>
      </c>
      <c r="AA3127" s="109">
        <v>1.08471654038933E-2</v>
      </c>
      <c r="AB3127" s="143">
        <f t="shared" si="106"/>
        <v>0</v>
      </c>
      <c r="AC3127" s="236" t="e">
        <v>#N/A</v>
      </c>
      <c r="AD3127" s="236">
        <v>1.08471654038933E-2</v>
      </c>
    </row>
    <row r="3128" spans="23:30" x14ac:dyDescent="0.2">
      <c r="W3128" s="144"/>
      <c r="X3128" s="113" t="str">
        <f t="shared" si="105"/>
        <v>1w</v>
      </c>
      <c r="Y3128" s="106">
        <f>_xll.qlCalendarAdvance(Calendar,Y3127,X3128,"f",FALSE)</f>
        <v>61148</v>
      </c>
      <c r="Z3128" s="108">
        <f>_xll.qlCalendarAdvance(Calendar,Y3128,0&amp;"D")</f>
        <v>61148</v>
      </c>
      <c r="AA3128" s="109">
        <v>1.0853142027889007E-2</v>
      </c>
      <c r="AB3128" s="143">
        <f t="shared" si="106"/>
        <v>0</v>
      </c>
      <c r="AC3128" s="236" t="e">
        <v>#N/A</v>
      </c>
      <c r="AD3128" s="236">
        <v>1.0853142027889007E-2</v>
      </c>
    </row>
    <row r="3129" spans="23:30" x14ac:dyDescent="0.2">
      <c r="W3129" s="144"/>
      <c r="X3129" s="113" t="str">
        <f t="shared" si="105"/>
        <v>1w</v>
      </c>
      <c r="Y3129" s="106">
        <f>_xll.qlCalendarAdvance(Calendar,Y3128,X3129,"f",FALSE)</f>
        <v>61155</v>
      </c>
      <c r="Z3129" s="108">
        <f>_xll.qlCalendarAdvance(Calendar,Y3129,0&amp;"D")</f>
        <v>61155</v>
      </c>
      <c r="AA3129" s="109">
        <v>1.0859104363714067E-2</v>
      </c>
      <c r="AB3129" s="143">
        <f t="shared" si="106"/>
        <v>0</v>
      </c>
      <c r="AC3129" s="236" t="e">
        <v>#N/A</v>
      </c>
      <c r="AD3129" s="236">
        <v>1.0859104363714067E-2</v>
      </c>
    </row>
    <row r="3130" spans="23:30" x14ac:dyDescent="0.2">
      <c r="W3130" s="144"/>
      <c r="X3130" s="113" t="str">
        <f t="shared" si="105"/>
        <v>1w</v>
      </c>
      <c r="Y3130" s="106">
        <f>_xll.qlCalendarAdvance(Calendar,Y3129,X3130,"f",FALSE)</f>
        <v>61162</v>
      </c>
      <c r="Z3130" s="108">
        <f>_xll.qlCalendarAdvance(Calendar,Y3130,0&amp;"D")</f>
        <v>61162</v>
      </c>
      <c r="AA3130" s="109">
        <v>1.0865052411128673E-2</v>
      </c>
      <c r="AB3130" s="143">
        <f t="shared" si="106"/>
        <v>0</v>
      </c>
      <c r="AC3130" s="236" t="e">
        <v>#N/A</v>
      </c>
      <c r="AD3130" s="236">
        <v>1.0865052411128673E-2</v>
      </c>
    </row>
    <row r="3131" spans="23:30" x14ac:dyDescent="0.2">
      <c r="W3131" s="144"/>
      <c r="X3131" s="113" t="str">
        <f t="shared" si="105"/>
        <v>1w</v>
      </c>
      <c r="Y3131" s="106">
        <f>_xll.qlCalendarAdvance(Calendar,Y3130,X3131,"f",FALSE)</f>
        <v>61169</v>
      </c>
      <c r="Z3131" s="108">
        <f>_xll.qlCalendarAdvance(Calendar,Y3131,0&amp;"D")</f>
        <v>61169</v>
      </c>
      <c r="AA3131" s="109">
        <v>1.087098617021276E-2</v>
      </c>
      <c r="AB3131" s="143">
        <f t="shared" si="106"/>
        <v>-7.9936057773011271E-14</v>
      </c>
      <c r="AC3131" s="236" t="e">
        <v>#N/A</v>
      </c>
      <c r="AD3131" s="236">
        <v>1.0870986170292696E-2</v>
      </c>
    </row>
    <row r="3132" spans="23:30" x14ac:dyDescent="0.2">
      <c r="W3132" s="144"/>
      <c r="X3132" s="113" t="str">
        <f t="shared" si="105"/>
        <v>1w</v>
      </c>
      <c r="Y3132" s="106">
        <f>_xll.qlCalendarAdvance(Calendar,Y3131,X3132,"f",FALSE)</f>
        <v>61176</v>
      </c>
      <c r="Z3132" s="108">
        <f>_xll.qlCalendarAdvance(Calendar,Y3132,0&amp;"D")</f>
        <v>61176</v>
      </c>
      <c r="AA3132" s="109">
        <v>1.0876905641206136E-2</v>
      </c>
      <c r="AB3132" s="143">
        <f t="shared" si="106"/>
        <v>0</v>
      </c>
      <c r="AC3132" s="236" t="e">
        <v>#N/A</v>
      </c>
      <c r="AD3132" s="236">
        <v>1.0876905641206136E-2</v>
      </c>
    </row>
    <row r="3133" spans="23:30" x14ac:dyDescent="0.2">
      <c r="W3133" s="144"/>
      <c r="X3133" s="113" t="str">
        <f t="shared" si="105"/>
        <v>1w</v>
      </c>
      <c r="Y3133" s="106">
        <f>_xll.qlCalendarAdvance(Calendar,Y3132,X3133,"f",FALSE)</f>
        <v>61183</v>
      </c>
      <c r="Z3133" s="108">
        <f>_xll.qlCalendarAdvance(Calendar,Y3133,0&amp;"D")</f>
        <v>61183</v>
      </c>
      <c r="AA3133" s="109">
        <v>1.0882810823868994E-2</v>
      </c>
      <c r="AB3133" s="143">
        <f t="shared" si="106"/>
        <v>0</v>
      </c>
      <c r="AC3133" s="236" t="e">
        <v>#N/A</v>
      </c>
      <c r="AD3133" s="236">
        <v>1.0882810823868994E-2</v>
      </c>
    </row>
    <row r="3134" spans="23:30" x14ac:dyDescent="0.2">
      <c r="W3134" s="144"/>
      <c r="X3134" s="113" t="str">
        <f t="shared" si="105"/>
        <v>1w</v>
      </c>
      <c r="Y3134" s="106">
        <f>_xll.qlCalendarAdvance(Calendar,Y3133,X3134,"f",FALSE)</f>
        <v>61190</v>
      </c>
      <c r="Z3134" s="108">
        <f>_xll.qlCalendarAdvance(Calendar,Y3134,0&amp;"D")</f>
        <v>61190</v>
      </c>
      <c r="AA3134" s="109">
        <v>1.0888701718121396E-2</v>
      </c>
      <c r="AB3134" s="143">
        <f t="shared" si="106"/>
        <v>-7.9936057773011271E-14</v>
      </c>
      <c r="AC3134" s="236" t="e">
        <v>#N/A</v>
      </c>
      <c r="AD3134" s="236">
        <v>1.0888701718201332E-2</v>
      </c>
    </row>
    <row r="3135" spans="23:30" x14ac:dyDescent="0.2">
      <c r="W3135" s="144"/>
      <c r="X3135" s="113" t="str">
        <f t="shared" si="105"/>
        <v>1w</v>
      </c>
      <c r="Y3135" s="106">
        <f>_xll.qlCalendarAdvance(Calendar,Y3134,X3135,"f",FALSE)</f>
        <v>61197</v>
      </c>
      <c r="Z3135" s="108">
        <f>_xll.qlCalendarAdvance(Calendar,Y3135,0&amp;"D")</f>
        <v>61197</v>
      </c>
      <c r="AA3135" s="109">
        <v>1.0894578324203152E-2</v>
      </c>
      <c r="AB3135" s="143">
        <f t="shared" si="106"/>
        <v>0</v>
      </c>
      <c r="AC3135" s="236" t="e">
        <v>#N/A</v>
      </c>
      <c r="AD3135" s="236">
        <v>1.0894578324203152E-2</v>
      </c>
    </row>
    <row r="3136" spans="23:30" x14ac:dyDescent="0.2">
      <c r="W3136" s="144"/>
      <c r="X3136" s="113" t="str">
        <f t="shared" si="105"/>
        <v>1w</v>
      </c>
      <c r="Y3136" s="106">
        <f>_xll.qlCalendarAdvance(Calendar,Y3135,X3136,"f",FALSE)</f>
        <v>61204</v>
      </c>
      <c r="Z3136" s="108">
        <f>_xll.qlCalendarAdvance(Calendar,Y3136,0&amp;"D")</f>
        <v>61204</v>
      </c>
      <c r="AA3136" s="109">
        <v>1.0900440641874454E-2</v>
      </c>
      <c r="AB3136" s="143">
        <f t="shared" si="106"/>
        <v>-7.9936057773011271E-14</v>
      </c>
      <c r="AC3136" s="236" t="e">
        <v>#N/A</v>
      </c>
      <c r="AD3136" s="236">
        <v>1.090044064195439E-2</v>
      </c>
    </row>
    <row r="3137" spans="23:30" x14ac:dyDescent="0.2">
      <c r="W3137" s="144"/>
      <c r="X3137" s="113" t="str">
        <f t="shared" si="105"/>
        <v>1w</v>
      </c>
      <c r="Y3137" s="106">
        <f>_xll.qlCalendarAdvance(Calendar,Y3136,X3137,"f",FALSE)</f>
        <v>61211</v>
      </c>
      <c r="Z3137" s="108">
        <f>_xll.qlCalendarAdvance(Calendar,Y3137,0&amp;"D")</f>
        <v>61211</v>
      </c>
      <c r="AA3137" s="109">
        <v>1.0906288671455044E-2</v>
      </c>
      <c r="AB3137" s="143">
        <f t="shared" si="106"/>
        <v>-7.9936057773011271E-14</v>
      </c>
      <c r="AC3137" s="236" t="e">
        <v>#N/A</v>
      </c>
      <c r="AD3137" s="236">
        <v>1.090628867153498E-2</v>
      </c>
    </row>
    <row r="3138" spans="23:30" x14ac:dyDescent="0.2">
      <c r="W3138" s="144"/>
      <c r="X3138" s="113" t="str">
        <f t="shared" si="105"/>
        <v>1w</v>
      </c>
      <c r="Y3138" s="106">
        <f>_xll.qlCalendarAdvance(Calendar,Y3137,X3138,"f",FALSE)</f>
        <v>61218</v>
      </c>
      <c r="Z3138" s="108">
        <f>_xll.qlCalendarAdvance(Calendar,Y3138,0&amp;"D")</f>
        <v>61218</v>
      </c>
      <c r="AA3138" s="109">
        <v>1.091212241262518E-2</v>
      </c>
      <c r="AB3138" s="143">
        <f t="shared" si="106"/>
        <v>7.9936057773011271E-14</v>
      </c>
      <c r="AC3138" s="236" t="e">
        <v>#N/A</v>
      </c>
      <c r="AD3138" s="236">
        <v>1.0912122412545244E-2</v>
      </c>
    </row>
    <row r="3139" spans="23:30" x14ac:dyDescent="0.2">
      <c r="W3139" s="144"/>
      <c r="X3139" s="113" t="str">
        <f t="shared" si="105"/>
        <v>1w</v>
      </c>
      <c r="Y3139" s="106">
        <f>_xll.qlCalendarAdvance(Calendar,Y3138,X3139,"f",FALSE)</f>
        <v>61225</v>
      </c>
      <c r="Z3139" s="108">
        <f>_xll.qlCalendarAdvance(Calendar,Y3139,0&amp;"D")</f>
        <v>61225</v>
      </c>
      <c r="AA3139" s="109">
        <v>1.0917941865464798E-2</v>
      </c>
      <c r="AB3139" s="143">
        <f t="shared" si="106"/>
        <v>-7.9936057773011271E-14</v>
      </c>
      <c r="AC3139" s="236" t="e">
        <v>#N/A</v>
      </c>
      <c r="AD3139" s="236">
        <v>1.0917941865544734E-2</v>
      </c>
    </row>
    <row r="3140" spans="23:30" x14ac:dyDescent="0.2">
      <c r="W3140" s="144"/>
      <c r="X3140" s="113" t="str">
        <f t="shared" si="105"/>
        <v>1w</v>
      </c>
      <c r="Y3140" s="106">
        <f>_xll.qlCalendarAdvance(Calendar,Y3139,X3140,"f",FALSE)</f>
        <v>61232</v>
      </c>
      <c r="Z3140" s="108">
        <f>_xll.qlCalendarAdvance(Calendar,Y3140,0&amp;"D")</f>
        <v>61232</v>
      </c>
      <c r="AA3140" s="109">
        <v>1.0923747030213704E-2</v>
      </c>
      <c r="AB3140" s="143">
        <f t="shared" si="106"/>
        <v>7.9936057773011271E-14</v>
      </c>
      <c r="AC3140" s="236" t="e">
        <v>#N/A</v>
      </c>
      <c r="AD3140" s="236">
        <v>1.0923747030133768E-2</v>
      </c>
    </row>
    <row r="3141" spans="23:30" x14ac:dyDescent="0.2">
      <c r="W3141" s="144"/>
      <c r="X3141" s="113" t="str">
        <f t="shared" si="105"/>
        <v>1w</v>
      </c>
      <c r="Y3141" s="106">
        <f>_xll.qlCalendarAdvance(Calendar,Y3140,X3141,"f",FALSE)</f>
        <v>61239</v>
      </c>
      <c r="Z3141" s="108">
        <f>_xll.qlCalendarAdvance(Calendar,Y3141,0&amp;"D")</f>
        <v>61239</v>
      </c>
      <c r="AA3141" s="109">
        <v>1.092953790647222E-2</v>
      </c>
      <c r="AB3141" s="143">
        <f t="shared" si="106"/>
        <v>0</v>
      </c>
      <c r="AC3141" s="236" t="e">
        <v>#N/A</v>
      </c>
      <c r="AD3141" s="236">
        <v>1.092953790647222E-2</v>
      </c>
    </row>
    <row r="3142" spans="23:30" x14ac:dyDescent="0.2">
      <c r="W3142" s="144"/>
      <c r="X3142" s="113" t="str">
        <f t="shared" si="105"/>
        <v>1w</v>
      </c>
      <c r="Y3142" s="106">
        <f>_xll.qlCalendarAdvance(Calendar,Y3141,X3142,"f",FALSE)</f>
        <v>61246</v>
      </c>
      <c r="Z3142" s="108">
        <f>_xll.qlCalendarAdvance(Calendar,Y3142,0&amp;"D")</f>
        <v>61246</v>
      </c>
      <c r="AA3142" s="109">
        <v>1.0935314494560089E-2</v>
      </c>
      <c r="AB3142" s="143">
        <f t="shared" si="106"/>
        <v>0</v>
      </c>
      <c r="AC3142" s="236" t="e">
        <v>#N/A</v>
      </c>
      <c r="AD3142" s="236">
        <v>1.0935314494560089E-2</v>
      </c>
    </row>
    <row r="3143" spans="23:30" x14ac:dyDescent="0.2">
      <c r="W3143" s="144"/>
      <c r="X3143" s="113" t="str">
        <f t="shared" si="105"/>
        <v>1w</v>
      </c>
      <c r="Y3143" s="106">
        <f>_xll.qlCalendarAdvance(Calendar,Y3142,X3143,"f",FALSE)</f>
        <v>61253</v>
      </c>
      <c r="Z3143" s="108">
        <f>_xll.qlCalendarAdvance(Calendar,Y3143,0&amp;"D")</f>
        <v>61253</v>
      </c>
      <c r="AA3143" s="109">
        <v>1.0941076794317439E-2</v>
      </c>
      <c r="AB3143" s="143">
        <f t="shared" si="106"/>
        <v>0</v>
      </c>
      <c r="AC3143" s="236" t="e">
        <v>#N/A</v>
      </c>
      <c r="AD3143" s="236">
        <v>1.0941076794317439E-2</v>
      </c>
    </row>
    <row r="3144" spans="23:30" x14ac:dyDescent="0.2">
      <c r="W3144" s="144"/>
      <c r="X3144" s="113" t="str">
        <f t="shared" si="105"/>
        <v>1w</v>
      </c>
      <c r="Y3144" s="106">
        <f>_xll.qlCalendarAdvance(Calendar,Y3143,X3144,"f",FALSE)</f>
        <v>61260</v>
      </c>
      <c r="Z3144" s="108">
        <f>_xll.qlCalendarAdvance(Calendar,Y3144,0&amp;"D")</f>
        <v>61260</v>
      </c>
      <c r="AA3144" s="109">
        <v>1.0946824805824207E-2</v>
      </c>
      <c r="AB3144" s="143">
        <f t="shared" si="106"/>
        <v>0</v>
      </c>
      <c r="AC3144" s="236" t="e">
        <v>#N/A</v>
      </c>
      <c r="AD3144" s="236">
        <v>1.0946824805824207E-2</v>
      </c>
    </row>
    <row r="3145" spans="23:30" x14ac:dyDescent="0.2">
      <c r="W3145" s="144"/>
      <c r="X3145" s="113" t="str">
        <f t="shared" si="105"/>
        <v>1w</v>
      </c>
      <c r="Y3145" s="106">
        <f>_xll.qlCalendarAdvance(Calendar,Y3144,X3145,"f",FALSE)</f>
        <v>61267</v>
      </c>
      <c r="Z3145" s="108">
        <f>_xll.qlCalendarAdvance(Calendar,Y3145,0&amp;"D")</f>
        <v>61267</v>
      </c>
      <c r="AA3145" s="109">
        <v>1.0952558529000456E-2</v>
      </c>
      <c r="AB3145" s="143">
        <f t="shared" si="106"/>
        <v>0</v>
      </c>
      <c r="AC3145" s="236" t="e">
        <v>#N/A</v>
      </c>
      <c r="AD3145" s="236">
        <v>1.0952558529000456E-2</v>
      </c>
    </row>
    <row r="3146" spans="23:30" x14ac:dyDescent="0.2">
      <c r="W3146" s="144"/>
      <c r="X3146" s="113" t="str">
        <f t="shared" si="105"/>
        <v>1w</v>
      </c>
      <c r="Y3146" s="106">
        <f>_xll.qlCalendarAdvance(Calendar,Y3145,X3146,"f",FALSE)</f>
        <v>61274</v>
      </c>
      <c r="Z3146" s="108">
        <f>_xll.qlCalendarAdvance(Calendar,Y3146,0&amp;"D")</f>
        <v>61274</v>
      </c>
      <c r="AA3146" s="109">
        <v>1.0958277963926122E-2</v>
      </c>
      <c r="AB3146" s="143">
        <f t="shared" si="106"/>
        <v>7.9936057773011271E-14</v>
      </c>
      <c r="AC3146" s="236" t="e">
        <v>#N/A</v>
      </c>
      <c r="AD3146" s="236">
        <v>1.0958277963846186E-2</v>
      </c>
    </row>
    <row r="3147" spans="23:30" x14ac:dyDescent="0.2">
      <c r="W3147" s="144"/>
      <c r="X3147" s="113" t="str">
        <f t="shared" si="105"/>
        <v>1w</v>
      </c>
      <c r="Y3147" s="106">
        <f>_xll.qlCalendarAdvance(Calendar,Y3146,X3147,"f",FALSE)</f>
        <v>61281</v>
      </c>
      <c r="Z3147" s="108">
        <f>_xll.qlCalendarAdvance(Calendar,Y3147,0&amp;"D")</f>
        <v>61281</v>
      </c>
      <c r="AA3147" s="109">
        <v>1.0963983110601205E-2</v>
      </c>
      <c r="AB3147" s="143">
        <f t="shared" si="106"/>
        <v>7.9936057773011271E-14</v>
      </c>
      <c r="AC3147" s="236" t="e">
        <v>#N/A</v>
      </c>
      <c r="AD3147" s="236">
        <v>1.0963983110521269E-2</v>
      </c>
    </row>
    <row r="3148" spans="23:30" x14ac:dyDescent="0.2">
      <c r="W3148" s="144"/>
      <c r="X3148" s="113" t="str">
        <f t="shared" si="105"/>
        <v>1w</v>
      </c>
      <c r="Y3148" s="106">
        <f>_xll.qlCalendarAdvance(Calendar,Y3147,X3148,"f",FALSE)</f>
        <v>61288</v>
      </c>
      <c r="Z3148" s="108">
        <f>_xll.qlCalendarAdvance(Calendar,Y3148,0&amp;"D")</f>
        <v>61288</v>
      </c>
      <c r="AA3148" s="109">
        <v>1.0969673968785898E-2</v>
      </c>
      <c r="AB3148" s="143">
        <f t="shared" si="106"/>
        <v>0</v>
      </c>
      <c r="AC3148" s="236" t="e">
        <v>#N/A</v>
      </c>
      <c r="AD3148" s="236">
        <v>1.0969673968785898E-2</v>
      </c>
    </row>
    <row r="3149" spans="23:30" x14ac:dyDescent="0.2">
      <c r="W3149" s="144"/>
      <c r="X3149" s="113" t="str">
        <f t="shared" ref="X3149:X3212" si="107">X3148</f>
        <v>1w</v>
      </c>
      <c r="Y3149" s="106">
        <f>_xll.qlCalendarAdvance(Calendar,Y3148,X3149,"f",FALSE)</f>
        <v>61295</v>
      </c>
      <c r="Z3149" s="108">
        <f>_xll.qlCalendarAdvance(Calendar,Y3149,0&amp;"D")</f>
        <v>61295</v>
      </c>
      <c r="AA3149" s="109">
        <v>1.0975350538799944E-2</v>
      </c>
      <c r="AB3149" s="143">
        <f t="shared" si="106"/>
        <v>0</v>
      </c>
      <c r="AC3149" s="236" t="e">
        <v>#N/A</v>
      </c>
      <c r="AD3149" s="236">
        <v>1.0975350538799944E-2</v>
      </c>
    </row>
    <row r="3150" spans="23:30" x14ac:dyDescent="0.2">
      <c r="W3150" s="144"/>
      <c r="X3150" s="113" t="str">
        <f t="shared" si="107"/>
        <v>1w</v>
      </c>
      <c r="Y3150" s="106">
        <f>_xll.qlCalendarAdvance(Calendar,Y3149,X3150,"f",FALSE)</f>
        <v>61302</v>
      </c>
      <c r="Z3150" s="108">
        <f>_xll.qlCalendarAdvance(Calendar,Y3150,0&amp;"D")</f>
        <v>61302</v>
      </c>
      <c r="AA3150" s="109">
        <v>1.0981012820563407E-2</v>
      </c>
      <c r="AB3150" s="143">
        <f t="shared" si="106"/>
        <v>0</v>
      </c>
      <c r="AC3150" s="236" t="e">
        <v>#N/A</v>
      </c>
      <c r="AD3150" s="236">
        <v>1.0981012820563407E-2</v>
      </c>
    </row>
    <row r="3151" spans="23:30" x14ac:dyDescent="0.2">
      <c r="W3151" s="144"/>
      <c r="X3151" s="113" t="str">
        <f t="shared" si="107"/>
        <v>1w</v>
      </c>
      <c r="Y3151" s="106">
        <f>_xll.qlCalendarAdvance(Calendar,Y3150,X3151,"f",FALSE)</f>
        <v>61309</v>
      </c>
      <c r="Z3151" s="108">
        <f>_xll.qlCalendarAdvance(Calendar,Y3151,0&amp;"D")</f>
        <v>61309</v>
      </c>
      <c r="AA3151" s="109">
        <v>1.0986660813996352E-2</v>
      </c>
      <c r="AB3151" s="143">
        <f t="shared" si="106"/>
        <v>0</v>
      </c>
      <c r="AC3151" s="236" t="e">
        <v>#N/A</v>
      </c>
      <c r="AD3151" s="236">
        <v>1.0986660813996352E-2</v>
      </c>
    </row>
    <row r="3152" spans="23:30" x14ac:dyDescent="0.2">
      <c r="W3152" s="144"/>
      <c r="X3152" s="113" t="str">
        <f t="shared" si="107"/>
        <v>1w</v>
      </c>
      <c r="Y3152" s="106">
        <f>_xll.qlCalendarAdvance(Calendar,Y3151,X3152,"f",FALSE)</f>
        <v>61316</v>
      </c>
      <c r="Z3152" s="108">
        <f>_xll.qlCalendarAdvance(Calendar,Y3152,0&amp;"D")</f>
        <v>61316</v>
      </c>
      <c r="AA3152" s="109">
        <v>1.0992294519098778E-2</v>
      </c>
      <c r="AB3152" s="143">
        <f t="shared" si="106"/>
        <v>-7.9936057773011271E-14</v>
      </c>
      <c r="AC3152" s="236" t="e">
        <v>#N/A</v>
      </c>
      <c r="AD3152" s="236">
        <v>1.0992294519178714E-2</v>
      </c>
    </row>
    <row r="3153" spans="23:30" x14ac:dyDescent="0.2">
      <c r="W3153" s="144"/>
      <c r="X3153" s="113" t="str">
        <f t="shared" si="107"/>
        <v>1w</v>
      </c>
      <c r="Y3153" s="106">
        <f>_xll.qlCalendarAdvance(Calendar,Y3152,X3153,"f",FALSE)</f>
        <v>61323</v>
      </c>
      <c r="Z3153" s="108">
        <f>_xll.qlCalendarAdvance(Calendar,Y3153,0&amp;"D")</f>
        <v>61323</v>
      </c>
      <c r="AA3153" s="109">
        <v>1.0997913936030557E-2</v>
      </c>
      <c r="AB3153" s="143">
        <f t="shared" si="106"/>
        <v>0</v>
      </c>
      <c r="AC3153" s="236" t="e">
        <v>#N/A</v>
      </c>
      <c r="AD3153" s="236">
        <v>1.0997913936030557E-2</v>
      </c>
    </row>
    <row r="3154" spans="23:30" x14ac:dyDescent="0.2">
      <c r="W3154" s="144"/>
      <c r="X3154" s="113" t="str">
        <f t="shared" si="107"/>
        <v>1w</v>
      </c>
      <c r="Y3154" s="106">
        <f>_xll.qlCalendarAdvance(Calendar,Y3153,X3154,"f",FALSE)</f>
        <v>61330</v>
      </c>
      <c r="Z3154" s="108">
        <f>_xll.qlCalendarAdvance(Calendar,Y3154,0&amp;"D")</f>
        <v>61330</v>
      </c>
      <c r="AA3154" s="109">
        <v>1.1003519064551881E-2</v>
      </c>
      <c r="AB3154" s="143">
        <f t="shared" si="106"/>
        <v>-7.9936057773011271E-14</v>
      </c>
      <c r="AC3154" s="236" t="e">
        <v>#N/A</v>
      </c>
      <c r="AD3154" s="236">
        <v>1.1003519064631817E-2</v>
      </c>
    </row>
    <row r="3155" spans="23:30" x14ac:dyDescent="0.2">
      <c r="W3155" s="144"/>
      <c r="X3155" s="113" t="str">
        <f t="shared" si="107"/>
        <v>1w</v>
      </c>
      <c r="Y3155" s="106">
        <f>_xll.qlCalendarAdvance(Calendar,Y3154,X3155,"f",FALSE)</f>
        <v>61337</v>
      </c>
      <c r="Z3155" s="108">
        <f>_xll.qlCalendarAdvance(Calendar,Y3155,0&amp;"D")</f>
        <v>61337</v>
      </c>
      <c r="AA3155" s="109">
        <v>1.1009109904822623E-2</v>
      </c>
      <c r="AB3155" s="143">
        <f t="shared" si="106"/>
        <v>-7.9936057773011271E-14</v>
      </c>
      <c r="AC3155" s="236" t="e">
        <v>#N/A</v>
      </c>
      <c r="AD3155" s="236">
        <v>1.1009109904902559E-2</v>
      </c>
    </row>
    <row r="3156" spans="23:30" x14ac:dyDescent="0.2">
      <c r="W3156" s="144"/>
      <c r="X3156" s="113" t="str">
        <f t="shared" si="107"/>
        <v>1w</v>
      </c>
      <c r="Y3156" s="106">
        <f>_xll.qlCalendarAdvance(Calendar,Y3155,X3156,"f",FALSE)</f>
        <v>61344</v>
      </c>
      <c r="Z3156" s="108">
        <f>_xll.qlCalendarAdvance(Calendar,Y3156,0&amp;"D")</f>
        <v>61344</v>
      </c>
      <c r="AA3156" s="109">
        <v>1.1014686456762846E-2</v>
      </c>
      <c r="AB3156" s="143">
        <f t="shared" si="106"/>
        <v>0</v>
      </c>
      <c r="AC3156" s="236" t="e">
        <v>#N/A</v>
      </c>
      <c r="AD3156" s="236">
        <v>1.1014686456762846E-2</v>
      </c>
    </row>
    <row r="3157" spans="23:30" x14ac:dyDescent="0.2">
      <c r="W3157" s="144"/>
      <c r="X3157" s="113" t="str">
        <f t="shared" si="107"/>
        <v>1w</v>
      </c>
      <c r="Y3157" s="106">
        <f>_xll.qlCalendarAdvance(Calendar,Y3156,X3157,"f",FALSE)</f>
        <v>61351</v>
      </c>
      <c r="Z3157" s="108">
        <f>_xll.qlCalendarAdvance(Calendar,Y3157,0&amp;"D")</f>
        <v>61351</v>
      </c>
      <c r="AA3157" s="109">
        <v>1.1020248720452486E-2</v>
      </c>
      <c r="AB3157" s="143">
        <f t="shared" ref="AB3157:AB3220" si="108">AA3157-AD3157</f>
        <v>0</v>
      </c>
      <c r="AC3157" s="236" t="e">
        <v>#N/A</v>
      </c>
      <c r="AD3157" s="236">
        <v>1.1020248720452486E-2</v>
      </c>
    </row>
    <row r="3158" spans="23:30" x14ac:dyDescent="0.2">
      <c r="W3158" s="144"/>
      <c r="X3158" s="113" t="str">
        <f t="shared" si="107"/>
        <v>1w</v>
      </c>
      <c r="Y3158" s="106">
        <f>_xll.qlCalendarAdvance(Calendar,Y3157,X3158,"f",FALSE)</f>
        <v>61358</v>
      </c>
      <c r="Z3158" s="108">
        <f>_xll.qlCalendarAdvance(Calendar,Y3158,0&amp;"D")</f>
        <v>61358</v>
      </c>
      <c r="AA3158" s="109">
        <v>1.1025796695811607E-2</v>
      </c>
      <c r="AB3158" s="143">
        <f t="shared" si="108"/>
        <v>7.9936057773011271E-14</v>
      </c>
      <c r="AC3158" s="236" t="e">
        <v>#N/A</v>
      </c>
      <c r="AD3158" s="236">
        <v>1.1025796695731671E-2</v>
      </c>
    </row>
    <row r="3159" spans="23:30" x14ac:dyDescent="0.2">
      <c r="W3159" s="144"/>
      <c r="X3159" s="113" t="str">
        <f t="shared" si="107"/>
        <v>1w</v>
      </c>
      <c r="Y3159" s="106">
        <f>_xll.qlCalendarAdvance(Calendar,Y3158,X3159,"f",FALSE)</f>
        <v>61365</v>
      </c>
      <c r="Z3159" s="108">
        <f>_xll.qlCalendarAdvance(Calendar,Y3159,0&amp;"D")</f>
        <v>61365</v>
      </c>
      <c r="AA3159" s="109">
        <v>1.103133038284021E-2</v>
      </c>
      <c r="AB3159" s="143">
        <f t="shared" si="108"/>
        <v>0</v>
      </c>
      <c r="AC3159" s="236" t="e">
        <v>#N/A</v>
      </c>
      <c r="AD3159" s="236">
        <v>1.103133038284021E-2</v>
      </c>
    </row>
    <row r="3160" spans="23:30" x14ac:dyDescent="0.2">
      <c r="W3160" s="144"/>
      <c r="X3160" s="113" t="str">
        <f t="shared" si="107"/>
        <v>1w</v>
      </c>
      <c r="Y3160" s="106">
        <f>_xll.qlCalendarAdvance(Calendar,Y3159,X3160,"f",FALSE)</f>
        <v>61372</v>
      </c>
      <c r="Z3160" s="108">
        <f>_xll.qlCalendarAdvance(Calendar,Y3160,0&amp;"D")</f>
        <v>61372</v>
      </c>
      <c r="AA3160" s="109">
        <v>1.103684978161823E-2</v>
      </c>
      <c r="AB3160" s="143">
        <f t="shared" si="108"/>
        <v>0</v>
      </c>
      <c r="AC3160" s="236" t="e">
        <v>#N/A</v>
      </c>
      <c r="AD3160" s="236">
        <v>1.103684978161823E-2</v>
      </c>
    </row>
    <row r="3161" spans="23:30" x14ac:dyDescent="0.2">
      <c r="W3161" s="144"/>
      <c r="X3161" s="113" t="str">
        <f t="shared" si="107"/>
        <v>1w</v>
      </c>
      <c r="Y3161" s="106">
        <f>_xll.qlCalendarAdvance(Calendar,Y3160,X3161,"f",FALSE)</f>
        <v>61379</v>
      </c>
      <c r="Z3161" s="108">
        <f>_xll.qlCalendarAdvance(Calendar,Y3161,0&amp;"D")</f>
        <v>61379</v>
      </c>
      <c r="AA3161" s="109">
        <v>1.1042354891985795E-2</v>
      </c>
      <c r="AB3161" s="143">
        <f t="shared" si="108"/>
        <v>-7.9936057773011271E-14</v>
      </c>
      <c r="AC3161" s="236" t="e">
        <v>#N/A</v>
      </c>
      <c r="AD3161" s="236">
        <v>1.1042354892065731E-2</v>
      </c>
    </row>
    <row r="3162" spans="23:30" x14ac:dyDescent="0.2">
      <c r="W3162" s="144"/>
      <c r="X3162" s="113" t="str">
        <f t="shared" si="107"/>
        <v>1w</v>
      </c>
      <c r="Y3162" s="106">
        <f>_xll.qlCalendarAdvance(Calendar,Y3161,X3162,"f",FALSE)</f>
        <v>61386</v>
      </c>
      <c r="Z3162" s="108">
        <f>_xll.qlCalendarAdvance(Calendar,Y3162,0&amp;"D")</f>
        <v>61386</v>
      </c>
      <c r="AA3162" s="109">
        <v>1.1047845714182714E-2</v>
      </c>
      <c r="AB3162" s="143">
        <f t="shared" si="108"/>
        <v>-1.5987211554602254E-13</v>
      </c>
      <c r="AC3162" s="236" t="e">
        <v>#N/A</v>
      </c>
      <c r="AD3162" s="236">
        <v>1.1047845714342586E-2</v>
      </c>
    </row>
    <row r="3163" spans="23:30" x14ac:dyDescent="0.2">
      <c r="W3163" s="144"/>
      <c r="X3163" s="113" t="str">
        <f t="shared" si="107"/>
        <v>1w</v>
      </c>
      <c r="Y3163" s="106">
        <f>_xll.qlCalendarAdvance(Calendar,Y3162,X3163,"f",FALSE)</f>
        <v>61393</v>
      </c>
      <c r="Z3163" s="108">
        <f>_xll.qlCalendarAdvance(Calendar,Y3163,0&amp;"D")</f>
        <v>61393</v>
      </c>
      <c r="AA3163" s="109">
        <v>1.1053322248049113E-2</v>
      </c>
      <c r="AB3163" s="143">
        <f t="shared" si="108"/>
        <v>0</v>
      </c>
      <c r="AC3163" s="236" t="e">
        <v>#N/A</v>
      </c>
      <c r="AD3163" s="236">
        <v>1.1053322248049113E-2</v>
      </c>
    </row>
    <row r="3164" spans="23:30" x14ac:dyDescent="0.2">
      <c r="W3164" s="144"/>
      <c r="X3164" s="113" t="str">
        <f t="shared" si="107"/>
        <v>1w</v>
      </c>
      <c r="Y3164" s="106">
        <f>_xll.qlCalendarAdvance(Calendar,Y3163,X3164,"f",FALSE)</f>
        <v>61400</v>
      </c>
      <c r="Z3164" s="108">
        <f>_xll.qlCalendarAdvance(Calendar,Y3164,0&amp;"D")</f>
        <v>61400</v>
      </c>
      <c r="AA3164" s="109">
        <v>1.105878449366493E-2</v>
      </c>
      <c r="AB3164" s="143">
        <f t="shared" si="108"/>
        <v>0</v>
      </c>
      <c r="AC3164" s="236" t="e">
        <v>#N/A</v>
      </c>
      <c r="AD3164" s="236">
        <v>1.105878449366493E-2</v>
      </c>
    </row>
    <row r="3165" spans="23:30" x14ac:dyDescent="0.2">
      <c r="W3165" s="144"/>
      <c r="X3165" s="113" t="str">
        <f t="shared" si="107"/>
        <v>1w</v>
      </c>
      <c r="Y3165" s="106">
        <f>_xll.qlCalendarAdvance(Calendar,Y3164,X3165,"f",FALSE)</f>
        <v>61407</v>
      </c>
      <c r="Z3165" s="108">
        <f>_xll.qlCalendarAdvance(Calendar,Y3165,0&amp;"D")</f>
        <v>61407</v>
      </c>
      <c r="AA3165" s="109">
        <v>1.1064232450870293E-2</v>
      </c>
      <c r="AB3165" s="143">
        <f t="shared" si="108"/>
        <v>-7.9936057773011271E-14</v>
      </c>
      <c r="AC3165" s="236" t="e">
        <v>#N/A</v>
      </c>
      <c r="AD3165" s="236">
        <v>1.1064232450950229E-2</v>
      </c>
    </row>
    <row r="3166" spans="23:30" x14ac:dyDescent="0.2">
      <c r="W3166" s="144"/>
      <c r="X3166" s="113" t="str">
        <f t="shared" si="107"/>
        <v>1w</v>
      </c>
      <c r="Y3166" s="106">
        <f>_xll.qlCalendarAdvance(Calendar,Y3165,X3166,"f",FALSE)</f>
        <v>61414</v>
      </c>
      <c r="Z3166" s="108">
        <f>_xll.qlCalendarAdvance(Calendar,Y3166,0&amp;"D")</f>
        <v>61414</v>
      </c>
      <c r="AA3166" s="109">
        <v>1.1069666119825072E-2</v>
      </c>
      <c r="AB3166" s="143">
        <f t="shared" si="108"/>
        <v>0</v>
      </c>
      <c r="AC3166" s="236" t="e">
        <v>#N/A</v>
      </c>
      <c r="AD3166" s="236">
        <v>1.1069666119825072E-2</v>
      </c>
    </row>
    <row r="3167" spans="23:30" x14ac:dyDescent="0.2">
      <c r="W3167" s="144"/>
      <c r="X3167" s="113" t="str">
        <f t="shared" si="107"/>
        <v>1w</v>
      </c>
      <c r="Y3167" s="106">
        <f>_xll.qlCalendarAdvance(Calendar,Y3166,X3167,"f",FALSE)</f>
        <v>61421</v>
      </c>
      <c r="Z3167" s="108">
        <f>_xll.qlCalendarAdvance(Calendar,Y3167,0&amp;"D")</f>
        <v>61421</v>
      </c>
      <c r="AA3167" s="109">
        <v>1.1075085500529269E-2</v>
      </c>
      <c r="AB3167" s="143">
        <f t="shared" si="108"/>
        <v>0</v>
      </c>
      <c r="AC3167" s="236" t="e">
        <v>#N/A</v>
      </c>
      <c r="AD3167" s="236">
        <v>1.1075085500529269E-2</v>
      </c>
    </row>
    <row r="3168" spans="23:30" x14ac:dyDescent="0.2">
      <c r="W3168" s="144"/>
      <c r="X3168" s="113" t="str">
        <f t="shared" si="107"/>
        <v>1w</v>
      </c>
      <c r="Y3168" s="106">
        <f>_xll.qlCalendarAdvance(Calendar,Y3167,X3168,"f",FALSE)</f>
        <v>61428</v>
      </c>
      <c r="Z3168" s="108">
        <f>_xll.qlCalendarAdvance(Calendar,Y3168,0&amp;"D")</f>
        <v>61428</v>
      </c>
      <c r="AA3168" s="109">
        <v>1.1080490592823011E-2</v>
      </c>
      <c r="AB3168" s="143">
        <f t="shared" si="108"/>
        <v>0</v>
      </c>
      <c r="AC3168" s="236" t="e">
        <v>#N/A</v>
      </c>
      <c r="AD3168" s="236">
        <v>1.1080490592823011E-2</v>
      </c>
    </row>
    <row r="3169" spans="23:30" x14ac:dyDescent="0.2">
      <c r="W3169" s="144"/>
      <c r="X3169" s="113" t="str">
        <f t="shared" si="107"/>
        <v>1w</v>
      </c>
      <c r="Y3169" s="106">
        <f>_xll.qlCalendarAdvance(Calendar,Y3168,X3169,"f",FALSE)</f>
        <v>61435</v>
      </c>
      <c r="Z3169" s="108">
        <f>_xll.qlCalendarAdvance(Calendar,Y3169,0&amp;"D")</f>
        <v>61435</v>
      </c>
      <c r="AA3169" s="109">
        <v>1.1085881396866171E-2</v>
      </c>
      <c r="AB3169" s="143">
        <f t="shared" si="108"/>
        <v>-7.9936057773011271E-14</v>
      </c>
      <c r="AC3169" s="236" t="e">
        <v>#N/A</v>
      </c>
      <c r="AD3169" s="236">
        <v>1.1085881396946107E-2</v>
      </c>
    </row>
    <row r="3170" spans="23:30" x14ac:dyDescent="0.2">
      <c r="W3170" s="144"/>
      <c r="X3170" s="113" t="str">
        <f t="shared" si="107"/>
        <v>1w</v>
      </c>
      <c r="Y3170" s="106">
        <f>_xll.qlCalendarAdvance(Calendar,Y3169,X3170,"f",FALSE)</f>
        <v>61442</v>
      </c>
      <c r="Z3170" s="108">
        <f>_xll.qlCalendarAdvance(Calendar,Y3170,0&amp;"D")</f>
        <v>61442</v>
      </c>
      <c r="AA3170" s="109">
        <v>1.109125791281862E-2</v>
      </c>
      <c r="AB3170" s="143">
        <f t="shared" si="108"/>
        <v>7.9936057773011271E-14</v>
      </c>
      <c r="AC3170" s="236" t="e">
        <v>#N/A</v>
      </c>
      <c r="AD3170" s="236">
        <v>1.1091257912738683E-2</v>
      </c>
    </row>
    <row r="3171" spans="23:30" x14ac:dyDescent="0.2">
      <c r="W3171" s="144"/>
      <c r="X3171" s="113" t="str">
        <f t="shared" si="107"/>
        <v>1w</v>
      </c>
      <c r="Y3171" s="106">
        <f>_xll.qlCalendarAdvance(Calendar,Y3170,X3171,"f",FALSE)</f>
        <v>61449</v>
      </c>
      <c r="Z3171" s="108">
        <f>_xll.qlCalendarAdvance(Calendar,Y3171,0&amp;"D")</f>
        <v>61449</v>
      </c>
      <c r="AA3171" s="109">
        <v>1.1096620139960933E-2</v>
      </c>
      <c r="AB3171" s="143">
        <f t="shared" si="108"/>
        <v>-7.9936057773011271E-14</v>
      </c>
      <c r="AC3171" s="236" t="e">
        <v>#N/A</v>
      </c>
      <c r="AD3171" s="236">
        <v>1.1096620140040869E-2</v>
      </c>
    </row>
    <row r="3172" spans="23:30" x14ac:dyDescent="0.2">
      <c r="W3172" s="144"/>
      <c r="X3172" s="113" t="str">
        <f t="shared" si="107"/>
        <v>1w</v>
      </c>
      <c r="Y3172" s="106">
        <f>_xll.qlCalendarAdvance(Calendar,Y3171,X3172,"f",FALSE)</f>
        <v>61456</v>
      </c>
      <c r="Z3172" s="108">
        <f>_xll.qlCalendarAdvance(Calendar,Y3172,0&amp;"D")</f>
        <v>61456</v>
      </c>
      <c r="AA3172" s="109">
        <v>1.1101968079092472E-2</v>
      </c>
      <c r="AB3172" s="143">
        <f t="shared" si="108"/>
        <v>0</v>
      </c>
      <c r="AC3172" s="236" t="e">
        <v>#N/A</v>
      </c>
      <c r="AD3172" s="236">
        <v>1.1101968079092472E-2</v>
      </c>
    </row>
    <row r="3173" spans="23:30" x14ac:dyDescent="0.2">
      <c r="W3173" s="144"/>
      <c r="X3173" s="113" t="str">
        <f t="shared" si="107"/>
        <v>1w</v>
      </c>
      <c r="Y3173" s="106">
        <f>_xll.qlCalendarAdvance(Calendar,Y3172,X3173,"f",FALSE)</f>
        <v>61463</v>
      </c>
      <c r="Z3173" s="108">
        <f>_xll.qlCalendarAdvance(Calendar,Y3173,0&amp;"D")</f>
        <v>61463</v>
      </c>
      <c r="AA3173" s="109">
        <v>1.1107301729973429E-2</v>
      </c>
      <c r="AB3173" s="143">
        <f t="shared" si="108"/>
        <v>0</v>
      </c>
      <c r="AC3173" s="236" t="e">
        <v>#N/A</v>
      </c>
      <c r="AD3173" s="236">
        <v>1.1107301729973429E-2</v>
      </c>
    </row>
    <row r="3174" spans="23:30" x14ac:dyDescent="0.2">
      <c r="W3174" s="144"/>
      <c r="X3174" s="113" t="str">
        <f t="shared" si="107"/>
        <v>1w</v>
      </c>
      <c r="Y3174" s="106">
        <f>_xll.qlCalendarAdvance(Calendar,Y3173,X3174,"f",FALSE)</f>
        <v>61470</v>
      </c>
      <c r="Z3174" s="108">
        <f>_xll.qlCalendarAdvance(Calendar,Y3174,0&amp;"D")</f>
        <v>61470</v>
      </c>
      <c r="AA3174" s="109">
        <v>1.1112621092363995E-2</v>
      </c>
      <c r="AB3174" s="143">
        <f t="shared" si="108"/>
        <v>-7.9936057773011271E-14</v>
      </c>
      <c r="AC3174" s="236" t="e">
        <v>#N/A</v>
      </c>
      <c r="AD3174" s="236">
        <v>1.1112621092443931E-2</v>
      </c>
    </row>
    <row r="3175" spans="23:30" x14ac:dyDescent="0.2">
      <c r="W3175" s="144"/>
      <c r="X3175" s="113" t="str">
        <f t="shared" si="107"/>
        <v>1w</v>
      </c>
      <c r="Y3175" s="106">
        <f>_xll.qlCalendarAdvance(Calendar,Y3174,X3175,"f",FALSE)</f>
        <v>61477</v>
      </c>
      <c r="Z3175" s="108">
        <f>_xll.qlCalendarAdvance(Calendar,Y3175,0&amp;"D")</f>
        <v>61477</v>
      </c>
      <c r="AA3175" s="109">
        <v>1.111792616666385E-2</v>
      </c>
      <c r="AB3175" s="143">
        <f t="shared" si="108"/>
        <v>-7.9936057773011271E-14</v>
      </c>
      <c r="AC3175" s="236" t="e">
        <v>#N/A</v>
      </c>
      <c r="AD3175" s="236">
        <v>1.1117926166743786E-2</v>
      </c>
    </row>
    <row r="3176" spans="23:30" x14ac:dyDescent="0.2">
      <c r="W3176" s="144"/>
      <c r="X3176" s="113" t="str">
        <f t="shared" si="107"/>
        <v>1w</v>
      </c>
      <c r="Y3176" s="106">
        <f>_xll.qlCalendarAdvance(Calendar,Y3175,X3176,"f",FALSE)</f>
        <v>61485</v>
      </c>
      <c r="Z3176" s="108">
        <f>_xll.qlCalendarAdvance(Calendar,Y3176,0&amp;"D")</f>
        <v>61485</v>
      </c>
      <c r="AA3176" s="109">
        <v>1.1123971612727601E-2</v>
      </c>
      <c r="AB3176" s="143">
        <f t="shared" si="108"/>
        <v>-7.9936057773011271E-14</v>
      </c>
      <c r="AC3176" s="236" t="e">
        <v>#N/A</v>
      </c>
      <c r="AD3176" s="236">
        <v>1.1123971612807537E-2</v>
      </c>
    </row>
    <row r="3177" spans="23:30" x14ac:dyDescent="0.2">
      <c r="W3177" s="144"/>
      <c r="X3177" s="113" t="str">
        <f t="shared" si="107"/>
        <v>1w</v>
      </c>
      <c r="Y3177" s="106">
        <f>_xll.qlCalendarAdvance(Calendar,Y3176,X3177,"f",FALSE)</f>
        <v>61492</v>
      </c>
      <c r="Z3177" s="108">
        <f>_xll.qlCalendarAdvance(Calendar,Y3177,0&amp;"D")</f>
        <v>61492</v>
      </c>
      <c r="AA3177" s="109">
        <v>1.1129246069199183E-2</v>
      </c>
      <c r="AB3177" s="143">
        <f t="shared" si="108"/>
        <v>0</v>
      </c>
      <c r="AC3177" s="236" t="e">
        <v>#N/A</v>
      </c>
      <c r="AD3177" s="236">
        <v>1.1129246069199183E-2</v>
      </c>
    </row>
    <row r="3178" spans="23:30" x14ac:dyDescent="0.2">
      <c r="W3178" s="144"/>
      <c r="X3178" s="113" t="str">
        <f t="shared" si="107"/>
        <v>1w</v>
      </c>
      <c r="Y3178" s="106">
        <f>_xll.qlCalendarAdvance(Calendar,Y3177,X3178,"f",FALSE)</f>
        <v>61499</v>
      </c>
      <c r="Z3178" s="108">
        <f>_xll.qlCalendarAdvance(Calendar,Y3178,0&amp;"D")</f>
        <v>61499</v>
      </c>
      <c r="AA3178" s="109">
        <v>1.1134506237340247E-2</v>
      </c>
      <c r="AB3178" s="143">
        <f t="shared" si="108"/>
        <v>0</v>
      </c>
      <c r="AC3178" s="236" t="e">
        <v>#N/A</v>
      </c>
      <c r="AD3178" s="236">
        <v>1.1134506237340247E-2</v>
      </c>
    </row>
    <row r="3179" spans="23:30" x14ac:dyDescent="0.2">
      <c r="W3179" s="144"/>
      <c r="X3179" s="113" t="str">
        <f t="shared" si="107"/>
        <v>1w</v>
      </c>
      <c r="Y3179" s="106">
        <f>_xll.qlCalendarAdvance(Calendar,Y3178,X3179,"f",FALSE)</f>
        <v>61506</v>
      </c>
      <c r="Z3179" s="108">
        <f>_xll.qlCalendarAdvance(Calendar,Y3179,0&amp;"D")</f>
        <v>61506</v>
      </c>
      <c r="AA3179" s="109">
        <v>1.1139752116910984E-2</v>
      </c>
      <c r="AB3179" s="143">
        <f t="shared" si="108"/>
        <v>-7.9936057773011271E-14</v>
      </c>
      <c r="AC3179" s="236" t="e">
        <v>#N/A</v>
      </c>
      <c r="AD3179" s="236">
        <v>1.113975211699092E-2</v>
      </c>
    </row>
    <row r="3180" spans="23:30" x14ac:dyDescent="0.2">
      <c r="W3180" s="144"/>
      <c r="X3180" s="113" t="str">
        <f t="shared" si="107"/>
        <v>1w</v>
      </c>
      <c r="Y3180" s="106">
        <f>_xll.qlCalendarAdvance(Calendar,Y3179,X3180,"f",FALSE)</f>
        <v>61513</v>
      </c>
      <c r="Z3180" s="108">
        <f>_xll.qlCalendarAdvance(Calendar,Y3180,0&amp;"D")</f>
        <v>61513</v>
      </c>
      <c r="AA3180" s="109">
        <v>1.1144983708550882E-2</v>
      </c>
      <c r="AB3180" s="143">
        <f t="shared" si="108"/>
        <v>0</v>
      </c>
      <c r="AC3180" s="236" t="e">
        <v>#N/A</v>
      </c>
      <c r="AD3180" s="236">
        <v>1.1144983708550882E-2</v>
      </c>
    </row>
    <row r="3181" spans="23:30" x14ac:dyDescent="0.2">
      <c r="W3181" s="144"/>
      <c r="X3181" s="113" t="str">
        <f t="shared" si="107"/>
        <v>1w</v>
      </c>
      <c r="Y3181" s="106">
        <f>_xll.qlCalendarAdvance(Calendar,Y3180,X3181,"f",FALSE)</f>
        <v>61520</v>
      </c>
      <c r="Z3181" s="108">
        <f>_xll.qlCalendarAdvance(Calendar,Y3181,0&amp;"D")</f>
        <v>61520</v>
      </c>
      <c r="AA3181" s="109">
        <v>1.1150201011620453E-2</v>
      </c>
      <c r="AB3181" s="143">
        <f t="shared" si="108"/>
        <v>7.9936057773011271E-14</v>
      </c>
      <c r="AC3181" s="236" t="e">
        <v>#N/A</v>
      </c>
      <c r="AD3181" s="236">
        <v>1.1150201011540517E-2</v>
      </c>
    </row>
    <row r="3182" spans="23:30" x14ac:dyDescent="0.2">
      <c r="W3182" s="144"/>
      <c r="X3182" s="113" t="str">
        <f t="shared" si="107"/>
        <v>1w</v>
      </c>
      <c r="Y3182" s="106">
        <f>_xll.qlCalendarAdvance(Calendar,Y3181,X3182,"f",FALSE)</f>
        <v>61527</v>
      </c>
      <c r="Z3182" s="108">
        <f>_xll.qlCalendarAdvance(Calendar,Y3182,0&amp;"D")</f>
        <v>61527</v>
      </c>
      <c r="AA3182" s="109">
        <v>1.1155404026439442E-2</v>
      </c>
      <c r="AB3182" s="143">
        <f t="shared" si="108"/>
        <v>0</v>
      </c>
      <c r="AC3182" s="236" t="e">
        <v>#N/A</v>
      </c>
      <c r="AD3182" s="236">
        <v>1.1155404026439442E-2</v>
      </c>
    </row>
    <row r="3183" spans="23:30" x14ac:dyDescent="0.2">
      <c r="W3183" s="144"/>
      <c r="X3183" s="113" t="str">
        <f t="shared" si="107"/>
        <v>1w</v>
      </c>
      <c r="Y3183" s="106">
        <f>_xll.qlCalendarAdvance(Calendar,Y3182,X3183,"f",FALSE)</f>
        <v>61534</v>
      </c>
      <c r="Z3183" s="108">
        <f>_xll.qlCalendarAdvance(Calendar,Y3183,0&amp;"D")</f>
        <v>61534</v>
      </c>
      <c r="AA3183" s="109">
        <v>1.1160592752847975E-2</v>
      </c>
      <c r="AB3183" s="143">
        <f t="shared" si="108"/>
        <v>0</v>
      </c>
      <c r="AC3183" s="236" t="e">
        <v>#N/A</v>
      </c>
      <c r="AD3183" s="236">
        <v>1.1160592752847975E-2</v>
      </c>
    </row>
    <row r="3184" spans="23:30" x14ac:dyDescent="0.2">
      <c r="W3184" s="144"/>
      <c r="X3184" s="113" t="str">
        <f t="shared" si="107"/>
        <v>1w</v>
      </c>
      <c r="Y3184" s="106">
        <f>_xll.qlCalendarAdvance(Calendar,Y3183,X3184,"f",FALSE)</f>
        <v>61541</v>
      </c>
      <c r="Z3184" s="108">
        <f>_xll.qlCalendarAdvance(Calendar,Y3184,0&amp;"D")</f>
        <v>61541</v>
      </c>
      <c r="AA3184" s="109">
        <v>1.1165767191085862E-2</v>
      </c>
      <c r="AB3184" s="143">
        <f t="shared" si="108"/>
        <v>-7.9936057773011271E-14</v>
      </c>
      <c r="AC3184" s="236" t="e">
        <v>#N/A</v>
      </c>
      <c r="AD3184" s="236">
        <v>1.1165767191165799E-2</v>
      </c>
    </row>
    <row r="3185" spans="23:30" x14ac:dyDescent="0.2">
      <c r="W3185" s="144"/>
      <c r="X3185" s="113" t="str">
        <f t="shared" si="107"/>
        <v>1w</v>
      </c>
      <c r="Y3185" s="106">
        <f>_xll.qlCalendarAdvance(Calendar,Y3184,X3185,"f",FALSE)</f>
        <v>61548</v>
      </c>
      <c r="Z3185" s="108">
        <f>_xll.qlCalendarAdvance(Calendar,Y3185,0&amp;"D")</f>
        <v>61548</v>
      </c>
      <c r="AA3185" s="109">
        <v>1.1170927340993231E-2</v>
      </c>
      <c r="AB3185" s="143">
        <f t="shared" si="108"/>
        <v>0</v>
      </c>
      <c r="AC3185" s="236" t="e">
        <v>#N/A</v>
      </c>
      <c r="AD3185" s="236">
        <v>1.1170927340993231E-2</v>
      </c>
    </row>
    <row r="3186" spans="23:30" x14ac:dyDescent="0.2">
      <c r="W3186" s="144"/>
      <c r="X3186" s="113" t="str">
        <f t="shared" si="107"/>
        <v>1w</v>
      </c>
      <c r="Y3186" s="106">
        <f>_xll.qlCalendarAdvance(Calendar,Y3185,X3186,"f",FALSE)</f>
        <v>61555</v>
      </c>
      <c r="Z3186" s="108">
        <f>_xll.qlCalendarAdvance(Calendar,Y3186,0&amp;"D")</f>
        <v>61555</v>
      </c>
      <c r="AA3186" s="109">
        <v>1.117607320257008E-2</v>
      </c>
      <c r="AB3186" s="143">
        <f t="shared" si="108"/>
        <v>-7.9936057773011271E-14</v>
      </c>
      <c r="AC3186" s="236" t="e">
        <v>#N/A</v>
      </c>
      <c r="AD3186" s="236">
        <v>1.1176073202650016E-2</v>
      </c>
    </row>
    <row r="3187" spans="23:30" x14ac:dyDescent="0.2">
      <c r="W3187" s="144"/>
      <c r="X3187" s="113" t="str">
        <f t="shared" si="107"/>
        <v>1w</v>
      </c>
      <c r="Y3187" s="106">
        <f>_xll.qlCalendarAdvance(Calendar,Y3186,X3187,"f",FALSE)</f>
        <v>61562</v>
      </c>
      <c r="Z3187" s="108">
        <f>_xll.qlCalendarAdvance(Calendar,Y3187,0&amp;"D")</f>
        <v>61562</v>
      </c>
      <c r="AA3187" s="109">
        <v>1.1181204775736475E-2</v>
      </c>
      <c r="AB3187" s="143">
        <f t="shared" si="108"/>
        <v>-7.9936057773011271E-14</v>
      </c>
      <c r="AC3187" s="236" t="e">
        <v>#N/A</v>
      </c>
      <c r="AD3187" s="236">
        <v>1.1181204775816411E-2</v>
      </c>
    </row>
    <row r="3188" spans="23:30" x14ac:dyDescent="0.2">
      <c r="W3188" s="144"/>
      <c r="X3188" s="113" t="str">
        <f t="shared" si="107"/>
        <v>1w</v>
      </c>
      <c r="Y3188" s="106">
        <f>_xll.qlCalendarAdvance(Calendar,Y3187,X3188,"f",FALSE)</f>
        <v>61569</v>
      </c>
      <c r="Z3188" s="108">
        <f>_xll.qlCalendarAdvance(Calendar,Y3188,0&amp;"D")</f>
        <v>61569</v>
      </c>
      <c r="AA3188" s="109">
        <v>1.1186322060812159E-2</v>
      </c>
      <c r="AB3188" s="143">
        <f t="shared" si="108"/>
        <v>0</v>
      </c>
      <c r="AC3188" s="236" t="e">
        <v>#N/A</v>
      </c>
      <c r="AD3188" s="236">
        <v>1.1186322060812159E-2</v>
      </c>
    </row>
    <row r="3189" spans="23:30" x14ac:dyDescent="0.2">
      <c r="W3189" s="144"/>
      <c r="X3189" s="113" t="str">
        <f t="shared" si="107"/>
        <v>1w</v>
      </c>
      <c r="Y3189" s="106">
        <f>_xll.qlCalendarAdvance(Calendar,Y3188,X3189,"f",FALSE)</f>
        <v>61576</v>
      </c>
      <c r="Z3189" s="108">
        <f>_xll.qlCalendarAdvance(Calendar,Y3189,0&amp;"D")</f>
        <v>61576</v>
      </c>
      <c r="AA3189" s="109">
        <v>1.1191425057317517E-2</v>
      </c>
      <c r="AB3189" s="143">
        <f t="shared" si="108"/>
        <v>0</v>
      </c>
      <c r="AC3189" s="236" t="e">
        <v>#N/A</v>
      </c>
      <c r="AD3189" s="236">
        <v>1.1191425057317517E-2</v>
      </c>
    </row>
    <row r="3190" spans="23:30" x14ac:dyDescent="0.2">
      <c r="W3190" s="144"/>
      <c r="X3190" s="113" t="str">
        <f t="shared" si="107"/>
        <v>1w</v>
      </c>
      <c r="Y3190" s="106">
        <f>_xll.qlCalendarAdvance(Calendar,Y3189,X3190,"f",FALSE)</f>
        <v>61583</v>
      </c>
      <c r="Z3190" s="108">
        <f>_xll.qlCalendarAdvance(Calendar,Y3190,0&amp;"D")</f>
        <v>61583</v>
      </c>
      <c r="AA3190" s="109">
        <v>1.1196513765732163E-2</v>
      </c>
      <c r="AB3190" s="143">
        <f t="shared" si="108"/>
        <v>7.9936057773011271E-14</v>
      </c>
      <c r="AC3190" s="236" t="e">
        <v>#N/A</v>
      </c>
      <c r="AD3190" s="236">
        <v>1.1196513765652227E-2</v>
      </c>
    </row>
    <row r="3191" spans="23:30" x14ac:dyDescent="0.2">
      <c r="W3191" s="144"/>
      <c r="X3191" s="113" t="str">
        <f t="shared" si="107"/>
        <v>1w</v>
      </c>
      <c r="Y3191" s="106">
        <f>_xll.qlCalendarAdvance(Calendar,Y3190,X3191,"f",FALSE)</f>
        <v>61590</v>
      </c>
      <c r="Z3191" s="108">
        <f>_xll.qlCalendarAdvance(Calendar,Y3191,0&amp;"D")</f>
        <v>61590</v>
      </c>
      <c r="AA3191" s="109">
        <v>1.1201588185576483E-2</v>
      </c>
      <c r="AB3191" s="143">
        <f t="shared" si="108"/>
        <v>-7.9936057773011271E-14</v>
      </c>
      <c r="AC3191" s="236" t="e">
        <v>#N/A</v>
      </c>
      <c r="AD3191" s="236">
        <v>1.1201588185656419E-2</v>
      </c>
    </row>
    <row r="3192" spans="23:30" x14ac:dyDescent="0.2">
      <c r="W3192" s="144"/>
      <c r="X3192" s="113" t="str">
        <f t="shared" si="107"/>
        <v>1w</v>
      </c>
      <c r="Y3192" s="106">
        <f>_xll.qlCalendarAdvance(Calendar,Y3191,X3192,"f",FALSE)</f>
        <v>61597</v>
      </c>
      <c r="Z3192" s="108">
        <f>_xll.qlCalendarAdvance(Calendar,Y3192,0&amp;"D")</f>
        <v>61597</v>
      </c>
      <c r="AA3192" s="109">
        <v>1.1206648317250156E-2</v>
      </c>
      <c r="AB3192" s="143">
        <f t="shared" si="108"/>
        <v>0</v>
      </c>
      <c r="AC3192" s="236" t="e">
        <v>#N/A</v>
      </c>
      <c r="AD3192" s="236">
        <v>1.1206648317250156E-2</v>
      </c>
    </row>
    <row r="3193" spans="23:30" x14ac:dyDescent="0.2">
      <c r="W3193" s="144"/>
      <c r="X3193" s="113" t="str">
        <f t="shared" si="107"/>
        <v>1w</v>
      </c>
      <c r="Y3193" s="106">
        <f>_xll.qlCalendarAdvance(Calendar,Y3192,X3193,"f",FALSE)</f>
        <v>61604</v>
      </c>
      <c r="Z3193" s="108">
        <f>_xll.qlCalendarAdvance(Calendar,Y3193,0&amp;"D")</f>
        <v>61604</v>
      </c>
      <c r="AA3193" s="109">
        <v>1.1211694160673247E-2</v>
      </c>
      <c r="AB3193" s="143">
        <f t="shared" si="108"/>
        <v>0</v>
      </c>
      <c r="AC3193" s="236" t="e">
        <v>#N/A</v>
      </c>
      <c r="AD3193" s="236">
        <v>1.1211694160673247E-2</v>
      </c>
    </row>
    <row r="3194" spans="23:30" x14ac:dyDescent="0.2">
      <c r="W3194" s="144"/>
      <c r="X3194" s="113" t="str">
        <f t="shared" si="107"/>
        <v>1w</v>
      </c>
      <c r="Y3194" s="106">
        <f>_xll.qlCalendarAdvance(Calendar,Y3193,X3194,"f",FALSE)</f>
        <v>61611</v>
      </c>
      <c r="Z3194" s="108">
        <f>_xll.qlCalendarAdvance(Calendar,Y3194,0&amp;"D")</f>
        <v>61611</v>
      </c>
      <c r="AA3194" s="109">
        <v>1.1216725715685882E-2</v>
      </c>
      <c r="AB3194" s="143">
        <f t="shared" si="108"/>
        <v>0</v>
      </c>
      <c r="AC3194" s="236" t="e">
        <v>#N/A</v>
      </c>
      <c r="AD3194" s="236">
        <v>1.1216725715685882E-2</v>
      </c>
    </row>
    <row r="3195" spans="23:30" x14ac:dyDescent="0.2">
      <c r="W3195" s="144"/>
      <c r="X3195" s="113" t="str">
        <f t="shared" si="107"/>
        <v>1w</v>
      </c>
      <c r="Y3195" s="106">
        <f>_xll.qlCalendarAdvance(Calendar,Y3194,X3195,"f",FALSE)</f>
        <v>61618</v>
      </c>
      <c r="Z3195" s="108">
        <f>_xll.qlCalendarAdvance(Calendar,Y3195,0&amp;"D")</f>
        <v>61618</v>
      </c>
      <c r="AA3195" s="109">
        <v>1.1221742982447935E-2</v>
      </c>
      <c r="AB3195" s="143">
        <f t="shared" si="108"/>
        <v>0</v>
      </c>
      <c r="AC3195" s="236" t="e">
        <v>#N/A</v>
      </c>
      <c r="AD3195" s="236">
        <v>1.1221742982447935E-2</v>
      </c>
    </row>
    <row r="3196" spans="23:30" x14ac:dyDescent="0.2">
      <c r="W3196" s="144"/>
      <c r="X3196" s="113" t="str">
        <f t="shared" si="107"/>
        <v>1w</v>
      </c>
      <c r="Y3196" s="106">
        <f>_xll.qlCalendarAdvance(Calendar,Y3195,X3196,"f",FALSE)</f>
        <v>61625</v>
      </c>
      <c r="Z3196" s="108">
        <f>_xll.qlCalendarAdvance(Calendar,Y3196,0&amp;"D")</f>
        <v>61625</v>
      </c>
      <c r="AA3196" s="109">
        <v>1.1226745960799533E-2</v>
      </c>
      <c r="AB3196" s="143">
        <f t="shared" si="108"/>
        <v>0</v>
      </c>
      <c r="AC3196" s="236" t="e">
        <v>#N/A</v>
      </c>
      <c r="AD3196" s="236">
        <v>1.1226745960799533E-2</v>
      </c>
    </row>
    <row r="3197" spans="23:30" x14ac:dyDescent="0.2">
      <c r="W3197" s="144"/>
      <c r="X3197" s="113" t="str">
        <f t="shared" si="107"/>
        <v>1w</v>
      </c>
      <c r="Y3197" s="106">
        <f>_xll.qlCalendarAdvance(Calendar,Y3196,X3197,"f",FALSE)</f>
        <v>61632</v>
      </c>
      <c r="Z3197" s="108">
        <f>_xll.qlCalendarAdvance(Calendar,Y3197,0&amp;"D")</f>
        <v>61632</v>
      </c>
      <c r="AA3197" s="109">
        <v>1.1231734650820613E-2</v>
      </c>
      <c r="AB3197" s="143">
        <f t="shared" si="108"/>
        <v>0</v>
      </c>
      <c r="AC3197" s="236" t="e">
        <v>#N/A</v>
      </c>
      <c r="AD3197" s="236">
        <v>1.1231734650820613E-2</v>
      </c>
    </row>
    <row r="3198" spans="23:30" x14ac:dyDescent="0.2">
      <c r="W3198" s="144"/>
      <c r="X3198" s="113" t="str">
        <f t="shared" si="107"/>
        <v>1w</v>
      </c>
      <c r="Y3198" s="106">
        <f>_xll.qlCalendarAdvance(Calendar,Y3197,X3198,"f",FALSE)</f>
        <v>61639</v>
      </c>
      <c r="Z3198" s="108">
        <f>_xll.qlCalendarAdvance(Calendar,Y3198,0&amp;"D")</f>
        <v>61639</v>
      </c>
      <c r="AA3198" s="109">
        <v>1.1236709052431237E-2</v>
      </c>
      <c r="AB3198" s="143">
        <f t="shared" si="108"/>
        <v>0</v>
      </c>
      <c r="AC3198" s="236" t="e">
        <v>#N/A</v>
      </c>
      <c r="AD3198" s="236">
        <v>1.1236709052431237E-2</v>
      </c>
    </row>
    <row r="3199" spans="23:30" x14ac:dyDescent="0.2">
      <c r="W3199" s="144"/>
      <c r="X3199" s="113" t="str">
        <f t="shared" si="107"/>
        <v>1w</v>
      </c>
      <c r="Y3199" s="106">
        <f>_xll.qlCalendarAdvance(Calendar,Y3198,X3199,"f",FALSE)</f>
        <v>61646</v>
      </c>
      <c r="Z3199" s="108">
        <f>_xll.qlCalendarAdvance(Calendar,Y3199,0&amp;"D")</f>
        <v>61646</v>
      </c>
      <c r="AA3199" s="109">
        <v>1.1241669165951151E-2</v>
      </c>
      <c r="AB3199" s="143">
        <f t="shared" si="108"/>
        <v>0</v>
      </c>
      <c r="AC3199" s="236" t="e">
        <v>#N/A</v>
      </c>
      <c r="AD3199" s="236">
        <v>1.1241669165951151E-2</v>
      </c>
    </row>
    <row r="3200" spans="23:30" x14ac:dyDescent="0.2">
      <c r="W3200" s="144"/>
      <c r="X3200" s="113" t="str">
        <f t="shared" si="107"/>
        <v>1w</v>
      </c>
      <c r="Y3200" s="106">
        <f>_xll.qlCalendarAdvance(Calendar,Y3199,X3200,"f",FALSE)</f>
        <v>61653</v>
      </c>
      <c r="Z3200" s="108">
        <f>_xll.qlCalendarAdvance(Calendar,Y3200,0&amp;"D")</f>
        <v>61653</v>
      </c>
      <c r="AA3200" s="109">
        <v>1.1246614990980675E-2</v>
      </c>
      <c r="AB3200" s="143">
        <f t="shared" si="108"/>
        <v>7.9936057773011271E-14</v>
      </c>
      <c r="AC3200" s="236" t="e">
        <v>#N/A</v>
      </c>
      <c r="AD3200" s="236">
        <v>1.1246614990900738E-2</v>
      </c>
    </row>
    <row r="3201" spans="23:30" x14ac:dyDescent="0.2">
      <c r="W3201" s="144"/>
      <c r="X3201" s="113" t="str">
        <f t="shared" si="107"/>
        <v>1w</v>
      </c>
      <c r="Y3201" s="106">
        <f>_xll.qlCalendarAdvance(Calendar,Y3200,X3201,"f",FALSE)</f>
        <v>61660</v>
      </c>
      <c r="Z3201" s="108">
        <f>_xll.qlCalendarAdvance(Calendar,Y3201,0&amp;"D")</f>
        <v>61660</v>
      </c>
      <c r="AA3201" s="109">
        <v>1.1251546527679679E-2</v>
      </c>
      <c r="AB3201" s="143">
        <f t="shared" si="108"/>
        <v>-7.9936057773011271E-14</v>
      </c>
      <c r="AC3201" s="236" t="e">
        <v>#N/A</v>
      </c>
      <c r="AD3201" s="236">
        <v>1.1251546527759615E-2</v>
      </c>
    </row>
    <row r="3202" spans="23:30" x14ac:dyDescent="0.2">
      <c r="W3202" s="144"/>
      <c r="X3202" s="113" t="str">
        <f t="shared" si="107"/>
        <v>1w</v>
      </c>
      <c r="Y3202" s="106">
        <f>_xll.qlCalendarAdvance(Calendar,Y3201,X3202,"f",FALSE)</f>
        <v>61667</v>
      </c>
      <c r="Z3202" s="108">
        <f>_xll.qlCalendarAdvance(Calendar,Y3202,0&amp;"D")</f>
        <v>61667</v>
      </c>
      <c r="AA3202" s="109">
        <v>1.1256463776048165E-2</v>
      </c>
      <c r="AB3202" s="143">
        <f t="shared" si="108"/>
        <v>0</v>
      </c>
      <c r="AC3202" s="236" t="e">
        <v>#N/A</v>
      </c>
      <c r="AD3202" s="236">
        <v>1.1256463776048165E-2</v>
      </c>
    </row>
    <row r="3203" spans="23:30" x14ac:dyDescent="0.2">
      <c r="W3203" s="144"/>
      <c r="X3203" s="113" t="str">
        <f t="shared" si="107"/>
        <v>1w</v>
      </c>
      <c r="Y3203" s="106">
        <f>_xll.qlCalendarAdvance(Calendar,Y3202,X3203,"f",FALSE)</f>
        <v>61674</v>
      </c>
      <c r="Z3203" s="108">
        <f>_xll.qlCalendarAdvance(Calendar,Y3203,0&amp;"D")</f>
        <v>61674</v>
      </c>
      <c r="AA3203" s="109">
        <v>1.1261366736246003E-2</v>
      </c>
      <c r="AB3203" s="143">
        <f t="shared" si="108"/>
        <v>0</v>
      </c>
      <c r="AC3203" s="236" t="e">
        <v>#N/A</v>
      </c>
      <c r="AD3203" s="236">
        <v>1.1261366736246003E-2</v>
      </c>
    </row>
    <row r="3204" spans="23:30" x14ac:dyDescent="0.2">
      <c r="W3204" s="144"/>
      <c r="X3204" s="113" t="str">
        <f t="shared" si="107"/>
        <v>1w</v>
      </c>
      <c r="Y3204" s="106">
        <f>_xll.qlCalendarAdvance(Calendar,Y3203,X3204,"f",FALSE)</f>
        <v>61681</v>
      </c>
      <c r="Z3204" s="108">
        <f>_xll.qlCalendarAdvance(Calendar,Y3204,0&amp;"D")</f>
        <v>61681</v>
      </c>
      <c r="AA3204" s="109">
        <v>1.1266255408113324E-2</v>
      </c>
      <c r="AB3204" s="143">
        <f t="shared" si="108"/>
        <v>7.9936057773011271E-14</v>
      </c>
      <c r="AC3204" s="236" t="e">
        <v>#N/A</v>
      </c>
      <c r="AD3204" s="236">
        <v>1.1266255408033388E-2</v>
      </c>
    </row>
    <row r="3205" spans="23:30" x14ac:dyDescent="0.2">
      <c r="W3205" s="144"/>
      <c r="X3205" s="113" t="str">
        <f t="shared" si="107"/>
        <v>1w</v>
      </c>
      <c r="Y3205" s="106">
        <f>_xll.qlCalendarAdvance(Calendar,Y3204,X3205,"f",FALSE)</f>
        <v>61688</v>
      </c>
      <c r="Z3205" s="108">
        <f>_xll.qlCalendarAdvance(Calendar,Y3205,0&amp;"D")</f>
        <v>61688</v>
      </c>
      <c r="AA3205" s="109">
        <v>1.1271129791490253E-2</v>
      </c>
      <c r="AB3205" s="143">
        <f t="shared" si="108"/>
        <v>0</v>
      </c>
      <c r="AC3205" s="236" t="e">
        <v>#N/A</v>
      </c>
      <c r="AD3205" s="236">
        <v>1.1271129791490253E-2</v>
      </c>
    </row>
    <row r="3206" spans="23:30" x14ac:dyDescent="0.2">
      <c r="W3206" s="144"/>
      <c r="X3206" s="113" t="str">
        <f t="shared" si="107"/>
        <v>1w</v>
      </c>
      <c r="Y3206" s="106">
        <f>_xll.qlCalendarAdvance(Calendar,Y3205,X3206,"f",FALSE)</f>
        <v>61695</v>
      </c>
      <c r="Z3206" s="108">
        <f>_xll.qlCalendarAdvance(Calendar,Y3206,0&amp;"D")</f>
        <v>61695</v>
      </c>
      <c r="AA3206" s="109">
        <v>1.1275989886536664E-2</v>
      </c>
      <c r="AB3206" s="143">
        <f t="shared" si="108"/>
        <v>0</v>
      </c>
      <c r="AC3206" s="236" t="e">
        <v>#N/A</v>
      </c>
      <c r="AD3206" s="236">
        <v>1.1275989886536664E-2</v>
      </c>
    </row>
    <row r="3207" spans="23:30" x14ac:dyDescent="0.2">
      <c r="W3207" s="144"/>
      <c r="X3207" s="113" t="str">
        <f t="shared" si="107"/>
        <v>1w</v>
      </c>
      <c r="Y3207" s="106">
        <f>_xll.qlCalendarAdvance(Calendar,Y3206,X3207,"f",FALSE)</f>
        <v>61702</v>
      </c>
      <c r="Z3207" s="108">
        <f>_xll.qlCalendarAdvance(Calendar,Y3207,0&amp;"D")</f>
        <v>61702</v>
      </c>
      <c r="AA3207" s="109">
        <v>1.1280835693412428E-2</v>
      </c>
      <c r="AB3207" s="143">
        <f t="shared" si="108"/>
        <v>0</v>
      </c>
      <c r="AC3207" s="236" t="e">
        <v>#N/A</v>
      </c>
      <c r="AD3207" s="236">
        <v>1.1280835693412428E-2</v>
      </c>
    </row>
    <row r="3208" spans="23:30" x14ac:dyDescent="0.2">
      <c r="W3208" s="144"/>
      <c r="X3208" s="113" t="str">
        <f t="shared" si="107"/>
        <v>1w</v>
      </c>
      <c r="Y3208" s="106">
        <f>_xll.qlCalendarAdvance(Calendar,Y3207,X3208,"f",FALSE)</f>
        <v>61709</v>
      </c>
      <c r="Z3208" s="108">
        <f>_xll.qlCalendarAdvance(Calendar,Y3208,0&amp;"D")</f>
        <v>61709</v>
      </c>
      <c r="AA3208" s="109">
        <v>1.1285667211877737E-2</v>
      </c>
      <c r="AB3208" s="143">
        <f t="shared" si="108"/>
        <v>0</v>
      </c>
      <c r="AC3208" s="236" t="e">
        <v>#N/A</v>
      </c>
      <c r="AD3208" s="236">
        <v>1.1285667211877737E-2</v>
      </c>
    </row>
    <row r="3209" spans="23:30" x14ac:dyDescent="0.2">
      <c r="W3209" s="144"/>
      <c r="X3209" s="113" t="str">
        <f t="shared" si="107"/>
        <v>1w</v>
      </c>
      <c r="Y3209" s="106">
        <f>_xll.qlCalendarAdvance(Calendar,Y3208,X3209,"f",FALSE)</f>
        <v>61716</v>
      </c>
      <c r="Z3209" s="108">
        <f>_xll.qlCalendarAdvance(Calendar,Y3209,0&amp;"D")</f>
        <v>61716</v>
      </c>
      <c r="AA3209" s="109">
        <v>1.1290484442092463E-2</v>
      </c>
      <c r="AB3209" s="143">
        <f t="shared" si="108"/>
        <v>7.9936057773011271E-14</v>
      </c>
      <c r="AC3209" s="236" t="e">
        <v>#N/A</v>
      </c>
      <c r="AD3209" s="236">
        <v>1.1290484442012527E-2</v>
      </c>
    </row>
    <row r="3210" spans="23:30" x14ac:dyDescent="0.2">
      <c r="W3210" s="144"/>
      <c r="X3210" s="113" t="str">
        <f t="shared" si="107"/>
        <v>1w</v>
      </c>
      <c r="Y3210" s="106">
        <f>_xll.qlCalendarAdvance(Calendar,Y3209,X3210,"f",FALSE)</f>
        <v>61724</v>
      </c>
      <c r="Z3210" s="108">
        <f>_xll.qlCalendarAdvance(Calendar,Y3210,0&amp;"D")</f>
        <v>61724</v>
      </c>
      <c r="AA3210" s="109">
        <v>1.1295972351978989E-2</v>
      </c>
      <c r="AB3210" s="143">
        <f t="shared" si="108"/>
        <v>7.9936057773011271E-14</v>
      </c>
      <c r="AC3210" s="236" t="e">
        <v>#N/A</v>
      </c>
      <c r="AD3210" s="236">
        <v>1.1295972351899053E-2</v>
      </c>
    </row>
    <row r="3211" spans="23:30" x14ac:dyDescent="0.2">
      <c r="W3211" s="144"/>
      <c r="X3211" s="113" t="str">
        <f t="shared" si="107"/>
        <v>1w</v>
      </c>
      <c r="Y3211" s="106">
        <f>_xll.qlCalendarAdvance(Calendar,Y3210,X3211,"f",FALSE)</f>
        <v>61731</v>
      </c>
      <c r="Z3211" s="108">
        <f>_xll.qlCalendarAdvance(Calendar,Y3211,0&amp;"D")</f>
        <v>61731</v>
      </c>
      <c r="AA3211" s="109">
        <v>1.1300758964205571E-2</v>
      </c>
      <c r="AB3211" s="143">
        <f t="shared" si="108"/>
        <v>0</v>
      </c>
      <c r="AC3211" s="236" t="e">
        <v>#N/A</v>
      </c>
      <c r="AD3211" s="236">
        <v>1.1300758964205571E-2</v>
      </c>
    </row>
    <row r="3212" spans="23:30" x14ac:dyDescent="0.2">
      <c r="W3212" s="144"/>
      <c r="X3212" s="113" t="str">
        <f t="shared" si="107"/>
        <v>1w</v>
      </c>
      <c r="Y3212" s="106">
        <f>_xll.qlCalendarAdvance(Calendar,Y3211,X3212,"f",FALSE)</f>
        <v>61738</v>
      </c>
      <c r="Z3212" s="108">
        <f>_xll.qlCalendarAdvance(Calendar,Y3212,0&amp;"D")</f>
        <v>61738</v>
      </c>
      <c r="AA3212" s="109">
        <v>1.1305531288181569E-2</v>
      </c>
      <c r="AB3212" s="143">
        <f t="shared" si="108"/>
        <v>7.9936057773011271E-14</v>
      </c>
      <c r="AC3212" s="236" t="e">
        <v>#N/A</v>
      </c>
      <c r="AD3212" s="236">
        <v>1.1305531288101633E-2</v>
      </c>
    </row>
    <row r="3213" spans="23:30" x14ac:dyDescent="0.2">
      <c r="W3213" s="144"/>
      <c r="X3213" s="113" t="str">
        <f t="shared" ref="X3213:X3276" si="109">X3212</f>
        <v>1w</v>
      </c>
      <c r="Y3213" s="106">
        <f>_xll.qlCalendarAdvance(Calendar,Y3212,X3213,"f",FALSE)</f>
        <v>61745</v>
      </c>
      <c r="Z3213" s="108">
        <f>_xll.qlCalendarAdvance(Calendar,Y3213,0&amp;"D")</f>
        <v>61745</v>
      </c>
      <c r="AA3213" s="109">
        <v>1.131028932382705E-2</v>
      </c>
      <c r="AB3213" s="143">
        <f t="shared" si="108"/>
        <v>7.9936057773011271E-14</v>
      </c>
      <c r="AC3213" s="236" t="e">
        <v>#N/A</v>
      </c>
      <c r="AD3213" s="236">
        <v>1.1310289323747114E-2</v>
      </c>
    </row>
    <row r="3214" spans="23:30" x14ac:dyDescent="0.2">
      <c r="W3214" s="144"/>
      <c r="X3214" s="113" t="str">
        <f t="shared" si="109"/>
        <v>1w</v>
      </c>
      <c r="Y3214" s="106">
        <f>_xll.qlCalendarAdvance(Calendar,Y3213,X3214,"f",FALSE)</f>
        <v>61752</v>
      </c>
      <c r="Z3214" s="108">
        <f>_xll.qlCalendarAdvance(Calendar,Y3214,0&amp;"D")</f>
        <v>61752</v>
      </c>
      <c r="AA3214" s="109">
        <v>1.1315033070982139E-2</v>
      </c>
      <c r="AB3214" s="143">
        <f t="shared" si="108"/>
        <v>-1.5987211554602254E-13</v>
      </c>
      <c r="AC3214" s="236" t="e">
        <v>#N/A</v>
      </c>
      <c r="AD3214" s="236">
        <v>1.1315033071142011E-2</v>
      </c>
    </row>
    <row r="3215" spans="23:30" x14ac:dyDescent="0.2">
      <c r="W3215" s="144"/>
      <c r="X3215" s="113" t="str">
        <f t="shared" si="109"/>
        <v>1w</v>
      </c>
      <c r="Y3215" s="106">
        <f>_xll.qlCalendarAdvance(Calendar,Y3214,X3215,"f",FALSE)</f>
        <v>61759</v>
      </c>
      <c r="Z3215" s="108">
        <f>_xll.qlCalendarAdvance(Calendar,Y3215,0&amp;"D")</f>
        <v>61759</v>
      </c>
      <c r="AA3215" s="109">
        <v>1.1319762529966582E-2</v>
      </c>
      <c r="AB3215" s="143">
        <f t="shared" si="108"/>
        <v>0</v>
      </c>
      <c r="AC3215" s="236" t="e">
        <v>#N/A</v>
      </c>
      <c r="AD3215" s="236">
        <v>1.1319762529966582E-2</v>
      </c>
    </row>
    <row r="3216" spans="23:30" x14ac:dyDescent="0.2">
      <c r="W3216" s="144"/>
      <c r="X3216" s="113" t="str">
        <f t="shared" si="109"/>
        <v>1w</v>
      </c>
      <c r="Y3216" s="106">
        <f>_xll.qlCalendarAdvance(Calendar,Y3215,X3216,"f",FALSE)</f>
        <v>61766</v>
      </c>
      <c r="Z3216" s="108">
        <f>_xll.qlCalendarAdvance(Calendar,Y3216,0&amp;"D")</f>
        <v>61766</v>
      </c>
      <c r="AA3216" s="109">
        <v>1.1324477700700442E-2</v>
      </c>
      <c r="AB3216" s="143">
        <f t="shared" si="108"/>
        <v>0</v>
      </c>
      <c r="AC3216" s="236" t="e">
        <v>#N/A</v>
      </c>
      <c r="AD3216" s="236">
        <v>1.1324477700700442E-2</v>
      </c>
    </row>
    <row r="3217" spans="23:30" x14ac:dyDescent="0.2">
      <c r="W3217" s="144"/>
      <c r="X3217" s="113" t="str">
        <f t="shared" si="109"/>
        <v>1w</v>
      </c>
      <c r="Y3217" s="106">
        <f>_xll.qlCalendarAdvance(Calendar,Y3216,X3217,"f",FALSE)</f>
        <v>61773</v>
      </c>
      <c r="Z3217" s="108">
        <f>_xll.qlCalendarAdvance(Calendar,Y3217,0&amp;"D")</f>
        <v>61773</v>
      </c>
      <c r="AA3217" s="109">
        <v>1.1329178582863975E-2</v>
      </c>
      <c r="AB3217" s="143">
        <f t="shared" si="108"/>
        <v>-7.9936057773011271E-14</v>
      </c>
      <c r="AC3217" s="236" t="e">
        <v>#N/A</v>
      </c>
      <c r="AD3217" s="236">
        <v>1.1329178582943911E-2</v>
      </c>
    </row>
    <row r="3218" spans="23:30" x14ac:dyDescent="0.2">
      <c r="W3218" s="144"/>
      <c r="X3218" s="113" t="str">
        <f t="shared" si="109"/>
        <v>1w</v>
      </c>
      <c r="Y3218" s="106">
        <f>_xll.qlCalendarAdvance(Calendar,Y3217,X3218,"f",FALSE)</f>
        <v>61780</v>
      </c>
      <c r="Z3218" s="108">
        <f>_xll.qlCalendarAdvance(Calendar,Y3218,0&amp;"D")</f>
        <v>61780</v>
      </c>
      <c r="AA3218" s="109">
        <v>1.1333865176936797E-2</v>
      </c>
      <c r="AB3218" s="143">
        <f t="shared" si="108"/>
        <v>0</v>
      </c>
      <c r="AC3218" s="236" t="e">
        <v>#N/A</v>
      </c>
      <c r="AD3218" s="236">
        <v>1.1333865176936797E-2</v>
      </c>
    </row>
    <row r="3219" spans="23:30" x14ac:dyDescent="0.2">
      <c r="W3219" s="144"/>
      <c r="X3219" s="113" t="str">
        <f t="shared" si="109"/>
        <v>1w</v>
      </c>
      <c r="Y3219" s="106">
        <f>_xll.qlCalendarAdvance(Calendar,Y3218,X3219,"f",FALSE)</f>
        <v>61787</v>
      </c>
      <c r="Z3219" s="108">
        <f>_xll.qlCalendarAdvance(Calendar,Y3219,0&amp;"D")</f>
        <v>61787</v>
      </c>
      <c r="AA3219" s="109">
        <v>1.1338537482519229E-2</v>
      </c>
      <c r="AB3219" s="143">
        <f t="shared" si="108"/>
        <v>0</v>
      </c>
      <c r="AC3219" s="236" t="e">
        <v>#N/A</v>
      </c>
      <c r="AD3219" s="236">
        <v>1.1338537482519229E-2</v>
      </c>
    </row>
    <row r="3220" spans="23:30" x14ac:dyDescent="0.2">
      <c r="W3220" s="144"/>
      <c r="X3220" s="113" t="str">
        <f t="shared" si="109"/>
        <v>1w</v>
      </c>
      <c r="Y3220" s="106">
        <f>_xll.qlCalendarAdvance(Calendar,Y3219,X3220,"f",FALSE)</f>
        <v>61794</v>
      </c>
      <c r="Z3220" s="108">
        <f>_xll.qlCalendarAdvance(Calendar,Y3220,0&amp;"D")</f>
        <v>61794</v>
      </c>
      <c r="AA3220" s="109">
        <v>1.1343195499851078E-2</v>
      </c>
      <c r="AB3220" s="143">
        <f t="shared" si="108"/>
        <v>0</v>
      </c>
      <c r="AC3220" s="236" t="e">
        <v>#N/A</v>
      </c>
      <c r="AD3220" s="236">
        <v>1.1343195499851078E-2</v>
      </c>
    </row>
    <row r="3221" spans="23:30" x14ac:dyDescent="0.2">
      <c r="W3221" s="144"/>
      <c r="X3221" s="113" t="str">
        <f t="shared" si="109"/>
        <v>1w</v>
      </c>
      <c r="Y3221" s="106">
        <f>_xll.qlCalendarAdvance(Calendar,Y3220,X3221,"f",FALSE)</f>
        <v>61801</v>
      </c>
      <c r="Z3221" s="108">
        <f>_xll.qlCalendarAdvance(Calendar,Y3221,0&amp;"D")</f>
        <v>61801</v>
      </c>
      <c r="AA3221" s="109">
        <v>1.1347839228692536E-2</v>
      </c>
      <c r="AB3221" s="143">
        <f t="shared" ref="AB3221:AB3284" si="110">AA3221-AD3221</f>
        <v>0</v>
      </c>
      <c r="AC3221" s="236" t="e">
        <v>#N/A</v>
      </c>
      <c r="AD3221" s="236">
        <v>1.1347839228692536E-2</v>
      </c>
    </row>
    <row r="3222" spans="23:30" x14ac:dyDescent="0.2">
      <c r="W3222" s="144"/>
      <c r="X3222" s="113" t="str">
        <f t="shared" si="109"/>
        <v>1w</v>
      </c>
      <c r="Y3222" s="106">
        <f>_xll.qlCalendarAdvance(Calendar,Y3221,X3222,"f",FALSE)</f>
        <v>61808</v>
      </c>
      <c r="Z3222" s="108">
        <f>_xll.qlCalendarAdvance(Calendar,Y3222,0&amp;"D")</f>
        <v>61808</v>
      </c>
      <c r="AA3222" s="109">
        <v>1.1352468669283411E-2</v>
      </c>
      <c r="AB3222" s="143">
        <f t="shared" si="110"/>
        <v>7.9936057773011271E-14</v>
      </c>
      <c r="AC3222" s="236" t="e">
        <v>#N/A</v>
      </c>
      <c r="AD3222" s="236">
        <v>1.1352468669203475E-2</v>
      </c>
    </row>
    <row r="3223" spans="23:30" x14ac:dyDescent="0.2">
      <c r="W3223" s="144"/>
      <c r="X3223" s="113" t="str">
        <f t="shared" si="109"/>
        <v>1w</v>
      </c>
      <c r="Y3223" s="106">
        <f>_xll.qlCalendarAdvance(Calendar,Y3222,X3223,"f",FALSE)</f>
        <v>61815</v>
      </c>
      <c r="Z3223" s="108">
        <f>_xll.qlCalendarAdvance(Calendar,Y3223,0&amp;"D")</f>
        <v>61815</v>
      </c>
      <c r="AA3223" s="109">
        <v>1.1357083821623704E-2</v>
      </c>
      <c r="AB3223" s="143">
        <f t="shared" si="110"/>
        <v>0</v>
      </c>
      <c r="AC3223" s="236" t="e">
        <v>#N/A</v>
      </c>
      <c r="AD3223" s="236">
        <v>1.1357083821623704E-2</v>
      </c>
    </row>
    <row r="3224" spans="23:30" x14ac:dyDescent="0.2">
      <c r="W3224" s="144"/>
      <c r="X3224" s="113" t="str">
        <f t="shared" si="109"/>
        <v>1w</v>
      </c>
      <c r="Y3224" s="106">
        <f>_xll.qlCalendarAdvance(Calendar,Y3223,X3224,"f",FALSE)</f>
        <v>61822</v>
      </c>
      <c r="Z3224" s="108">
        <f>_xll.qlCalendarAdvance(Calendar,Y3224,0&amp;"D")</f>
        <v>61822</v>
      </c>
      <c r="AA3224" s="109">
        <v>1.1361684685473605E-2</v>
      </c>
      <c r="AB3224" s="143">
        <f t="shared" si="110"/>
        <v>0</v>
      </c>
      <c r="AC3224" s="236" t="e">
        <v>#N/A</v>
      </c>
      <c r="AD3224" s="236">
        <v>1.1361684685473605E-2</v>
      </c>
    </row>
    <row r="3225" spans="23:30" x14ac:dyDescent="0.2">
      <c r="W3225" s="144"/>
      <c r="X3225" s="113" t="str">
        <f t="shared" si="109"/>
        <v>1w</v>
      </c>
      <c r="Y3225" s="106">
        <f>_xll.qlCalendarAdvance(Calendar,Y3224,X3225,"f",FALSE)</f>
        <v>61829</v>
      </c>
      <c r="Z3225" s="108">
        <f>_xll.qlCalendarAdvance(Calendar,Y3225,0&amp;"D")</f>
        <v>61829</v>
      </c>
      <c r="AA3225" s="109">
        <v>1.1368296717051862E-2</v>
      </c>
      <c r="AB3225" s="143">
        <f t="shared" si="110"/>
        <v>-1.5987211554602254E-14</v>
      </c>
      <c r="AC3225" s="236" t="e">
        <v>#N/A</v>
      </c>
      <c r="AD3225" s="236">
        <v>1.1368296717067849E-2</v>
      </c>
    </row>
    <row r="3226" spans="23:30" x14ac:dyDescent="0.2">
      <c r="W3226" s="144"/>
      <c r="X3226" s="113" t="str">
        <f t="shared" si="109"/>
        <v>1w</v>
      </c>
      <c r="Y3226" s="106">
        <f>_xll.qlCalendarAdvance(Calendar,Y3225,X3226,"f",FALSE)</f>
        <v>61836</v>
      </c>
      <c r="Z3226" s="108">
        <f>_xll.qlCalendarAdvance(Calendar,Y3226,0&amp;"D")</f>
        <v>61836</v>
      </c>
      <c r="AA3226" s="109">
        <v>1.1370843548341725E-2</v>
      </c>
      <c r="AB3226" s="143">
        <f t="shared" si="110"/>
        <v>0</v>
      </c>
      <c r="AC3226" s="236" t="e">
        <v>#N/A</v>
      </c>
      <c r="AD3226" s="236">
        <v>1.1370843548341725E-2</v>
      </c>
    </row>
    <row r="3227" spans="23:30" x14ac:dyDescent="0.2">
      <c r="W3227" s="144"/>
      <c r="X3227" s="113" t="str">
        <f t="shared" si="109"/>
        <v>1w</v>
      </c>
      <c r="Y3227" s="106">
        <f>_xll.qlCalendarAdvance(Calendar,Y3226,X3227,"f",FALSE)</f>
        <v>61843</v>
      </c>
      <c r="Z3227" s="108">
        <f>_xll.qlCalendarAdvance(Calendar,Y3227,0&amp;"D")</f>
        <v>61843</v>
      </c>
      <c r="AA3227" s="109">
        <v>1.137540154720007E-2</v>
      </c>
      <c r="AB3227" s="143">
        <f t="shared" si="110"/>
        <v>0</v>
      </c>
      <c r="AC3227" s="236" t="e">
        <v>#N/A</v>
      </c>
      <c r="AD3227" s="236">
        <v>1.137540154720007E-2</v>
      </c>
    </row>
    <row r="3228" spans="23:30" x14ac:dyDescent="0.2">
      <c r="W3228" s="144"/>
      <c r="X3228" s="113" t="str">
        <f t="shared" si="109"/>
        <v>1w</v>
      </c>
      <c r="Y3228" s="106">
        <f>_xll.qlCalendarAdvance(Calendar,Y3227,X3228,"f",FALSE)</f>
        <v>61850</v>
      </c>
      <c r="Z3228" s="108">
        <f>_xll.qlCalendarAdvance(Calendar,Y3228,0&amp;"D")</f>
        <v>61850</v>
      </c>
      <c r="AA3228" s="109">
        <v>1.1379945257807833E-2</v>
      </c>
      <c r="AB3228" s="143">
        <f t="shared" si="110"/>
        <v>0</v>
      </c>
      <c r="AC3228" s="236" t="e">
        <v>#N/A</v>
      </c>
      <c r="AD3228" s="236">
        <v>1.1379945257807833E-2</v>
      </c>
    </row>
    <row r="3229" spans="23:30" x14ac:dyDescent="0.2">
      <c r="W3229" s="144"/>
      <c r="X3229" s="113" t="str">
        <f t="shared" si="109"/>
        <v>1w</v>
      </c>
      <c r="Y3229" s="106">
        <f>_xll.qlCalendarAdvance(Calendar,Y3228,X3229,"f",FALSE)</f>
        <v>61857</v>
      </c>
      <c r="Z3229" s="108">
        <f>_xll.qlCalendarAdvance(Calendar,Y3229,0&amp;"D")</f>
        <v>61857</v>
      </c>
      <c r="AA3229" s="109">
        <v>1.1384474680165013E-2</v>
      </c>
      <c r="AB3229" s="143">
        <f t="shared" si="110"/>
        <v>7.9936057773011271E-14</v>
      </c>
      <c r="AC3229" s="236" t="e">
        <v>#N/A</v>
      </c>
      <c r="AD3229" s="236">
        <v>1.1384474680085077E-2</v>
      </c>
    </row>
    <row r="3230" spans="23:30" x14ac:dyDescent="0.2">
      <c r="W3230" s="144"/>
      <c r="X3230" s="113" t="str">
        <f t="shared" si="109"/>
        <v>1w</v>
      </c>
      <c r="Y3230" s="106">
        <f>_xll.qlCalendarAdvance(Calendar,Y3229,X3230,"f",FALSE)</f>
        <v>61864</v>
      </c>
      <c r="Z3230" s="108">
        <f>_xll.qlCalendarAdvance(Calendar,Y3230,0&amp;"D")</f>
        <v>61864</v>
      </c>
      <c r="AA3230" s="109">
        <v>1.138898981387193E-2</v>
      </c>
      <c r="AB3230" s="143">
        <f t="shared" si="110"/>
        <v>0</v>
      </c>
      <c r="AC3230" s="236" t="e">
        <v>#N/A</v>
      </c>
      <c r="AD3230" s="236">
        <v>1.138898981387193E-2</v>
      </c>
    </row>
    <row r="3231" spans="23:30" x14ac:dyDescent="0.2">
      <c r="W3231" s="144"/>
      <c r="X3231" s="113" t="str">
        <f t="shared" si="109"/>
        <v>1w</v>
      </c>
      <c r="Y3231" s="106">
        <f>_xll.qlCalendarAdvance(Calendar,Y3230,X3231,"f",FALSE)</f>
        <v>61871</v>
      </c>
      <c r="Z3231" s="108">
        <f>_xll.qlCalendarAdvance(Calendar,Y3231,0&amp;"D")</f>
        <v>61871</v>
      </c>
      <c r="AA3231" s="109">
        <v>1.1393490659488137E-2</v>
      </c>
      <c r="AB3231" s="143">
        <f t="shared" si="110"/>
        <v>7.9936057773011271E-14</v>
      </c>
      <c r="AC3231" s="236" t="e">
        <v>#N/A</v>
      </c>
      <c r="AD3231" s="236">
        <v>1.1393490659408201E-2</v>
      </c>
    </row>
    <row r="3232" spans="23:30" x14ac:dyDescent="0.2">
      <c r="W3232" s="144"/>
      <c r="X3232" s="113" t="str">
        <f t="shared" si="109"/>
        <v>1w</v>
      </c>
      <c r="Y3232" s="106">
        <f>_xll.qlCalendarAdvance(Calendar,Y3231,X3232,"f",FALSE)</f>
        <v>61878</v>
      </c>
      <c r="Z3232" s="108">
        <f>_xll.qlCalendarAdvance(Calendar,Y3232,0&amp;"D")</f>
        <v>61878</v>
      </c>
      <c r="AA3232" s="109">
        <v>1.1397977216613953E-2</v>
      </c>
      <c r="AB3232" s="143">
        <f t="shared" si="110"/>
        <v>-7.9936057773011271E-14</v>
      </c>
      <c r="AC3232" s="236" t="e">
        <v>#N/A</v>
      </c>
      <c r="AD3232" s="236">
        <v>1.1397977216693889E-2</v>
      </c>
    </row>
    <row r="3233" spans="23:30" x14ac:dyDescent="0.2">
      <c r="W3233" s="144"/>
      <c r="X3233" s="113" t="str">
        <f t="shared" si="109"/>
        <v>1w</v>
      </c>
      <c r="Y3233" s="106">
        <f>_xll.qlCalendarAdvance(Calendar,Y3232,X3233,"f",FALSE)</f>
        <v>61885</v>
      </c>
      <c r="Z3233" s="108">
        <f>_xll.qlCalendarAdvance(Calendar,Y3233,0&amp;"D")</f>
        <v>61885</v>
      </c>
      <c r="AA3233" s="109">
        <v>1.1402449485569122E-2</v>
      </c>
      <c r="AB3233" s="143">
        <f t="shared" si="110"/>
        <v>0</v>
      </c>
      <c r="AC3233" s="236" t="e">
        <v>#N/A</v>
      </c>
      <c r="AD3233" s="236">
        <v>1.1402449485569122E-2</v>
      </c>
    </row>
    <row r="3234" spans="23:30" x14ac:dyDescent="0.2">
      <c r="W3234" s="144"/>
      <c r="X3234" s="113" t="str">
        <f t="shared" si="109"/>
        <v>1w</v>
      </c>
      <c r="Y3234" s="106">
        <f>_xll.qlCalendarAdvance(Calendar,Y3233,X3234,"f",FALSE)</f>
        <v>61892</v>
      </c>
      <c r="Z3234" s="108">
        <f>_xll.qlCalendarAdvance(Calendar,Y3234,0&amp;"D")</f>
        <v>61892</v>
      </c>
      <c r="AA3234" s="109">
        <v>1.1406907465953964E-2</v>
      </c>
      <c r="AB3234" s="143">
        <f t="shared" si="110"/>
        <v>-7.9936057773011271E-14</v>
      </c>
      <c r="AC3234" s="236" t="e">
        <v>#N/A</v>
      </c>
      <c r="AD3234" s="236">
        <v>1.14069074660339E-2</v>
      </c>
    </row>
    <row r="3235" spans="23:30" x14ac:dyDescent="0.2">
      <c r="W3235" s="144"/>
      <c r="X3235" s="113" t="str">
        <f t="shared" si="109"/>
        <v>1w</v>
      </c>
      <c r="Y3235" s="106">
        <f>_xll.qlCalendarAdvance(Calendar,Y3234,X3235,"f",FALSE)</f>
        <v>61899</v>
      </c>
      <c r="Z3235" s="108">
        <f>_xll.qlCalendarAdvance(Calendar,Y3235,0&amp;"D")</f>
        <v>61899</v>
      </c>
      <c r="AA3235" s="109">
        <v>1.1411351158168159E-2</v>
      </c>
      <c r="AB3235" s="143">
        <f t="shared" si="110"/>
        <v>0</v>
      </c>
      <c r="AC3235" s="236" t="e">
        <v>#N/A</v>
      </c>
      <c r="AD3235" s="236">
        <v>1.1411351158168159E-2</v>
      </c>
    </row>
    <row r="3236" spans="23:30" x14ac:dyDescent="0.2">
      <c r="W3236" s="144"/>
      <c r="X3236" s="113" t="str">
        <f t="shared" si="109"/>
        <v>1w</v>
      </c>
      <c r="Y3236" s="106">
        <f>_xll.qlCalendarAdvance(Calendar,Y3235,X3236,"f",FALSE)</f>
        <v>61906</v>
      </c>
      <c r="Z3236" s="108">
        <f>_xll.qlCalendarAdvance(Calendar,Y3236,0&amp;"D")</f>
        <v>61906</v>
      </c>
      <c r="AA3236" s="109">
        <v>1.14157805619719E-2</v>
      </c>
      <c r="AB3236" s="143">
        <f t="shared" si="110"/>
        <v>-7.9936057773011271E-14</v>
      </c>
      <c r="AC3236" s="236" t="e">
        <v>#N/A</v>
      </c>
      <c r="AD3236" s="236">
        <v>1.1415780562051836E-2</v>
      </c>
    </row>
    <row r="3237" spans="23:30" x14ac:dyDescent="0.2">
      <c r="W3237" s="144"/>
      <c r="X3237" s="113" t="str">
        <f t="shared" si="109"/>
        <v>1w</v>
      </c>
      <c r="Y3237" s="106">
        <f>_xll.qlCalendarAdvance(Calendar,Y3236,X3237,"f",FALSE)</f>
        <v>61913</v>
      </c>
      <c r="Z3237" s="108">
        <f>_xll.qlCalendarAdvance(Calendar,Y3237,0&amp;"D")</f>
        <v>61913</v>
      </c>
      <c r="AA3237" s="109">
        <v>1.1420195677604994E-2</v>
      </c>
      <c r="AB3237" s="143">
        <f t="shared" si="110"/>
        <v>7.9936057773011271E-14</v>
      </c>
      <c r="AC3237" s="236" t="e">
        <v>#N/A</v>
      </c>
      <c r="AD3237" s="236">
        <v>1.1420195677525058E-2</v>
      </c>
    </row>
    <row r="3238" spans="23:30" x14ac:dyDescent="0.2">
      <c r="W3238" s="144"/>
      <c r="X3238" s="113" t="str">
        <f t="shared" si="109"/>
        <v>1w</v>
      </c>
      <c r="Y3238" s="106">
        <f>_xll.qlCalendarAdvance(Calendar,Y3237,X3238,"f",FALSE)</f>
        <v>61920</v>
      </c>
      <c r="Z3238" s="108">
        <f>_xll.qlCalendarAdvance(Calendar,Y3238,0&amp;"D")</f>
        <v>61920</v>
      </c>
      <c r="AA3238" s="109">
        <v>1.1424596504587825E-2</v>
      </c>
      <c r="AB3238" s="143">
        <f t="shared" si="110"/>
        <v>0</v>
      </c>
      <c r="AC3238" s="236" t="e">
        <v>#N/A</v>
      </c>
      <c r="AD3238" s="236">
        <v>1.1424596504587825E-2</v>
      </c>
    </row>
    <row r="3239" spans="23:30" x14ac:dyDescent="0.2">
      <c r="W3239" s="144"/>
      <c r="X3239" s="113" t="str">
        <f t="shared" si="109"/>
        <v>1w</v>
      </c>
      <c r="Y3239" s="106">
        <f>_xll.qlCalendarAdvance(Calendar,Y3238,X3239,"f",FALSE)</f>
        <v>61927</v>
      </c>
      <c r="Z3239" s="108">
        <f>_xll.qlCalendarAdvance(Calendar,Y3239,0&amp;"D")</f>
        <v>61927</v>
      </c>
      <c r="AA3239" s="109">
        <v>1.1428983043400009E-2</v>
      </c>
      <c r="AB3239" s="143">
        <f t="shared" si="110"/>
        <v>0</v>
      </c>
      <c r="AC3239" s="236" t="e">
        <v>#N/A</v>
      </c>
      <c r="AD3239" s="236">
        <v>1.1428983043400009E-2</v>
      </c>
    </row>
    <row r="3240" spans="23:30" x14ac:dyDescent="0.2">
      <c r="W3240" s="144"/>
      <c r="X3240" s="113" t="str">
        <f t="shared" si="109"/>
        <v>1w</v>
      </c>
      <c r="Y3240" s="106">
        <f>_xll.qlCalendarAdvance(Calendar,Y3239,X3240,"f",FALSE)</f>
        <v>61934</v>
      </c>
      <c r="Z3240" s="108">
        <f>_xll.qlCalendarAdvance(Calendar,Y3240,0&amp;"D")</f>
        <v>61934</v>
      </c>
      <c r="AA3240" s="109">
        <v>1.1433355294041547E-2</v>
      </c>
      <c r="AB3240" s="143">
        <f t="shared" si="110"/>
        <v>7.9936057773011271E-14</v>
      </c>
      <c r="AC3240" s="236" t="e">
        <v>#N/A</v>
      </c>
      <c r="AD3240" s="236">
        <v>1.1433355293961611E-2</v>
      </c>
    </row>
    <row r="3241" spans="23:30" x14ac:dyDescent="0.2">
      <c r="W3241" s="144"/>
      <c r="X3241" s="113" t="str">
        <f t="shared" si="109"/>
        <v>1w</v>
      </c>
      <c r="Y3241" s="106">
        <f>_xll.qlCalendarAdvance(Calendar,Y3240,X3241,"f",FALSE)</f>
        <v>61941</v>
      </c>
      <c r="Z3241" s="108">
        <f>_xll.qlCalendarAdvance(Calendar,Y3241,0&amp;"D")</f>
        <v>61941</v>
      </c>
      <c r="AA3241" s="109">
        <v>1.143771325587295E-2</v>
      </c>
      <c r="AB3241" s="143">
        <f t="shared" si="110"/>
        <v>-7.9936057773011271E-14</v>
      </c>
      <c r="AC3241" s="236" t="e">
        <v>#N/A</v>
      </c>
      <c r="AD3241" s="236">
        <v>1.1437713255952886E-2</v>
      </c>
    </row>
    <row r="3242" spans="23:30" x14ac:dyDescent="0.2">
      <c r="W3242" s="144"/>
      <c r="X3242" s="113" t="str">
        <f t="shared" si="109"/>
        <v>1w</v>
      </c>
      <c r="Y3242" s="106">
        <f>_xll.qlCalendarAdvance(Calendar,Y3241,X3242,"f",FALSE)</f>
        <v>61948</v>
      </c>
      <c r="Z3242" s="108">
        <f>_xll.qlCalendarAdvance(Calendar,Y3242,0&amp;"D")</f>
        <v>61948</v>
      </c>
      <c r="AA3242" s="109">
        <v>1.144205692985345E-2</v>
      </c>
      <c r="AB3242" s="143">
        <f t="shared" si="110"/>
        <v>7.9936057773011271E-14</v>
      </c>
      <c r="AC3242" s="236" t="e">
        <v>#N/A</v>
      </c>
      <c r="AD3242" s="236">
        <v>1.1442056929773514E-2</v>
      </c>
    </row>
    <row r="3243" spans="23:30" x14ac:dyDescent="0.2">
      <c r="W3243" s="144"/>
      <c r="X3243" s="113" t="str">
        <f t="shared" si="109"/>
        <v>1w</v>
      </c>
      <c r="Y3243" s="106">
        <f>_xll.qlCalendarAdvance(Calendar,Y3242,X3243,"f",FALSE)</f>
        <v>61955</v>
      </c>
      <c r="Z3243" s="108">
        <f>_xll.qlCalendarAdvance(Calendar,Y3243,0&amp;"D")</f>
        <v>61955</v>
      </c>
      <c r="AA3243" s="109">
        <v>1.1446386315183688E-2</v>
      </c>
      <c r="AB3243" s="143">
        <f t="shared" si="110"/>
        <v>0</v>
      </c>
      <c r="AC3243" s="236" t="e">
        <v>#N/A</v>
      </c>
      <c r="AD3243" s="236">
        <v>1.1446386315183688E-2</v>
      </c>
    </row>
    <row r="3244" spans="23:30" x14ac:dyDescent="0.2">
      <c r="W3244" s="144"/>
      <c r="X3244" s="113" t="str">
        <f t="shared" si="109"/>
        <v>1w</v>
      </c>
      <c r="Y3244" s="106">
        <f>_xll.qlCalendarAdvance(Calendar,Y3243,X3244,"f",FALSE)</f>
        <v>61962</v>
      </c>
      <c r="Z3244" s="108">
        <f>_xll.qlCalendarAdvance(Calendar,Y3244,0&amp;"D")</f>
        <v>61962</v>
      </c>
      <c r="AA3244" s="109">
        <v>1.1450701412183406E-2</v>
      </c>
      <c r="AB3244" s="143">
        <f t="shared" si="110"/>
        <v>0</v>
      </c>
      <c r="AC3244" s="236" t="e">
        <v>#N/A</v>
      </c>
      <c r="AD3244" s="236">
        <v>1.1450701412183406E-2</v>
      </c>
    </row>
    <row r="3245" spans="23:30" x14ac:dyDescent="0.2">
      <c r="W3245" s="144"/>
      <c r="X3245" s="113" t="str">
        <f t="shared" si="109"/>
        <v>1w</v>
      </c>
      <c r="Y3245" s="106">
        <f>_xll.qlCalendarAdvance(Calendar,Y3244,X3245,"f",FALSE)</f>
        <v>61969</v>
      </c>
      <c r="Z3245" s="108">
        <f>_xll.qlCalendarAdvance(Calendar,Y3245,0&amp;"D")</f>
        <v>61969</v>
      </c>
      <c r="AA3245" s="109">
        <v>1.1455002220932542E-2</v>
      </c>
      <c r="AB3245" s="143">
        <f t="shared" si="110"/>
        <v>0</v>
      </c>
      <c r="AC3245" s="236" t="e">
        <v>#N/A</v>
      </c>
      <c r="AD3245" s="236">
        <v>1.1455002220932542E-2</v>
      </c>
    </row>
    <row r="3246" spans="23:30" x14ac:dyDescent="0.2">
      <c r="W3246" s="144"/>
      <c r="X3246" s="113" t="str">
        <f t="shared" si="109"/>
        <v>1w</v>
      </c>
      <c r="Y3246" s="106">
        <f>_xll.qlCalendarAdvance(Calendar,Y3245,X3246,"f",FALSE)</f>
        <v>61976</v>
      </c>
      <c r="Z3246" s="108">
        <f>_xll.qlCalendarAdvance(Calendar,Y3246,0&amp;"D")</f>
        <v>61976</v>
      </c>
      <c r="AA3246" s="109">
        <v>1.1459288741271223E-2</v>
      </c>
      <c r="AB3246" s="143">
        <f t="shared" si="110"/>
        <v>0</v>
      </c>
      <c r="AC3246" s="236" t="e">
        <v>#N/A</v>
      </c>
      <c r="AD3246" s="236">
        <v>1.1459288741271223E-2</v>
      </c>
    </row>
    <row r="3247" spans="23:30" x14ac:dyDescent="0.2">
      <c r="W3247" s="144"/>
      <c r="X3247" s="113" t="str">
        <f t="shared" si="109"/>
        <v>1w</v>
      </c>
      <c r="Y3247" s="106">
        <f>_xll.qlCalendarAdvance(Calendar,Y3246,X3247,"f",FALSE)</f>
        <v>61983</v>
      </c>
      <c r="Z3247" s="108">
        <f>_xll.qlCalendarAdvance(Calendar,Y3247,0&amp;"D")</f>
        <v>61983</v>
      </c>
      <c r="AA3247" s="109">
        <v>1.1463560973119513E-2</v>
      </c>
      <c r="AB3247" s="143">
        <f t="shared" si="110"/>
        <v>-7.9936057773011271E-14</v>
      </c>
      <c r="AC3247" s="236" t="e">
        <v>#N/A</v>
      </c>
      <c r="AD3247" s="236">
        <v>1.1463560973199449E-2</v>
      </c>
    </row>
    <row r="3248" spans="23:30" x14ac:dyDescent="0.2">
      <c r="W3248" s="144"/>
      <c r="X3248" s="113" t="str">
        <f t="shared" si="109"/>
        <v>1w</v>
      </c>
      <c r="Y3248" s="106">
        <f>_xll.qlCalendarAdvance(Calendar,Y3247,X3248,"f",FALSE)</f>
        <v>61990</v>
      </c>
      <c r="Z3248" s="108">
        <f>_xll.qlCalendarAdvance(Calendar,Y3248,0&amp;"D")</f>
        <v>61990</v>
      </c>
      <c r="AA3248" s="109">
        <v>1.1467818916877093E-2</v>
      </c>
      <c r="AB3248" s="143">
        <f t="shared" si="110"/>
        <v>0</v>
      </c>
      <c r="AC3248" s="236" t="e">
        <v>#N/A</v>
      </c>
      <c r="AD3248" s="236">
        <v>1.1467818916877093E-2</v>
      </c>
    </row>
    <row r="3249" spans="23:30" x14ac:dyDescent="0.2">
      <c r="W3249" s="144"/>
      <c r="X3249" s="113" t="str">
        <f t="shared" si="109"/>
        <v>1w</v>
      </c>
      <c r="Y3249" s="106">
        <f>_xll.qlCalendarAdvance(Calendar,Y3248,X3249,"f",FALSE)</f>
        <v>61997</v>
      </c>
      <c r="Z3249" s="108">
        <f>_xll.qlCalendarAdvance(Calendar,Y3249,0&amp;"D")</f>
        <v>61997</v>
      </c>
      <c r="AA3249" s="109">
        <v>1.1472062572144281E-2</v>
      </c>
      <c r="AB3249" s="143">
        <f t="shared" si="110"/>
        <v>0</v>
      </c>
      <c r="AC3249" s="236" t="e">
        <v>#N/A</v>
      </c>
      <c r="AD3249" s="236">
        <v>1.1472062572144281E-2</v>
      </c>
    </row>
    <row r="3250" spans="23:30" x14ac:dyDescent="0.2">
      <c r="W3250" s="144"/>
      <c r="X3250" s="113" t="str">
        <f t="shared" si="109"/>
        <v>1w</v>
      </c>
      <c r="Y3250" s="106">
        <f>_xll.qlCalendarAdvance(Calendar,Y3249,X3250,"f",FALSE)</f>
        <v>62004</v>
      </c>
      <c r="Z3250" s="108">
        <f>_xll.qlCalendarAdvance(Calendar,Y3250,0&amp;"D")</f>
        <v>62004</v>
      </c>
      <c r="AA3250" s="109">
        <v>1.1476291939080951E-2</v>
      </c>
      <c r="AB3250" s="143">
        <f t="shared" si="110"/>
        <v>-7.9936057773011271E-14</v>
      </c>
      <c r="AC3250" s="236" t="e">
        <v>#N/A</v>
      </c>
      <c r="AD3250" s="236">
        <v>1.1476291939160888E-2</v>
      </c>
    </row>
    <row r="3251" spans="23:30" x14ac:dyDescent="0.2">
      <c r="W3251" s="144"/>
      <c r="X3251" s="113" t="str">
        <f t="shared" si="109"/>
        <v>1w</v>
      </c>
      <c r="Y3251" s="106">
        <f>_xll.qlCalendarAdvance(Calendar,Y3250,X3251,"f",FALSE)</f>
        <v>62011</v>
      </c>
      <c r="Z3251" s="108">
        <f>_xll.qlCalendarAdvance(Calendar,Y3251,0&amp;"D")</f>
        <v>62011</v>
      </c>
      <c r="AA3251" s="109">
        <v>1.1480507017527231E-2</v>
      </c>
      <c r="AB3251" s="143">
        <f t="shared" si="110"/>
        <v>-7.9936057773011271E-14</v>
      </c>
      <c r="AC3251" s="236" t="e">
        <v>#N/A</v>
      </c>
      <c r="AD3251" s="236">
        <v>1.1480507017607167E-2</v>
      </c>
    </row>
    <row r="3252" spans="23:30" x14ac:dyDescent="0.2">
      <c r="W3252" s="144"/>
      <c r="X3252" s="113" t="str">
        <f t="shared" si="109"/>
        <v>1w</v>
      </c>
      <c r="Y3252" s="106">
        <f>_xll.qlCalendarAdvance(Calendar,Y3251,X3252,"f",FALSE)</f>
        <v>62018</v>
      </c>
      <c r="Z3252" s="108">
        <f>_xll.qlCalendarAdvance(Calendar,Y3252,0&amp;"D")</f>
        <v>62018</v>
      </c>
      <c r="AA3252" s="109">
        <v>1.1484707807882799E-2</v>
      </c>
      <c r="AB3252" s="143">
        <f t="shared" si="110"/>
        <v>-7.9936057773011271E-14</v>
      </c>
      <c r="AC3252" s="236" t="e">
        <v>#N/A</v>
      </c>
      <c r="AD3252" s="236">
        <v>1.1484707807962735E-2</v>
      </c>
    </row>
    <row r="3253" spans="23:30" x14ac:dyDescent="0.2">
      <c r="W3253" s="144"/>
      <c r="X3253" s="113" t="str">
        <f t="shared" si="109"/>
        <v>1w</v>
      </c>
      <c r="Y3253" s="106">
        <f>_xll.qlCalendarAdvance(Calendar,Y3252,X3253,"f",FALSE)</f>
        <v>62025</v>
      </c>
      <c r="Z3253" s="108">
        <f>_xll.qlCalendarAdvance(Calendar,Y3253,0&amp;"D")</f>
        <v>62025</v>
      </c>
      <c r="AA3253" s="109">
        <v>1.1488894309747977E-2</v>
      </c>
      <c r="AB3253" s="143">
        <f t="shared" si="110"/>
        <v>0</v>
      </c>
      <c r="AC3253" s="236" t="e">
        <v>#N/A</v>
      </c>
      <c r="AD3253" s="236">
        <v>1.1488894309747977E-2</v>
      </c>
    </row>
    <row r="3254" spans="23:30" x14ac:dyDescent="0.2">
      <c r="W3254" s="144"/>
      <c r="X3254" s="113" t="str">
        <f t="shared" si="109"/>
        <v>1w</v>
      </c>
      <c r="Y3254" s="106">
        <f>_xll.qlCalendarAdvance(Calendar,Y3253,X3254,"f",FALSE)</f>
        <v>62032</v>
      </c>
      <c r="Z3254" s="108">
        <f>_xll.qlCalendarAdvance(Calendar,Y3254,0&amp;"D")</f>
        <v>62032</v>
      </c>
      <c r="AA3254" s="109">
        <v>1.14930665232027E-2</v>
      </c>
      <c r="AB3254" s="143">
        <f t="shared" si="110"/>
        <v>0</v>
      </c>
      <c r="AC3254" s="236" t="e">
        <v>#N/A</v>
      </c>
      <c r="AD3254" s="236">
        <v>1.14930665232027E-2</v>
      </c>
    </row>
    <row r="3255" spans="23:30" x14ac:dyDescent="0.2">
      <c r="W3255" s="144"/>
      <c r="X3255" s="113" t="str">
        <f t="shared" si="109"/>
        <v>1w</v>
      </c>
      <c r="Y3255" s="106">
        <f>_xll.qlCalendarAdvance(Calendar,Y3254,X3255,"f",FALSE)</f>
        <v>62039</v>
      </c>
      <c r="Z3255" s="108">
        <f>_xll.qlCalendarAdvance(Calendar,Y3255,0&amp;"D")</f>
        <v>62039</v>
      </c>
      <c r="AA3255" s="109">
        <v>1.1497224448486776E-2</v>
      </c>
      <c r="AB3255" s="143">
        <f t="shared" si="110"/>
        <v>-7.9936057773011271E-14</v>
      </c>
      <c r="AC3255" s="236" t="e">
        <v>#N/A</v>
      </c>
      <c r="AD3255" s="236">
        <v>1.1497224448566712E-2</v>
      </c>
    </row>
    <row r="3256" spans="23:30" x14ac:dyDescent="0.2">
      <c r="W3256" s="144"/>
      <c r="X3256" s="113" t="str">
        <f t="shared" si="109"/>
        <v>1w</v>
      </c>
      <c r="Y3256" s="106">
        <f>_xll.qlCalendarAdvance(Calendar,Y3255,X3256,"f",FALSE)</f>
        <v>62046</v>
      </c>
      <c r="Z3256" s="108">
        <f>_xll.qlCalendarAdvance(Calendar,Y3256,0&amp;"D")</f>
        <v>62046</v>
      </c>
      <c r="AA3256" s="109">
        <v>1.1501368085440333E-2</v>
      </c>
      <c r="AB3256" s="143">
        <f t="shared" si="110"/>
        <v>7.9936057773011271E-14</v>
      </c>
      <c r="AC3256" s="236" t="e">
        <v>#N/A</v>
      </c>
      <c r="AD3256" s="236">
        <v>1.1501368085360397E-2</v>
      </c>
    </row>
    <row r="3257" spans="23:30" x14ac:dyDescent="0.2">
      <c r="W3257" s="144"/>
      <c r="X3257" s="113" t="str">
        <f t="shared" si="109"/>
        <v>1w</v>
      </c>
      <c r="Y3257" s="106">
        <f>_xll.qlCalendarAdvance(Calendar,Y3256,X3257,"f",FALSE)</f>
        <v>62053</v>
      </c>
      <c r="Z3257" s="108">
        <f>_xll.qlCalendarAdvance(Calendar,Y3257,0&amp;"D")</f>
        <v>62053</v>
      </c>
      <c r="AA3257" s="109">
        <v>1.15054974339035E-2</v>
      </c>
      <c r="AB3257" s="143">
        <f t="shared" si="110"/>
        <v>7.9936057773011271E-14</v>
      </c>
      <c r="AC3257" s="236" t="e">
        <v>#N/A</v>
      </c>
      <c r="AD3257" s="236">
        <v>1.1505497433823564E-2</v>
      </c>
    </row>
    <row r="3258" spans="23:30" x14ac:dyDescent="0.2">
      <c r="W3258" s="144"/>
      <c r="X3258" s="113" t="str">
        <f t="shared" si="109"/>
        <v>1w</v>
      </c>
      <c r="Y3258" s="106">
        <f>_xll.qlCalendarAdvance(Calendar,Y3257,X3258,"f",FALSE)</f>
        <v>62060</v>
      </c>
      <c r="Z3258" s="108">
        <f>_xll.qlCalendarAdvance(Calendar,Y3258,0&amp;"D")</f>
        <v>62060</v>
      </c>
      <c r="AA3258" s="109">
        <v>1.1509612493876276E-2</v>
      </c>
      <c r="AB3258" s="143">
        <f t="shared" si="110"/>
        <v>0</v>
      </c>
      <c r="AC3258" s="236" t="e">
        <v>#N/A</v>
      </c>
      <c r="AD3258" s="236">
        <v>1.1509612493876276E-2</v>
      </c>
    </row>
    <row r="3259" spans="23:30" x14ac:dyDescent="0.2">
      <c r="W3259" s="144"/>
      <c r="X3259" s="113" t="str">
        <f t="shared" si="109"/>
        <v>1w</v>
      </c>
      <c r="Y3259" s="106">
        <f>_xll.qlCalendarAdvance(Calendar,Y3258,X3259,"f",FALSE)</f>
        <v>62067</v>
      </c>
      <c r="Z3259" s="108">
        <f>_xll.qlCalendarAdvance(Calendar,Y3259,0&amp;"D")</f>
        <v>62067</v>
      </c>
      <c r="AA3259" s="109">
        <v>1.1513713265758341E-2</v>
      </c>
      <c r="AB3259" s="143">
        <f t="shared" si="110"/>
        <v>0</v>
      </c>
      <c r="AC3259" s="236" t="e">
        <v>#N/A</v>
      </c>
      <c r="AD3259" s="236">
        <v>1.1513713265758341E-2</v>
      </c>
    </row>
    <row r="3260" spans="23:30" x14ac:dyDescent="0.2">
      <c r="W3260" s="144"/>
      <c r="X3260" s="113" t="str">
        <f t="shared" si="109"/>
        <v>1w</v>
      </c>
      <c r="Y3260" s="106">
        <f>_xll.qlCalendarAdvance(Calendar,Y3259,X3260,"f",FALSE)</f>
        <v>62074</v>
      </c>
      <c r="Z3260" s="108">
        <f>_xll.qlCalendarAdvance(Calendar,Y3260,0&amp;"D")</f>
        <v>62074</v>
      </c>
      <c r="AA3260" s="109">
        <v>1.1517799748990143E-2</v>
      </c>
      <c r="AB3260" s="143">
        <f t="shared" si="110"/>
        <v>-7.9936057773011271E-14</v>
      </c>
      <c r="AC3260" s="236" t="e">
        <v>#N/A</v>
      </c>
      <c r="AD3260" s="236">
        <v>1.1517799749070079E-2</v>
      </c>
    </row>
    <row r="3261" spans="23:30" x14ac:dyDescent="0.2">
      <c r="W3261" s="144"/>
      <c r="X3261" s="113" t="str">
        <f t="shared" si="109"/>
        <v>1w</v>
      </c>
      <c r="Y3261" s="106">
        <f>_xll.qlCalendarAdvance(Calendar,Y3260,X3261,"f",FALSE)</f>
        <v>62081</v>
      </c>
      <c r="Z3261" s="108">
        <f>_xll.qlCalendarAdvance(Calendar,Y3261,0&amp;"D")</f>
        <v>62081</v>
      </c>
      <c r="AA3261" s="109">
        <v>1.1521871944131234E-2</v>
      </c>
      <c r="AB3261" s="143">
        <f t="shared" si="110"/>
        <v>7.9936057773011271E-14</v>
      </c>
      <c r="AC3261" s="236" t="e">
        <v>#N/A</v>
      </c>
      <c r="AD3261" s="236">
        <v>1.1521871944051298E-2</v>
      </c>
    </row>
    <row r="3262" spans="23:30" x14ac:dyDescent="0.2">
      <c r="W3262" s="144"/>
      <c r="X3262" s="113" t="str">
        <f t="shared" si="109"/>
        <v>1w</v>
      </c>
      <c r="Y3262" s="106">
        <f>_xll.qlCalendarAdvance(Calendar,Y3261,X3262,"f",FALSE)</f>
        <v>62089</v>
      </c>
      <c r="Z3262" s="108">
        <f>_xll.qlCalendarAdvance(Calendar,Y3262,0&amp;"D")</f>
        <v>62089</v>
      </c>
      <c r="AA3262" s="109">
        <v>1.1527455628765892E-2</v>
      </c>
      <c r="AB3262" s="143">
        <f t="shared" si="110"/>
        <v>0</v>
      </c>
      <c r="AC3262" s="236" t="e">
        <v>#N/A</v>
      </c>
      <c r="AD3262" s="236">
        <v>1.1527455628765892E-2</v>
      </c>
    </row>
    <row r="3263" spans="23:30" x14ac:dyDescent="0.2">
      <c r="W3263" s="144"/>
      <c r="X3263" s="113" t="str">
        <f t="shared" si="109"/>
        <v>1w</v>
      </c>
      <c r="Y3263" s="106">
        <f>_xll.qlCalendarAdvance(Calendar,Y3262,X3263,"f",FALSE)</f>
        <v>62096</v>
      </c>
      <c r="Z3263" s="108">
        <f>_xll.qlCalendarAdvance(Calendar,Y3263,0&amp;"D")</f>
        <v>62096</v>
      </c>
      <c r="AA3263" s="109">
        <v>1.1531495423424687E-2</v>
      </c>
      <c r="AB3263" s="143">
        <f t="shared" si="110"/>
        <v>0</v>
      </c>
      <c r="AC3263" s="236" t="e">
        <v>#N/A</v>
      </c>
      <c r="AD3263" s="236">
        <v>1.1531495423424687E-2</v>
      </c>
    </row>
    <row r="3264" spans="23:30" x14ac:dyDescent="0.2">
      <c r="W3264" s="144"/>
      <c r="X3264" s="113" t="str">
        <f t="shared" si="109"/>
        <v>1w</v>
      </c>
      <c r="Y3264" s="106">
        <f>_xll.qlCalendarAdvance(Calendar,Y3263,X3264,"f",FALSE)</f>
        <v>62103</v>
      </c>
      <c r="Z3264" s="108">
        <f>_xll.qlCalendarAdvance(Calendar,Y3264,0&amp;"D")</f>
        <v>62103</v>
      </c>
      <c r="AA3264" s="109">
        <v>1.1535520928926957E-2</v>
      </c>
      <c r="AB3264" s="143">
        <f t="shared" si="110"/>
        <v>0</v>
      </c>
      <c r="AC3264" s="236" t="e">
        <v>#N/A</v>
      </c>
      <c r="AD3264" s="236">
        <v>1.1535520928926957E-2</v>
      </c>
    </row>
    <row r="3265" spans="23:30" x14ac:dyDescent="0.2">
      <c r="W3265" s="144"/>
      <c r="X3265" s="113" t="str">
        <f t="shared" si="109"/>
        <v>1w</v>
      </c>
      <c r="Y3265" s="106">
        <f>_xll.qlCalendarAdvance(Calendar,Y3264,X3265,"f",FALSE)</f>
        <v>62110</v>
      </c>
      <c r="Z3265" s="108">
        <f>_xll.qlCalendarAdvance(Calendar,Y3265,0&amp;"D")</f>
        <v>62110</v>
      </c>
      <c r="AA3265" s="109">
        <v>1.1539532145219411E-2</v>
      </c>
      <c r="AB3265" s="143">
        <f t="shared" si="110"/>
        <v>0</v>
      </c>
      <c r="AC3265" s="236" t="e">
        <v>#N/A</v>
      </c>
      <c r="AD3265" s="236">
        <v>1.1539532145219411E-2</v>
      </c>
    </row>
    <row r="3266" spans="23:30" x14ac:dyDescent="0.2">
      <c r="W3266" s="144"/>
      <c r="X3266" s="113" t="str">
        <f t="shared" si="109"/>
        <v>1w</v>
      </c>
      <c r="Y3266" s="106">
        <f>_xll.qlCalendarAdvance(Calendar,Y3265,X3266,"f",FALSE)</f>
        <v>62117</v>
      </c>
      <c r="Z3266" s="108">
        <f>_xll.qlCalendarAdvance(Calendar,Y3266,0&amp;"D")</f>
        <v>62117</v>
      </c>
      <c r="AA3266" s="109">
        <v>1.1543529072355341E-2</v>
      </c>
      <c r="AB3266" s="143">
        <f t="shared" si="110"/>
        <v>2.6645352591003757E-14</v>
      </c>
      <c r="AC3266" s="236" t="e">
        <v>#N/A</v>
      </c>
      <c r="AD3266" s="236">
        <v>1.1543529072328695E-2</v>
      </c>
    </row>
    <row r="3267" spans="23:30" x14ac:dyDescent="0.2">
      <c r="W3267" s="144"/>
      <c r="X3267" s="113" t="str">
        <f t="shared" si="109"/>
        <v>1w</v>
      </c>
      <c r="Y3267" s="106">
        <f>_xll.qlCalendarAdvance(Calendar,Y3266,X3267,"f",FALSE)</f>
        <v>62124</v>
      </c>
      <c r="Z3267" s="108">
        <f>_xll.qlCalendarAdvance(Calendar,Y3267,0&amp;"D")</f>
        <v>62124</v>
      </c>
      <c r="AA3267" s="109">
        <v>1.15475117103081E-2</v>
      </c>
      <c r="AB3267" s="143">
        <f t="shared" si="110"/>
        <v>2.6645352591003757E-14</v>
      </c>
      <c r="AC3267" s="236" t="e">
        <v>#N/A</v>
      </c>
      <c r="AD3267" s="236">
        <v>1.1547511710281455E-2</v>
      </c>
    </row>
    <row r="3268" spans="23:30" x14ac:dyDescent="0.2">
      <c r="W3268" s="144"/>
      <c r="X3268" s="113" t="str">
        <f t="shared" si="109"/>
        <v>1w</v>
      </c>
      <c r="Y3268" s="106">
        <f>_xll.qlCalendarAdvance(Calendar,Y3267,X3268,"f",FALSE)</f>
        <v>62131</v>
      </c>
      <c r="Z3268" s="108">
        <f>_xll.qlCalendarAdvance(Calendar,Y3268,0&amp;"D")</f>
        <v>62131</v>
      </c>
      <c r="AA3268" s="109">
        <v>1.1551480059024399E-2</v>
      </c>
      <c r="AB3268" s="143">
        <f t="shared" si="110"/>
        <v>0</v>
      </c>
      <c r="AC3268" s="236" t="e">
        <v>#N/A</v>
      </c>
      <c r="AD3268" s="236">
        <v>1.1551480059024399E-2</v>
      </c>
    </row>
    <row r="3269" spans="23:30" x14ac:dyDescent="0.2">
      <c r="W3269" s="144"/>
      <c r="X3269" s="113" t="str">
        <f t="shared" si="109"/>
        <v>1w</v>
      </c>
      <c r="Y3269" s="106">
        <f>_xll.qlCalendarAdvance(Calendar,Y3268,X3269,"f",FALSE)</f>
        <v>62138</v>
      </c>
      <c r="Z3269" s="108">
        <f>_xll.qlCalendarAdvance(Calendar,Y3269,0&amp;"D")</f>
        <v>62138</v>
      </c>
      <c r="AA3269" s="109">
        <v>1.1555434118530883E-2</v>
      </c>
      <c r="AB3269" s="143">
        <f t="shared" si="110"/>
        <v>-2.6645352591003757E-14</v>
      </c>
      <c r="AC3269" s="236" t="e">
        <v>#N/A</v>
      </c>
      <c r="AD3269" s="236">
        <v>1.1555434118557528E-2</v>
      </c>
    </row>
    <row r="3270" spans="23:30" x14ac:dyDescent="0.2">
      <c r="W3270" s="144"/>
      <c r="X3270" s="113" t="str">
        <f t="shared" si="109"/>
        <v>1w</v>
      </c>
      <c r="Y3270" s="106">
        <f>_xll.qlCalendarAdvance(Calendar,Y3269,X3270,"f",FALSE)</f>
        <v>62145</v>
      </c>
      <c r="Z3270" s="108">
        <f>_xll.qlCalendarAdvance(Calendar,Y3270,0&amp;"D")</f>
        <v>62145</v>
      </c>
      <c r="AA3270" s="109">
        <v>1.1559373888907487E-2</v>
      </c>
      <c r="AB3270" s="143">
        <f t="shared" si="110"/>
        <v>-2.6645352591003757E-14</v>
      </c>
      <c r="AC3270" s="236" t="e">
        <v>#N/A</v>
      </c>
      <c r="AD3270" s="236">
        <v>1.1559373888934132E-2</v>
      </c>
    </row>
    <row r="3271" spans="23:30" x14ac:dyDescent="0.2">
      <c r="W3271" s="144"/>
      <c r="X3271" s="113" t="str">
        <f t="shared" si="109"/>
        <v>1w</v>
      </c>
      <c r="Y3271" s="106">
        <f>_xll.qlCalendarAdvance(Calendar,Y3270,X3271,"f",FALSE)</f>
        <v>62152</v>
      </c>
      <c r="Z3271" s="108">
        <f>_xll.qlCalendarAdvance(Calendar,Y3271,0&amp;"D")</f>
        <v>62152</v>
      </c>
      <c r="AA3271" s="109">
        <v>1.1563299370127567E-2</v>
      </c>
      <c r="AB3271" s="143">
        <f t="shared" si="110"/>
        <v>2.6645352591003757E-14</v>
      </c>
      <c r="AC3271" s="236" t="e">
        <v>#N/A</v>
      </c>
      <c r="AD3271" s="236">
        <v>1.1563299370100921E-2</v>
      </c>
    </row>
    <row r="3272" spans="23:30" x14ac:dyDescent="0.2">
      <c r="W3272" s="144"/>
      <c r="X3272" s="113" t="str">
        <f t="shared" si="109"/>
        <v>1w</v>
      </c>
      <c r="Y3272" s="106">
        <f>_xll.qlCalendarAdvance(Calendar,Y3271,X3272,"f",FALSE)</f>
        <v>62159</v>
      </c>
      <c r="Z3272" s="108">
        <f>_xll.qlCalendarAdvance(Calendar,Y3272,0&amp;"D")</f>
        <v>62159</v>
      </c>
      <c r="AA3272" s="109">
        <v>1.156721056208454E-2</v>
      </c>
      <c r="AB3272" s="143">
        <f t="shared" si="110"/>
        <v>0</v>
      </c>
      <c r="AC3272" s="236" t="e">
        <v>#N/A</v>
      </c>
      <c r="AD3272" s="236">
        <v>1.156721056208454E-2</v>
      </c>
    </row>
    <row r="3273" spans="23:30" x14ac:dyDescent="0.2">
      <c r="W3273" s="144"/>
      <c r="X3273" s="113" t="str">
        <f t="shared" si="109"/>
        <v>1w</v>
      </c>
      <c r="Y3273" s="106">
        <f>_xll.qlCalendarAdvance(Calendar,Y3272,X3273,"f",FALSE)</f>
        <v>62166</v>
      </c>
      <c r="Z3273" s="108">
        <f>_xll.qlCalendarAdvance(Calendar,Y3273,0&amp;"D")</f>
        <v>62166</v>
      </c>
      <c r="AA3273" s="109">
        <v>1.1571107464858343E-2</v>
      </c>
      <c r="AB3273" s="143">
        <f t="shared" si="110"/>
        <v>0</v>
      </c>
      <c r="AC3273" s="236" t="e">
        <v>#N/A</v>
      </c>
      <c r="AD3273" s="236">
        <v>1.1571107464858343E-2</v>
      </c>
    </row>
    <row r="3274" spans="23:30" x14ac:dyDescent="0.2">
      <c r="W3274" s="144"/>
      <c r="X3274" s="113" t="str">
        <f t="shared" si="109"/>
        <v>1w</v>
      </c>
      <c r="Y3274" s="106">
        <f>_xll.qlCalendarAdvance(Calendar,Y3273,X3274,"f",FALSE)</f>
        <v>62173</v>
      </c>
      <c r="Z3274" s="108">
        <f>_xll.qlCalendarAdvance(Calendar,Y3274,0&amp;"D")</f>
        <v>62173</v>
      </c>
      <c r="AA3274" s="109">
        <v>1.1574990078369041E-2</v>
      </c>
      <c r="AB3274" s="143">
        <f t="shared" si="110"/>
        <v>-2.6645352591003757E-14</v>
      </c>
      <c r="AC3274" s="236" t="e">
        <v>#N/A</v>
      </c>
      <c r="AD3274" s="236">
        <v>1.1574990078395686E-2</v>
      </c>
    </row>
    <row r="3275" spans="23:30" x14ac:dyDescent="0.2">
      <c r="W3275" s="144"/>
      <c r="X3275" s="113" t="str">
        <f t="shared" si="109"/>
        <v>1w</v>
      </c>
      <c r="Y3275" s="106">
        <f>_xll.qlCalendarAdvance(Calendar,Y3274,X3275,"f",FALSE)</f>
        <v>62184</v>
      </c>
      <c r="Z3275" s="108">
        <f>_xll.qlCalendarAdvance(Calendar,Y3275,0&amp;"D")</f>
        <v>62184</v>
      </c>
      <c r="AA3275" s="109">
        <v>1.1580139475970697E-2</v>
      </c>
      <c r="AB3275" s="143">
        <f t="shared" si="110"/>
        <v>-7.9936057773011271E-14</v>
      </c>
      <c r="AC3275" s="236" t="e">
        <v>#N/A</v>
      </c>
      <c r="AD3275" s="236">
        <v>1.1580139476050633E-2</v>
      </c>
    </row>
    <row r="3276" spans="23:30" x14ac:dyDescent="0.2">
      <c r="W3276" s="144"/>
      <c r="X3276" s="113" t="str">
        <f t="shared" si="109"/>
        <v>1w</v>
      </c>
      <c r="Y3276" s="106">
        <f>_xll.qlCalendarAdvance(Calendar,Y3275,X3276,"f",FALSE)</f>
        <v>62191</v>
      </c>
      <c r="Z3276" s="108">
        <f>_xll.qlCalendarAdvance(Calendar,Y3276,0&amp;"D")</f>
        <v>62191</v>
      </c>
      <c r="AA3276" s="109">
        <v>1.1583987139758278E-2</v>
      </c>
      <c r="AB3276" s="143">
        <f t="shared" si="110"/>
        <v>0</v>
      </c>
      <c r="AC3276" s="236" t="e">
        <v>#N/A</v>
      </c>
      <c r="AD3276" s="236">
        <v>1.1583987139758278E-2</v>
      </c>
    </row>
    <row r="3277" spans="23:30" x14ac:dyDescent="0.2">
      <c r="W3277" s="144"/>
      <c r="X3277" s="113" t="str">
        <f t="shared" ref="X3277:X3340" si="111">X3276</f>
        <v>1w</v>
      </c>
      <c r="Y3277" s="106">
        <f>_xll.qlCalendarAdvance(Calendar,Y3276,X3277,"f",FALSE)</f>
        <v>62198</v>
      </c>
      <c r="Z3277" s="108">
        <f>_xll.qlCalendarAdvance(Calendar,Y3277,0&amp;"D")</f>
        <v>62198</v>
      </c>
      <c r="AA3277" s="109">
        <v>1.1587820515055469E-2</v>
      </c>
      <c r="AB3277" s="143">
        <f t="shared" si="110"/>
        <v>0</v>
      </c>
      <c r="AC3277" s="236" t="e">
        <v>#N/A</v>
      </c>
      <c r="AD3277" s="236">
        <v>1.1587820515055469E-2</v>
      </c>
    </row>
    <row r="3278" spans="23:30" x14ac:dyDescent="0.2">
      <c r="W3278" s="144"/>
      <c r="X3278" s="113" t="str">
        <f t="shared" si="111"/>
        <v>1w</v>
      </c>
      <c r="Y3278" s="106">
        <f>_xll.qlCalendarAdvance(Calendar,Y3277,X3278,"f",FALSE)</f>
        <v>62205</v>
      </c>
      <c r="Z3278" s="108">
        <f>_xll.qlCalendarAdvance(Calendar,Y3278,0&amp;"D")</f>
        <v>62205</v>
      </c>
      <c r="AA3278" s="109">
        <v>1.1591639601862269E-2</v>
      </c>
      <c r="AB3278" s="143">
        <f t="shared" si="110"/>
        <v>-7.9936057773011271E-14</v>
      </c>
      <c r="AC3278" s="236" t="e">
        <v>#N/A</v>
      </c>
      <c r="AD3278" s="236">
        <v>1.1591639601942205E-2</v>
      </c>
    </row>
    <row r="3279" spans="23:30" x14ac:dyDescent="0.2">
      <c r="W3279" s="144"/>
      <c r="X3279" s="113" t="str">
        <f t="shared" si="111"/>
        <v>1w</v>
      </c>
      <c r="Y3279" s="106">
        <f>_xll.qlCalendarAdvance(Calendar,Y3278,X3279,"f",FALSE)</f>
        <v>62212</v>
      </c>
      <c r="Z3279" s="108">
        <f>_xll.qlCalendarAdvance(Calendar,Y3279,0&amp;"D")</f>
        <v>62212</v>
      </c>
      <c r="AA3279" s="109">
        <v>1.1595444400418486E-2</v>
      </c>
      <c r="AB3279" s="143">
        <f t="shared" si="110"/>
        <v>-7.9936057773011271E-14</v>
      </c>
      <c r="AC3279" s="236" t="e">
        <v>#N/A</v>
      </c>
      <c r="AD3279" s="236">
        <v>1.1595444400498423E-2</v>
      </c>
    </row>
    <row r="3280" spans="23:30" x14ac:dyDescent="0.2">
      <c r="W3280" s="144"/>
      <c r="X3280" s="113" t="str">
        <f t="shared" si="111"/>
        <v>1w</v>
      </c>
      <c r="Y3280" s="106">
        <f>_xll.qlCalendarAdvance(Calendar,Y3279,X3280,"f",FALSE)</f>
        <v>62219</v>
      </c>
      <c r="Z3280" s="108">
        <f>_xll.qlCalendarAdvance(Calendar,Y3280,0&amp;"D")</f>
        <v>62219</v>
      </c>
      <c r="AA3280" s="109">
        <v>1.1599234910644185E-2</v>
      </c>
      <c r="AB3280" s="143">
        <f t="shared" si="110"/>
        <v>0</v>
      </c>
      <c r="AC3280" s="236" t="e">
        <v>#N/A</v>
      </c>
      <c r="AD3280" s="236">
        <v>1.1599234910644185E-2</v>
      </c>
    </row>
    <row r="3281" spans="23:30" x14ac:dyDescent="0.2">
      <c r="W3281" s="144"/>
      <c r="X3281" s="113" t="str">
        <f t="shared" si="111"/>
        <v>1w</v>
      </c>
      <c r="Y3281" s="106">
        <f>_xll.qlCalendarAdvance(Calendar,Y3280,X3281,"f",FALSE)</f>
        <v>62226</v>
      </c>
      <c r="Z3281" s="108">
        <f>_xll.qlCalendarAdvance(Calendar,Y3281,0&amp;"D")</f>
        <v>62226</v>
      </c>
      <c r="AA3281" s="109">
        <v>1.1603011132539365E-2</v>
      </c>
      <c r="AB3281" s="143">
        <f t="shared" si="110"/>
        <v>7.9936057773011271E-14</v>
      </c>
      <c r="AC3281" s="236" t="e">
        <v>#N/A</v>
      </c>
      <c r="AD3281" s="236">
        <v>1.1603011132459429E-2</v>
      </c>
    </row>
    <row r="3282" spans="23:30" x14ac:dyDescent="0.2">
      <c r="W3282" s="144"/>
      <c r="X3282" s="113" t="str">
        <f t="shared" si="111"/>
        <v>1w</v>
      </c>
      <c r="Y3282" s="106">
        <f>_xll.qlCalendarAdvance(Calendar,Y3281,X3282,"f",FALSE)</f>
        <v>62233</v>
      </c>
      <c r="Z3282" s="108">
        <f>_xll.qlCalendarAdvance(Calendar,Y3282,0&amp;"D")</f>
        <v>62233</v>
      </c>
      <c r="AA3282" s="109">
        <v>1.1606773065864218E-2</v>
      </c>
      <c r="AB3282" s="143">
        <f t="shared" si="110"/>
        <v>0</v>
      </c>
      <c r="AC3282" s="236" t="e">
        <v>#N/A</v>
      </c>
      <c r="AD3282" s="236">
        <v>1.1606773065864218E-2</v>
      </c>
    </row>
    <row r="3283" spans="23:30" x14ac:dyDescent="0.2">
      <c r="W3283" s="144"/>
      <c r="X3283" s="113" t="str">
        <f t="shared" si="111"/>
        <v>1w</v>
      </c>
      <c r="Y3283" s="106">
        <f>_xll.qlCalendarAdvance(Calendar,Y3282,X3283,"f",FALSE)</f>
        <v>62240</v>
      </c>
      <c r="Z3283" s="108">
        <f>_xll.qlCalendarAdvance(Calendar,Y3283,0&amp;"D")</f>
        <v>62240</v>
      </c>
      <c r="AA3283" s="109">
        <v>1.161052071109836E-2</v>
      </c>
      <c r="AB3283" s="143">
        <f t="shared" si="110"/>
        <v>0</v>
      </c>
      <c r="AC3283" s="236" t="e">
        <v>#N/A</v>
      </c>
      <c r="AD3283" s="236">
        <v>1.161052071109836E-2</v>
      </c>
    </row>
    <row r="3284" spans="23:30" x14ac:dyDescent="0.2">
      <c r="W3284" s="144"/>
      <c r="X3284" s="113" t="str">
        <f t="shared" si="111"/>
        <v>1w</v>
      </c>
      <c r="Y3284" s="106">
        <f>_xll.qlCalendarAdvance(Calendar,Y3283,X3284,"f",FALSE)</f>
        <v>62247</v>
      </c>
      <c r="Z3284" s="108">
        <f>_xll.qlCalendarAdvance(Calendar,Y3284,0&amp;"D")</f>
        <v>62247</v>
      </c>
      <c r="AA3284" s="109">
        <v>1.1614254067922047E-2</v>
      </c>
      <c r="AB3284" s="143">
        <f t="shared" si="110"/>
        <v>7.9936057773011271E-14</v>
      </c>
      <c r="AC3284" s="236" t="e">
        <v>#N/A</v>
      </c>
      <c r="AD3284" s="236">
        <v>1.1614254067842111E-2</v>
      </c>
    </row>
    <row r="3285" spans="23:30" x14ac:dyDescent="0.2">
      <c r="W3285" s="144"/>
      <c r="X3285" s="113" t="str">
        <f t="shared" si="111"/>
        <v>1w</v>
      </c>
      <c r="Y3285" s="106">
        <f>_xll.qlCalendarAdvance(Calendar,Y3284,X3285,"f",FALSE)</f>
        <v>62254</v>
      </c>
      <c r="Z3285" s="108">
        <f>_xll.qlCalendarAdvance(Calendar,Y3285,0&amp;"D")</f>
        <v>62254</v>
      </c>
      <c r="AA3285" s="109">
        <v>1.1617973136175408E-2</v>
      </c>
      <c r="AB3285" s="143">
        <f t="shared" ref="AB3285:AB3348" si="112">AA3285-AD3285</f>
        <v>0</v>
      </c>
      <c r="AC3285" s="236" t="e">
        <v>#N/A</v>
      </c>
      <c r="AD3285" s="236">
        <v>1.1617973136175408E-2</v>
      </c>
    </row>
    <row r="3286" spans="23:30" x14ac:dyDescent="0.2">
      <c r="W3286" s="144"/>
      <c r="X3286" s="113" t="str">
        <f t="shared" si="111"/>
        <v>1w</v>
      </c>
      <c r="Y3286" s="106">
        <f>_xll.qlCalendarAdvance(Calendar,Y3285,X3286,"f",FALSE)</f>
        <v>62261</v>
      </c>
      <c r="Z3286" s="108">
        <f>_xll.qlCalendarAdvance(Calendar,Y3286,0&amp;"D")</f>
        <v>62261</v>
      </c>
      <c r="AA3286" s="109">
        <v>1.1621677916018314E-2</v>
      </c>
      <c r="AB3286" s="143">
        <f t="shared" si="112"/>
        <v>-7.9936057773011271E-14</v>
      </c>
      <c r="AC3286" s="236" t="e">
        <v>#N/A</v>
      </c>
      <c r="AD3286" s="236">
        <v>1.162167791609825E-2</v>
      </c>
    </row>
    <row r="3287" spans="23:30" x14ac:dyDescent="0.2">
      <c r="W3287" s="144"/>
      <c r="X3287" s="113" t="str">
        <f t="shared" si="111"/>
        <v>1w</v>
      </c>
      <c r="Y3287" s="106">
        <f>_xll.qlCalendarAdvance(Calendar,Y3286,X3287,"f",FALSE)</f>
        <v>62268</v>
      </c>
      <c r="Z3287" s="108">
        <f>_xll.qlCalendarAdvance(Calendar,Y3287,0&amp;"D")</f>
        <v>62268</v>
      </c>
      <c r="AA3287" s="109">
        <v>1.1625368407610637E-2</v>
      </c>
      <c r="AB3287" s="143">
        <f t="shared" si="112"/>
        <v>-7.9936057773011271E-14</v>
      </c>
      <c r="AC3287" s="236" t="e">
        <v>#N/A</v>
      </c>
      <c r="AD3287" s="236">
        <v>1.1625368407690573E-2</v>
      </c>
    </row>
    <row r="3288" spans="23:30" x14ac:dyDescent="0.2">
      <c r="W3288" s="144"/>
      <c r="X3288" s="113" t="str">
        <f t="shared" si="111"/>
        <v>1w</v>
      </c>
      <c r="Y3288" s="106">
        <f>_xll.qlCalendarAdvance(Calendar,Y3287,X3288,"f",FALSE)</f>
        <v>62275</v>
      </c>
      <c r="Z3288" s="108">
        <f>_xll.qlCalendarAdvance(Calendar,Y3288,0&amp;"D")</f>
        <v>62275</v>
      </c>
      <c r="AA3288" s="109">
        <v>1.1629044610952377E-2</v>
      </c>
      <c r="AB3288" s="143">
        <f t="shared" si="112"/>
        <v>0</v>
      </c>
      <c r="AC3288" s="236" t="e">
        <v>#N/A</v>
      </c>
      <c r="AD3288" s="236">
        <v>1.1629044610952377E-2</v>
      </c>
    </row>
    <row r="3289" spans="23:30" x14ac:dyDescent="0.2">
      <c r="W3289" s="144"/>
      <c r="X3289" s="113" t="str">
        <f t="shared" si="111"/>
        <v>1w</v>
      </c>
      <c r="Y3289" s="106">
        <f>_xll.qlCalendarAdvance(Calendar,Y3288,X3289,"f",FALSE)</f>
        <v>62282</v>
      </c>
      <c r="Z3289" s="108">
        <f>_xll.qlCalendarAdvance(Calendar,Y3289,0&amp;"D")</f>
        <v>62282</v>
      </c>
      <c r="AA3289" s="109">
        <v>1.1632706525803727E-2</v>
      </c>
      <c r="AB3289" s="143">
        <f t="shared" si="112"/>
        <v>7.9936057773011271E-14</v>
      </c>
      <c r="AC3289" s="236" t="e">
        <v>#N/A</v>
      </c>
      <c r="AD3289" s="236">
        <v>1.163270652572379E-2</v>
      </c>
    </row>
    <row r="3290" spans="23:30" x14ac:dyDescent="0.2">
      <c r="W3290" s="144"/>
      <c r="X3290" s="113" t="str">
        <f t="shared" si="111"/>
        <v>1w</v>
      </c>
      <c r="Y3290" s="106">
        <f>_xll.qlCalendarAdvance(Calendar,Y3289,X3290,"f",FALSE)</f>
        <v>62289</v>
      </c>
      <c r="Z3290" s="108">
        <f>_xll.qlCalendarAdvance(Calendar,Y3290,0&amp;"D")</f>
        <v>62289</v>
      </c>
      <c r="AA3290" s="109">
        <v>1.1636354152244621E-2</v>
      </c>
      <c r="AB3290" s="143">
        <f t="shared" si="112"/>
        <v>0</v>
      </c>
      <c r="AC3290" s="236" t="e">
        <v>#N/A</v>
      </c>
      <c r="AD3290" s="236">
        <v>1.1636354152244621E-2</v>
      </c>
    </row>
    <row r="3291" spans="23:30" x14ac:dyDescent="0.2">
      <c r="W3291" s="144"/>
      <c r="X3291" s="113" t="str">
        <f t="shared" si="111"/>
        <v>1w</v>
      </c>
      <c r="Y3291" s="106">
        <f>_xll.qlCalendarAdvance(Calendar,Y3290,X3291,"f",FALSE)</f>
        <v>62296</v>
      </c>
      <c r="Z3291" s="108">
        <f>_xll.qlCalendarAdvance(Calendar,Y3291,0&amp;"D")</f>
        <v>62296</v>
      </c>
      <c r="AA3291" s="109">
        <v>1.1639987490434933E-2</v>
      </c>
      <c r="AB3291" s="143">
        <f t="shared" si="112"/>
        <v>0</v>
      </c>
      <c r="AC3291" s="236" t="e">
        <v>#N/A</v>
      </c>
      <c r="AD3291" s="236">
        <v>1.1639987490434933E-2</v>
      </c>
    </row>
    <row r="3292" spans="23:30" x14ac:dyDescent="0.2">
      <c r="W3292" s="144"/>
      <c r="X3292" s="113" t="str">
        <f t="shared" si="111"/>
        <v>1w</v>
      </c>
      <c r="Y3292" s="106">
        <f>_xll.qlCalendarAdvance(Calendar,Y3291,X3292,"f",FALSE)</f>
        <v>62303</v>
      </c>
      <c r="Z3292" s="108">
        <f>_xll.qlCalendarAdvance(Calendar,Y3292,0&amp;"D")</f>
        <v>62303</v>
      </c>
      <c r="AA3292" s="109">
        <v>1.1643606540134854E-2</v>
      </c>
      <c r="AB3292" s="143">
        <f t="shared" si="112"/>
        <v>0</v>
      </c>
      <c r="AC3292" s="236" t="e">
        <v>#N/A</v>
      </c>
      <c r="AD3292" s="236">
        <v>1.1643606540134854E-2</v>
      </c>
    </row>
    <row r="3293" spans="23:30" x14ac:dyDescent="0.2">
      <c r="W3293" s="144"/>
      <c r="X3293" s="113" t="str">
        <f t="shared" si="111"/>
        <v>1w</v>
      </c>
      <c r="Y3293" s="106">
        <f>_xll.qlCalendarAdvance(Calendar,Y3292,X3293,"f",FALSE)</f>
        <v>62310</v>
      </c>
      <c r="Z3293" s="108">
        <f>_xll.qlCalendarAdvance(Calendar,Y3293,0&amp;"D")</f>
        <v>62310</v>
      </c>
      <c r="AA3293" s="109">
        <v>1.1647211301584193E-2</v>
      </c>
      <c r="AB3293" s="143">
        <f t="shared" si="112"/>
        <v>7.9936057773011271E-14</v>
      </c>
      <c r="AC3293" s="236" t="e">
        <v>#N/A</v>
      </c>
      <c r="AD3293" s="236">
        <v>1.1647211301504257E-2</v>
      </c>
    </row>
    <row r="3294" spans="23:30" x14ac:dyDescent="0.2">
      <c r="W3294" s="144"/>
      <c r="X3294" s="113" t="str">
        <f t="shared" si="111"/>
        <v>1w</v>
      </c>
      <c r="Y3294" s="106">
        <f>_xll.qlCalendarAdvance(Calendar,Y3293,X3294,"f",FALSE)</f>
        <v>62317</v>
      </c>
      <c r="Z3294" s="108">
        <f>_xll.qlCalendarAdvance(Calendar,Y3294,0&amp;"D")</f>
        <v>62317</v>
      </c>
      <c r="AA3294" s="109">
        <v>1.165080177454314E-2</v>
      </c>
      <c r="AB3294" s="143">
        <f t="shared" si="112"/>
        <v>0</v>
      </c>
      <c r="AC3294" s="236" t="e">
        <v>#N/A</v>
      </c>
      <c r="AD3294" s="236">
        <v>1.165080177454314E-2</v>
      </c>
    </row>
    <row r="3295" spans="23:30" x14ac:dyDescent="0.2">
      <c r="W3295" s="144"/>
      <c r="X3295" s="113" t="str">
        <f t="shared" si="111"/>
        <v>1w</v>
      </c>
      <c r="Y3295" s="106">
        <f>_xll.qlCalendarAdvance(Calendar,Y3294,X3295,"f",FALSE)</f>
        <v>62324</v>
      </c>
      <c r="Z3295" s="108">
        <f>_xll.qlCalendarAdvance(Calendar,Y3295,0&amp;"D")</f>
        <v>62324</v>
      </c>
      <c r="AA3295" s="109">
        <v>1.1654377959251505E-2</v>
      </c>
      <c r="AB3295" s="143">
        <f t="shared" si="112"/>
        <v>0</v>
      </c>
      <c r="AC3295" s="236" t="e">
        <v>#N/A</v>
      </c>
      <c r="AD3295" s="236">
        <v>1.1654377959251505E-2</v>
      </c>
    </row>
    <row r="3296" spans="23:30" x14ac:dyDescent="0.2">
      <c r="W3296" s="144"/>
      <c r="X3296" s="113" t="str">
        <f t="shared" si="111"/>
        <v>1w</v>
      </c>
      <c r="Y3296" s="106">
        <f>_xll.qlCalendarAdvance(Calendar,Y3295,X3296,"f",FALSE)</f>
        <v>62331</v>
      </c>
      <c r="Z3296" s="108">
        <f>_xll.qlCalendarAdvance(Calendar,Y3296,0&amp;"D")</f>
        <v>62331</v>
      </c>
      <c r="AA3296" s="109">
        <v>1.1657939855469479E-2</v>
      </c>
      <c r="AB3296" s="143">
        <f t="shared" si="112"/>
        <v>0</v>
      </c>
      <c r="AC3296" s="236" t="e">
        <v>#N/A</v>
      </c>
      <c r="AD3296" s="236">
        <v>1.1657939855469479E-2</v>
      </c>
    </row>
    <row r="3297" spans="23:30" x14ac:dyDescent="0.2">
      <c r="W3297" s="144"/>
      <c r="X3297" s="113" t="str">
        <f t="shared" si="111"/>
        <v>1w</v>
      </c>
      <c r="Y3297" s="106">
        <f>_xll.qlCalendarAdvance(Calendar,Y3296,X3297,"f",FALSE)</f>
        <v>62338</v>
      </c>
      <c r="Z3297" s="108">
        <f>_xll.qlCalendarAdvance(Calendar,Y3297,0&amp;"D")</f>
        <v>62338</v>
      </c>
      <c r="AA3297" s="109">
        <v>1.1661487463197062E-2</v>
      </c>
      <c r="AB3297" s="143">
        <f t="shared" si="112"/>
        <v>-7.9936057773011271E-14</v>
      </c>
      <c r="AC3297" s="236" t="e">
        <v>#N/A</v>
      </c>
      <c r="AD3297" s="236">
        <v>1.1661487463276998E-2</v>
      </c>
    </row>
    <row r="3298" spans="23:30" x14ac:dyDescent="0.2">
      <c r="W3298" s="144"/>
      <c r="X3298" s="113" t="str">
        <f t="shared" si="111"/>
        <v>1w</v>
      </c>
      <c r="Y3298" s="106">
        <f>_xll.qlCalendarAdvance(Calendar,Y3297,X3298,"f",FALSE)</f>
        <v>62345</v>
      </c>
      <c r="Z3298" s="108">
        <f>_xll.qlCalendarAdvance(Calendar,Y3298,0&amp;"D")</f>
        <v>62345</v>
      </c>
      <c r="AA3298" s="109">
        <v>1.1665020782913871E-2</v>
      </c>
      <c r="AB3298" s="143">
        <f t="shared" si="112"/>
        <v>0</v>
      </c>
      <c r="AC3298" s="236" t="e">
        <v>#N/A</v>
      </c>
      <c r="AD3298" s="236">
        <v>1.1665020782913871E-2</v>
      </c>
    </row>
    <row r="3299" spans="23:30" x14ac:dyDescent="0.2">
      <c r="W3299" s="144"/>
      <c r="X3299" s="113" t="str">
        <f t="shared" si="111"/>
        <v>1w</v>
      </c>
      <c r="Y3299" s="106">
        <f>_xll.qlCalendarAdvance(Calendar,Y3298,X3299,"f",FALSE)</f>
        <v>62352</v>
      </c>
      <c r="Z3299" s="108">
        <f>_xll.qlCalendarAdvance(Calendar,Y3299,0&amp;"D")</f>
        <v>62352</v>
      </c>
      <c r="AA3299" s="109">
        <v>1.166853981390048E-2</v>
      </c>
      <c r="AB3299" s="143">
        <f t="shared" si="112"/>
        <v>0</v>
      </c>
      <c r="AC3299" s="236" t="e">
        <v>#N/A</v>
      </c>
      <c r="AD3299" s="236">
        <v>1.166853981390048E-2</v>
      </c>
    </row>
    <row r="3300" spans="23:30" x14ac:dyDescent="0.2">
      <c r="W3300" s="144"/>
      <c r="X3300" s="113" t="str">
        <f t="shared" si="111"/>
        <v>1w</v>
      </c>
      <c r="Y3300" s="106">
        <f>_xll.qlCalendarAdvance(Calendar,Y3299,X3300,"f",FALSE)</f>
        <v>62359</v>
      </c>
      <c r="Z3300" s="108">
        <f>_xll.qlCalendarAdvance(Calendar,Y3300,0&amp;"D")</f>
        <v>62359</v>
      </c>
      <c r="AA3300" s="109">
        <v>1.1672044556716443E-2</v>
      </c>
      <c r="AB3300" s="143">
        <f t="shared" si="112"/>
        <v>7.9936057773011271E-14</v>
      </c>
      <c r="AC3300" s="236" t="e">
        <v>#N/A</v>
      </c>
      <c r="AD3300" s="236">
        <v>1.1672044556636507E-2</v>
      </c>
    </row>
    <row r="3301" spans="23:30" x14ac:dyDescent="0.2">
      <c r="W3301" s="144"/>
      <c r="X3301" s="113" t="str">
        <f t="shared" si="111"/>
        <v>1w</v>
      </c>
      <c r="Y3301" s="106">
        <f>_xll.qlCalendarAdvance(Calendar,Y3300,X3301,"f",FALSE)</f>
        <v>62366</v>
      </c>
      <c r="Z3301" s="108">
        <f>_xll.qlCalendarAdvance(Calendar,Y3301,0&amp;"D")</f>
        <v>62366</v>
      </c>
      <c r="AA3301" s="109">
        <v>1.1675535011201887E-2</v>
      </c>
      <c r="AB3301" s="143">
        <f t="shared" si="112"/>
        <v>7.9936057773011271E-14</v>
      </c>
      <c r="AC3301" s="236" t="e">
        <v>#N/A</v>
      </c>
      <c r="AD3301" s="236">
        <v>1.1675535011121951E-2</v>
      </c>
    </row>
    <row r="3302" spans="23:30" x14ac:dyDescent="0.2">
      <c r="W3302" s="144"/>
      <c r="X3302" s="113" t="str">
        <f t="shared" si="111"/>
        <v>1w</v>
      </c>
      <c r="Y3302" s="106">
        <f>_xll.qlCalendarAdvance(Calendar,Y3301,X3302,"f",FALSE)</f>
        <v>62373</v>
      </c>
      <c r="Z3302" s="108">
        <f>_xll.qlCalendarAdvance(Calendar,Y3302,0&amp;"D")</f>
        <v>62373</v>
      </c>
      <c r="AA3302" s="109">
        <v>1.1679011177117005E-2</v>
      </c>
      <c r="AB3302" s="143">
        <f t="shared" si="112"/>
        <v>7.9936057773011271E-14</v>
      </c>
      <c r="AC3302" s="236" t="e">
        <v>#N/A</v>
      </c>
      <c r="AD3302" s="236">
        <v>1.1679011177037069E-2</v>
      </c>
    </row>
    <row r="3303" spans="23:30" x14ac:dyDescent="0.2">
      <c r="W3303" s="144"/>
      <c r="X3303" s="113" t="str">
        <f t="shared" si="111"/>
        <v>1w</v>
      </c>
      <c r="Y3303" s="106">
        <f>_xll.qlCalendarAdvance(Calendar,Y3302,X3303,"f",FALSE)</f>
        <v>62380</v>
      </c>
      <c r="Z3303" s="108">
        <f>_xll.qlCalendarAdvance(Calendar,Y3303,0&amp;"D")</f>
        <v>62380</v>
      </c>
      <c r="AA3303" s="109">
        <v>1.1682473054701603E-2</v>
      </c>
      <c r="AB3303" s="143">
        <f t="shared" si="112"/>
        <v>0</v>
      </c>
      <c r="AC3303" s="236" t="e">
        <v>#N/A</v>
      </c>
      <c r="AD3303" s="236">
        <v>1.1682473054701603E-2</v>
      </c>
    </row>
    <row r="3304" spans="23:30" x14ac:dyDescent="0.2">
      <c r="W3304" s="144"/>
      <c r="X3304" s="113" t="str">
        <f t="shared" si="111"/>
        <v>1w</v>
      </c>
      <c r="Y3304" s="106">
        <f>_xll.qlCalendarAdvance(Calendar,Y3303,X3304,"f",FALSE)</f>
        <v>62387</v>
      </c>
      <c r="Z3304" s="108">
        <f>_xll.qlCalendarAdvance(Calendar,Y3304,0&amp;"D")</f>
        <v>62387</v>
      </c>
      <c r="AA3304" s="109">
        <v>1.1685920643875747E-2</v>
      </c>
      <c r="AB3304" s="143">
        <f t="shared" si="112"/>
        <v>0</v>
      </c>
      <c r="AC3304" s="236" t="e">
        <v>#N/A</v>
      </c>
      <c r="AD3304" s="236">
        <v>1.1685920643875747E-2</v>
      </c>
    </row>
    <row r="3305" spans="23:30" x14ac:dyDescent="0.2">
      <c r="W3305" s="144"/>
      <c r="X3305" s="113" t="str">
        <f t="shared" si="111"/>
        <v>1w</v>
      </c>
      <c r="Y3305" s="106">
        <f>_xll.qlCalendarAdvance(Calendar,Y3304,X3305,"f",FALSE)</f>
        <v>62394</v>
      </c>
      <c r="Z3305" s="108">
        <f>_xll.qlCalendarAdvance(Calendar,Y3305,0&amp;"D")</f>
        <v>62394</v>
      </c>
      <c r="AA3305" s="109">
        <v>1.1689353944879244E-2</v>
      </c>
      <c r="AB3305" s="143">
        <f t="shared" si="112"/>
        <v>0</v>
      </c>
      <c r="AC3305" s="236" t="e">
        <v>#N/A</v>
      </c>
      <c r="AD3305" s="236">
        <v>1.1689353944879244E-2</v>
      </c>
    </row>
    <row r="3306" spans="23:30" x14ac:dyDescent="0.2">
      <c r="W3306" s="144"/>
      <c r="X3306" s="113" t="str">
        <f t="shared" si="111"/>
        <v>1w</v>
      </c>
      <c r="Y3306" s="106">
        <f>_xll.qlCalendarAdvance(Calendar,Y3305,X3306,"f",FALSE)</f>
        <v>62401</v>
      </c>
      <c r="Z3306" s="108">
        <f>_xll.qlCalendarAdvance(Calendar,Y3306,0&amp;"D")</f>
        <v>62401</v>
      </c>
      <c r="AA3306" s="109">
        <v>1.169277295739235E-2</v>
      </c>
      <c r="AB3306" s="143">
        <f t="shared" si="112"/>
        <v>0</v>
      </c>
      <c r="AC3306" s="236" t="e">
        <v>#N/A</v>
      </c>
      <c r="AD3306" s="236">
        <v>1.169277295739235E-2</v>
      </c>
    </row>
    <row r="3307" spans="23:30" x14ac:dyDescent="0.2">
      <c r="W3307" s="144"/>
      <c r="X3307" s="113" t="str">
        <f t="shared" si="111"/>
        <v>1w</v>
      </c>
      <c r="Y3307" s="106">
        <f>_xll.qlCalendarAdvance(Calendar,Y3306,X3307,"f",FALSE)</f>
        <v>62408</v>
      </c>
      <c r="Z3307" s="108">
        <f>_xll.qlCalendarAdvance(Calendar,Y3307,0&amp;"D")</f>
        <v>62408</v>
      </c>
      <c r="AA3307" s="109">
        <v>1.1696177681415065E-2</v>
      </c>
      <c r="AB3307" s="143">
        <f t="shared" si="112"/>
        <v>-7.9936057773011271E-14</v>
      </c>
      <c r="AC3307" s="236" t="e">
        <v>#N/A</v>
      </c>
      <c r="AD3307" s="236">
        <v>1.1696177681495001E-2</v>
      </c>
    </row>
    <row r="3308" spans="23:30" x14ac:dyDescent="0.2">
      <c r="W3308" s="144"/>
      <c r="X3308" s="113" t="str">
        <f t="shared" si="111"/>
        <v>1w</v>
      </c>
      <c r="Y3308" s="106">
        <f>_xll.qlCalendarAdvance(Calendar,Y3307,X3308,"f",FALSE)</f>
        <v>62415</v>
      </c>
      <c r="Z3308" s="108">
        <f>_xll.qlCalendarAdvance(Calendar,Y3308,0&amp;"D")</f>
        <v>62415</v>
      </c>
      <c r="AA3308" s="109">
        <v>1.1699568117187198E-2</v>
      </c>
      <c r="AB3308" s="143">
        <f t="shared" si="112"/>
        <v>0</v>
      </c>
      <c r="AC3308" s="236" t="e">
        <v>#N/A</v>
      </c>
      <c r="AD3308" s="236">
        <v>1.1699568117187198E-2</v>
      </c>
    </row>
    <row r="3309" spans="23:30" x14ac:dyDescent="0.2">
      <c r="W3309" s="144"/>
      <c r="X3309" s="113" t="str">
        <f t="shared" si="111"/>
        <v>1w</v>
      </c>
      <c r="Y3309" s="106">
        <f>_xll.qlCalendarAdvance(Calendar,Y3308,X3309,"f",FALSE)</f>
        <v>62422</v>
      </c>
      <c r="Z3309" s="108">
        <f>_xll.qlCalendarAdvance(Calendar,Y3309,0&amp;"D")</f>
        <v>62422</v>
      </c>
      <c r="AA3309" s="109">
        <v>1.1702944264628812E-2</v>
      </c>
      <c r="AB3309" s="143">
        <f t="shared" si="112"/>
        <v>0</v>
      </c>
      <c r="AC3309" s="236" t="e">
        <v>#N/A</v>
      </c>
      <c r="AD3309" s="236">
        <v>1.1702944264628812E-2</v>
      </c>
    </row>
    <row r="3310" spans="23:30" x14ac:dyDescent="0.2">
      <c r="W3310" s="144"/>
      <c r="X3310" s="113" t="str">
        <f t="shared" si="111"/>
        <v>1w</v>
      </c>
      <c r="Y3310" s="106">
        <f>_xll.qlCalendarAdvance(Calendar,Y3309,X3310,"f",FALSE)</f>
        <v>62429</v>
      </c>
      <c r="Z3310" s="108">
        <f>_xll.qlCalendarAdvance(Calendar,Y3310,0&amp;"D")</f>
        <v>62429</v>
      </c>
      <c r="AA3310" s="109">
        <v>1.1706306123659971E-2</v>
      </c>
      <c r="AB3310" s="143">
        <f t="shared" si="112"/>
        <v>0</v>
      </c>
      <c r="AC3310" s="236" t="e">
        <v>#N/A</v>
      </c>
      <c r="AD3310" s="236">
        <v>1.1706306123659971E-2</v>
      </c>
    </row>
    <row r="3311" spans="23:30" x14ac:dyDescent="0.2">
      <c r="W3311" s="144"/>
      <c r="X3311" s="113" t="str">
        <f t="shared" si="111"/>
        <v>1w</v>
      </c>
      <c r="Y3311" s="106">
        <f>_xll.qlCalendarAdvance(Calendar,Y3310,X3311,"f",FALSE)</f>
        <v>62436</v>
      </c>
      <c r="Z3311" s="108">
        <f>_xll.qlCalendarAdvance(Calendar,Y3311,0&amp;"D")</f>
        <v>62436</v>
      </c>
      <c r="AA3311" s="109">
        <v>1.1709653694040867E-2</v>
      </c>
      <c r="AB3311" s="143">
        <f t="shared" si="112"/>
        <v>-7.9936057773011271E-14</v>
      </c>
      <c r="AC3311" s="236" t="e">
        <v>#N/A</v>
      </c>
      <c r="AD3311" s="236">
        <v>1.1709653694120803E-2</v>
      </c>
    </row>
    <row r="3312" spans="23:30" x14ac:dyDescent="0.2">
      <c r="W3312" s="144"/>
      <c r="X3312" s="113" t="str">
        <f t="shared" si="111"/>
        <v>1w</v>
      </c>
      <c r="Y3312" s="106">
        <f>_xll.qlCalendarAdvance(Calendar,Y3311,X3312,"f",FALSE)</f>
        <v>62443</v>
      </c>
      <c r="Z3312" s="108">
        <f>_xll.qlCalendarAdvance(Calendar,Y3312,0&amp;"D")</f>
        <v>62443</v>
      </c>
      <c r="AA3312" s="109">
        <v>1.1712986976331052E-2</v>
      </c>
      <c r="AB3312" s="143">
        <f t="shared" si="112"/>
        <v>-7.9936057773011271E-14</v>
      </c>
      <c r="AC3312" s="236" t="e">
        <v>#N/A</v>
      </c>
      <c r="AD3312" s="236">
        <v>1.1712986976410988E-2</v>
      </c>
    </row>
    <row r="3313" spans="23:30" x14ac:dyDescent="0.2">
      <c r="W3313" s="144"/>
      <c r="X3313" s="113" t="str">
        <f t="shared" si="111"/>
        <v>1w</v>
      </c>
      <c r="Y3313" s="106">
        <f>_xll.qlCalendarAdvance(Calendar,Y3312,X3313,"f",FALSE)</f>
        <v>62450</v>
      </c>
      <c r="Z3313" s="108">
        <f>_xll.qlCalendarAdvance(Calendar,Y3313,0&amp;"D")</f>
        <v>62450</v>
      </c>
      <c r="AA3313" s="109">
        <v>1.1716305970210783E-2</v>
      </c>
      <c r="AB3313" s="143">
        <f t="shared" si="112"/>
        <v>0</v>
      </c>
      <c r="AC3313" s="236" t="e">
        <v>#N/A</v>
      </c>
      <c r="AD3313" s="236">
        <v>1.1716305970210783E-2</v>
      </c>
    </row>
    <row r="3314" spans="23:30" x14ac:dyDescent="0.2">
      <c r="W3314" s="144"/>
      <c r="X3314" s="113" t="str">
        <f t="shared" si="111"/>
        <v>1w</v>
      </c>
      <c r="Y3314" s="106">
        <f>_xll.qlCalendarAdvance(Calendar,Y3313,X3314,"f",FALSE)</f>
        <v>62457</v>
      </c>
      <c r="Z3314" s="108">
        <f>_xll.qlCalendarAdvance(Calendar,Y3314,0&amp;"D")</f>
        <v>62457</v>
      </c>
      <c r="AA3314" s="109">
        <v>1.1719610675839931E-2</v>
      </c>
      <c r="AB3314" s="143">
        <f t="shared" si="112"/>
        <v>7.9936057773011271E-14</v>
      </c>
      <c r="AC3314" s="236" t="e">
        <v>#N/A</v>
      </c>
      <c r="AD3314" s="236">
        <v>1.1719610675759995E-2</v>
      </c>
    </row>
    <row r="3315" spans="23:30" x14ac:dyDescent="0.2">
      <c r="W3315" s="144"/>
      <c r="X3315" s="113" t="str">
        <f t="shared" si="111"/>
        <v>1w</v>
      </c>
      <c r="Y3315" s="106">
        <f>_xll.qlCalendarAdvance(Calendar,Y3314,X3315,"f",FALSE)</f>
        <v>62464</v>
      </c>
      <c r="Z3315" s="108">
        <f>_xll.qlCalendarAdvance(Calendar,Y3315,0&amp;"D")</f>
        <v>62464</v>
      </c>
      <c r="AA3315" s="109">
        <v>1.172290109273888E-2</v>
      </c>
      <c r="AB3315" s="143">
        <f t="shared" si="112"/>
        <v>-7.9936057773011271E-14</v>
      </c>
      <c r="AC3315" s="236" t="e">
        <v>#N/A</v>
      </c>
      <c r="AD3315" s="236">
        <v>1.1722901092818816E-2</v>
      </c>
    </row>
    <row r="3316" spans="23:30" x14ac:dyDescent="0.2">
      <c r="W3316" s="144"/>
      <c r="X3316" s="113" t="str">
        <f t="shared" si="111"/>
        <v>1w</v>
      </c>
      <c r="Y3316" s="106">
        <f>_xll.qlCalendarAdvance(Calendar,Y3315,X3316,"f",FALSE)</f>
        <v>62471</v>
      </c>
      <c r="Z3316" s="108">
        <f>_xll.qlCalendarAdvance(Calendar,Y3316,0&amp;"D")</f>
        <v>62471</v>
      </c>
      <c r="AA3316" s="109">
        <v>1.1726177221547118E-2</v>
      </c>
      <c r="AB3316" s="143">
        <f t="shared" si="112"/>
        <v>0</v>
      </c>
      <c r="AC3316" s="236" t="e">
        <v>#N/A</v>
      </c>
      <c r="AD3316" s="236">
        <v>1.1726177221547118E-2</v>
      </c>
    </row>
    <row r="3317" spans="23:30" x14ac:dyDescent="0.2">
      <c r="W3317" s="144"/>
      <c r="X3317" s="113" t="str">
        <f t="shared" si="111"/>
        <v>1w</v>
      </c>
      <c r="Y3317" s="106">
        <f>_xll.qlCalendarAdvance(Calendar,Y3316,X3317,"f",FALSE)</f>
        <v>62478</v>
      </c>
      <c r="Z3317" s="108">
        <f>_xll.qlCalendarAdvance(Calendar,Y3317,0&amp;"D")</f>
        <v>62478</v>
      </c>
      <c r="AA3317" s="109">
        <v>1.1729439061864966E-2</v>
      </c>
      <c r="AB3317" s="143">
        <f t="shared" si="112"/>
        <v>7.9936057773011271E-14</v>
      </c>
      <c r="AC3317" s="236" t="e">
        <v>#N/A</v>
      </c>
      <c r="AD3317" s="236">
        <v>1.172943906178503E-2</v>
      </c>
    </row>
    <row r="3318" spans="23:30" x14ac:dyDescent="0.2">
      <c r="W3318" s="144"/>
      <c r="X3318" s="113" t="str">
        <f t="shared" si="111"/>
        <v>1w</v>
      </c>
      <c r="Y3318" s="106">
        <f>_xll.qlCalendarAdvance(Calendar,Y3317,X3318,"f",FALSE)</f>
        <v>62485</v>
      </c>
      <c r="Z3318" s="108">
        <f>_xll.qlCalendarAdvance(Calendar,Y3318,0&amp;"D")</f>
        <v>62485</v>
      </c>
      <c r="AA3318" s="109">
        <v>1.1732686613772358E-2</v>
      </c>
      <c r="AB3318" s="143">
        <f t="shared" si="112"/>
        <v>0</v>
      </c>
      <c r="AC3318" s="236" t="e">
        <v>#N/A</v>
      </c>
      <c r="AD3318" s="236">
        <v>1.1732686613772358E-2</v>
      </c>
    </row>
    <row r="3319" spans="23:30" x14ac:dyDescent="0.2">
      <c r="W3319" s="144"/>
      <c r="X3319" s="113" t="str">
        <f t="shared" si="111"/>
        <v>1w</v>
      </c>
      <c r="Y3319" s="106">
        <f>_xll.qlCalendarAdvance(Calendar,Y3318,X3319,"f",FALSE)</f>
        <v>62492</v>
      </c>
      <c r="Z3319" s="108">
        <f>_xll.qlCalendarAdvance(Calendar,Y3319,0&amp;"D")</f>
        <v>62492</v>
      </c>
      <c r="AA3319" s="109">
        <v>1.1735919877269296E-2</v>
      </c>
      <c r="AB3319" s="143">
        <f t="shared" si="112"/>
        <v>-7.9936057773011271E-14</v>
      </c>
      <c r="AC3319" s="236" t="e">
        <v>#N/A</v>
      </c>
      <c r="AD3319" s="236">
        <v>1.1735919877349232E-2</v>
      </c>
    </row>
    <row r="3320" spans="23:30" x14ac:dyDescent="0.2">
      <c r="W3320" s="144"/>
      <c r="X3320" s="113" t="str">
        <f t="shared" si="111"/>
        <v>1w</v>
      </c>
      <c r="Y3320" s="106">
        <f>_xll.qlCalendarAdvance(Calendar,Y3319,X3320,"f",FALSE)</f>
        <v>62499</v>
      </c>
      <c r="Z3320" s="108">
        <f>_xll.qlCalendarAdvance(Calendar,Y3320,0&amp;"D")</f>
        <v>62499</v>
      </c>
      <c r="AA3320" s="109">
        <v>1.1739138852515651E-2</v>
      </c>
      <c r="AB3320" s="143">
        <f t="shared" si="112"/>
        <v>0</v>
      </c>
      <c r="AC3320" s="236" t="e">
        <v>#N/A</v>
      </c>
      <c r="AD3320" s="236">
        <v>1.1739138852515651E-2</v>
      </c>
    </row>
    <row r="3321" spans="23:30" x14ac:dyDescent="0.2">
      <c r="W3321" s="144"/>
      <c r="X3321" s="113" t="str">
        <f t="shared" si="111"/>
        <v>1w</v>
      </c>
      <c r="Y3321" s="106">
        <f>_xll.qlCalendarAdvance(Calendar,Y3320,X3321,"f",FALSE)</f>
        <v>62506</v>
      </c>
      <c r="Z3321" s="108">
        <f>_xll.qlCalendarAdvance(Calendar,Y3321,0&amp;"D")</f>
        <v>62506</v>
      </c>
      <c r="AA3321" s="109">
        <v>1.1742343539271616E-2</v>
      </c>
      <c r="AB3321" s="143">
        <f t="shared" si="112"/>
        <v>-7.9936057773011271E-14</v>
      </c>
      <c r="AC3321" s="236" t="e">
        <v>#N/A</v>
      </c>
      <c r="AD3321" s="236">
        <v>1.1742343539351552E-2</v>
      </c>
    </row>
    <row r="3322" spans="23:30" x14ac:dyDescent="0.2">
      <c r="W3322" s="144"/>
      <c r="X3322" s="113" t="str">
        <f t="shared" si="111"/>
        <v>1w</v>
      </c>
      <c r="Y3322" s="106">
        <f>_xll.qlCalendarAdvance(Calendar,Y3321,X3322,"f",FALSE)</f>
        <v>62513</v>
      </c>
      <c r="Z3322" s="108">
        <f>_xll.qlCalendarAdvance(Calendar,Y3322,0&amp;"D")</f>
        <v>62513</v>
      </c>
      <c r="AA3322" s="109">
        <v>1.1745533937617125E-2</v>
      </c>
      <c r="AB3322" s="143">
        <f t="shared" si="112"/>
        <v>0</v>
      </c>
      <c r="AC3322" s="236" t="e">
        <v>#N/A</v>
      </c>
      <c r="AD3322" s="236">
        <v>1.1745533937617125E-2</v>
      </c>
    </row>
    <row r="3323" spans="23:30" x14ac:dyDescent="0.2">
      <c r="W3323" s="144"/>
      <c r="X3323" s="113" t="str">
        <f t="shared" si="111"/>
        <v>1w</v>
      </c>
      <c r="Y3323" s="106">
        <f>_xll.qlCalendarAdvance(Calendar,Y3322,X3323,"f",FALSE)</f>
        <v>62520</v>
      </c>
      <c r="Z3323" s="108">
        <f>_xll.qlCalendarAdvance(Calendar,Y3323,0&amp;"D")</f>
        <v>62520</v>
      </c>
      <c r="AA3323" s="109">
        <v>1.1748710047791988E-2</v>
      </c>
      <c r="AB3323" s="143">
        <f t="shared" si="112"/>
        <v>7.9936057773011271E-14</v>
      </c>
      <c r="AC3323" s="236" t="e">
        <v>#N/A</v>
      </c>
      <c r="AD3323" s="236">
        <v>1.1748710047712052E-2</v>
      </c>
    </row>
    <row r="3324" spans="23:30" x14ac:dyDescent="0.2">
      <c r="W3324" s="144"/>
      <c r="X3324" s="113" t="str">
        <f t="shared" si="111"/>
        <v>1w</v>
      </c>
      <c r="Y3324" s="106">
        <f>_xll.qlCalendarAdvance(Calendar,Y3323,X3324,"f",FALSE)</f>
        <v>62527</v>
      </c>
      <c r="Z3324" s="108">
        <f>_xll.qlCalendarAdvance(Calendar,Y3324,0&amp;"D")</f>
        <v>62527</v>
      </c>
      <c r="AA3324" s="109">
        <v>1.175187186947646E-2</v>
      </c>
      <c r="AB3324" s="143">
        <f t="shared" si="112"/>
        <v>7.9936057773011271E-14</v>
      </c>
      <c r="AC3324" s="236" t="e">
        <v>#N/A</v>
      </c>
      <c r="AD3324" s="236">
        <v>1.1751871869396524E-2</v>
      </c>
    </row>
    <row r="3325" spans="23:30" x14ac:dyDescent="0.2">
      <c r="W3325" s="144"/>
      <c r="X3325" s="113" t="str">
        <f t="shared" si="111"/>
        <v>1w</v>
      </c>
      <c r="Y3325" s="106">
        <f>_xll.qlCalendarAdvance(Calendar,Y3324,X3325,"f",FALSE)</f>
        <v>62534</v>
      </c>
      <c r="Z3325" s="108">
        <f>_xll.qlCalendarAdvance(Calendar,Y3325,0&amp;"D")</f>
        <v>62534</v>
      </c>
      <c r="AA3325" s="109">
        <v>1.1755019402510669E-2</v>
      </c>
      <c r="AB3325" s="143">
        <f t="shared" si="112"/>
        <v>0</v>
      </c>
      <c r="AC3325" s="236" t="e">
        <v>#N/A</v>
      </c>
      <c r="AD3325" s="236">
        <v>1.1755019402510669E-2</v>
      </c>
    </row>
    <row r="3326" spans="23:30" x14ac:dyDescent="0.2">
      <c r="W3326" s="144"/>
      <c r="X3326" s="113" t="str">
        <f t="shared" si="111"/>
        <v>1w</v>
      </c>
      <c r="Y3326" s="106">
        <f>_xll.qlCalendarAdvance(Calendar,Y3325,X3326,"f",FALSE)</f>
        <v>62541</v>
      </c>
      <c r="Z3326" s="108">
        <f>_xll.qlCalendarAdvance(Calendar,Y3326,0&amp;"D")</f>
        <v>62541</v>
      </c>
      <c r="AA3326" s="109">
        <v>1.1758152647454168E-2</v>
      </c>
      <c r="AB3326" s="143">
        <f t="shared" si="112"/>
        <v>7.9936057773011271E-14</v>
      </c>
      <c r="AC3326" s="236" t="e">
        <v>#N/A</v>
      </c>
      <c r="AD3326" s="236">
        <v>1.1758152647374231E-2</v>
      </c>
    </row>
    <row r="3327" spans="23:30" x14ac:dyDescent="0.2">
      <c r="W3327" s="144"/>
      <c r="X3327" s="113" t="str">
        <f t="shared" si="111"/>
        <v>1w</v>
      </c>
      <c r="Y3327" s="106">
        <f>_xll.qlCalendarAdvance(Calendar,Y3326,X3327,"f",FALSE)</f>
        <v>62548</v>
      </c>
      <c r="Z3327" s="108">
        <f>_xll.qlCalendarAdvance(Calendar,Y3327,0&amp;"D")</f>
        <v>62548</v>
      </c>
      <c r="AA3327" s="109">
        <v>1.1761271603827339E-2</v>
      </c>
      <c r="AB3327" s="143">
        <f t="shared" si="112"/>
        <v>-7.9936057773011271E-14</v>
      </c>
      <c r="AC3327" s="236" t="e">
        <v>#N/A</v>
      </c>
      <c r="AD3327" s="236">
        <v>1.1761271603907275E-2</v>
      </c>
    </row>
    <row r="3328" spans="23:30" x14ac:dyDescent="0.2">
      <c r="W3328" s="144"/>
      <c r="X3328" s="113" t="str">
        <f t="shared" si="111"/>
        <v>1w</v>
      </c>
      <c r="Y3328" s="106">
        <f>_xll.qlCalendarAdvance(Calendar,Y3327,X3328,"f",FALSE)</f>
        <v>62555</v>
      </c>
      <c r="Z3328" s="108">
        <f>_xll.qlCalendarAdvance(Calendar,Y3328,0&amp;"D")</f>
        <v>62555</v>
      </c>
      <c r="AA3328" s="109">
        <v>1.1764376271949928E-2</v>
      </c>
      <c r="AB3328" s="143">
        <f t="shared" si="112"/>
        <v>-7.9936057773011271E-14</v>
      </c>
      <c r="AC3328" s="236" t="e">
        <v>#N/A</v>
      </c>
      <c r="AD3328" s="236">
        <v>1.1764376272029864E-2</v>
      </c>
    </row>
    <row r="3329" spans="23:30" x14ac:dyDescent="0.2">
      <c r="W3329" s="144"/>
      <c r="X3329" s="113" t="str">
        <f t="shared" si="111"/>
        <v>1w</v>
      </c>
      <c r="Y3329" s="106">
        <f>_xll.qlCalendarAdvance(Calendar,Y3328,X3329,"f",FALSE)</f>
        <v>62562</v>
      </c>
      <c r="Z3329" s="108">
        <f>_xll.qlCalendarAdvance(Calendar,Y3329,0&amp;"D")</f>
        <v>62562</v>
      </c>
      <c r="AA3329" s="109">
        <v>1.1767466651741998E-2</v>
      </c>
      <c r="AB3329" s="143">
        <f t="shared" si="112"/>
        <v>0</v>
      </c>
      <c r="AC3329" s="236" t="e">
        <v>#N/A</v>
      </c>
      <c r="AD3329" s="236">
        <v>1.1767466651741998E-2</v>
      </c>
    </row>
    <row r="3330" spans="23:30" x14ac:dyDescent="0.2">
      <c r="W3330" s="144"/>
      <c r="X3330" s="113" t="str">
        <f t="shared" si="111"/>
        <v>1w</v>
      </c>
      <c r="Y3330" s="106">
        <f>_xll.qlCalendarAdvance(Calendar,Y3329,X3330,"f",FALSE)</f>
        <v>62569</v>
      </c>
      <c r="Z3330" s="108">
        <f>_xll.qlCalendarAdvance(Calendar,Y3330,0&amp;"D")</f>
        <v>62569</v>
      </c>
      <c r="AA3330" s="109">
        <v>1.1770542743043677E-2</v>
      </c>
      <c r="AB3330" s="143">
        <f t="shared" si="112"/>
        <v>0</v>
      </c>
      <c r="AC3330" s="236" t="e">
        <v>#N/A</v>
      </c>
      <c r="AD3330" s="236">
        <v>1.1770542743043677E-2</v>
      </c>
    </row>
    <row r="3331" spans="23:30" x14ac:dyDescent="0.2">
      <c r="W3331" s="144"/>
      <c r="X3331" s="113" t="str">
        <f t="shared" si="111"/>
        <v>1w</v>
      </c>
      <c r="Y3331" s="106">
        <f>_xll.qlCalendarAdvance(Calendar,Y3330,X3331,"f",FALSE)</f>
        <v>62576</v>
      </c>
      <c r="Z3331" s="108">
        <f>_xll.qlCalendarAdvance(Calendar,Y3331,0&amp;"D")</f>
        <v>62576</v>
      </c>
      <c r="AA3331" s="109">
        <v>1.1773604546094774E-2</v>
      </c>
      <c r="AB3331" s="143">
        <f t="shared" si="112"/>
        <v>7.9936057773011271E-14</v>
      </c>
      <c r="AC3331" s="236" t="e">
        <v>#N/A</v>
      </c>
      <c r="AD3331" s="236">
        <v>1.1773604546014838E-2</v>
      </c>
    </row>
    <row r="3332" spans="23:30" x14ac:dyDescent="0.2">
      <c r="W3332" s="144"/>
      <c r="X3332" s="113" t="str">
        <f t="shared" si="111"/>
        <v>1w</v>
      </c>
      <c r="Y3332" s="106">
        <f>_xll.qlCalendarAdvance(Calendar,Y3331,X3332,"f",FALSE)</f>
        <v>62583</v>
      </c>
      <c r="Z3332" s="108">
        <f>_xll.qlCalendarAdvance(Calendar,Y3332,0&amp;"D")</f>
        <v>62583</v>
      </c>
      <c r="AA3332" s="109">
        <v>1.1776652060575543E-2</v>
      </c>
      <c r="AB3332" s="143">
        <f t="shared" si="112"/>
        <v>7.9936057773011271E-14</v>
      </c>
      <c r="AC3332" s="236" t="e">
        <v>#N/A</v>
      </c>
      <c r="AD3332" s="236">
        <v>1.1776652060495607E-2</v>
      </c>
    </row>
    <row r="3333" spans="23:30" x14ac:dyDescent="0.2">
      <c r="W3333" s="144"/>
      <c r="X3333" s="113" t="str">
        <f t="shared" si="111"/>
        <v>1w</v>
      </c>
      <c r="Y3333" s="106">
        <f>_xll.qlCalendarAdvance(Calendar,Y3332,X3333,"f",FALSE)</f>
        <v>62590</v>
      </c>
      <c r="Z3333" s="108">
        <f>_xll.qlCalendarAdvance(Calendar,Y3333,0&amp;"D")</f>
        <v>62590</v>
      </c>
      <c r="AA3333" s="109">
        <v>1.1779685286565922E-2</v>
      </c>
      <c r="AB3333" s="143">
        <f t="shared" si="112"/>
        <v>-7.9936057773011271E-14</v>
      </c>
      <c r="AC3333" s="236" t="e">
        <v>#N/A</v>
      </c>
      <c r="AD3333" s="236">
        <v>1.1779685286645858E-2</v>
      </c>
    </row>
    <row r="3334" spans="23:30" x14ac:dyDescent="0.2">
      <c r="W3334" s="144"/>
      <c r="X3334" s="113" t="str">
        <f t="shared" si="111"/>
        <v>1w</v>
      </c>
      <c r="Y3334" s="106">
        <f>_xll.qlCalendarAdvance(Calendar,Y3333,X3334,"f",FALSE)</f>
        <v>62597</v>
      </c>
      <c r="Z3334" s="108">
        <f>_xll.qlCalendarAdvance(Calendar,Y3334,0&amp;"D")</f>
        <v>62597</v>
      </c>
      <c r="AA3334" s="109">
        <v>1.1782704224305718E-2</v>
      </c>
      <c r="AB3334" s="143">
        <f t="shared" si="112"/>
        <v>-7.9936057773011271E-14</v>
      </c>
      <c r="AC3334" s="236" t="e">
        <v>#N/A</v>
      </c>
      <c r="AD3334" s="236">
        <v>1.1782704224385654E-2</v>
      </c>
    </row>
    <row r="3335" spans="23:30" x14ac:dyDescent="0.2">
      <c r="W3335" s="144"/>
      <c r="X3335" s="113" t="str">
        <f t="shared" si="111"/>
        <v>1w</v>
      </c>
      <c r="Y3335" s="106">
        <f>_xll.qlCalendarAdvance(Calendar,Y3334,X3335,"f",FALSE)</f>
        <v>62604</v>
      </c>
      <c r="Z3335" s="108">
        <f>_xll.qlCalendarAdvance(Calendar,Y3335,0&amp;"D")</f>
        <v>62604</v>
      </c>
      <c r="AA3335" s="109">
        <v>1.1785708873874867E-2</v>
      </c>
      <c r="AB3335" s="143">
        <f t="shared" si="112"/>
        <v>7.9936057773011271E-14</v>
      </c>
      <c r="AC3335" s="236" t="e">
        <v>#N/A</v>
      </c>
      <c r="AD3335" s="236">
        <v>1.1785708873794931E-2</v>
      </c>
    </row>
    <row r="3336" spans="23:30" x14ac:dyDescent="0.2">
      <c r="W3336" s="144"/>
      <c r="X3336" s="113" t="str">
        <f t="shared" si="111"/>
        <v>1w</v>
      </c>
      <c r="Y3336" s="106">
        <f>_xll.qlCalendarAdvance(Calendar,Y3335,X3336,"f",FALSE)</f>
        <v>62611</v>
      </c>
      <c r="Z3336" s="108">
        <f>_xll.qlCalendarAdvance(Calendar,Y3336,0&amp;"D")</f>
        <v>62611</v>
      </c>
      <c r="AA3336" s="109">
        <v>1.1788699234633881E-2</v>
      </c>
      <c r="AB3336" s="143">
        <f t="shared" si="112"/>
        <v>-7.9936057773011271E-14</v>
      </c>
      <c r="AC3336" s="236" t="e">
        <v>#N/A</v>
      </c>
      <c r="AD3336" s="236">
        <v>1.1788699234713818E-2</v>
      </c>
    </row>
    <row r="3337" spans="23:30" x14ac:dyDescent="0.2">
      <c r="W3337" s="144"/>
      <c r="X3337" s="113" t="str">
        <f t="shared" si="111"/>
        <v>1w</v>
      </c>
      <c r="Y3337" s="106">
        <f>_xll.qlCalendarAdvance(Calendar,Y3336,X3337,"f",FALSE)</f>
        <v>62618</v>
      </c>
      <c r="Z3337" s="108">
        <f>_xll.qlCalendarAdvance(Calendar,Y3337,0&amp;"D")</f>
        <v>62618</v>
      </c>
      <c r="AA3337" s="109">
        <v>1.1791675307302185E-2</v>
      </c>
      <c r="AB3337" s="143">
        <f t="shared" si="112"/>
        <v>-7.9936057773011271E-14</v>
      </c>
      <c r="AC3337" s="236" t="e">
        <v>#N/A</v>
      </c>
      <c r="AD3337" s="236">
        <v>1.1791675307382121E-2</v>
      </c>
    </row>
    <row r="3338" spans="23:30" x14ac:dyDescent="0.2">
      <c r="W3338" s="144"/>
      <c r="X3338" s="113" t="str">
        <f t="shared" si="111"/>
        <v>1w</v>
      </c>
      <c r="Y3338" s="106">
        <f>_xll.qlCalendarAdvance(Calendar,Y3337,X3338,"f",FALSE)</f>
        <v>62625</v>
      </c>
      <c r="Z3338" s="108">
        <f>_xll.qlCalendarAdvance(Calendar,Y3338,0&amp;"D")</f>
        <v>62625</v>
      </c>
      <c r="AA3338" s="109">
        <v>1.1794637091719906E-2</v>
      </c>
      <c r="AB3338" s="143">
        <f t="shared" si="112"/>
        <v>7.9936057773011271E-14</v>
      </c>
      <c r="AC3338" s="236" t="e">
        <v>#N/A</v>
      </c>
      <c r="AD3338" s="236">
        <v>1.179463709163997E-2</v>
      </c>
    </row>
    <row r="3339" spans="23:30" x14ac:dyDescent="0.2">
      <c r="W3339" s="144"/>
      <c r="X3339" s="113" t="str">
        <f t="shared" si="111"/>
        <v>1w</v>
      </c>
      <c r="Y3339" s="106">
        <f>_xll.qlCalendarAdvance(Calendar,Y3338,X3339,"f",FALSE)</f>
        <v>62632</v>
      </c>
      <c r="Z3339" s="108">
        <f>_xll.qlCalendarAdvance(Calendar,Y3339,0&amp;"D")</f>
        <v>62632</v>
      </c>
      <c r="AA3339" s="109">
        <v>1.1797584587247556E-2</v>
      </c>
      <c r="AB3339" s="143">
        <f t="shared" si="112"/>
        <v>-7.9936057773011271E-14</v>
      </c>
      <c r="AC3339" s="236" t="e">
        <v>#N/A</v>
      </c>
      <c r="AD3339" s="236">
        <v>1.1797584587327492E-2</v>
      </c>
    </row>
    <row r="3340" spans="23:30" x14ac:dyDescent="0.2">
      <c r="W3340" s="144"/>
      <c r="X3340" s="113" t="str">
        <f t="shared" si="111"/>
        <v>1w</v>
      </c>
      <c r="Y3340" s="106">
        <f>_xll.qlCalendarAdvance(Calendar,Y3339,X3340,"f",FALSE)</f>
        <v>62639</v>
      </c>
      <c r="Z3340" s="108">
        <f>_xll.qlCalendarAdvance(Calendar,Y3340,0&amp;"D")</f>
        <v>62639</v>
      </c>
      <c r="AA3340" s="109">
        <v>1.1800517794844367E-2</v>
      </c>
      <c r="AB3340" s="143">
        <f t="shared" si="112"/>
        <v>7.9936057773011271E-14</v>
      </c>
      <c r="AC3340" s="236" t="e">
        <v>#N/A</v>
      </c>
      <c r="AD3340" s="236">
        <v>1.1800517794764431E-2</v>
      </c>
    </row>
    <row r="3341" spans="23:30" x14ac:dyDescent="0.2">
      <c r="W3341" s="144"/>
      <c r="X3341" s="113" t="str">
        <f t="shared" ref="X3341:X3404" si="113">X3340</f>
        <v>1w</v>
      </c>
      <c r="Y3341" s="106">
        <f>_xll.qlCalendarAdvance(Calendar,Y3340,X3341,"f",FALSE)</f>
        <v>62646</v>
      </c>
      <c r="Z3341" s="108">
        <f>_xll.qlCalendarAdvance(Calendar,Y3341,0&amp;"D")</f>
        <v>62646</v>
      </c>
      <c r="AA3341" s="109">
        <v>1.1803436714030724E-2</v>
      </c>
      <c r="AB3341" s="143">
        <f t="shared" si="112"/>
        <v>7.9936057773011271E-14</v>
      </c>
      <c r="AC3341" s="236" t="e">
        <v>#N/A</v>
      </c>
      <c r="AD3341" s="236">
        <v>1.1803436713950788E-2</v>
      </c>
    </row>
    <row r="3342" spans="23:30" x14ac:dyDescent="0.2">
      <c r="W3342" s="144"/>
      <c r="X3342" s="113" t="str">
        <f t="shared" si="113"/>
        <v>1w</v>
      </c>
      <c r="Y3342" s="106">
        <f>_xll.qlCalendarAdvance(Calendar,Y3341,X3342,"f",FALSE)</f>
        <v>62653</v>
      </c>
      <c r="Z3342" s="108">
        <f>_xll.qlCalendarAdvance(Calendar,Y3342,0&amp;"D")</f>
        <v>62653</v>
      </c>
      <c r="AA3342" s="109">
        <v>1.1806341344566817E-2</v>
      </c>
      <c r="AB3342" s="143">
        <f t="shared" si="112"/>
        <v>0</v>
      </c>
      <c r="AC3342" s="236" t="e">
        <v>#N/A</v>
      </c>
      <c r="AD3342" s="236">
        <v>1.1806341344566817E-2</v>
      </c>
    </row>
    <row r="3343" spans="23:30" x14ac:dyDescent="0.2">
      <c r="W3343" s="144"/>
      <c r="X3343" s="113" t="str">
        <f t="shared" si="113"/>
        <v>1w</v>
      </c>
      <c r="Y3343" s="106">
        <f>_xll.qlCalendarAdvance(Calendar,Y3342,X3343,"f",FALSE)</f>
        <v>62660</v>
      </c>
      <c r="Z3343" s="108">
        <f>_xll.qlCalendarAdvance(Calendar,Y3343,0&amp;"D")</f>
        <v>62660</v>
      </c>
      <c r="AA3343" s="109">
        <v>1.1809231686852328E-2</v>
      </c>
      <c r="AB3343" s="143">
        <f t="shared" si="112"/>
        <v>7.9936057773011271E-14</v>
      </c>
      <c r="AC3343" s="236" t="e">
        <v>#N/A</v>
      </c>
      <c r="AD3343" s="236">
        <v>1.1809231686772392E-2</v>
      </c>
    </row>
    <row r="3344" spans="23:30" x14ac:dyDescent="0.2">
      <c r="W3344" s="144"/>
      <c r="X3344" s="113" t="str">
        <f t="shared" si="113"/>
        <v>1w</v>
      </c>
      <c r="Y3344" s="106">
        <f>_xll.qlCalendarAdvance(Calendar,Y3343,X3344,"f",FALSE)</f>
        <v>62667</v>
      </c>
      <c r="Z3344" s="108">
        <f>_xll.qlCalendarAdvance(Calendar,Y3344,0&amp;"D")</f>
        <v>62667</v>
      </c>
      <c r="AA3344" s="109">
        <v>1.1812107740567512E-2</v>
      </c>
      <c r="AB3344" s="143">
        <f t="shared" si="112"/>
        <v>0</v>
      </c>
      <c r="AC3344" s="236" t="e">
        <v>#N/A</v>
      </c>
      <c r="AD3344" s="236">
        <v>1.1812107740567512E-2</v>
      </c>
    </row>
    <row r="3345" spans="23:30" x14ac:dyDescent="0.2">
      <c r="W3345" s="144"/>
      <c r="X3345" s="113" t="str">
        <f t="shared" si="113"/>
        <v>1w</v>
      </c>
      <c r="Y3345" s="106">
        <f>_xll.qlCalendarAdvance(Calendar,Y3344,X3345,"f",FALSE)</f>
        <v>62674</v>
      </c>
      <c r="Z3345" s="108">
        <f>_xll.qlCalendarAdvance(Calendar,Y3345,0&amp;"D")</f>
        <v>62674</v>
      </c>
      <c r="AA3345" s="109">
        <v>1.181496950611205E-2</v>
      </c>
      <c r="AB3345" s="143">
        <f t="shared" si="112"/>
        <v>0</v>
      </c>
      <c r="AC3345" s="236" t="e">
        <v>#N/A</v>
      </c>
      <c r="AD3345" s="236">
        <v>1.181496950611205E-2</v>
      </c>
    </row>
    <row r="3346" spans="23:30" x14ac:dyDescent="0.2">
      <c r="W3346" s="144"/>
      <c r="X3346" s="113" t="str">
        <f t="shared" si="113"/>
        <v>1w</v>
      </c>
      <c r="Y3346" s="106">
        <f>_xll.qlCalendarAdvance(Calendar,Y3345,X3346,"f",FALSE)</f>
        <v>62681</v>
      </c>
      <c r="Z3346" s="108">
        <f>_xll.qlCalendarAdvance(Calendar,Y3346,0&amp;"D")</f>
        <v>62681</v>
      </c>
      <c r="AA3346" s="109">
        <v>1.1817816983166196E-2</v>
      </c>
      <c r="AB3346" s="143">
        <f t="shared" si="112"/>
        <v>-7.9936057773011271E-14</v>
      </c>
      <c r="AC3346" s="236" t="e">
        <v>#N/A</v>
      </c>
      <c r="AD3346" s="236">
        <v>1.1817816983246132E-2</v>
      </c>
    </row>
    <row r="3347" spans="23:30" x14ac:dyDescent="0.2">
      <c r="W3347" s="144"/>
      <c r="X3347" s="113" t="str">
        <f t="shared" si="113"/>
        <v>1w</v>
      </c>
      <c r="Y3347" s="106">
        <f>_xll.qlCalendarAdvance(Calendar,Y3346,X3347,"f",FALSE)</f>
        <v>62688</v>
      </c>
      <c r="Z3347" s="108">
        <f>_xll.qlCalendarAdvance(Calendar,Y3347,0&amp;"D")</f>
        <v>62688</v>
      </c>
      <c r="AA3347" s="109">
        <v>1.1820650171889824E-2</v>
      </c>
      <c r="AB3347" s="143">
        <f t="shared" si="112"/>
        <v>7.9936057773011271E-14</v>
      </c>
      <c r="AC3347" s="236" t="e">
        <v>#N/A</v>
      </c>
      <c r="AD3347" s="236">
        <v>1.1820650171809888E-2</v>
      </c>
    </row>
    <row r="3348" spans="23:30" x14ac:dyDescent="0.2">
      <c r="W3348" s="144"/>
      <c r="X3348" s="113" t="str">
        <f t="shared" si="113"/>
        <v>1w</v>
      </c>
      <c r="Y3348" s="106">
        <f>_xll.qlCalendarAdvance(Calendar,Y3347,X3348,"f",FALSE)</f>
        <v>62695</v>
      </c>
      <c r="Z3348" s="108">
        <f>_xll.qlCalendarAdvance(Calendar,Y3348,0&amp;"D")</f>
        <v>62695</v>
      </c>
      <c r="AA3348" s="109">
        <v>1.1823469072202997E-2</v>
      </c>
      <c r="AB3348" s="143">
        <f t="shared" si="112"/>
        <v>7.9936057773011271E-14</v>
      </c>
      <c r="AC3348" s="236" t="e">
        <v>#N/A</v>
      </c>
      <c r="AD3348" s="236">
        <v>1.1823469072123061E-2</v>
      </c>
    </row>
    <row r="3349" spans="23:30" x14ac:dyDescent="0.2">
      <c r="W3349" s="144"/>
      <c r="X3349" s="113" t="str">
        <f t="shared" si="113"/>
        <v>1w</v>
      </c>
      <c r="Y3349" s="106">
        <f>_xll.qlCalendarAdvance(Calendar,Y3348,X3349,"f",FALSE)</f>
        <v>62702</v>
      </c>
      <c r="Z3349" s="108">
        <f>_xll.qlCalendarAdvance(Calendar,Y3349,0&amp;"D")</f>
        <v>62702</v>
      </c>
      <c r="AA3349" s="109">
        <v>1.1826273684025779E-2</v>
      </c>
      <c r="AB3349" s="143">
        <f t="shared" ref="AB3349:AB3412" si="114">AA3349-AD3349</f>
        <v>0</v>
      </c>
      <c r="AC3349" s="236" t="e">
        <v>#N/A</v>
      </c>
      <c r="AD3349" s="236">
        <v>1.1826273684025779E-2</v>
      </c>
    </row>
    <row r="3350" spans="23:30" x14ac:dyDescent="0.2">
      <c r="W3350" s="144"/>
      <c r="X3350" s="113" t="str">
        <f t="shared" si="113"/>
        <v>1w</v>
      </c>
      <c r="Y3350" s="106">
        <f>_xll.qlCalendarAdvance(Calendar,Y3349,X3350,"f",FALSE)</f>
        <v>62709</v>
      </c>
      <c r="Z3350" s="108">
        <f>_xll.qlCalendarAdvance(Calendar,Y3350,0&amp;"D")</f>
        <v>62709</v>
      </c>
      <c r="AA3350" s="109">
        <v>1.1829064007597978E-2</v>
      </c>
      <c r="AB3350" s="143">
        <f t="shared" si="114"/>
        <v>0</v>
      </c>
      <c r="AC3350" s="236" t="e">
        <v>#N/A</v>
      </c>
      <c r="AD3350" s="236">
        <v>1.1829064007597978E-2</v>
      </c>
    </row>
    <row r="3351" spans="23:30" x14ac:dyDescent="0.2">
      <c r="W3351" s="144"/>
      <c r="X3351" s="113" t="str">
        <f t="shared" si="113"/>
        <v>1w</v>
      </c>
      <c r="Y3351" s="106">
        <f>_xll.qlCalendarAdvance(Calendar,Y3350,X3351,"f",FALSE)</f>
        <v>62716</v>
      </c>
      <c r="Z3351" s="108">
        <f>_xll.qlCalendarAdvance(Calendar,Y3351,0&amp;"D")</f>
        <v>62716</v>
      </c>
      <c r="AA3351" s="109">
        <v>1.1831840042759723E-2</v>
      </c>
      <c r="AB3351" s="143">
        <f t="shared" si="114"/>
        <v>7.9936057773011271E-14</v>
      </c>
      <c r="AC3351" s="236" t="e">
        <v>#N/A</v>
      </c>
      <c r="AD3351" s="236">
        <v>1.1831840042679787E-2</v>
      </c>
    </row>
    <row r="3352" spans="23:30" x14ac:dyDescent="0.2">
      <c r="W3352" s="144"/>
      <c r="X3352" s="113" t="str">
        <f t="shared" si="113"/>
        <v>1w</v>
      </c>
      <c r="Y3352" s="106">
        <f>_xll.qlCalendarAdvance(Calendar,Y3351,X3352,"f",FALSE)</f>
        <v>62723</v>
      </c>
      <c r="Z3352" s="108">
        <f>_xll.qlCalendarAdvance(Calendar,Y3352,0&amp;"D")</f>
        <v>62723</v>
      </c>
      <c r="AA3352" s="109">
        <v>1.1834601789431076E-2</v>
      </c>
      <c r="AB3352" s="143">
        <f t="shared" si="114"/>
        <v>0</v>
      </c>
      <c r="AC3352" s="236" t="e">
        <v>#N/A</v>
      </c>
      <c r="AD3352" s="236">
        <v>1.1834601789431076E-2</v>
      </c>
    </row>
    <row r="3353" spans="23:30" x14ac:dyDescent="0.2">
      <c r="W3353" s="144"/>
      <c r="X3353" s="113" t="str">
        <f t="shared" si="113"/>
        <v>1w</v>
      </c>
      <c r="Y3353" s="106">
        <f>_xll.qlCalendarAdvance(Calendar,Y3352,X3353,"f",FALSE)</f>
        <v>62730</v>
      </c>
      <c r="Z3353" s="108">
        <f>_xll.qlCalendarAdvance(Calendar,Y3353,0&amp;"D")</f>
        <v>62730</v>
      </c>
      <c r="AA3353" s="109">
        <v>1.1837349247691975E-2</v>
      </c>
      <c r="AB3353" s="143">
        <f t="shared" si="114"/>
        <v>7.9936057773011271E-14</v>
      </c>
      <c r="AC3353" s="236" t="e">
        <v>#N/A</v>
      </c>
      <c r="AD3353" s="236">
        <v>1.1837349247612039E-2</v>
      </c>
    </row>
    <row r="3354" spans="23:30" x14ac:dyDescent="0.2">
      <c r="W3354" s="144"/>
      <c r="X3354" s="113" t="str">
        <f t="shared" si="113"/>
        <v>1w</v>
      </c>
      <c r="Y3354" s="106">
        <f>_xll.qlCalendarAdvance(Calendar,Y3353,X3354,"f",FALSE)</f>
        <v>62737</v>
      </c>
      <c r="Z3354" s="108">
        <f>_xll.qlCalendarAdvance(Calendar,Y3354,0&amp;"D")</f>
        <v>62737</v>
      </c>
      <c r="AA3354" s="109">
        <v>1.1840082417622355E-2</v>
      </c>
      <c r="AB3354" s="143">
        <f t="shared" si="114"/>
        <v>7.9936057773011271E-14</v>
      </c>
      <c r="AC3354" s="236" t="e">
        <v>#N/A</v>
      </c>
      <c r="AD3354" s="236">
        <v>1.1840082417542419E-2</v>
      </c>
    </row>
    <row r="3355" spans="23:30" x14ac:dyDescent="0.2">
      <c r="W3355" s="144"/>
      <c r="X3355" s="113" t="str">
        <f t="shared" si="113"/>
        <v>1w</v>
      </c>
      <c r="Y3355" s="106">
        <f>_xll.qlCalendarAdvance(Calendar,Y3354,X3355,"f",FALSE)</f>
        <v>62744</v>
      </c>
      <c r="Z3355" s="108">
        <f>_xll.qlCalendarAdvance(Calendar,Y3355,0&amp;"D")</f>
        <v>62744</v>
      </c>
      <c r="AA3355" s="109">
        <v>1.184280129914228E-2</v>
      </c>
      <c r="AB3355" s="143">
        <f t="shared" si="114"/>
        <v>7.9936057773011271E-14</v>
      </c>
      <c r="AC3355" s="236" t="e">
        <v>#N/A</v>
      </c>
      <c r="AD3355" s="236">
        <v>1.1842801299062344E-2</v>
      </c>
    </row>
    <row r="3356" spans="23:30" x14ac:dyDescent="0.2">
      <c r="W3356" s="144"/>
      <c r="X3356" s="113" t="str">
        <f t="shared" si="113"/>
        <v>1w</v>
      </c>
      <c r="Y3356" s="106">
        <f>_xll.qlCalendarAdvance(Calendar,Y3355,X3356,"f",FALSE)</f>
        <v>62751</v>
      </c>
      <c r="Z3356" s="108">
        <f>_xll.qlCalendarAdvance(Calendar,Y3356,0&amp;"D")</f>
        <v>62751</v>
      </c>
      <c r="AA3356" s="109">
        <v>1.1845505892331687E-2</v>
      </c>
      <c r="AB3356" s="143">
        <f t="shared" si="114"/>
        <v>0</v>
      </c>
      <c r="AC3356" s="236" t="e">
        <v>#N/A</v>
      </c>
      <c r="AD3356" s="236">
        <v>1.1845505892331687E-2</v>
      </c>
    </row>
    <row r="3357" spans="23:30" x14ac:dyDescent="0.2">
      <c r="W3357" s="144"/>
      <c r="X3357" s="113" t="str">
        <f t="shared" si="113"/>
        <v>1w</v>
      </c>
      <c r="Y3357" s="106">
        <f>_xll.qlCalendarAdvance(Calendar,Y3356,X3357,"f",FALSE)</f>
        <v>62758</v>
      </c>
      <c r="Z3357" s="108">
        <f>_xll.qlCalendarAdvance(Calendar,Y3357,0&amp;"D")</f>
        <v>62758</v>
      </c>
      <c r="AA3357" s="109">
        <v>1.1848196197030703E-2</v>
      </c>
      <c r="AB3357" s="143">
        <f t="shared" si="114"/>
        <v>7.9936057773011271E-14</v>
      </c>
      <c r="AC3357" s="236" t="e">
        <v>#N/A</v>
      </c>
      <c r="AD3357" s="236">
        <v>1.1848196196950767E-2</v>
      </c>
    </row>
    <row r="3358" spans="23:30" x14ac:dyDescent="0.2">
      <c r="W3358" s="144"/>
      <c r="X3358" s="113" t="str">
        <f t="shared" si="113"/>
        <v>1w</v>
      </c>
      <c r="Y3358" s="106">
        <f>_xll.qlCalendarAdvance(Calendar,Y3357,X3358,"f",FALSE)</f>
        <v>62765</v>
      </c>
      <c r="Z3358" s="108">
        <f>_xll.qlCalendarAdvance(Calendar,Y3358,0&amp;"D")</f>
        <v>62765</v>
      </c>
      <c r="AA3358" s="109">
        <v>1.1850872213319263E-2</v>
      </c>
      <c r="AB3358" s="143">
        <f t="shared" si="114"/>
        <v>-7.9936057773011271E-14</v>
      </c>
      <c r="AC3358" s="236" t="e">
        <v>#N/A</v>
      </c>
      <c r="AD3358" s="236">
        <v>1.1850872213399199E-2</v>
      </c>
    </row>
    <row r="3359" spans="23:30" x14ac:dyDescent="0.2">
      <c r="W3359" s="144"/>
      <c r="X3359" s="113" t="str">
        <f t="shared" si="113"/>
        <v>1w</v>
      </c>
      <c r="Y3359" s="106">
        <f>_xll.qlCalendarAdvance(Calendar,Y3358,X3359,"f",FALSE)</f>
        <v>62772</v>
      </c>
      <c r="Z3359" s="108">
        <f>_xll.qlCalendarAdvance(Calendar,Y3359,0&amp;"D")</f>
        <v>62772</v>
      </c>
      <c r="AA3359" s="109">
        <v>1.1853533941277306E-2</v>
      </c>
      <c r="AB3359" s="143">
        <f t="shared" si="114"/>
        <v>7.9936057773011271E-14</v>
      </c>
      <c r="AC3359" s="236" t="e">
        <v>#N/A</v>
      </c>
      <c r="AD3359" s="236">
        <v>1.1853533941197369E-2</v>
      </c>
    </row>
    <row r="3360" spans="23:30" x14ac:dyDescent="0.2">
      <c r="W3360" s="144"/>
      <c r="X3360" s="113" t="str">
        <f t="shared" si="113"/>
        <v>1w</v>
      </c>
      <c r="Y3360" s="106">
        <f>_xll.qlCalendarAdvance(Calendar,Y3359,X3360,"f",FALSE)</f>
        <v>62779</v>
      </c>
      <c r="Z3360" s="108">
        <f>_xll.qlCalendarAdvance(Calendar,Y3360,0&amp;"D")</f>
        <v>62779</v>
      </c>
      <c r="AA3360" s="109">
        <v>1.1856181380824893E-2</v>
      </c>
      <c r="AB3360" s="143">
        <f t="shared" si="114"/>
        <v>0</v>
      </c>
      <c r="AC3360" s="236" t="e">
        <v>#N/A</v>
      </c>
      <c r="AD3360" s="236">
        <v>1.1856181380824893E-2</v>
      </c>
    </row>
    <row r="3361" spans="23:30" x14ac:dyDescent="0.2">
      <c r="W3361" s="144"/>
      <c r="X3361" s="113" t="str">
        <f t="shared" si="113"/>
        <v>1w</v>
      </c>
      <c r="Y3361" s="106">
        <f>_xll.qlCalendarAdvance(Calendar,Y3360,X3361,"f",FALSE)</f>
        <v>62786</v>
      </c>
      <c r="Z3361" s="108">
        <f>_xll.qlCalendarAdvance(Calendar,Y3361,0&amp;"D")</f>
        <v>62786</v>
      </c>
      <c r="AA3361" s="109">
        <v>1.1858814531962025E-2</v>
      </c>
      <c r="AB3361" s="143">
        <f t="shared" si="114"/>
        <v>0</v>
      </c>
      <c r="AC3361" s="236" t="e">
        <v>#N/A</v>
      </c>
      <c r="AD3361" s="236">
        <v>1.1858814531962025E-2</v>
      </c>
    </row>
    <row r="3362" spans="23:30" x14ac:dyDescent="0.2">
      <c r="W3362" s="144"/>
      <c r="X3362" s="113" t="str">
        <f t="shared" si="113"/>
        <v>1w</v>
      </c>
      <c r="Y3362" s="106">
        <f>_xll.qlCalendarAdvance(Calendar,Y3361,X3362,"f",FALSE)</f>
        <v>62793</v>
      </c>
      <c r="Z3362" s="108">
        <f>_xll.qlCalendarAdvance(Calendar,Y3362,0&amp;"D")</f>
        <v>62793</v>
      </c>
      <c r="AA3362" s="109">
        <v>1.1861433394688703E-2</v>
      </c>
      <c r="AB3362" s="143">
        <f t="shared" si="114"/>
        <v>0</v>
      </c>
      <c r="AC3362" s="236" t="e">
        <v>#N/A</v>
      </c>
      <c r="AD3362" s="236">
        <v>1.1861433394688703E-2</v>
      </c>
    </row>
    <row r="3363" spans="23:30" x14ac:dyDescent="0.2">
      <c r="W3363" s="144"/>
      <c r="X3363" s="113" t="str">
        <f t="shared" si="113"/>
        <v>1w</v>
      </c>
      <c r="Y3363" s="106">
        <f>_xll.qlCalendarAdvance(Calendar,Y3362,X3363,"f",FALSE)</f>
        <v>62800</v>
      </c>
      <c r="Z3363" s="108">
        <f>_xll.qlCalendarAdvance(Calendar,Y3363,0&amp;"D")</f>
        <v>62800</v>
      </c>
      <c r="AA3363" s="109">
        <v>1.1864037969164798E-2</v>
      </c>
      <c r="AB3363" s="143">
        <f t="shared" si="114"/>
        <v>7.9936057773011271E-14</v>
      </c>
      <c r="AC3363" s="236" t="e">
        <v>#N/A</v>
      </c>
      <c r="AD3363" s="236">
        <v>1.1864037969084862E-2</v>
      </c>
    </row>
    <row r="3364" spans="23:30" x14ac:dyDescent="0.2">
      <c r="W3364" s="144"/>
      <c r="X3364" s="113" t="str">
        <f t="shared" si="113"/>
        <v>1w</v>
      </c>
      <c r="Y3364" s="106">
        <f>_xll.qlCalendarAdvance(Calendar,Y3363,X3364,"f",FALSE)</f>
        <v>62807</v>
      </c>
      <c r="Z3364" s="108">
        <f>_xll.qlCalendarAdvance(Calendar,Y3364,0&amp;"D")</f>
        <v>62807</v>
      </c>
      <c r="AA3364" s="109">
        <v>1.1866628255070566E-2</v>
      </c>
      <c r="AB3364" s="143">
        <f t="shared" si="114"/>
        <v>7.9936057773011271E-14</v>
      </c>
      <c r="AC3364" s="236" t="e">
        <v>#N/A</v>
      </c>
      <c r="AD3364" s="236">
        <v>1.186662825499063E-2</v>
      </c>
    </row>
    <row r="3365" spans="23:30" x14ac:dyDescent="0.2">
      <c r="W3365" s="144"/>
      <c r="X3365" s="113" t="str">
        <f t="shared" si="113"/>
        <v>1w</v>
      </c>
      <c r="Y3365" s="106">
        <f>_xll.qlCalendarAdvance(Calendar,Y3364,X3365,"f",FALSE)</f>
        <v>62814</v>
      </c>
      <c r="Z3365" s="108">
        <f>_xll.qlCalendarAdvance(Calendar,Y3365,0&amp;"D")</f>
        <v>62814</v>
      </c>
      <c r="AA3365" s="109">
        <v>1.1869204252326071E-2</v>
      </c>
      <c r="AB3365" s="143">
        <f t="shared" si="114"/>
        <v>-7.9936057773011271E-14</v>
      </c>
      <c r="AC3365" s="236" t="e">
        <v>#N/A</v>
      </c>
      <c r="AD3365" s="236">
        <v>1.1869204252406007E-2</v>
      </c>
    </row>
    <row r="3366" spans="23:30" x14ac:dyDescent="0.2">
      <c r="W3366" s="144"/>
      <c r="X3366" s="113" t="str">
        <f t="shared" si="113"/>
        <v>1w</v>
      </c>
      <c r="Y3366" s="106">
        <f>_xll.qlCalendarAdvance(Calendar,Y3365,X3366,"f",FALSE)</f>
        <v>62821</v>
      </c>
      <c r="Z3366" s="108">
        <f>_xll.qlCalendarAdvance(Calendar,Y3366,0&amp;"D")</f>
        <v>62821</v>
      </c>
      <c r="AA3366" s="109">
        <v>1.1871765961650738E-2</v>
      </c>
      <c r="AB3366" s="143">
        <f t="shared" si="114"/>
        <v>0</v>
      </c>
      <c r="AC3366" s="236" t="e">
        <v>#N/A</v>
      </c>
      <c r="AD3366" s="236">
        <v>1.1871765961650738E-2</v>
      </c>
    </row>
    <row r="3367" spans="23:30" x14ac:dyDescent="0.2">
      <c r="W3367" s="144"/>
      <c r="X3367" s="113" t="str">
        <f t="shared" si="113"/>
        <v>1w</v>
      </c>
      <c r="Y3367" s="106">
        <f>_xll.qlCalendarAdvance(Calendar,Y3366,X3367,"f",FALSE)</f>
        <v>62828</v>
      </c>
      <c r="Z3367" s="108">
        <f>_xll.qlCalendarAdvance(Calendar,Y3367,0&amp;"D")</f>
        <v>62828</v>
      </c>
      <c r="AA3367" s="109">
        <v>1.1874313382325141E-2</v>
      </c>
      <c r="AB3367" s="143">
        <f t="shared" si="114"/>
        <v>-7.9936057773011271E-14</v>
      </c>
      <c r="AC3367" s="236" t="e">
        <v>#N/A</v>
      </c>
      <c r="AD3367" s="236">
        <v>1.1874313382405077E-2</v>
      </c>
    </row>
    <row r="3368" spans="23:30" x14ac:dyDescent="0.2">
      <c r="W3368" s="144"/>
      <c r="X3368" s="113" t="str">
        <f t="shared" si="113"/>
        <v>1w</v>
      </c>
      <c r="Y3368" s="106">
        <f>_xll.qlCalendarAdvance(Calendar,Y3367,X3368,"f",FALSE)</f>
        <v>62835</v>
      </c>
      <c r="Z3368" s="108">
        <f>_xll.qlCalendarAdvance(Calendar,Y3368,0&amp;"D")</f>
        <v>62835</v>
      </c>
      <c r="AA3368" s="109">
        <v>1.1876846514828898E-2</v>
      </c>
      <c r="AB3368" s="143">
        <f t="shared" si="114"/>
        <v>7.9936057773011271E-14</v>
      </c>
      <c r="AC3368" s="236" t="e">
        <v>#N/A</v>
      </c>
      <c r="AD3368" s="236">
        <v>1.1876846514748962E-2</v>
      </c>
    </row>
    <row r="3369" spans="23:30" x14ac:dyDescent="0.2">
      <c r="W3369" s="144"/>
      <c r="X3369" s="113" t="str">
        <f t="shared" si="113"/>
        <v>1w</v>
      </c>
      <c r="Y3369" s="106">
        <f>_xll.qlCalendarAdvance(Calendar,Y3368,X3369,"f",FALSE)</f>
        <v>62842</v>
      </c>
      <c r="Z3369" s="108">
        <f>_xll.qlCalendarAdvance(Calendar,Y3369,0&amp;"D")</f>
        <v>62842</v>
      </c>
      <c r="AA3369" s="109">
        <v>1.1879365358762328E-2</v>
      </c>
      <c r="AB3369" s="143">
        <f t="shared" si="114"/>
        <v>7.9936057773011271E-14</v>
      </c>
      <c r="AC3369" s="236" t="e">
        <v>#N/A</v>
      </c>
      <c r="AD3369" s="236">
        <v>1.1879365358682392E-2</v>
      </c>
    </row>
    <row r="3370" spans="23:30" x14ac:dyDescent="0.2">
      <c r="W3370" s="144"/>
      <c r="X3370" s="113" t="str">
        <f t="shared" si="113"/>
        <v>1w</v>
      </c>
      <c r="Y3370" s="106">
        <f>_xll.qlCalendarAdvance(Calendar,Y3369,X3370,"f",FALSE)</f>
        <v>62849</v>
      </c>
      <c r="Z3370" s="108">
        <f>_xll.qlCalendarAdvance(Calendar,Y3370,0&amp;"D")</f>
        <v>62849</v>
      </c>
      <c r="AA3370" s="109">
        <v>1.1881869914285303E-2</v>
      </c>
      <c r="AB3370" s="143">
        <f t="shared" si="114"/>
        <v>0</v>
      </c>
      <c r="AC3370" s="236" t="e">
        <v>#N/A</v>
      </c>
      <c r="AD3370" s="236">
        <v>1.1881869914285303E-2</v>
      </c>
    </row>
    <row r="3371" spans="23:30" x14ac:dyDescent="0.2">
      <c r="W3371" s="144"/>
      <c r="X3371" s="113" t="str">
        <f t="shared" si="113"/>
        <v>1w</v>
      </c>
      <c r="Y3371" s="106">
        <f>_xll.qlCalendarAdvance(Calendar,Y3370,X3371,"f",FALSE)</f>
        <v>62856</v>
      </c>
      <c r="Z3371" s="108">
        <f>_xll.qlCalendarAdvance(Calendar,Y3371,0&amp;"D")</f>
        <v>62856</v>
      </c>
      <c r="AA3371" s="109">
        <v>1.1884360181317888E-2</v>
      </c>
      <c r="AB3371" s="143">
        <f t="shared" si="114"/>
        <v>-7.9936057773011271E-14</v>
      </c>
      <c r="AC3371" s="236" t="e">
        <v>#N/A</v>
      </c>
      <c r="AD3371" s="236">
        <v>1.1884360181397824E-2</v>
      </c>
    </row>
    <row r="3372" spans="23:30" x14ac:dyDescent="0.2">
      <c r="W3372" s="144"/>
      <c r="X3372" s="113" t="str">
        <f t="shared" si="113"/>
        <v>1w</v>
      </c>
      <c r="Y3372" s="106">
        <f>_xll.qlCalendarAdvance(Calendar,Y3371,X3372,"f",FALSE)</f>
        <v>62863</v>
      </c>
      <c r="Z3372" s="108">
        <f>_xll.qlCalendarAdvance(Calendar,Y3372,0&amp;"D")</f>
        <v>62863</v>
      </c>
      <c r="AA3372" s="109">
        <v>1.188683616009989E-2</v>
      </c>
      <c r="AB3372" s="143">
        <f t="shared" si="114"/>
        <v>0</v>
      </c>
      <c r="AC3372" s="236" t="e">
        <v>#N/A</v>
      </c>
      <c r="AD3372" s="236">
        <v>1.188683616009989E-2</v>
      </c>
    </row>
    <row r="3373" spans="23:30" x14ac:dyDescent="0.2">
      <c r="W3373" s="144"/>
      <c r="X3373" s="113" t="str">
        <f t="shared" si="113"/>
        <v>1w</v>
      </c>
      <c r="Y3373" s="106">
        <f>_xll.qlCalendarAdvance(Calendar,Y3372,X3373,"f",FALSE)</f>
        <v>62870</v>
      </c>
      <c r="Z3373" s="108">
        <f>_xll.qlCalendarAdvance(Calendar,Y3373,0&amp;"D")</f>
        <v>62870</v>
      </c>
      <c r="AA3373" s="109">
        <v>1.1889297850471436E-2</v>
      </c>
      <c r="AB3373" s="143">
        <f t="shared" si="114"/>
        <v>7.9936057773011271E-14</v>
      </c>
      <c r="AC3373" s="236" t="e">
        <v>#N/A</v>
      </c>
      <c r="AD3373" s="236">
        <v>1.18892978503915E-2</v>
      </c>
    </row>
    <row r="3374" spans="23:30" x14ac:dyDescent="0.2">
      <c r="W3374" s="144"/>
      <c r="X3374" s="113" t="str">
        <f t="shared" si="113"/>
        <v>1w</v>
      </c>
      <c r="Y3374" s="106">
        <f>_xll.qlCalendarAdvance(Calendar,Y3373,X3374,"f",FALSE)</f>
        <v>62877</v>
      </c>
      <c r="Z3374" s="108">
        <f>_xll.qlCalendarAdvance(Calendar,Y3374,0&amp;"D")</f>
        <v>62877</v>
      </c>
      <c r="AA3374" s="109">
        <v>1.1891745252352592E-2</v>
      </c>
      <c r="AB3374" s="143">
        <f t="shared" si="114"/>
        <v>-7.9936057773011271E-14</v>
      </c>
      <c r="AC3374" s="236" t="e">
        <v>#N/A</v>
      </c>
      <c r="AD3374" s="236">
        <v>1.1891745252432528E-2</v>
      </c>
    </row>
    <row r="3375" spans="23:30" x14ac:dyDescent="0.2">
      <c r="W3375" s="144"/>
      <c r="X3375" s="113" t="str">
        <f t="shared" si="113"/>
        <v>1w</v>
      </c>
      <c r="Y3375" s="106">
        <f>_xll.qlCalendarAdvance(Calendar,Y3374,X3375,"f",FALSE)</f>
        <v>62884</v>
      </c>
      <c r="Z3375" s="108">
        <f>_xll.qlCalendarAdvance(Calendar,Y3375,0&amp;"D")</f>
        <v>62884</v>
      </c>
      <c r="AA3375" s="109">
        <v>1.1894178366143038E-2</v>
      </c>
      <c r="AB3375" s="143">
        <f t="shared" si="114"/>
        <v>7.9936057773011271E-14</v>
      </c>
      <c r="AC3375" s="236" t="e">
        <v>#N/A</v>
      </c>
      <c r="AD3375" s="236">
        <v>1.1894178366063102E-2</v>
      </c>
    </row>
    <row r="3376" spans="23:30" x14ac:dyDescent="0.2">
      <c r="W3376" s="144"/>
      <c r="X3376" s="113" t="str">
        <f t="shared" si="113"/>
        <v>1w</v>
      </c>
      <c r="Y3376" s="106">
        <f>_xll.qlCalendarAdvance(Calendar,Y3375,X3376,"f",FALSE)</f>
        <v>62891</v>
      </c>
      <c r="Z3376" s="108">
        <f>_xll.qlCalendarAdvance(Calendar,Y3376,0&amp;"D")</f>
        <v>62891</v>
      </c>
      <c r="AA3376" s="109">
        <v>1.1896597191203284E-2</v>
      </c>
      <c r="AB3376" s="143">
        <f t="shared" si="114"/>
        <v>7.9936057773011271E-14</v>
      </c>
      <c r="AC3376" s="236" t="e">
        <v>#N/A</v>
      </c>
      <c r="AD3376" s="236">
        <v>1.1896597191123348E-2</v>
      </c>
    </row>
    <row r="3377" spans="23:30" x14ac:dyDescent="0.2">
      <c r="W3377" s="144"/>
      <c r="X3377" s="113" t="str">
        <f t="shared" si="113"/>
        <v>1w</v>
      </c>
      <c r="Y3377" s="106">
        <f>_xll.qlCalendarAdvance(Calendar,Y3376,X3377,"f",FALSE)</f>
        <v>62898</v>
      </c>
      <c r="Z3377" s="108">
        <f>_xll.qlCalendarAdvance(Calendar,Y3377,0&amp;"D")</f>
        <v>62898</v>
      </c>
      <c r="AA3377" s="109">
        <v>1.1899001727933012E-2</v>
      </c>
      <c r="AB3377" s="143">
        <f t="shared" si="114"/>
        <v>0</v>
      </c>
      <c r="AC3377" s="236" t="e">
        <v>#N/A</v>
      </c>
      <c r="AD3377" s="236">
        <v>1.1899001727933012E-2</v>
      </c>
    </row>
    <row r="3378" spans="23:30" x14ac:dyDescent="0.2">
      <c r="W3378" s="144"/>
      <c r="X3378" s="113" t="str">
        <f t="shared" si="113"/>
        <v>1w</v>
      </c>
      <c r="Y3378" s="106">
        <f>_xll.qlCalendarAdvance(Calendar,Y3377,X3378,"f",FALSE)</f>
        <v>62905</v>
      </c>
      <c r="Z3378" s="108">
        <f>_xll.qlCalendarAdvance(Calendar,Y3378,0&amp;"D")</f>
        <v>62905</v>
      </c>
      <c r="AA3378" s="109">
        <v>1.1901391976172349E-2</v>
      </c>
      <c r="AB3378" s="143">
        <f t="shared" si="114"/>
        <v>0</v>
      </c>
      <c r="AC3378" s="236" t="e">
        <v>#N/A</v>
      </c>
      <c r="AD3378" s="236">
        <v>1.1901391976172349E-2</v>
      </c>
    </row>
    <row r="3379" spans="23:30" x14ac:dyDescent="0.2">
      <c r="W3379" s="144"/>
      <c r="X3379" s="113" t="str">
        <f t="shared" si="113"/>
        <v>1w</v>
      </c>
      <c r="Y3379" s="106">
        <f>_xll.qlCalendarAdvance(Calendar,Y3378,X3379,"f",FALSE)</f>
        <v>62912</v>
      </c>
      <c r="Z3379" s="108">
        <f>_xll.qlCalendarAdvance(Calendar,Y3379,0&amp;"D")</f>
        <v>62912</v>
      </c>
      <c r="AA3379" s="109">
        <v>1.1903767936081167E-2</v>
      </c>
      <c r="AB3379" s="143">
        <f t="shared" si="114"/>
        <v>0</v>
      </c>
      <c r="AC3379" s="236" t="e">
        <v>#N/A</v>
      </c>
      <c r="AD3379" s="236">
        <v>1.1903767936081167E-2</v>
      </c>
    </row>
    <row r="3380" spans="23:30" x14ac:dyDescent="0.2">
      <c r="W3380" s="144"/>
      <c r="X3380" s="113" t="str">
        <f t="shared" si="113"/>
        <v>1w</v>
      </c>
      <c r="Y3380" s="106">
        <f>_xll.qlCalendarAdvance(Calendar,Y3379,X3380,"f",FALSE)</f>
        <v>62919</v>
      </c>
      <c r="Z3380" s="108">
        <f>_xll.qlCalendarAdvance(Calendar,Y3380,0&amp;"D")</f>
        <v>62919</v>
      </c>
      <c r="AA3380" s="109">
        <v>1.1906129607659466E-2</v>
      </c>
      <c r="AB3380" s="143">
        <f t="shared" si="114"/>
        <v>0</v>
      </c>
      <c r="AC3380" s="236" t="e">
        <v>#N/A</v>
      </c>
      <c r="AD3380" s="236">
        <v>1.1906129607659466E-2</v>
      </c>
    </row>
    <row r="3381" spans="23:30" x14ac:dyDescent="0.2">
      <c r="W3381" s="144"/>
      <c r="X3381" s="113" t="str">
        <f t="shared" si="113"/>
        <v>1w</v>
      </c>
      <c r="Y3381" s="106">
        <f>_xll.qlCalendarAdvance(Calendar,Y3380,X3381,"f",FALSE)</f>
        <v>62926</v>
      </c>
      <c r="Z3381" s="108">
        <f>_xll.qlCalendarAdvance(Calendar,Y3381,0&amp;"D")</f>
        <v>62926</v>
      </c>
      <c r="AA3381" s="109">
        <v>1.1908476990907246E-2</v>
      </c>
      <c r="AB3381" s="143">
        <f t="shared" si="114"/>
        <v>7.9936057773011271E-14</v>
      </c>
      <c r="AC3381" s="236" t="e">
        <v>#N/A</v>
      </c>
      <c r="AD3381" s="236">
        <v>1.190847699082731E-2</v>
      </c>
    </row>
    <row r="3382" spans="23:30" x14ac:dyDescent="0.2">
      <c r="W3382" s="144"/>
      <c r="X3382" s="113" t="str">
        <f t="shared" si="113"/>
        <v>1w</v>
      </c>
      <c r="Y3382" s="106">
        <f>_xll.qlCalendarAdvance(Calendar,Y3381,X3382,"f",FALSE)</f>
        <v>62933</v>
      </c>
      <c r="Z3382" s="108">
        <f>_xll.qlCalendarAdvance(Calendar,Y3382,0&amp;"D")</f>
        <v>62933</v>
      </c>
      <c r="AA3382" s="109">
        <v>1.1910810085424828E-2</v>
      </c>
      <c r="AB3382" s="143">
        <f t="shared" si="114"/>
        <v>-7.9936057773011271E-14</v>
      </c>
      <c r="AC3382" s="236" t="e">
        <v>#N/A</v>
      </c>
      <c r="AD3382" s="236">
        <v>1.1910810085504764E-2</v>
      </c>
    </row>
    <row r="3383" spans="23:30" x14ac:dyDescent="0.2">
      <c r="W3383" s="144"/>
      <c r="X3383" s="113" t="str">
        <f t="shared" si="113"/>
        <v>1w</v>
      </c>
      <c r="Y3383" s="106">
        <f>_xll.qlCalendarAdvance(Calendar,Y3382,X3383,"f",FALSE)</f>
        <v>62940</v>
      </c>
      <c r="Z3383" s="108">
        <f>_xll.qlCalendarAdvance(Calendar,Y3383,0&amp;"D")</f>
        <v>62940</v>
      </c>
      <c r="AA3383" s="109">
        <v>1.1913128891851699E-2</v>
      </c>
      <c r="AB3383" s="143">
        <f t="shared" si="114"/>
        <v>7.9936057773011271E-14</v>
      </c>
      <c r="AC3383" s="236" t="e">
        <v>#N/A</v>
      </c>
      <c r="AD3383" s="236">
        <v>1.1913128891771763E-2</v>
      </c>
    </row>
    <row r="3384" spans="23:30" x14ac:dyDescent="0.2">
      <c r="W3384" s="144"/>
      <c r="X3384" s="113" t="str">
        <f t="shared" si="113"/>
        <v>1w</v>
      </c>
      <c r="Y3384" s="106">
        <f>_xll.qlCalendarAdvance(Calendar,Y3383,X3384,"f",FALSE)</f>
        <v>62947</v>
      </c>
      <c r="Z3384" s="108">
        <f>_xll.qlCalendarAdvance(Calendar,Y3384,0&amp;"D")</f>
        <v>62947</v>
      </c>
      <c r="AA3384" s="109">
        <v>1.1915433409868115E-2</v>
      </c>
      <c r="AB3384" s="143">
        <f t="shared" si="114"/>
        <v>7.9936057773011271E-14</v>
      </c>
      <c r="AC3384" s="236" t="e">
        <v>#N/A</v>
      </c>
      <c r="AD3384" s="236">
        <v>1.1915433409788179E-2</v>
      </c>
    </row>
    <row r="3385" spans="23:30" x14ac:dyDescent="0.2">
      <c r="W3385" s="144"/>
      <c r="X3385" s="113" t="str">
        <f t="shared" si="113"/>
        <v>1w</v>
      </c>
      <c r="Y3385" s="106">
        <f>_xll.qlCalendarAdvance(Calendar,Y3384,X3385,"f",FALSE)</f>
        <v>62954</v>
      </c>
      <c r="Z3385" s="108">
        <f>_xll.qlCalendarAdvance(Calendar,Y3385,0&amp;"D")</f>
        <v>62954</v>
      </c>
      <c r="AA3385" s="109">
        <v>1.191772363939414E-2</v>
      </c>
      <c r="AB3385" s="143">
        <f t="shared" si="114"/>
        <v>0</v>
      </c>
      <c r="AC3385" s="236" t="e">
        <v>#N/A</v>
      </c>
      <c r="AD3385" s="236">
        <v>1.191772363939414E-2</v>
      </c>
    </row>
    <row r="3386" spans="23:30" x14ac:dyDescent="0.2">
      <c r="W3386" s="144"/>
      <c r="X3386" s="113" t="str">
        <f t="shared" si="113"/>
        <v>1w</v>
      </c>
      <c r="Y3386" s="106">
        <f>_xll.qlCalendarAdvance(Calendar,Y3385,X3386,"f",FALSE)</f>
        <v>62961</v>
      </c>
      <c r="Z3386" s="108">
        <f>_xll.qlCalendarAdvance(Calendar,Y3386,0&amp;"D")</f>
        <v>62961</v>
      </c>
      <c r="AA3386" s="109">
        <v>1.1919999580269902E-2</v>
      </c>
      <c r="AB3386" s="143">
        <f t="shared" si="114"/>
        <v>-7.9936057773011271E-14</v>
      </c>
      <c r="AC3386" s="236" t="e">
        <v>#N/A</v>
      </c>
      <c r="AD3386" s="236">
        <v>1.1919999580349838E-2</v>
      </c>
    </row>
    <row r="3387" spans="23:30" x14ac:dyDescent="0.2">
      <c r="W3387" s="144"/>
      <c r="X3387" s="113" t="str">
        <f t="shared" si="113"/>
        <v>1w</v>
      </c>
      <c r="Y3387" s="106">
        <f>_xll.qlCalendarAdvance(Calendar,Y3386,X3387,"f",FALSE)</f>
        <v>62968</v>
      </c>
      <c r="Z3387" s="108">
        <f>_xll.qlCalendarAdvance(Calendar,Y3387,0&amp;"D")</f>
        <v>62968</v>
      </c>
      <c r="AA3387" s="109">
        <v>1.1922261233054954E-2</v>
      </c>
      <c r="AB3387" s="143">
        <f t="shared" si="114"/>
        <v>7.9936057773011271E-14</v>
      </c>
      <c r="AC3387" s="236" t="e">
        <v>#N/A</v>
      </c>
      <c r="AD3387" s="236">
        <v>1.1922261232975018E-2</v>
      </c>
    </row>
    <row r="3388" spans="23:30" x14ac:dyDescent="0.2">
      <c r="W3388" s="144"/>
      <c r="X3388" s="113" t="str">
        <f t="shared" si="113"/>
        <v>1w</v>
      </c>
      <c r="Y3388" s="106">
        <f>_xll.qlCalendarAdvance(Calendar,Y3387,X3388,"f",FALSE)</f>
        <v>62975</v>
      </c>
      <c r="Z3388" s="108">
        <f>_xll.qlCalendarAdvance(Calendar,Y3388,0&amp;"D")</f>
        <v>62975</v>
      </c>
      <c r="AA3388" s="109">
        <v>1.1924508597429551E-2</v>
      </c>
      <c r="AB3388" s="143">
        <f t="shared" si="114"/>
        <v>0</v>
      </c>
      <c r="AC3388" s="236" t="e">
        <v>#N/A</v>
      </c>
      <c r="AD3388" s="236">
        <v>1.1924508597429551E-2</v>
      </c>
    </row>
    <row r="3389" spans="23:30" x14ac:dyDescent="0.2">
      <c r="W3389" s="144"/>
      <c r="X3389" s="113" t="str">
        <f t="shared" si="113"/>
        <v>1w</v>
      </c>
      <c r="Y3389" s="106">
        <f>_xll.qlCalendarAdvance(Calendar,Y3388,X3389,"f",FALSE)</f>
        <v>62982</v>
      </c>
      <c r="Z3389" s="108">
        <f>_xll.qlCalendarAdvance(Calendar,Y3389,0&amp;"D")</f>
        <v>62982</v>
      </c>
      <c r="AA3389" s="109">
        <v>1.1926741673153884E-2</v>
      </c>
      <c r="AB3389" s="143">
        <f t="shared" si="114"/>
        <v>0</v>
      </c>
      <c r="AC3389" s="236" t="e">
        <v>#N/A</v>
      </c>
      <c r="AD3389" s="236">
        <v>1.1926741673153884E-2</v>
      </c>
    </row>
    <row r="3390" spans="23:30" x14ac:dyDescent="0.2">
      <c r="W3390" s="144"/>
      <c r="X3390" s="113" t="str">
        <f t="shared" si="113"/>
        <v>1w</v>
      </c>
      <c r="Y3390" s="106">
        <f>_xll.qlCalendarAdvance(Calendar,Y3389,X3390,"f",FALSE)</f>
        <v>62989</v>
      </c>
      <c r="Z3390" s="108">
        <f>_xll.qlCalendarAdvance(Calendar,Y3390,0&amp;"D")</f>
        <v>62989</v>
      </c>
      <c r="AA3390" s="109">
        <v>1.1928960460627636E-2</v>
      </c>
      <c r="AB3390" s="143">
        <f t="shared" si="114"/>
        <v>-7.9936057773011271E-14</v>
      </c>
      <c r="AC3390" s="236" t="e">
        <v>#N/A</v>
      </c>
      <c r="AD3390" s="236">
        <v>1.1928960460707572E-2</v>
      </c>
    </row>
    <row r="3391" spans="23:30" x14ac:dyDescent="0.2">
      <c r="W3391" s="144"/>
      <c r="X3391" s="113" t="str">
        <f t="shared" si="113"/>
        <v>1w</v>
      </c>
      <c r="Y3391" s="106">
        <f>_xll.qlCalendarAdvance(Calendar,Y3390,X3391,"f",FALSE)</f>
        <v>62996</v>
      </c>
      <c r="Z3391" s="108">
        <f>_xll.qlCalendarAdvance(Calendar,Y3391,0&amp;"D")</f>
        <v>62996</v>
      </c>
      <c r="AA3391" s="109">
        <v>1.1931164959690932E-2</v>
      </c>
      <c r="AB3391" s="143">
        <f t="shared" si="114"/>
        <v>-7.9936057773011271E-14</v>
      </c>
      <c r="AC3391" s="236" t="e">
        <v>#N/A</v>
      </c>
      <c r="AD3391" s="236">
        <v>1.1931164959770868E-2</v>
      </c>
    </row>
    <row r="3392" spans="23:30" x14ac:dyDescent="0.2">
      <c r="W3392" s="144"/>
      <c r="X3392" s="113" t="str">
        <f t="shared" si="113"/>
        <v>1w</v>
      </c>
      <c r="Y3392" s="106">
        <f>_xll.qlCalendarAdvance(Calendar,Y3391,X3392,"f",FALSE)</f>
        <v>63003</v>
      </c>
      <c r="Z3392" s="108">
        <f>_xll.qlCalendarAdvance(Calendar,Y3392,0&amp;"D")</f>
        <v>63003</v>
      </c>
      <c r="AA3392" s="109">
        <v>1.1933355170583582E-2</v>
      </c>
      <c r="AB3392" s="143">
        <f t="shared" si="114"/>
        <v>0</v>
      </c>
      <c r="AC3392" s="236" t="e">
        <v>#N/A</v>
      </c>
      <c r="AD3392" s="236">
        <v>1.1933355170583582E-2</v>
      </c>
    </row>
    <row r="3393" spans="23:30" x14ac:dyDescent="0.2">
      <c r="W3393" s="144"/>
      <c r="X3393" s="113" t="str">
        <f t="shared" si="113"/>
        <v>1w</v>
      </c>
      <c r="Y3393" s="106">
        <f>_xll.qlCalendarAdvance(Calendar,Y3392,X3393,"f",FALSE)</f>
        <v>63010</v>
      </c>
      <c r="Z3393" s="108">
        <f>_xll.qlCalendarAdvance(Calendar,Y3393,0&amp;"D")</f>
        <v>63010</v>
      </c>
      <c r="AA3393" s="109">
        <v>1.1935531092746032E-2</v>
      </c>
      <c r="AB3393" s="143">
        <f t="shared" si="114"/>
        <v>7.9936057773011271E-14</v>
      </c>
      <c r="AC3393" s="236" t="e">
        <v>#N/A</v>
      </c>
      <c r="AD3393" s="236">
        <v>1.1935531092666096E-2</v>
      </c>
    </row>
    <row r="3394" spans="23:30" x14ac:dyDescent="0.2">
      <c r="W3394" s="144"/>
      <c r="X3394" s="113" t="str">
        <f t="shared" si="113"/>
        <v>1w</v>
      </c>
      <c r="Y3394" s="106">
        <f>_xll.qlCalendarAdvance(Calendar,Y3393,X3394,"f",FALSE)</f>
        <v>63017</v>
      </c>
      <c r="Z3394" s="108">
        <f>_xll.qlCalendarAdvance(Calendar,Y3394,0&amp;"D")</f>
        <v>63017</v>
      </c>
      <c r="AA3394" s="109">
        <v>1.1937692726577964E-2</v>
      </c>
      <c r="AB3394" s="143">
        <f t="shared" si="114"/>
        <v>-7.9936057773011271E-14</v>
      </c>
      <c r="AC3394" s="236" t="e">
        <v>#N/A</v>
      </c>
      <c r="AD3394" s="236">
        <v>1.19376927266579E-2</v>
      </c>
    </row>
    <row r="3395" spans="23:30" x14ac:dyDescent="0.2">
      <c r="W3395" s="144"/>
      <c r="X3395" s="113" t="str">
        <f t="shared" si="113"/>
        <v>1w</v>
      </c>
      <c r="Y3395" s="106">
        <f>_xll.qlCalendarAdvance(Calendar,Y3394,X3395,"f",FALSE)</f>
        <v>63024</v>
      </c>
      <c r="Z3395" s="108">
        <f>_xll.qlCalendarAdvance(Calendar,Y3395,0&amp;"D")</f>
        <v>63024</v>
      </c>
      <c r="AA3395" s="109">
        <v>1.1939840072159313E-2</v>
      </c>
      <c r="AB3395" s="143">
        <f t="shared" si="114"/>
        <v>7.9936057773011271E-14</v>
      </c>
      <c r="AC3395" s="236" t="e">
        <v>#N/A</v>
      </c>
      <c r="AD3395" s="236">
        <v>1.1939840072079377E-2</v>
      </c>
    </row>
    <row r="3396" spans="23:30" x14ac:dyDescent="0.2">
      <c r="W3396" s="144"/>
      <c r="X3396" s="113" t="str">
        <f t="shared" si="113"/>
        <v>1w</v>
      </c>
      <c r="Y3396" s="106">
        <f>_xll.qlCalendarAdvance(Calendar,Y3395,X3396,"f",FALSE)</f>
        <v>63031</v>
      </c>
      <c r="Z3396" s="108">
        <f>_xll.qlCalendarAdvance(Calendar,Y3396,0&amp;"D")</f>
        <v>63031</v>
      </c>
      <c r="AA3396" s="109">
        <v>1.1941973129170336E-2</v>
      </c>
      <c r="AB3396" s="143">
        <f t="shared" si="114"/>
        <v>0</v>
      </c>
      <c r="AC3396" s="236" t="e">
        <v>#N/A</v>
      </c>
      <c r="AD3396" s="236">
        <v>1.1941973129170336E-2</v>
      </c>
    </row>
    <row r="3397" spans="23:30" x14ac:dyDescent="0.2">
      <c r="W3397" s="144"/>
      <c r="X3397" s="113" t="str">
        <f t="shared" si="113"/>
        <v>1w</v>
      </c>
      <c r="Y3397" s="106">
        <f>_xll.qlCalendarAdvance(Calendar,Y3396,X3397,"f",FALSE)</f>
        <v>63038</v>
      </c>
      <c r="Z3397" s="108">
        <f>_xll.qlCalendarAdvance(Calendar,Y3397,0&amp;"D")</f>
        <v>63038</v>
      </c>
      <c r="AA3397" s="109">
        <v>1.1944091897690967E-2</v>
      </c>
      <c r="AB3397" s="143">
        <f t="shared" si="114"/>
        <v>0</v>
      </c>
      <c r="AC3397" s="236" t="e">
        <v>#N/A</v>
      </c>
      <c r="AD3397" s="236">
        <v>1.1944091897690967E-2</v>
      </c>
    </row>
    <row r="3398" spans="23:30" x14ac:dyDescent="0.2">
      <c r="W3398" s="144"/>
      <c r="X3398" s="113" t="str">
        <f t="shared" si="113"/>
        <v>1w</v>
      </c>
      <c r="Y3398" s="106">
        <f>_xll.qlCalendarAdvance(Calendar,Y3397,X3398,"f",FALSE)</f>
        <v>63045</v>
      </c>
      <c r="Z3398" s="108">
        <f>_xll.qlCalendarAdvance(Calendar,Y3398,0&amp;"D")</f>
        <v>63045</v>
      </c>
      <c r="AA3398" s="109">
        <v>1.194619637788108E-2</v>
      </c>
      <c r="AB3398" s="143">
        <f t="shared" si="114"/>
        <v>0</v>
      </c>
      <c r="AC3398" s="236" t="e">
        <v>#N/A</v>
      </c>
      <c r="AD3398" s="236">
        <v>1.194619637788108E-2</v>
      </c>
    </row>
    <row r="3399" spans="23:30" x14ac:dyDescent="0.2">
      <c r="W3399" s="144"/>
      <c r="X3399" s="113" t="str">
        <f t="shared" si="113"/>
        <v>1w</v>
      </c>
      <c r="Y3399" s="106">
        <f>_xll.qlCalendarAdvance(Calendar,Y3398,X3399,"f",FALSE)</f>
        <v>63052</v>
      </c>
      <c r="Z3399" s="108">
        <f>_xll.qlCalendarAdvance(Calendar,Y3399,0&amp;"D")</f>
        <v>63052</v>
      </c>
      <c r="AA3399" s="109">
        <v>1.1948286569740674E-2</v>
      </c>
      <c r="AB3399" s="143">
        <f t="shared" si="114"/>
        <v>0</v>
      </c>
      <c r="AC3399" s="236" t="e">
        <v>#N/A</v>
      </c>
      <c r="AD3399" s="236">
        <v>1.1948286569740674E-2</v>
      </c>
    </row>
    <row r="3400" spans="23:30" x14ac:dyDescent="0.2">
      <c r="W3400" s="144"/>
      <c r="X3400" s="113" t="str">
        <f t="shared" si="113"/>
        <v>1w</v>
      </c>
      <c r="Y3400" s="106">
        <f>_xll.qlCalendarAdvance(Calendar,Y3399,X3400,"f",FALSE)</f>
        <v>63059</v>
      </c>
      <c r="Z3400" s="108">
        <f>_xll.qlCalendarAdvance(Calendar,Y3400,0&amp;"D")</f>
        <v>63059</v>
      </c>
      <c r="AA3400" s="109">
        <v>1.1950362473189813E-2</v>
      </c>
      <c r="AB3400" s="143">
        <f t="shared" si="114"/>
        <v>7.9936057773011271E-14</v>
      </c>
      <c r="AC3400" s="236" t="e">
        <v>#N/A</v>
      </c>
      <c r="AD3400" s="236">
        <v>1.1950362473109877E-2</v>
      </c>
    </row>
    <row r="3401" spans="23:30" x14ac:dyDescent="0.2">
      <c r="W3401" s="144"/>
      <c r="X3401" s="113" t="str">
        <f t="shared" si="113"/>
        <v>1w</v>
      </c>
      <c r="Y3401" s="106">
        <f>_xll.qlCalendarAdvance(Calendar,Y3400,X3401,"f",FALSE)</f>
        <v>63066</v>
      </c>
      <c r="Z3401" s="108">
        <f>_xll.qlCalendarAdvance(Calendar,Y3401,0&amp;"D")</f>
        <v>63066</v>
      </c>
      <c r="AA3401" s="109">
        <v>1.1952424088228497E-2</v>
      </c>
      <c r="AB3401" s="143">
        <f t="shared" si="114"/>
        <v>0</v>
      </c>
      <c r="AC3401" s="236" t="e">
        <v>#N/A</v>
      </c>
      <c r="AD3401" s="236">
        <v>1.1952424088228497E-2</v>
      </c>
    </row>
    <row r="3402" spans="23:30" x14ac:dyDescent="0.2">
      <c r="W3402" s="144"/>
      <c r="X3402" s="113" t="str">
        <f t="shared" si="113"/>
        <v>1w</v>
      </c>
      <c r="Y3402" s="106">
        <f>_xll.qlCalendarAdvance(Calendar,Y3401,X3402,"f",FALSE)</f>
        <v>63073</v>
      </c>
      <c r="Z3402" s="108">
        <f>_xll.qlCalendarAdvance(Calendar,Y3402,0&amp;"D")</f>
        <v>63073</v>
      </c>
      <c r="AA3402" s="109">
        <v>1.1954471414776791E-2</v>
      </c>
      <c r="AB3402" s="143">
        <f t="shared" si="114"/>
        <v>0</v>
      </c>
      <c r="AC3402" s="236" t="e">
        <v>#N/A</v>
      </c>
      <c r="AD3402" s="236">
        <v>1.1954471414776791E-2</v>
      </c>
    </row>
    <row r="3403" spans="23:30" x14ac:dyDescent="0.2">
      <c r="W3403" s="144"/>
      <c r="X3403" s="113" t="str">
        <f t="shared" si="113"/>
        <v>1w</v>
      </c>
      <c r="Y3403" s="106">
        <f>_xll.qlCalendarAdvance(Calendar,Y3402,X3403,"f",FALSE)</f>
        <v>63080</v>
      </c>
      <c r="Z3403" s="108">
        <f>_xll.qlCalendarAdvance(Calendar,Y3403,0&amp;"D")</f>
        <v>63080</v>
      </c>
      <c r="AA3403" s="109">
        <v>1.1956504452994565E-2</v>
      </c>
      <c r="AB3403" s="143">
        <f t="shared" si="114"/>
        <v>0</v>
      </c>
      <c r="AC3403" s="236" t="e">
        <v>#N/A</v>
      </c>
      <c r="AD3403" s="236">
        <v>1.1956504452994565E-2</v>
      </c>
    </row>
    <row r="3404" spans="23:30" x14ac:dyDescent="0.2">
      <c r="W3404" s="144"/>
      <c r="X3404" s="113" t="str">
        <f t="shared" si="113"/>
        <v>1w</v>
      </c>
      <c r="Y3404" s="106">
        <f>_xll.qlCalendarAdvance(Calendar,Y3403,X3404,"f",FALSE)</f>
        <v>63087</v>
      </c>
      <c r="Z3404" s="108">
        <f>_xll.qlCalendarAdvance(Calendar,Y3404,0&amp;"D")</f>
        <v>63087</v>
      </c>
      <c r="AA3404" s="109">
        <v>1.1958523202721949E-2</v>
      </c>
      <c r="AB3404" s="143">
        <f t="shared" si="114"/>
        <v>0</v>
      </c>
      <c r="AC3404" s="236" t="e">
        <v>#N/A</v>
      </c>
      <c r="AD3404" s="236">
        <v>1.1958523202721949E-2</v>
      </c>
    </row>
    <row r="3405" spans="23:30" x14ac:dyDescent="0.2">
      <c r="W3405" s="144"/>
      <c r="X3405" s="113" t="str">
        <f t="shared" ref="X3405:X3468" si="115">X3404</f>
        <v>1w</v>
      </c>
      <c r="Y3405" s="106">
        <f>_xll.qlCalendarAdvance(Calendar,Y3404,X3405,"f",FALSE)</f>
        <v>63094</v>
      </c>
      <c r="Z3405" s="108">
        <f>_xll.qlCalendarAdvance(Calendar,Y3405,0&amp;"D")</f>
        <v>63094</v>
      </c>
      <c r="AA3405" s="109">
        <v>1.196052766419875E-2</v>
      </c>
      <c r="AB3405" s="143">
        <f t="shared" si="114"/>
        <v>7.9936057773011271E-14</v>
      </c>
      <c r="AC3405" s="236" t="e">
        <v>#N/A</v>
      </c>
      <c r="AD3405" s="236">
        <v>1.1960527664118814E-2</v>
      </c>
    </row>
    <row r="3406" spans="23:30" x14ac:dyDescent="0.2">
      <c r="W3406" s="144"/>
      <c r="X3406" s="113" t="str">
        <f t="shared" si="115"/>
        <v>1w</v>
      </c>
      <c r="Y3406" s="106">
        <f>_xll.qlCalendarAdvance(Calendar,Y3405,X3406,"f",FALSE)</f>
        <v>63101</v>
      </c>
      <c r="Z3406" s="108">
        <f>_xll.qlCalendarAdvance(Calendar,Y3406,0&amp;"D")</f>
        <v>63101</v>
      </c>
      <c r="AA3406" s="109">
        <v>1.1962517836945352E-2</v>
      </c>
      <c r="AB3406" s="143">
        <f t="shared" si="114"/>
        <v>-7.9936057773011271E-14</v>
      </c>
      <c r="AC3406" s="236" t="e">
        <v>#N/A</v>
      </c>
      <c r="AD3406" s="236">
        <v>1.1962517837025288E-2</v>
      </c>
    </row>
    <row r="3407" spans="23:30" x14ac:dyDescent="0.2">
      <c r="W3407" s="144"/>
      <c r="X3407" s="113" t="str">
        <f t="shared" si="115"/>
        <v>1w</v>
      </c>
      <c r="Y3407" s="106">
        <f>_xll.qlCalendarAdvance(Calendar,Y3406,X3407,"f",FALSE)</f>
        <v>63108</v>
      </c>
      <c r="Z3407" s="108">
        <f>_xll.qlCalendarAdvance(Calendar,Y3407,0&amp;"D")</f>
        <v>63108</v>
      </c>
      <c r="AA3407" s="109">
        <v>1.1964493721601244E-2</v>
      </c>
      <c r="AB3407" s="143">
        <f t="shared" si="114"/>
        <v>0</v>
      </c>
      <c r="AC3407" s="236" t="e">
        <v>#N/A</v>
      </c>
      <c r="AD3407" s="236">
        <v>1.1964493721601244E-2</v>
      </c>
    </row>
    <row r="3408" spans="23:30" x14ac:dyDescent="0.2">
      <c r="W3408" s="144"/>
      <c r="X3408" s="113" t="str">
        <f t="shared" si="115"/>
        <v>1w</v>
      </c>
      <c r="Y3408" s="106">
        <f>_xll.qlCalendarAdvance(Calendar,Y3407,X3408,"f",FALSE)</f>
        <v>63115</v>
      </c>
      <c r="Z3408" s="108">
        <f>_xll.qlCalendarAdvance(Calendar,Y3408,0&amp;"D")</f>
        <v>63115</v>
      </c>
      <c r="AA3408" s="109">
        <v>1.1966455317686808E-2</v>
      </c>
      <c r="AB3408" s="143">
        <f t="shared" si="114"/>
        <v>0</v>
      </c>
      <c r="AC3408" s="236" t="e">
        <v>#N/A</v>
      </c>
      <c r="AD3408" s="236">
        <v>1.1966455317686808E-2</v>
      </c>
    </row>
    <row r="3409" spans="23:30" x14ac:dyDescent="0.2">
      <c r="W3409" s="144"/>
      <c r="X3409" s="113" t="str">
        <f t="shared" si="115"/>
        <v>1w</v>
      </c>
      <c r="Y3409" s="106">
        <f>_xll.qlCalendarAdvance(Calendar,Y3408,X3409,"f",FALSE)</f>
        <v>63122</v>
      </c>
      <c r="Z3409" s="108">
        <f>_xll.qlCalendarAdvance(Calendar,Y3409,0&amp;"D")</f>
        <v>63122</v>
      </c>
      <c r="AA3409" s="109">
        <v>1.1968402625361918E-2</v>
      </c>
      <c r="AB3409" s="143">
        <f t="shared" si="114"/>
        <v>0</v>
      </c>
      <c r="AC3409" s="236" t="e">
        <v>#N/A</v>
      </c>
      <c r="AD3409" s="236">
        <v>1.1968402625361918E-2</v>
      </c>
    </row>
    <row r="3410" spans="23:30" x14ac:dyDescent="0.2">
      <c r="W3410" s="144"/>
      <c r="X3410" s="113" t="str">
        <f t="shared" si="115"/>
        <v>1w</v>
      </c>
      <c r="Y3410" s="106">
        <f>_xll.qlCalendarAdvance(Calendar,Y3409,X3410,"f",FALSE)</f>
        <v>63129</v>
      </c>
      <c r="Z3410" s="108">
        <f>_xll.qlCalendarAdvance(Calendar,Y3410,0&amp;"D")</f>
        <v>63129</v>
      </c>
      <c r="AA3410" s="109">
        <v>1.1970335644706509E-2</v>
      </c>
      <c r="AB3410" s="143">
        <f t="shared" si="114"/>
        <v>0</v>
      </c>
      <c r="AC3410" s="236" t="e">
        <v>#N/A</v>
      </c>
      <c r="AD3410" s="236">
        <v>1.1970335644706509E-2</v>
      </c>
    </row>
    <row r="3411" spans="23:30" x14ac:dyDescent="0.2">
      <c r="W3411" s="144"/>
      <c r="X3411" s="113" t="str">
        <f t="shared" si="115"/>
        <v>1w</v>
      </c>
      <c r="Y3411" s="106">
        <f>_xll.qlCalendarAdvance(Calendar,Y3410,X3411,"f",FALSE)</f>
        <v>63136</v>
      </c>
      <c r="Z3411" s="108">
        <f>_xll.qlCalendarAdvance(Calendar,Y3411,0&amp;"D")</f>
        <v>63136</v>
      </c>
      <c r="AA3411" s="109">
        <v>1.1972254375720581E-2</v>
      </c>
      <c r="AB3411" s="143">
        <f t="shared" si="114"/>
        <v>7.9936057773011271E-14</v>
      </c>
      <c r="AC3411" s="236" t="e">
        <v>#N/A</v>
      </c>
      <c r="AD3411" s="236">
        <v>1.1972254375640645E-2</v>
      </c>
    </row>
    <row r="3412" spans="23:30" x14ac:dyDescent="0.2">
      <c r="W3412" s="144"/>
      <c r="X3412" s="113" t="str">
        <f t="shared" si="115"/>
        <v>1w</v>
      </c>
      <c r="Y3412" s="106">
        <f>_xll.qlCalendarAdvance(Calendar,Y3411,X3412,"f",FALSE)</f>
        <v>63143</v>
      </c>
      <c r="Z3412" s="108">
        <f>_xll.qlCalendarAdvance(Calendar,Y3412,0&amp;"D")</f>
        <v>63143</v>
      </c>
      <c r="AA3412" s="109">
        <v>1.1974158818084391E-2</v>
      </c>
      <c r="AB3412" s="143">
        <f t="shared" si="114"/>
        <v>0</v>
      </c>
      <c r="AC3412" s="236" t="e">
        <v>#N/A</v>
      </c>
      <c r="AD3412" s="236">
        <v>1.1974158818084391E-2</v>
      </c>
    </row>
    <row r="3413" spans="23:30" x14ac:dyDescent="0.2">
      <c r="W3413" s="144"/>
      <c r="X3413" s="113" t="str">
        <f t="shared" si="115"/>
        <v>1w</v>
      </c>
      <c r="Y3413" s="106">
        <f>_xll.qlCalendarAdvance(Calendar,Y3412,X3413,"f",FALSE)</f>
        <v>63150</v>
      </c>
      <c r="Z3413" s="108">
        <f>_xll.qlCalendarAdvance(Calendar,Y3413,0&amp;"D")</f>
        <v>63150</v>
      </c>
      <c r="AA3413" s="109">
        <v>1.1976048972197617E-2</v>
      </c>
      <c r="AB3413" s="143">
        <f t="shared" ref="AB3413:AB3476" si="116">AA3413-AD3413</f>
        <v>-7.9936057773011271E-14</v>
      </c>
      <c r="AC3413" s="236" t="e">
        <v>#N/A</v>
      </c>
      <c r="AD3413" s="236">
        <v>1.1976048972277553E-2</v>
      </c>
    </row>
    <row r="3414" spans="23:30" x14ac:dyDescent="0.2">
      <c r="W3414" s="144"/>
      <c r="X3414" s="113" t="str">
        <f t="shared" si="115"/>
        <v>1w</v>
      </c>
      <c r="Y3414" s="106">
        <f>_xll.qlCalendarAdvance(Calendar,Y3413,X3414,"f",FALSE)</f>
        <v>63157</v>
      </c>
      <c r="Z3414" s="108">
        <f>_xll.qlCalendarAdvance(Calendar,Y3414,0&amp;"D")</f>
        <v>63157</v>
      </c>
      <c r="AA3414" s="109">
        <v>1.1977924837820453E-2</v>
      </c>
      <c r="AB3414" s="143">
        <f t="shared" si="116"/>
        <v>-7.9936057773011271E-14</v>
      </c>
      <c r="AC3414" s="236" t="e">
        <v>#N/A</v>
      </c>
      <c r="AD3414" s="236">
        <v>1.1977924837900389E-2</v>
      </c>
    </row>
    <row r="3415" spans="23:30" x14ac:dyDescent="0.2">
      <c r="W3415" s="144"/>
      <c r="X3415" s="113" t="str">
        <f t="shared" si="115"/>
        <v>1w</v>
      </c>
      <c r="Y3415" s="106">
        <f>_xll.qlCalendarAdvance(Calendar,Y3414,X3415,"f",FALSE)</f>
        <v>63164</v>
      </c>
      <c r="Z3415" s="108">
        <f>_xll.qlCalendarAdvance(Calendar,Y3415,0&amp;"D")</f>
        <v>63164</v>
      </c>
      <c r="AA3415" s="109">
        <v>1.197978641511277E-2</v>
      </c>
      <c r="AB3415" s="143">
        <f t="shared" si="116"/>
        <v>0</v>
      </c>
      <c r="AC3415" s="236" t="e">
        <v>#N/A</v>
      </c>
      <c r="AD3415" s="236">
        <v>1.197978641511277E-2</v>
      </c>
    </row>
    <row r="3416" spans="23:30" x14ac:dyDescent="0.2">
      <c r="W3416" s="144"/>
      <c r="X3416" s="113" t="str">
        <f t="shared" si="115"/>
        <v>1w</v>
      </c>
      <c r="Y3416" s="106">
        <f>_xll.qlCalendarAdvance(Calendar,Y3415,X3416,"f",FALSE)</f>
        <v>63171</v>
      </c>
      <c r="Z3416" s="108">
        <f>_xll.qlCalendarAdvance(Calendar,Y3416,0&amp;"D")</f>
        <v>63171</v>
      </c>
      <c r="AA3416" s="109">
        <v>1.1981633703994632E-2</v>
      </c>
      <c r="AB3416" s="143">
        <f t="shared" si="116"/>
        <v>7.9936057773011271E-14</v>
      </c>
      <c r="AC3416" s="236" t="e">
        <v>#N/A</v>
      </c>
      <c r="AD3416" s="236">
        <v>1.1981633703914696E-2</v>
      </c>
    </row>
    <row r="3417" spans="23:30" x14ac:dyDescent="0.2">
      <c r="W3417" s="144"/>
      <c r="X3417" s="113" t="str">
        <f t="shared" si="115"/>
        <v>1w</v>
      </c>
      <c r="Y3417" s="106">
        <f>_xll.qlCalendarAdvance(Calendar,Y3416,X3417,"f",FALSE)</f>
        <v>63178</v>
      </c>
      <c r="Z3417" s="108">
        <f>_xll.qlCalendarAdvance(Calendar,Y3417,0&amp;"D")</f>
        <v>63178</v>
      </c>
      <c r="AA3417" s="109">
        <v>1.1983466704386103E-2</v>
      </c>
      <c r="AB3417" s="143">
        <f t="shared" si="116"/>
        <v>0</v>
      </c>
      <c r="AC3417" s="236" t="e">
        <v>#N/A</v>
      </c>
      <c r="AD3417" s="236">
        <v>1.1983466704386103E-2</v>
      </c>
    </row>
    <row r="3418" spans="23:30" x14ac:dyDescent="0.2">
      <c r="W3418" s="144"/>
      <c r="X3418" s="113" t="str">
        <f t="shared" si="115"/>
        <v>1w</v>
      </c>
      <c r="Y3418" s="106">
        <f>_xll.qlCalendarAdvance(Calendar,Y3417,X3418,"f",FALSE)</f>
        <v>63185</v>
      </c>
      <c r="Z3418" s="108">
        <f>_xll.qlCalendarAdvance(Calendar,Y3418,0&amp;"D")</f>
        <v>63185</v>
      </c>
      <c r="AA3418" s="109">
        <v>1.198528541636712E-2</v>
      </c>
      <c r="AB3418" s="143">
        <f t="shared" si="116"/>
        <v>0</v>
      </c>
      <c r="AC3418" s="236" t="e">
        <v>#N/A</v>
      </c>
      <c r="AD3418" s="236">
        <v>1.198528541636712E-2</v>
      </c>
    </row>
    <row r="3419" spans="23:30" x14ac:dyDescent="0.2">
      <c r="W3419" s="144"/>
      <c r="X3419" s="113" t="str">
        <f t="shared" si="115"/>
        <v>1w</v>
      </c>
      <c r="Y3419" s="106">
        <f>_xll.qlCalendarAdvance(Calendar,Y3418,X3419,"f",FALSE)</f>
        <v>63192</v>
      </c>
      <c r="Z3419" s="108">
        <f>_xll.qlCalendarAdvance(Calendar,Y3419,0&amp;"D")</f>
        <v>63192</v>
      </c>
      <c r="AA3419" s="109">
        <v>1.1987089839937681E-2</v>
      </c>
      <c r="AB3419" s="143">
        <f t="shared" si="116"/>
        <v>0</v>
      </c>
      <c r="AC3419" s="236" t="e">
        <v>#N/A</v>
      </c>
      <c r="AD3419" s="236">
        <v>1.1987089839937681E-2</v>
      </c>
    </row>
    <row r="3420" spans="23:30" x14ac:dyDescent="0.2">
      <c r="W3420" s="144"/>
      <c r="X3420" s="113" t="str">
        <f t="shared" si="115"/>
        <v>1w</v>
      </c>
      <c r="Y3420" s="106">
        <f>_xll.qlCalendarAdvance(Calendar,Y3419,X3420,"f",FALSE)</f>
        <v>63199</v>
      </c>
      <c r="Z3420" s="108">
        <f>_xll.qlCalendarAdvance(Calendar,Y3420,0&amp;"D")</f>
        <v>63199</v>
      </c>
      <c r="AA3420" s="109">
        <v>1.1988879975017852E-2</v>
      </c>
      <c r="AB3420" s="143">
        <f t="shared" si="116"/>
        <v>-7.9936057773011271E-14</v>
      </c>
      <c r="AC3420" s="236" t="e">
        <v>#N/A</v>
      </c>
      <c r="AD3420" s="236">
        <v>1.1988879975097788E-2</v>
      </c>
    </row>
    <row r="3421" spans="23:30" x14ac:dyDescent="0.2">
      <c r="W3421" s="144"/>
      <c r="X3421" s="113" t="str">
        <f t="shared" si="115"/>
        <v>1w</v>
      </c>
      <c r="Y3421" s="106">
        <f>_xll.qlCalendarAdvance(Calendar,Y3420,X3421,"f",FALSE)</f>
        <v>63206</v>
      </c>
      <c r="Z3421" s="108">
        <f>_xll.qlCalendarAdvance(Calendar,Y3421,0&amp;"D")</f>
        <v>63206</v>
      </c>
      <c r="AA3421" s="109">
        <v>1.1990655822007312E-2</v>
      </c>
      <c r="AB3421" s="143">
        <f t="shared" si="116"/>
        <v>0</v>
      </c>
      <c r="AC3421" s="236" t="e">
        <v>#N/A</v>
      </c>
      <c r="AD3421" s="236">
        <v>1.1990655822007312E-2</v>
      </c>
    </row>
    <row r="3422" spans="23:30" x14ac:dyDescent="0.2">
      <c r="W3422" s="144"/>
      <c r="X3422" s="113" t="str">
        <f t="shared" si="115"/>
        <v>1w</v>
      </c>
      <c r="Y3422" s="106">
        <f>_xll.qlCalendarAdvance(Calendar,Y3421,X3422,"f",FALSE)</f>
        <v>63213</v>
      </c>
      <c r="Z3422" s="108">
        <f>_xll.qlCalendarAdvance(Calendar,Y3422,0&amp;"D")</f>
        <v>63213</v>
      </c>
      <c r="AA3422" s="109">
        <v>1.1992417380186637E-2</v>
      </c>
      <c r="AB3422" s="143">
        <f t="shared" si="116"/>
        <v>-7.9936057773011271E-14</v>
      </c>
      <c r="AC3422" s="236" t="e">
        <v>#N/A</v>
      </c>
      <c r="AD3422" s="236">
        <v>1.1992417380266573E-2</v>
      </c>
    </row>
    <row r="3423" spans="23:30" x14ac:dyDescent="0.2">
      <c r="W3423" s="144"/>
      <c r="X3423" s="113" t="str">
        <f t="shared" si="115"/>
        <v>1w</v>
      </c>
      <c r="Y3423" s="106">
        <f>_xll.qlCalendarAdvance(Calendar,Y3422,X3423,"f",FALSE)</f>
        <v>63220</v>
      </c>
      <c r="Z3423" s="108">
        <f>_xll.qlCalendarAdvance(Calendar,Y3423,0&amp;"D")</f>
        <v>63220</v>
      </c>
      <c r="AA3423" s="109">
        <v>1.1994164650195316E-2</v>
      </c>
      <c r="AB3423" s="143">
        <f t="shared" si="116"/>
        <v>0</v>
      </c>
      <c r="AC3423" s="236" t="e">
        <v>#N/A</v>
      </c>
      <c r="AD3423" s="236">
        <v>1.1994164650195316E-2</v>
      </c>
    </row>
    <row r="3424" spans="23:30" x14ac:dyDescent="0.2">
      <c r="W3424" s="144"/>
      <c r="X3424" s="113" t="str">
        <f t="shared" si="115"/>
        <v>1w</v>
      </c>
      <c r="Y3424" s="106">
        <f>_xll.qlCalendarAdvance(Calendar,Y3423,X3424,"f",FALSE)</f>
        <v>63227</v>
      </c>
      <c r="Z3424" s="108">
        <f>_xll.qlCalendarAdvance(Calendar,Y3424,0&amp;"D")</f>
        <v>63227</v>
      </c>
      <c r="AA3424" s="109">
        <v>1.199589763179354E-2</v>
      </c>
      <c r="AB3424" s="143">
        <f t="shared" si="116"/>
        <v>-7.9936057773011271E-14</v>
      </c>
      <c r="AC3424" s="236" t="e">
        <v>#N/A</v>
      </c>
      <c r="AD3424" s="236">
        <v>1.1995897631873476E-2</v>
      </c>
    </row>
    <row r="3425" spans="23:30" x14ac:dyDescent="0.2">
      <c r="W3425" s="144"/>
      <c r="X3425" s="113" t="str">
        <f t="shared" si="115"/>
        <v>1w</v>
      </c>
      <c r="Y3425" s="106">
        <f>_xll.qlCalendarAdvance(Calendar,Y3424,X3425,"f",FALSE)</f>
        <v>63234</v>
      </c>
      <c r="Z3425" s="108">
        <f>_xll.qlCalendarAdvance(Calendar,Y3425,0&amp;"D")</f>
        <v>63234</v>
      </c>
      <c r="AA3425" s="109">
        <v>1.1997616325061244E-2</v>
      </c>
      <c r="AB3425" s="143">
        <f t="shared" si="116"/>
        <v>1.5987211554602254E-13</v>
      </c>
      <c r="AC3425" s="236" t="e">
        <v>#N/A</v>
      </c>
      <c r="AD3425" s="236">
        <v>1.1997616324901372E-2</v>
      </c>
    </row>
    <row r="3426" spans="23:30" x14ac:dyDescent="0.2">
      <c r="W3426" s="144"/>
      <c r="X3426" s="113" t="str">
        <f t="shared" si="115"/>
        <v>1w</v>
      </c>
      <c r="Y3426" s="106">
        <f>_xll.qlCalendarAdvance(Calendar,Y3425,X3426,"f",FALSE)</f>
        <v>63241</v>
      </c>
      <c r="Z3426" s="108">
        <f>_xll.qlCalendarAdvance(Calendar,Y3426,0&amp;"D")</f>
        <v>63241</v>
      </c>
      <c r="AA3426" s="109">
        <v>1.1999320729518814E-2</v>
      </c>
      <c r="AB3426" s="143">
        <f t="shared" si="116"/>
        <v>0</v>
      </c>
      <c r="AC3426" s="236" t="e">
        <v>#N/A</v>
      </c>
      <c r="AD3426" s="236">
        <v>1.1999320729518814E-2</v>
      </c>
    </row>
    <row r="3427" spans="23:30" x14ac:dyDescent="0.2">
      <c r="W3427" s="144"/>
      <c r="X3427" s="113" t="str">
        <f t="shared" si="115"/>
        <v>1w</v>
      </c>
      <c r="Y3427" s="106">
        <f>_xll.qlCalendarAdvance(Calendar,Y3426,X3427,"f",FALSE)</f>
        <v>63248</v>
      </c>
      <c r="Z3427" s="108">
        <f>_xll.qlCalendarAdvance(Calendar,Y3427,0&amp;"D")</f>
        <v>63248</v>
      </c>
      <c r="AA3427" s="109">
        <v>1.2001010845805737E-2</v>
      </c>
      <c r="AB3427" s="143">
        <f t="shared" si="116"/>
        <v>-7.9936057773011271E-14</v>
      </c>
      <c r="AC3427" s="236" t="e">
        <v>#N/A</v>
      </c>
      <c r="AD3427" s="236">
        <v>1.2001010845885673E-2</v>
      </c>
    </row>
    <row r="3428" spans="23:30" x14ac:dyDescent="0.2">
      <c r="W3428" s="144"/>
      <c r="X3428" s="113" t="str">
        <f t="shared" si="115"/>
        <v>1w</v>
      </c>
      <c r="Y3428" s="106">
        <f>_xll.qlCalendarAdvance(Calendar,Y3427,X3428,"f",FALSE)</f>
        <v>63255</v>
      </c>
      <c r="Z3428" s="108">
        <f>_xll.qlCalendarAdvance(Calendar,Y3428,0&amp;"D")</f>
        <v>63255</v>
      </c>
      <c r="AA3428" s="109">
        <v>1.2002686673682206E-2</v>
      </c>
      <c r="AB3428" s="143">
        <f t="shared" si="116"/>
        <v>-7.9936057773011271E-14</v>
      </c>
      <c r="AC3428" s="236" t="e">
        <v>#N/A</v>
      </c>
      <c r="AD3428" s="236">
        <v>1.2002686673762142E-2</v>
      </c>
    </row>
    <row r="3429" spans="23:30" x14ac:dyDescent="0.2">
      <c r="W3429" s="144"/>
      <c r="X3429" s="113" t="str">
        <f t="shared" si="115"/>
        <v>1w</v>
      </c>
      <c r="Y3429" s="106">
        <f>_xll.qlCalendarAdvance(Calendar,Y3428,X3429,"f",FALSE)</f>
        <v>63262</v>
      </c>
      <c r="Z3429" s="108">
        <f>_xll.qlCalendarAdvance(Calendar,Y3429,0&amp;"D")</f>
        <v>63262</v>
      </c>
      <c r="AA3429" s="109">
        <v>1.2004348213148219E-2</v>
      </c>
      <c r="AB3429" s="143">
        <f t="shared" si="116"/>
        <v>0</v>
      </c>
      <c r="AC3429" s="236" t="e">
        <v>#N/A</v>
      </c>
      <c r="AD3429" s="236">
        <v>1.2004348213148219E-2</v>
      </c>
    </row>
    <row r="3430" spans="23:30" x14ac:dyDescent="0.2">
      <c r="W3430" s="144"/>
      <c r="X3430" s="113" t="str">
        <f t="shared" si="115"/>
        <v>1w</v>
      </c>
      <c r="Y3430" s="106">
        <f>_xll.qlCalendarAdvance(Calendar,Y3429,X3430,"f",FALSE)</f>
        <v>63269</v>
      </c>
      <c r="Z3430" s="108">
        <f>_xll.qlCalendarAdvance(Calendar,Y3430,0&amp;"D")</f>
        <v>63269</v>
      </c>
      <c r="AA3430" s="109">
        <v>1.2005995464123842E-2</v>
      </c>
      <c r="AB3430" s="143">
        <f t="shared" si="116"/>
        <v>0</v>
      </c>
      <c r="AC3430" s="236" t="e">
        <v>#N/A</v>
      </c>
      <c r="AD3430" s="236">
        <v>1.2005995464123842E-2</v>
      </c>
    </row>
    <row r="3431" spans="23:30" x14ac:dyDescent="0.2">
      <c r="W3431" s="144"/>
      <c r="X3431" s="113" t="str">
        <f t="shared" si="115"/>
        <v>1w</v>
      </c>
      <c r="Y3431" s="106">
        <f>_xll.qlCalendarAdvance(Calendar,Y3430,X3431,"f",FALSE)</f>
        <v>63276</v>
      </c>
      <c r="Z3431" s="108">
        <f>_xll.qlCalendarAdvance(Calendar,Y3431,0&amp;"D")</f>
        <v>63276</v>
      </c>
      <c r="AA3431" s="109">
        <v>1.2007628426928818E-2</v>
      </c>
      <c r="AB3431" s="143">
        <f t="shared" si="116"/>
        <v>0</v>
      </c>
      <c r="AC3431" s="236" t="e">
        <v>#N/A</v>
      </c>
      <c r="AD3431" s="236">
        <v>1.2007628426928818E-2</v>
      </c>
    </row>
    <row r="3432" spans="23:30" x14ac:dyDescent="0.2">
      <c r="W3432" s="144"/>
      <c r="X3432" s="113" t="str">
        <f t="shared" si="115"/>
        <v>1w</v>
      </c>
      <c r="Y3432" s="106">
        <f>_xll.qlCalendarAdvance(Calendar,Y3431,X3432,"f",FALSE)</f>
        <v>63283</v>
      </c>
      <c r="Z3432" s="108">
        <f>_xll.qlCalendarAdvance(Calendar,Y3432,0&amp;"D")</f>
        <v>63283</v>
      </c>
      <c r="AA3432" s="109">
        <v>1.2009247101163467E-2</v>
      </c>
      <c r="AB3432" s="143">
        <f t="shared" si="116"/>
        <v>7.9936057773011271E-14</v>
      </c>
      <c r="AC3432" s="236" t="e">
        <v>#N/A</v>
      </c>
      <c r="AD3432" s="236">
        <v>1.2009247101083531E-2</v>
      </c>
    </row>
    <row r="3433" spans="23:30" x14ac:dyDescent="0.2">
      <c r="W3433" s="144"/>
      <c r="X3433" s="113" t="str">
        <f t="shared" si="115"/>
        <v>1w</v>
      </c>
      <c r="Y3433" s="106">
        <f>_xll.qlCalendarAdvance(Calendar,Y3432,X3433,"f",FALSE)</f>
        <v>63290</v>
      </c>
      <c r="Z3433" s="108">
        <f>_xll.qlCalendarAdvance(Calendar,Y3433,0&amp;"D")</f>
        <v>63290</v>
      </c>
      <c r="AA3433" s="109">
        <v>1.2010851486987661E-2</v>
      </c>
      <c r="AB3433" s="143">
        <f t="shared" si="116"/>
        <v>7.9936057773011271E-14</v>
      </c>
      <c r="AC3433" s="236" t="e">
        <v>#N/A</v>
      </c>
      <c r="AD3433" s="236">
        <v>1.2010851486907725E-2</v>
      </c>
    </row>
    <row r="3434" spans="23:30" x14ac:dyDescent="0.2">
      <c r="W3434" s="144"/>
      <c r="X3434" s="113" t="str">
        <f t="shared" si="115"/>
        <v>1w</v>
      </c>
      <c r="Y3434" s="106">
        <f>_xll.qlCalendarAdvance(Calendar,Y3433,X3434,"f",FALSE)</f>
        <v>63297</v>
      </c>
      <c r="Z3434" s="108">
        <f>_xll.qlCalendarAdvance(Calendar,Y3434,0&amp;"D")</f>
        <v>63297</v>
      </c>
      <c r="AA3434" s="109">
        <v>1.2012441584241529E-2</v>
      </c>
      <c r="AB3434" s="143">
        <f t="shared" si="116"/>
        <v>7.9936057773011271E-14</v>
      </c>
      <c r="AC3434" s="236" t="e">
        <v>#N/A</v>
      </c>
      <c r="AD3434" s="236">
        <v>1.2012441584161593E-2</v>
      </c>
    </row>
    <row r="3435" spans="23:30" x14ac:dyDescent="0.2">
      <c r="W3435" s="144"/>
      <c r="X3435" s="113" t="str">
        <f t="shared" si="115"/>
        <v>1w</v>
      </c>
      <c r="Y3435" s="106">
        <f>_xll.qlCalendarAdvance(Calendar,Y3434,X3435,"f",FALSE)</f>
        <v>63304</v>
      </c>
      <c r="Z3435" s="108">
        <f>_xll.qlCalendarAdvance(Calendar,Y3435,0&amp;"D")</f>
        <v>63304</v>
      </c>
      <c r="AA3435" s="109">
        <v>1.201401739332475E-2</v>
      </c>
      <c r="AB3435" s="143">
        <f t="shared" si="116"/>
        <v>0</v>
      </c>
      <c r="AC3435" s="236" t="e">
        <v>#N/A</v>
      </c>
      <c r="AD3435" s="236">
        <v>1.201401739332475E-2</v>
      </c>
    </row>
    <row r="3436" spans="23:30" x14ac:dyDescent="0.2">
      <c r="W3436" s="144"/>
      <c r="X3436" s="113" t="str">
        <f t="shared" si="115"/>
        <v>1w</v>
      </c>
      <c r="Y3436" s="106">
        <f>_xll.qlCalendarAdvance(Calendar,Y3435,X3436,"f",FALSE)</f>
        <v>63311</v>
      </c>
      <c r="Z3436" s="108">
        <f>_xll.qlCalendarAdvance(Calendar,Y3436,0&amp;"D")</f>
        <v>63311</v>
      </c>
      <c r="AA3436" s="109">
        <v>1.2015578913677771E-2</v>
      </c>
      <c r="AB3436" s="143">
        <f t="shared" si="116"/>
        <v>0</v>
      </c>
      <c r="AC3436" s="236" t="e">
        <v>#N/A</v>
      </c>
      <c r="AD3436" s="236">
        <v>1.2015578913677771E-2</v>
      </c>
    </row>
    <row r="3437" spans="23:30" x14ac:dyDescent="0.2">
      <c r="W3437" s="144"/>
      <c r="X3437" s="113" t="str">
        <f t="shared" si="115"/>
        <v>1w</v>
      </c>
      <c r="Y3437" s="106">
        <f>_xll.qlCalendarAdvance(Calendar,Y3436,X3437,"f",FALSE)</f>
        <v>63318</v>
      </c>
      <c r="Z3437" s="108">
        <f>_xll.qlCalendarAdvance(Calendar,Y3437,0&amp;"D")</f>
        <v>63318</v>
      </c>
      <c r="AA3437" s="109">
        <v>1.2017126145940082E-2</v>
      </c>
      <c r="AB3437" s="143">
        <f t="shared" si="116"/>
        <v>0</v>
      </c>
      <c r="AC3437" s="236" t="e">
        <v>#N/A</v>
      </c>
      <c r="AD3437" s="236">
        <v>1.2017126145940082E-2</v>
      </c>
    </row>
    <row r="3438" spans="23:30" x14ac:dyDescent="0.2">
      <c r="W3438" s="144"/>
      <c r="X3438" s="113" t="str">
        <f t="shared" si="115"/>
        <v>1w</v>
      </c>
      <c r="Y3438" s="106">
        <f>_xll.qlCalendarAdvance(Calendar,Y3437,X3438,"f",FALSE)</f>
        <v>63325</v>
      </c>
      <c r="Z3438" s="108">
        <f>_xll.qlCalendarAdvance(Calendar,Y3438,0&amp;"D")</f>
        <v>63325</v>
      </c>
      <c r="AA3438" s="109">
        <v>1.2018659089632067E-2</v>
      </c>
      <c r="AB3438" s="143">
        <f t="shared" si="116"/>
        <v>7.9936057773011271E-14</v>
      </c>
      <c r="AC3438" s="236" t="e">
        <v>#N/A</v>
      </c>
      <c r="AD3438" s="236">
        <v>1.2018659089552131E-2</v>
      </c>
    </row>
    <row r="3439" spans="23:30" x14ac:dyDescent="0.2">
      <c r="W3439" s="144"/>
      <c r="X3439" s="113" t="str">
        <f t="shared" si="115"/>
        <v>1w</v>
      </c>
      <c r="Y3439" s="106">
        <f>_xll.qlCalendarAdvance(Calendar,Y3438,X3439,"f",FALSE)</f>
        <v>63332</v>
      </c>
      <c r="Z3439" s="108">
        <f>_xll.qlCalendarAdvance(Calendar,Y3439,0&amp;"D")</f>
        <v>63332</v>
      </c>
      <c r="AA3439" s="109">
        <v>1.2020177744913596E-2</v>
      </c>
      <c r="AB3439" s="143">
        <f t="shared" si="116"/>
        <v>0</v>
      </c>
      <c r="AC3439" s="236" t="e">
        <v>#N/A</v>
      </c>
      <c r="AD3439" s="236">
        <v>1.2020177744913596E-2</v>
      </c>
    </row>
    <row r="3440" spans="23:30" x14ac:dyDescent="0.2">
      <c r="W3440" s="144"/>
      <c r="X3440" s="113" t="str">
        <f t="shared" si="115"/>
        <v>1w</v>
      </c>
      <c r="Y3440" s="106">
        <f>_xll.qlCalendarAdvance(Calendar,Y3439,X3440,"f",FALSE)</f>
        <v>63339</v>
      </c>
      <c r="Z3440" s="108">
        <f>_xll.qlCalendarAdvance(Calendar,Y3440,0&amp;"D")</f>
        <v>63339</v>
      </c>
      <c r="AA3440" s="109">
        <v>1.2021682111784671E-2</v>
      </c>
      <c r="AB3440" s="143">
        <f t="shared" si="116"/>
        <v>0</v>
      </c>
      <c r="AC3440" s="236" t="e">
        <v>#N/A</v>
      </c>
      <c r="AD3440" s="236">
        <v>1.2021682111784671E-2</v>
      </c>
    </row>
    <row r="3441" spans="23:30" x14ac:dyDescent="0.2">
      <c r="W3441" s="144"/>
      <c r="X3441" s="113" t="str">
        <f t="shared" si="115"/>
        <v>1w</v>
      </c>
      <c r="Y3441" s="106">
        <f>_xll.qlCalendarAdvance(Calendar,Y3440,X3441,"f",FALSE)</f>
        <v>63346</v>
      </c>
      <c r="Z3441" s="108">
        <f>_xll.qlCalendarAdvance(Calendar,Y3441,0&amp;"D")</f>
        <v>63346</v>
      </c>
      <c r="AA3441" s="109">
        <v>1.202317219024529E-2</v>
      </c>
      <c r="AB3441" s="143">
        <f t="shared" si="116"/>
        <v>0</v>
      </c>
      <c r="AC3441" s="236" t="e">
        <v>#N/A</v>
      </c>
      <c r="AD3441" s="236">
        <v>1.202317219024529E-2</v>
      </c>
    </row>
    <row r="3442" spans="23:30" x14ac:dyDescent="0.2">
      <c r="W3442" s="144"/>
      <c r="X3442" s="113" t="str">
        <f t="shared" si="115"/>
        <v>1w</v>
      </c>
      <c r="Y3442" s="106">
        <f>_xll.qlCalendarAdvance(Calendar,Y3441,X3442,"f",FALSE)</f>
        <v>63353</v>
      </c>
      <c r="Z3442" s="108">
        <f>_xll.qlCalendarAdvance(Calendar,Y3442,0&amp;"D")</f>
        <v>63353</v>
      </c>
      <c r="AA3442" s="109">
        <v>1.2024647980295455E-2</v>
      </c>
      <c r="AB3442" s="143">
        <f t="shared" si="116"/>
        <v>0</v>
      </c>
      <c r="AC3442" s="236" t="e">
        <v>#N/A</v>
      </c>
      <c r="AD3442" s="236">
        <v>1.2024647980295455E-2</v>
      </c>
    </row>
    <row r="3443" spans="23:30" x14ac:dyDescent="0.2">
      <c r="W3443" s="144"/>
      <c r="X3443" s="113" t="str">
        <f t="shared" si="115"/>
        <v>1w</v>
      </c>
      <c r="Y3443" s="106">
        <f>_xll.qlCalendarAdvance(Calendar,Y3442,X3443,"f",FALSE)</f>
        <v>63360</v>
      </c>
      <c r="Z3443" s="108">
        <f>_xll.qlCalendarAdvance(Calendar,Y3443,0&amp;"D")</f>
        <v>63360</v>
      </c>
      <c r="AA3443" s="109">
        <v>1.2026109481935165E-2</v>
      </c>
      <c r="AB3443" s="143">
        <f t="shared" si="116"/>
        <v>0</v>
      </c>
      <c r="AC3443" s="236" t="e">
        <v>#N/A</v>
      </c>
      <c r="AD3443" s="236">
        <v>1.2026109481935165E-2</v>
      </c>
    </row>
    <row r="3444" spans="23:30" x14ac:dyDescent="0.2">
      <c r="W3444" s="144"/>
      <c r="X3444" s="113" t="str">
        <f t="shared" si="115"/>
        <v>1w</v>
      </c>
      <c r="Y3444" s="106">
        <f>_xll.qlCalendarAdvance(Calendar,Y3443,X3444,"f",FALSE)</f>
        <v>63367</v>
      </c>
      <c r="Z3444" s="108">
        <f>_xll.qlCalendarAdvance(Calendar,Y3444,0&amp;"D")</f>
        <v>63367</v>
      </c>
      <c r="AA3444" s="109">
        <v>1.2027556695164421E-2</v>
      </c>
      <c r="AB3444" s="143">
        <f t="shared" si="116"/>
        <v>0</v>
      </c>
      <c r="AC3444" s="236" t="e">
        <v>#N/A</v>
      </c>
      <c r="AD3444" s="236">
        <v>1.2027556695164421E-2</v>
      </c>
    </row>
    <row r="3445" spans="23:30" x14ac:dyDescent="0.2">
      <c r="W3445" s="144"/>
      <c r="X3445" s="113" t="str">
        <f t="shared" si="115"/>
        <v>1w</v>
      </c>
      <c r="Y3445" s="106">
        <f>_xll.qlCalendarAdvance(Calendar,Y3444,X3445,"f",FALSE)</f>
        <v>63374</v>
      </c>
      <c r="Z3445" s="108">
        <f>_xll.qlCalendarAdvance(Calendar,Y3445,0&amp;"D")</f>
        <v>63374</v>
      </c>
      <c r="AA3445" s="109">
        <v>1.2028989619903285E-2</v>
      </c>
      <c r="AB3445" s="143">
        <f t="shared" si="116"/>
        <v>0</v>
      </c>
      <c r="AC3445" s="236" t="e">
        <v>#N/A</v>
      </c>
      <c r="AD3445" s="236">
        <v>1.2028989619903285E-2</v>
      </c>
    </row>
    <row r="3446" spans="23:30" x14ac:dyDescent="0.2">
      <c r="W3446" s="144"/>
      <c r="X3446" s="113" t="str">
        <f t="shared" si="115"/>
        <v>1w</v>
      </c>
      <c r="Y3446" s="106">
        <f>_xll.qlCalendarAdvance(Calendar,Y3445,X3446,"f",FALSE)</f>
        <v>63381</v>
      </c>
      <c r="Z3446" s="108">
        <f>_xll.qlCalendarAdvance(Calendar,Y3446,0&amp;"D")</f>
        <v>63381</v>
      </c>
      <c r="AA3446" s="109">
        <v>1.2030408256311631E-2</v>
      </c>
      <c r="AB3446" s="143">
        <f t="shared" si="116"/>
        <v>0</v>
      </c>
      <c r="AC3446" s="236" t="e">
        <v>#N/A</v>
      </c>
      <c r="AD3446" s="236">
        <v>1.2030408256311631E-2</v>
      </c>
    </row>
    <row r="3447" spans="23:30" x14ac:dyDescent="0.2">
      <c r="W3447" s="144"/>
      <c r="X3447" s="113" t="str">
        <f t="shared" si="115"/>
        <v>1w</v>
      </c>
      <c r="Y3447" s="106">
        <f>_xll.qlCalendarAdvance(Calendar,Y3446,X3447,"f",FALSE)</f>
        <v>63388</v>
      </c>
      <c r="Z3447" s="108">
        <f>_xll.qlCalendarAdvance(Calendar,Y3447,0&amp;"D")</f>
        <v>63388</v>
      </c>
      <c r="AA3447" s="109">
        <v>1.2031812604229586E-2</v>
      </c>
      <c r="AB3447" s="143">
        <f t="shared" si="116"/>
        <v>0</v>
      </c>
      <c r="AC3447" s="236" t="e">
        <v>#N/A</v>
      </c>
      <c r="AD3447" s="236">
        <v>1.2031812604229586E-2</v>
      </c>
    </row>
    <row r="3448" spans="23:30" x14ac:dyDescent="0.2">
      <c r="W3448" s="144"/>
      <c r="X3448" s="113" t="str">
        <f t="shared" si="115"/>
        <v>1w</v>
      </c>
      <c r="Y3448" s="106">
        <f>_xll.qlCalendarAdvance(Calendar,Y3447,X3448,"f",FALSE)</f>
        <v>63395</v>
      </c>
      <c r="Z3448" s="108">
        <f>_xll.qlCalendarAdvance(Calendar,Y3448,0&amp;"D")</f>
        <v>63395</v>
      </c>
      <c r="AA3448" s="109">
        <v>1.2033202663737086E-2</v>
      </c>
      <c r="AB3448" s="143">
        <f t="shared" si="116"/>
        <v>0</v>
      </c>
      <c r="AC3448" s="236" t="e">
        <v>#N/A</v>
      </c>
      <c r="AD3448" s="236">
        <v>1.2033202663737086E-2</v>
      </c>
    </row>
    <row r="3449" spans="23:30" x14ac:dyDescent="0.2">
      <c r="W3449" s="144"/>
      <c r="X3449" s="113" t="str">
        <f t="shared" si="115"/>
        <v>1w</v>
      </c>
      <c r="Y3449" s="106">
        <f>_xll.qlCalendarAdvance(Calendar,Y3448,X3449,"f",FALSE)</f>
        <v>63402</v>
      </c>
      <c r="Z3449" s="108">
        <f>_xll.qlCalendarAdvance(Calendar,Y3449,0&amp;"D")</f>
        <v>63402</v>
      </c>
      <c r="AA3449" s="109">
        <v>1.2034578434914067E-2</v>
      </c>
      <c r="AB3449" s="143">
        <f t="shared" si="116"/>
        <v>0</v>
      </c>
      <c r="AC3449" s="236" t="e">
        <v>#N/A</v>
      </c>
      <c r="AD3449" s="236">
        <v>1.2034578434914067E-2</v>
      </c>
    </row>
    <row r="3450" spans="23:30" x14ac:dyDescent="0.2">
      <c r="W3450" s="144"/>
      <c r="X3450" s="113" t="str">
        <f t="shared" si="115"/>
        <v>1w</v>
      </c>
      <c r="Y3450" s="106">
        <f>_xll.qlCalendarAdvance(Calendar,Y3449,X3450,"f",FALSE)</f>
        <v>63409</v>
      </c>
      <c r="Z3450" s="108">
        <f>_xll.qlCalendarAdvance(Calendar,Y3450,0&amp;"D")</f>
        <v>63409</v>
      </c>
      <c r="AA3450" s="109">
        <v>1.2035939917600658E-2</v>
      </c>
      <c r="AB3450" s="143">
        <f t="shared" si="116"/>
        <v>0</v>
      </c>
      <c r="AC3450" s="236" t="e">
        <v>#N/A</v>
      </c>
      <c r="AD3450" s="236">
        <v>1.2035939917600658E-2</v>
      </c>
    </row>
    <row r="3451" spans="23:30" x14ac:dyDescent="0.2">
      <c r="W3451" s="144"/>
      <c r="X3451" s="113" t="str">
        <f t="shared" si="115"/>
        <v>1w</v>
      </c>
      <c r="Y3451" s="106">
        <f>_xll.qlCalendarAdvance(Calendar,Y3450,X3451,"f",FALSE)</f>
        <v>63416</v>
      </c>
      <c r="Z3451" s="108">
        <f>_xll.qlCalendarAdvance(Calendar,Y3451,0&amp;"D")</f>
        <v>63416</v>
      </c>
      <c r="AA3451" s="109">
        <v>1.2037287111876793E-2</v>
      </c>
      <c r="AB3451" s="143">
        <f t="shared" si="116"/>
        <v>0</v>
      </c>
      <c r="AC3451" s="236" t="e">
        <v>#N/A</v>
      </c>
      <c r="AD3451" s="236">
        <v>1.2037287111876793E-2</v>
      </c>
    </row>
    <row r="3452" spans="23:30" x14ac:dyDescent="0.2">
      <c r="W3452" s="144"/>
      <c r="X3452" s="113" t="str">
        <f t="shared" si="115"/>
        <v>1w</v>
      </c>
      <c r="Y3452" s="106">
        <f>_xll.qlCalendarAdvance(Calendar,Y3451,X3452,"f",FALSE)</f>
        <v>63423</v>
      </c>
      <c r="Z3452" s="108">
        <f>_xll.qlCalendarAdvance(Calendar,Y3452,0&amp;"D")</f>
        <v>63423</v>
      </c>
      <c r="AA3452" s="109">
        <v>1.2038620017662538E-2</v>
      </c>
      <c r="AB3452" s="143">
        <f t="shared" si="116"/>
        <v>0</v>
      </c>
      <c r="AC3452" s="236" t="e">
        <v>#N/A</v>
      </c>
      <c r="AD3452" s="236">
        <v>1.2038620017662538E-2</v>
      </c>
    </row>
    <row r="3453" spans="23:30" x14ac:dyDescent="0.2">
      <c r="W3453" s="144"/>
      <c r="X3453" s="113" t="str">
        <f t="shared" si="115"/>
        <v>1w</v>
      </c>
      <c r="Y3453" s="106">
        <f>_xll.qlCalendarAdvance(Calendar,Y3452,X3453,"f",FALSE)</f>
        <v>63430</v>
      </c>
      <c r="Z3453" s="108">
        <f>_xll.qlCalendarAdvance(Calendar,Y3453,0&amp;"D")</f>
        <v>63430</v>
      </c>
      <c r="AA3453" s="109">
        <v>1.20399386351977E-2</v>
      </c>
      <c r="AB3453" s="143">
        <f t="shared" si="116"/>
        <v>7.9936057773011271E-14</v>
      </c>
      <c r="AC3453" s="236" t="e">
        <v>#N/A</v>
      </c>
      <c r="AD3453" s="236">
        <v>1.2039938635117764E-2</v>
      </c>
    </row>
    <row r="3454" spans="23:30" x14ac:dyDescent="0.2">
      <c r="W3454" s="144"/>
      <c r="X3454" s="113" t="str">
        <f t="shared" si="115"/>
        <v>1w</v>
      </c>
      <c r="Y3454" s="106">
        <f>_xll.qlCalendarAdvance(Calendar,Y3453,X3454,"f",FALSE)</f>
        <v>63437</v>
      </c>
      <c r="Z3454" s="108">
        <f>_xll.qlCalendarAdvance(Calendar,Y3454,0&amp;"D")</f>
        <v>63437</v>
      </c>
      <c r="AA3454" s="109">
        <v>1.2041242964162535E-2</v>
      </c>
      <c r="AB3454" s="143">
        <f t="shared" si="116"/>
        <v>0</v>
      </c>
      <c r="AC3454" s="236" t="e">
        <v>#N/A</v>
      </c>
      <c r="AD3454" s="236">
        <v>1.2041242964162535E-2</v>
      </c>
    </row>
    <row r="3455" spans="23:30" x14ac:dyDescent="0.2">
      <c r="W3455" s="144"/>
      <c r="X3455" s="113" t="str">
        <f t="shared" si="115"/>
        <v>1w</v>
      </c>
      <c r="Y3455" s="106">
        <f>_xll.qlCalendarAdvance(Calendar,Y3454,X3455,"f",FALSE)</f>
        <v>63444</v>
      </c>
      <c r="Z3455" s="108">
        <f>_xll.qlCalendarAdvance(Calendar,Y3455,0&amp;"D")</f>
        <v>63444</v>
      </c>
      <c r="AA3455" s="109">
        <v>1.2042533004796852E-2</v>
      </c>
      <c r="AB3455" s="143">
        <f t="shared" si="116"/>
        <v>0</v>
      </c>
      <c r="AC3455" s="236" t="e">
        <v>#N/A</v>
      </c>
      <c r="AD3455" s="236">
        <v>1.2042533004796852E-2</v>
      </c>
    </row>
    <row r="3456" spans="23:30" x14ac:dyDescent="0.2">
      <c r="W3456" s="144"/>
      <c r="X3456" s="113" t="str">
        <f t="shared" si="115"/>
        <v>1w</v>
      </c>
      <c r="Y3456" s="106">
        <f>_xll.qlCalendarAdvance(Calendar,Y3455,X3456,"f",FALSE)</f>
        <v>63451</v>
      </c>
      <c r="Z3456" s="108">
        <f>_xll.qlCalendarAdvance(Calendar,Y3456,0&amp;"D")</f>
        <v>63451</v>
      </c>
      <c r="AA3456" s="109">
        <v>1.2043808756940777E-2</v>
      </c>
      <c r="AB3456" s="143">
        <f t="shared" si="116"/>
        <v>0</v>
      </c>
      <c r="AC3456" s="236" t="e">
        <v>#N/A</v>
      </c>
      <c r="AD3456" s="236">
        <v>1.2043808756940777E-2</v>
      </c>
    </row>
    <row r="3457" spans="23:30" x14ac:dyDescent="0.2">
      <c r="W3457" s="144"/>
      <c r="X3457" s="113" t="str">
        <f t="shared" si="115"/>
        <v>1w</v>
      </c>
      <c r="Y3457" s="106">
        <f>_xll.qlCalendarAdvance(Calendar,Y3456,X3457,"f",FALSE)</f>
        <v>63458</v>
      </c>
      <c r="Z3457" s="108">
        <f>_xll.qlCalendarAdvance(Calendar,Y3457,0&amp;"D")</f>
        <v>63458</v>
      </c>
      <c r="AA3457" s="109">
        <v>1.2045070220754184E-2</v>
      </c>
      <c r="AB3457" s="143">
        <f t="shared" si="116"/>
        <v>0</v>
      </c>
      <c r="AC3457" s="236" t="e">
        <v>#N/A</v>
      </c>
      <c r="AD3457" s="236">
        <v>1.2045070220754184E-2</v>
      </c>
    </row>
    <row r="3458" spans="23:30" x14ac:dyDescent="0.2">
      <c r="W3458" s="144"/>
      <c r="X3458" s="113" t="str">
        <f t="shared" si="115"/>
        <v>1w</v>
      </c>
      <c r="Y3458" s="106">
        <f>_xll.qlCalendarAdvance(Calendar,Y3457,X3458,"f",FALSE)</f>
        <v>63465</v>
      </c>
      <c r="Z3458" s="108">
        <f>_xll.qlCalendarAdvance(Calendar,Y3458,0&amp;"D")</f>
        <v>63465</v>
      </c>
      <c r="AA3458" s="109">
        <v>1.2046317395997264E-2</v>
      </c>
      <c r="AB3458" s="143">
        <f t="shared" si="116"/>
        <v>-7.9936057773011271E-14</v>
      </c>
      <c r="AC3458" s="236" t="e">
        <v>#N/A</v>
      </c>
      <c r="AD3458" s="236">
        <v>1.20463173960772E-2</v>
      </c>
    </row>
    <row r="3459" spans="23:30" x14ac:dyDescent="0.2">
      <c r="W3459" s="144"/>
      <c r="X3459" s="113" t="str">
        <f t="shared" si="115"/>
        <v>1w</v>
      </c>
      <c r="Y3459" s="106">
        <f>_xll.qlCalendarAdvance(Calendar,Y3458,X3459,"f",FALSE)</f>
        <v>63472</v>
      </c>
      <c r="Z3459" s="108">
        <f>_xll.qlCalendarAdvance(Calendar,Y3459,0&amp;"D")</f>
        <v>63472</v>
      </c>
      <c r="AA3459" s="109">
        <v>1.2047550282989761E-2</v>
      </c>
      <c r="AB3459" s="143">
        <f t="shared" si="116"/>
        <v>0</v>
      </c>
      <c r="AC3459" s="236" t="e">
        <v>#N/A</v>
      </c>
      <c r="AD3459" s="236">
        <v>1.2047550282989761E-2</v>
      </c>
    </row>
    <row r="3460" spans="23:30" x14ac:dyDescent="0.2">
      <c r="W3460" s="144"/>
      <c r="X3460" s="113" t="str">
        <f t="shared" si="115"/>
        <v>1w</v>
      </c>
      <c r="Y3460" s="106">
        <f>_xll.qlCalendarAdvance(Calendar,Y3459,X3460,"f",FALSE)</f>
        <v>63479</v>
      </c>
      <c r="Z3460" s="108">
        <f>_xll.qlCalendarAdvance(Calendar,Y3460,0&amp;"D")</f>
        <v>63479</v>
      </c>
      <c r="AA3460" s="109">
        <v>1.2048768881571803E-2</v>
      </c>
      <c r="AB3460" s="143">
        <f t="shared" si="116"/>
        <v>7.9936057773011271E-14</v>
      </c>
      <c r="AC3460" s="236" t="e">
        <v>#N/A</v>
      </c>
      <c r="AD3460" s="236">
        <v>1.2048768881491867E-2</v>
      </c>
    </row>
    <row r="3461" spans="23:30" x14ac:dyDescent="0.2">
      <c r="W3461" s="144"/>
      <c r="X3461" s="113" t="str">
        <f t="shared" si="115"/>
        <v>1w</v>
      </c>
      <c r="Y3461" s="106">
        <f>_xll.qlCalendarAdvance(Calendar,Y3460,X3461,"f",FALSE)</f>
        <v>63486</v>
      </c>
      <c r="Z3461" s="108">
        <f>_xll.qlCalendarAdvance(Calendar,Y3461,0&amp;"D")</f>
        <v>63486</v>
      </c>
      <c r="AA3461" s="109">
        <v>1.2049973191583518E-2</v>
      </c>
      <c r="AB3461" s="143">
        <f t="shared" si="116"/>
        <v>0</v>
      </c>
      <c r="AC3461" s="236" t="e">
        <v>#N/A</v>
      </c>
      <c r="AD3461" s="236">
        <v>1.2049973191583518E-2</v>
      </c>
    </row>
    <row r="3462" spans="23:30" x14ac:dyDescent="0.2">
      <c r="W3462" s="144"/>
      <c r="X3462" s="113" t="str">
        <f t="shared" si="115"/>
        <v>1w</v>
      </c>
      <c r="Y3462" s="106">
        <f>_xll.qlCalendarAdvance(Calendar,Y3461,X3462,"f",FALSE)</f>
        <v>63493</v>
      </c>
      <c r="Z3462" s="108">
        <f>_xll.qlCalendarAdvance(Calendar,Y3462,0&amp;"D")</f>
        <v>63493</v>
      </c>
      <c r="AA3462" s="109">
        <v>1.2051163213184779E-2</v>
      </c>
      <c r="AB3462" s="143">
        <f t="shared" si="116"/>
        <v>-7.9936057773011271E-14</v>
      </c>
      <c r="AC3462" s="236" t="e">
        <v>#N/A</v>
      </c>
      <c r="AD3462" s="236">
        <v>1.2051163213264715E-2</v>
      </c>
    </row>
    <row r="3463" spans="23:30" x14ac:dyDescent="0.2">
      <c r="W3463" s="144"/>
      <c r="X3463" s="113" t="str">
        <f t="shared" si="115"/>
        <v>1w</v>
      </c>
      <c r="Y3463" s="106">
        <f>_xll.qlCalendarAdvance(Calendar,Y3462,X3463,"f",FALSE)</f>
        <v>63500</v>
      </c>
      <c r="Z3463" s="108">
        <f>_xll.qlCalendarAdvance(Calendar,Y3463,0&amp;"D")</f>
        <v>63500</v>
      </c>
      <c r="AA3463" s="109">
        <v>1.2052338946375585E-2</v>
      </c>
      <c r="AB3463" s="143">
        <f t="shared" si="116"/>
        <v>0</v>
      </c>
      <c r="AC3463" s="236" t="e">
        <v>#N/A</v>
      </c>
      <c r="AD3463" s="236">
        <v>1.2052338946375585E-2</v>
      </c>
    </row>
    <row r="3464" spans="23:30" x14ac:dyDescent="0.2">
      <c r="W3464" s="144"/>
      <c r="X3464" s="113" t="str">
        <f t="shared" si="115"/>
        <v>1w</v>
      </c>
      <c r="Y3464" s="106">
        <f>_xll.qlCalendarAdvance(Calendar,Y3463,X3464,"f",FALSE)</f>
        <v>63507</v>
      </c>
      <c r="Z3464" s="108">
        <f>_xll.qlCalendarAdvance(Calendar,Y3464,0&amp;"D")</f>
        <v>63507</v>
      </c>
      <c r="AA3464" s="109">
        <v>1.2053500391315808E-2</v>
      </c>
      <c r="AB3464" s="143">
        <f t="shared" si="116"/>
        <v>0</v>
      </c>
      <c r="AC3464" s="236" t="e">
        <v>#N/A</v>
      </c>
      <c r="AD3464" s="236">
        <v>1.2053500391315808E-2</v>
      </c>
    </row>
    <row r="3465" spans="23:30" x14ac:dyDescent="0.2">
      <c r="W3465" s="144"/>
      <c r="X3465" s="113" t="str">
        <f t="shared" si="115"/>
        <v>1w</v>
      </c>
      <c r="Y3465" s="106">
        <f>_xll.qlCalendarAdvance(Calendar,Y3464,X3465,"f",FALSE)</f>
        <v>63514</v>
      </c>
      <c r="Z3465" s="108">
        <f>_xll.qlCalendarAdvance(Calendar,Y3465,0&amp;"D")</f>
        <v>63514</v>
      </c>
      <c r="AA3465" s="109">
        <v>1.205464754776564E-2</v>
      </c>
      <c r="AB3465" s="143">
        <f t="shared" si="116"/>
        <v>0</v>
      </c>
      <c r="AC3465" s="236" t="e">
        <v>#N/A</v>
      </c>
      <c r="AD3465" s="236">
        <v>1.205464754776564E-2</v>
      </c>
    </row>
    <row r="3466" spans="23:30" x14ac:dyDescent="0.2">
      <c r="W3466" s="144"/>
      <c r="X3466" s="113" t="str">
        <f t="shared" si="115"/>
        <v>1w</v>
      </c>
      <c r="Y3466" s="106">
        <f>_xll.qlCalendarAdvance(Calendar,Y3465,X3466,"f",FALSE)</f>
        <v>63521</v>
      </c>
      <c r="Z3466" s="108">
        <f>_xll.qlCalendarAdvance(Calendar,Y3466,0&amp;"D")</f>
        <v>63521</v>
      </c>
      <c r="AA3466" s="109">
        <v>1.2055780415645145E-2</v>
      </c>
      <c r="AB3466" s="143">
        <f t="shared" si="116"/>
        <v>-7.9936057773011271E-14</v>
      </c>
      <c r="AC3466" s="236" t="e">
        <v>#N/A</v>
      </c>
      <c r="AD3466" s="236">
        <v>1.2055780415725081E-2</v>
      </c>
    </row>
    <row r="3467" spans="23:30" x14ac:dyDescent="0.2">
      <c r="W3467" s="144"/>
      <c r="X3467" s="113" t="str">
        <f t="shared" si="115"/>
        <v>1w</v>
      </c>
      <c r="Y3467" s="106">
        <f>_xll.qlCalendarAdvance(Calendar,Y3466,X3467,"f",FALSE)</f>
        <v>63528</v>
      </c>
      <c r="Z3467" s="108">
        <f>_xll.qlCalendarAdvance(Calendar,Y3467,0&amp;"D")</f>
        <v>63528</v>
      </c>
      <c r="AA3467" s="109">
        <v>1.2056898995194132E-2</v>
      </c>
      <c r="AB3467" s="143">
        <f t="shared" si="116"/>
        <v>0</v>
      </c>
      <c r="AC3467" s="236" t="e">
        <v>#N/A</v>
      </c>
      <c r="AD3467" s="236">
        <v>1.2056898995194132E-2</v>
      </c>
    </row>
    <row r="3468" spans="23:30" x14ac:dyDescent="0.2">
      <c r="W3468" s="144"/>
      <c r="X3468" s="113" t="str">
        <f t="shared" si="115"/>
        <v>1w</v>
      </c>
      <c r="Y3468" s="106">
        <f>_xll.qlCalendarAdvance(Calendar,Y3467,X3468,"f",FALSE)</f>
        <v>63535</v>
      </c>
      <c r="Z3468" s="108">
        <f>_xll.qlCalendarAdvance(Calendar,Y3468,0&amp;"D")</f>
        <v>63535</v>
      </c>
      <c r="AA3468" s="109">
        <v>1.2058003286332664E-2</v>
      </c>
      <c r="AB3468" s="143">
        <f t="shared" si="116"/>
        <v>0</v>
      </c>
      <c r="AC3468" s="236" t="e">
        <v>#N/A</v>
      </c>
      <c r="AD3468" s="236">
        <v>1.2058003286332664E-2</v>
      </c>
    </row>
    <row r="3469" spans="23:30" x14ac:dyDescent="0.2">
      <c r="W3469" s="144"/>
      <c r="X3469" s="113" t="str">
        <f t="shared" ref="X3469:X3532" si="117">X3468</f>
        <v>1w</v>
      </c>
      <c r="Y3469" s="106">
        <f>_xll.qlCalendarAdvance(Calendar,Y3468,X3469,"f",FALSE)</f>
        <v>63542</v>
      </c>
      <c r="Z3469" s="108">
        <f>_xll.qlCalendarAdvance(Calendar,Y3469,0&amp;"D")</f>
        <v>63542</v>
      </c>
      <c r="AA3469" s="109">
        <v>1.2059093289060741E-2</v>
      </c>
      <c r="AB3469" s="143">
        <f t="shared" si="116"/>
        <v>0</v>
      </c>
      <c r="AC3469" s="236" t="e">
        <v>#N/A</v>
      </c>
      <c r="AD3469" s="236">
        <v>1.2059093289060741E-2</v>
      </c>
    </row>
    <row r="3470" spans="23:30" x14ac:dyDescent="0.2">
      <c r="W3470" s="144"/>
      <c r="X3470" s="113" t="str">
        <f t="shared" si="117"/>
        <v>1w</v>
      </c>
      <c r="Y3470" s="106">
        <f>_xll.qlCalendarAdvance(Calendar,Y3469,X3470,"f",FALSE)</f>
        <v>63550</v>
      </c>
      <c r="Z3470" s="108">
        <f>_xll.qlCalendarAdvance(Calendar,Y3470,0&amp;"D")</f>
        <v>63550</v>
      </c>
      <c r="AA3470" s="109">
        <v>1.2060321510425354E-2</v>
      </c>
      <c r="AB3470" s="143">
        <f t="shared" si="116"/>
        <v>0</v>
      </c>
      <c r="AC3470" s="236" t="e">
        <v>#N/A</v>
      </c>
      <c r="AD3470" s="236">
        <v>1.2060321510425354E-2</v>
      </c>
    </row>
    <row r="3471" spans="23:30" x14ac:dyDescent="0.2">
      <c r="W3471" s="144"/>
      <c r="X3471" s="113" t="str">
        <f t="shared" si="117"/>
        <v>1w</v>
      </c>
      <c r="Y3471" s="106">
        <f>_xll.qlCalendarAdvance(Calendar,Y3470,X3471,"f",FALSE)</f>
        <v>63557</v>
      </c>
      <c r="Z3471" s="108">
        <f>_xll.qlCalendarAdvance(Calendar,Y3471,0&amp;"D")</f>
        <v>63557</v>
      </c>
      <c r="AA3471" s="109">
        <v>1.206138089508535E-2</v>
      </c>
      <c r="AB3471" s="143">
        <f t="shared" si="116"/>
        <v>0</v>
      </c>
      <c r="AC3471" s="236" t="e">
        <v>#N/A</v>
      </c>
      <c r="AD3471" s="236">
        <v>1.206138089508535E-2</v>
      </c>
    </row>
    <row r="3472" spans="23:30" x14ac:dyDescent="0.2">
      <c r="W3472" s="144"/>
      <c r="X3472" s="113" t="str">
        <f t="shared" si="117"/>
        <v>1w</v>
      </c>
      <c r="Y3472" s="106">
        <f>_xll.qlCalendarAdvance(Calendar,Y3471,X3472,"f",FALSE)</f>
        <v>63564</v>
      </c>
      <c r="Z3472" s="108">
        <f>_xll.qlCalendarAdvance(Calendar,Y3472,0&amp;"D")</f>
        <v>63564</v>
      </c>
      <c r="AA3472" s="109">
        <v>1.2062425991334891E-2</v>
      </c>
      <c r="AB3472" s="143">
        <f t="shared" si="116"/>
        <v>7.9936057773011271E-14</v>
      </c>
      <c r="AC3472" s="236" t="e">
        <v>#N/A</v>
      </c>
      <c r="AD3472" s="236">
        <v>1.2062425991254955E-2</v>
      </c>
    </row>
    <row r="3473" spans="23:30" x14ac:dyDescent="0.2">
      <c r="W3473" s="144"/>
      <c r="X3473" s="113" t="str">
        <f t="shared" si="117"/>
        <v>1w</v>
      </c>
      <c r="Y3473" s="106">
        <f>_xll.qlCalendarAdvance(Calendar,Y3472,X3473,"f",FALSE)</f>
        <v>63571</v>
      </c>
      <c r="Z3473" s="108">
        <f>_xll.qlCalendarAdvance(Calendar,Y3473,0&amp;"D")</f>
        <v>63571</v>
      </c>
      <c r="AA3473" s="109">
        <v>1.2063456799173977E-2</v>
      </c>
      <c r="AB3473" s="143">
        <f t="shared" si="116"/>
        <v>0</v>
      </c>
      <c r="AC3473" s="236" t="e">
        <v>#N/A</v>
      </c>
      <c r="AD3473" s="236">
        <v>1.2063456799173977E-2</v>
      </c>
    </row>
    <row r="3474" spans="23:30" x14ac:dyDescent="0.2">
      <c r="W3474" s="144"/>
      <c r="X3474" s="113" t="str">
        <f t="shared" si="117"/>
        <v>1w</v>
      </c>
      <c r="Y3474" s="106">
        <f>_xll.qlCalendarAdvance(Calendar,Y3473,X3474,"f",FALSE)</f>
        <v>63578</v>
      </c>
      <c r="Z3474" s="108">
        <f>_xll.qlCalendarAdvance(Calendar,Y3474,0&amp;"D")</f>
        <v>63578</v>
      </c>
      <c r="AA3474" s="109">
        <v>1.2064473318442737E-2</v>
      </c>
      <c r="AB3474" s="143">
        <f t="shared" si="116"/>
        <v>0</v>
      </c>
      <c r="AC3474" s="236" t="e">
        <v>#N/A</v>
      </c>
      <c r="AD3474" s="236">
        <v>1.2064473318442737E-2</v>
      </c>
    </row>
    <row r="3475" spans="23:30" x14ac:dyDescent="0.2">
      <c r="W3475" s="144"/>
      <c r="X3475" s="113" t="str">
        <f t="shared" si="117"/>
        <v>1w</v>
      </c>
      <c r="Y3475" s="106">
        <f>_xll.qlCalendarAdvance(Calendar,Y3474,X3475,"f",FALSE)</f>
        <v>63585</v>
      </c>
      <c r="Z3475" s="108">
        <f>_xll.qlCalendarAdvance(Calendar,Y3475,0&amp;"D")</f>
        <v>63585</v>
      </c>
      <c r="AA3475" s="109">
        <v>1.2065475549460913E-2</v>
      </c>
      <c r="AB3475" s="143">
        <f t="shared" si="116"/>
        <v>0</v>
      </c>
      <c r="AC3475" s="236" t="e">
        <v>#N/A</v>
      </c>
      <c r="AD3475" s="236">
        <v>1.2065475549460913E-2</v>
      </c>
    </row>
    <row r="3476" spans="23:30" x14ac:dyDescent="0.2">
      <c r="W3476" s="144"/>
      <c r="X3476" s="113" t="str">
        <f t="shared" si="117"/>
        <v>1w</v>
      </c>
      <c r="Y3476" s="106">
        <f>_xll.qlCalendarAdvance(Calendar,Y3475,X3476,"f",FALSE)</f>
        <v>63592</v>
      </c>
      <c r="Z3476" s="108">
        <f>_xll.qlCalendarAdvance(Calendar,Y3476,0&amp;"D")</f>
        <v>63592</v>
      </c>
      <c r="AA3476" s="109">
        <v>1.2066463492068635E-2</v>
      </c>
      <c r="AB3476" s="143">
        <f t="shared" si="116"/>
        <v>0</v>
      </c>
      <c r="AC3476" s="236" t="e">
        <v>#N/A</v>
      </c>
      <c r="AD3476" s="236">
        <v>1.2066463492068635E-2</v>
      </c>
    </row>
    <row r="3477" spans="23:30" x14ac:dyDescent="0.2">
      <c r="W3477" s="144"/>
      <c r="X3477" s="113" t="str">
        <f t="shared" si="117"/>
        <v>1w</v>
      </c>
      <c r="Y3477" s="106">
        <f>_xll.qlCalendarAdvance(Calendar,Y3476,X3477,"f",FALSE)</f>
        <v>63599</v>
      </c>
      <c r="Z3477" s="108">
        <f>_xll.qlCalendarAdvance(Calendar,Y3477,0&amp;"D")</f>
        <v>63599</v>
      </c>
      <c r="AA3477" s="109">
        <v>1.2067437146185966E-2</v>
      </c>
      <c r="AB3477" s="143">
        <f t="shared" ref="AB3477:AB3540" si="118">AA3477-AD3477</f>
        <v>0</v>
      </c>
      <c r="AC3477" s="236" t="e">
        <v>#N/A</v>
      </c>
      <c r="AD3477" s="236">
        <v>1.2067437146185966E-2</v>
      </c>
    </row>
    <row r="3478" spans="23:30" x14ac:dyDescent="0.2">
      <c r="W3478" s="144"/>
      <c r="X3478" s="113" t="str">
        <f t="shared" si="117"/>
        <v>1w</v>
      </c>
      <c r="Y3478" s="106">
        <f>_xll.qlCalendarAdvance(Calendar,Y3477,X3478,"f",FALSE)</f>
        <v>63606</v>
      </c>
      <c r="Z3478" s="108">
        <f>_xll.qlCalendarAdvance(Calendar,Y3478,0&amp;"D")</f>
        <v>63606</v>
      </c>
      <c r="AA3478" s="109">
        <v>1.2068396511892843E-2</v>
      </c>
      <c r="AB3478" s="143">
        <f t="shared" si="118"/>
        <v>0</v>
      </c>
      <c r="AC3478" s="236" t="e">
        <v>#N/A</v>
      </c>
      <c r="AD3478" s="236">
        <v>1.2068396511892843E-2</v>
      </c>
    </row>
    <row r="3479" spans="23:30" x14ac:dyDescent="0.2">
      <c r="W3479" s="144"/>
      <c r="X3479" s="113" t="str">
        <f t="shared" si="117"/>
        <v>1w</v>
      </c>
      <c r="Y3479" s="106">
        <f>_xll.qlCalendarAdvance(Calendar,Y3478,X3479,"f",FALSE)</f>
        <v>63613</v>
      </c>
      <c r="Z3479" s="108">
        <f>_xll.qlCalendarAdvance(Calendar,Y3479,0&amp;"D")</f>
        <v>63613</v>
      </c>
      <c r="AA3479" s="109">
        <v>1.2069341589109328E-2</v>
      </c>
      <c r="AB3479" s="143">
        <f t="shared" si="118"/>
        <v>0</v>
      </c>
      <c r="AC3479" s="236" t="e">
        <v>#N/A</v>
      </c>
      <c r="AD3479" s="236">
        <v>1.2069341589109328E-2</v>
      </c>
    </row>
    <row r="3480" spans="23:30" x14ac:dyDescent="0.2">
      <c r="W3480" s="144"/>
      <c r="X3480" s="113" t="str">
        <f t="shared" si="117"/>
        <v>1w</v>
      </c>
      <c r="Y3480" s="106">
        <f>_xll.qlCalendarAdvance(Calendar,Y3479,X3480,"f",FALSE)</f>
        <v>63620</v>
      </c>
      <c r="Z3480" s="108">
        <f>_xll.qlCalendarAdvance(Calendar,Y3480,0&amp;"D")</f>
        <v>63620</v>
      </c>
      <c r="AA3480" s="109">
        <v>1.2070272377995295E-2</v>
      </c>
      <c r="AB3480" s="143">
        <f t="shared" si="118"/>
        <v>0</v>
      </c>
      <c r="AC3480" s="236" t="e">
        <v>#N/A</v>
      </c>
      <c r="AD3480" s="236">
        <v>1.2070272377995295E-2</v>
      </c>
    </row>
    <row r="3481" spans="23:30" x14ac:dyDescent="0.2">
      <c r="W3481" s="144"/>
      <c r="X3481" s="113" t="str">
        <f t="shared" si="117"/>
        <v>1w</v>
      </c>
      <c r="Y3481" s="106">
        <f>_xll.qlCalendarAdvance(Calendar,Y3480,X3481,"f",FALSE)</f>
        <v>63627</v>
      </c>
      <c r="Z3481" s="108">
        <f>_xll.qlCalendarAdvance(Calendar,Y3481,0&amp;"D")</f>
        <v>63627</v>
      </c>
      <c r="AA3481" s="109">
        <v>1.2071188878470807E-2</v>
      </c>
      <c r="AB3481" s="143">
        <f t="shared" si="118"/>
        <v>0</v>
      </c>
      <c r="AC3481" s="236" t="e">
        <v>#N/A</v>
      </c>
      <c r="AD3481" s="236">
        <v>1.2071188878470807E-2</v>
      </c>
    </row>
    <row r="3482" spans="23:30" x14ac:dyDescent="0.2">
      <c r="W3482" s="144"/>
      <c r="X3482" s="113" t="str">
        <f t="shared" si="117"/>
        <v>1w</v>
      </c>
      <c r="Y3482" s="106">
        <f>_xll.qlCalendarAdvance(Calendar,Y3481,X3482,"f",FALSE)</f>
        <v>63634</v>
      </c>
      <c r="Z3482" s="108">
        <f>_xll.qlCalendarAdvance(Calendar,Y3482,0&amp;"D")</f>
        <v>63634</v>
      </c>
      <c r="AA3482" s="109">
        <v>1.2072091090455928E-2</v>
      </c>
      <c r="AB3482" s="143">
        <f t="shared" si="118"/>
        <v>0</v>
      </c>
      <c r="AC3482" s="236" t="e">
        <v>#N/A</v>
      </c>
      <c r="AD3482" s="236">
        <v>1.2072091090455928E-2</v>
      </c>
    </row>
    <row r="3483" spans="23:30" x14ac:dyDescent="0.2">
      <c r="W3483" s="144"/>
      <c r="X3483" s="113" t="str">
        <f t="shared" si="117"/>
        <v>1w</v>
      </c>
      <c r="Y3483" s="106">
        <f>_xll.qlCalendarAdvance(Calendar,Y3482,X3483,"f",FALSE)</f>
        <v>63641</v>
      </c>
      <c r="Z3483" s="108">
        <f>_xll.qlCalendarAdvance(Calendar,Y3483,0&amp;"D")</f>
        <v>63641</v>
      </c>
      <c r="AA3483" s="109">
        <v>1.2072979014030594E-2</v>
      </c>
      <c r="AB3483" s="143">
        <f t="shared" si="118"/>
        <v>0</v>
      </c>
      <c r="AC3483" s="236" t="e">
        <v>#N/A</v>
      </c>
      <c r="AD3483" s="236">
        <v>1.2072979014030594E-2</v>
      </c>
    </row>
    <row r="3484" spans="23:30" x14ac:dyDescent="0.2">
      <c r="W3484" s="144"/>
      <c r="X3484" s="113" t="str">
        <f t="shared" si="117"/>
        <v>1w</v>
      </c>
      <c r="Y3484" s="106">
        <f>_xll.qlCalendarAdvance(Calendar,Y3483,X3484,"f",FALSE)</f>
        <v>63648</v>
      </c>
      <c r="Z3484" s="108">
        <f>_xll.qlCalendarAdvance(Calendar,Y3484,0&amp;"D")</f>
        <v>63648</v>
      </c>
      <c r="AA3484" s="109">
        <v>1.2073852649274741E-2</v>
      </c>
      <c r="AB3484" s="143">
        <f t="shared" si="118"/>
        <v>0</v>
      </c>
      <c r="AC3484" s="236" t="e">
        <v>#N/A</v>
      </c>
      <c r="AD3484" s="236">
        <v>1.2073852649274741E-2</v>
      </c>
    </row>
    <row r="3485" spans="23:30" x14ac:dyDescent="0.2">
      <c r="W3485" s="144"/>
      <c r="X3485" s="113" t="str">
        <f t="shared" si="117"/>
        <v>1w</v>
      </c>
      <c r="Y3485" s="106">
        <f>_xll.qlCalendarAdvance(Calendar,Y3484,X3485,"f",FALSE)</f>
        <v>63655</v>
      </c>
      <c r="Z3485" s="108">
        <f>_xll.qlCalendarAdvance(Calendar,Y3485,0&amp;"D")</f>
        <v>63655</v>
      </c>
      <c r="AA3485" s="109">
        <v>1.2074711996028498E-2</v>
      </c>
      <c r="AB3485" s="143">
        <f t="shared" si="118"/>
        <v>0</v>
      </c>
      <c r="AC3485" s="236" t="e">
        <v>#N/A</v>
      </c>
      <c r="AD3485" s="236">
        <v>1.2074711996028498E-2</v>
      </c>
    </row>
    <row r="3486" spans="23:30" x14ac:dyDescent="0.2">
      <c r="W3486" s="144"/>
      <c r="X3486" s="113" t="str">
        <f t="shared" si="117"/>
        <v>1w</v>
      </c>
      <c r="Y3486" s="106">
        <f>_xll.qlCalendarAdvance(Calendar,Y3485,X3486,"f",FALSE)</f>
        <v>63662</v>
      </c>
      <c r="Z3486" s="108">
        <f>_xll.qlCalendarAdvance(Calendar,Y3486,0&amp;"D")</f>
        <v>63662</v>
      </c>
      <c r="AA3486" s="109">
        <v>1.2075557054291863E-2</v>
      </c>
      <c r="AB3486" s="143">
        <f t="shared" si="118"/>
        <v>-7.9936057773011271E-14</v>
      </c>
      <c r="AC3486" s="236" t="e">
        <v>#N/A</v>
      </c>
      <c r="AD3486" s="236">
        <v>1.2075557054371799E-2</v>
      </c>
    </row>
    <row r="3487" spans="23:30" x14ac:dyDescent="0.2">
      <c r="W3487" s="144"/>
      <c r="X3487" s="113" t="str">
        <f t="shared" si="117"/>
        <v>1w</v>
      </c>
      <c r="Y3487" s="106">
        <f>_xll.qlCalendarAdvance(Calendar,Y3486,X3487,"f",FALSE)</f>
        <v>63669</v>
      </c>
      <c r="Z3487" s="108">
        <f>_xll.qlCalendarAdvance(Calendar,Y3487,0&amp;"D")</f>
        <v>63669</v>
      </c>
      <c r="AA3487" s="109">
        <v>1.207638782422471E-2</v>
      </c>
      <c r="AB3487" s="143">
        <f t="shared" si="118"/>
        <v>0</v>
      </c>
      <c r="AC3487" s="236" t="e">
        <v>#N/A</v>
      </c>
      <c r="AD3487" s="236">
        <v>1.207638782422471E-2</v>
      </c>
    </row>
    <row r="3488" spans="23:30" x14ac:dyDescent="0.2">
      <c r="W3488" s="144"/>
      <c r="X3488" s="113" t="str">
        <f t="shared" si="117"/>
        <v>1w</v>
      </c>
      <c r="Y3488" s="106">
        <f>_xll.qlCalendarAdvance(Calendar,Y3487,X3488,"f",FALSE)</f>
        <v>63676</v>
      </c>
      <c r="Z3488" s="108">
        <f>_xll.qlCalendarAdvance(Calendar,Y3488,0&amp;"D")</f>
        <v>63676</v>
      </c>
      <c r="AA3488" s="109">
        <v>1.2077204305667166E-2</v>
      </c>
      <c r="AB3488" s="143">
        <f t="shared" si="118"/>
        <v>0</v>
      </c>
      <c r="AC3488" s="236" t="e">
        <v>#N/A</v>
      </c>
      <c r="AD3488" s="236">
        <v>1.2077204305667166E-2</v>
      </c>
    </row>
    <row r="3489" spans="23:30" x14ac:dyDescent="0.2">
      <c r="W3489" s="144"/>
      <c r="X3489" s="113" t="str">
        <f t="shared" si="117"/>
        <v>1w</v>
      </c>
      <c r="Y3489" s="106">
        <f>_xll.qlCalendarAdvance(Calendar,Y3488,X3489,"f",FALSE)</f>
        <v>63683</v>
      </c>
      <c r="Z3489" s="108">
        <f>_xll.qlCalendarAdvance(Calendar,Y3489,0&amp;"D")</f>
        <v>63683</v>
      </c>
      <c r="AA3489" s="109">
        <v>1.2078006498699168E-2</v>
      </c>
      <c r="AB3489" s="143">
        <f t="shared" si="118"/>
        <v>0</v>
      </c>
      <c r="AC3489" s="236" t="e">
        <v>#N/A</v>
      </c>
      <c r="AD3489" s="236">
        <v>1.2078006498699168E-2</v>
      </c>
    </row>
    <row r="3490" spans="23:30" x14ac:dyDescent="0.2">
      <c r="W3490" s="144"/>
      <c r="X3490" s="113" t="str">
        <f t="shared" si="117"/>
        <v>1w</v>
      </c>
      <c r="Y3490" s="106">
        <f>_xll.qlCalendarAdvance(Calendar,Y3489,X3490,"f",FALSE)</f>
        <v>63690</v>
      </c>
      <c r="Z3490" s="108">
        <f>_xll.qlCalendarAdvance(Calendar,Y3490,0&amp;"D")</f>
        <v>63690</v>
      </c>
      <c r="AA3490" s="109">
        <v>1.2078794403240778E-2</v>
      </c>
      <c r="AB3490" s="143">
        <f t="shared" si="118"/>
        <v>0</v>
      </c>
      <c r="AC3490" s="236" t="e">
        <v>#N/A</v>
      </c>
      <c r="AD3490" s="236">
        <v>1.2078794403240778E-2</v>
      </c>
    </row>
    <row r="3491" spans="23:30" x14ac:dyDescent="0.2">
      <c r="W3491" s="144"/>
      <c r="X3491" s="113" t="str">
        <f t="shared" si="117"/>
        <v>1w</v>
      </c>
      <c r="Y3491" s="106">
        <f>_xll.qlCalendarAdvance(Calendar,Y3490,X3491,"f",FALSE)</f>
        <v>63697</v>
      </c>
      <c r="Z3491" s="108">
        <f>_xll.qlCalendarAdvance(Calendar,Y3491,0&amp;"D")</f>
        <v>63697</v>
      </c>
      <c r="AA3491" s="109">
        <v>1.207956801945187E-2</v>
      </c>
      <c r="AB3491" s="143">
        <f t="shared" si="118"/>
        <v>0</v>
      </c>
      <c r="AC3491" s="236" t="e">
        <v>#N/A</v>
      </c>
      <c r="AD3491" s="236">
        <v>1.207956801945187E-2</v>
      </c>
    </row>
    <row r="3492" spans="23:30" x14ac:dyDescent="0.2">
      <c r="W3492" s="144"/>
      <c r="X3492" s="113" t="str">
        <f t="shared" si="117"/>
        <v>1w</v>
      </c>
      <c r="Y3492" s="106">
        <f>_xll.qlCalendarAdvance(Calendar,Y3491,X3492,"f",FALSE)</f>
        <v>63704</v>
      </c>
      <c r="Z3492" s="108">
        <f>_xll.qlCalendarAdvance(Calendar,Y3492,0&amp;"D")</f>
        <v>63704</v>
      </c>
      <c r="AA3492" s="109">
        <v>1.2080327347252506E-2</v>
      </c>
      <c r="AB3492" s="143">
        <f t="shared" si="118"/>
        <v>-7.9936057773011271E-14</v>
      </c>
      <c r="AC3492" s="236" t="e">
        <v>#N/A</v>
      </c>
      <c r="AD3492" s="236">
        <v>1.2080327347332442E-2</v>
      </c>
    </row>
    <row r="3493" spans="23:30" x14ac:dyDescent="0.2">
      <c r="W3493" s="144"/>
      <c r="X3493" s="113" t="str">
        <f t="shared" si="117"/>
        <v>1w</v>
      </c>
      <c r="Y3493" s="106">
        <f>_xll.qlCalendarAdvance(Calendar,Y3492,X3493,"f",FALSE)</f>
        <v>63711</v>
      </c>
      <c r="Z3493" s="108">
        <f>_xll.qlCalendarAdvance(Calendar,Y3493,0&amp;"D")</f>
        <v>63711</v>
      </c>
      <c r="AA3493" s="109">
        <v>1.2081072386562752E-2</v>
      </c>
      <c r="AB3493" s="143">
        <f t="shared" si="118"/>
        <v>0</v>
      </c>
      <c r="AC3493" s="236" t="e">
        <v>#N/A</v>
      </c>
      <c r="AD3493" s="236">
        <v>1.2081072386562752E-2</v>
      </c>
    </row>
    <row r="3494" spans="23:30" x14ac:dyDescent="0.2">
      <c r="W3494" s="144"/>
      <c r="X3494" s="113" t="str">
        <f t="shared" si="117"/>
        <v>1w</v>
      </c>
      <c r="Y3494" s="106">
        <f>_xll.qlCalendarAdvance(Calendar,Y3493,X3494,"f",FALSE)</f>
        <v>63718</v>
      </c>
      <c r="Z3494" s="108">
        <f>_xll.qlCalendarAdvance(Calendar,Y3494,0&amp;"D")</f>
        <v>63718</v>
      </c>
      <c r="AA3494" s="109">
        <v>1.2081803137622416E-2</v>
      </c>
      <c r="AB3494" s="143">
        <f t="shared" si="118"/>
        <v>0</v>
      </c>
      <c r="AC3494" s="236" t="e">
        <v>#N/A</v>
      </c>
      <c r="AD3494" s="236">
        <v>1.2081803137622416E-2</v>
      </c>
    </row>
    <row r="3495" spans="23:30" x14ac:dyDescent="0.2">
      <c r="W3495" s="144"/>
      <c r="X3495" s="113" t="str">
        <f t="shared" si="117"/>
        <v>1w</v>
      </c>
      <c r="Y3495" s="106">
        <f>_xll.qlCalendarAdvance(Calendar,Y3494,X3495,"f",FALSE)</f>
        <v>63725</v>
      </c>
      <c r="Z3495" s="108">
        <f>_xll.qlCalendarAdvance(Calendar,Y3495,0&amp;"D")</f>
        <v>63725</v>
      </c>
      <c r="AA3495" s="109">
        <v>1.2082519600111752E-2</v>
      </c>
      <c r="AB3495" s="143">
        <f t="shared" si="118"/>
        <v>0</v>
      </c>
      <c r="AC3495" s="236" t="e">
        <v>#N/A</v>
      </c>
      <c r="AD3495" s="236">
        <v>1.2082519600111752E-2</v>
      </c>
    </row>
    <row r="3496" spans="23:30" x14ac:dyDescent="0.2">
      <c r="W3496" s="144"/>
      <c r="X3496" s="113" t="str">
        <f t="shared" si="117"/>
        <v>1w</v>
      </c>
      <c r="Y3496" s="106">
        <f>_xll.qlCalendarAdvance(Calendar,Y3495,X3496,"f",FALSE)</f>
        <v>63732</v>
      </c>
      <c r="Z3496" s="108">
        <f>_xll.qlCalendarAdvance(Calendar,Y3496,0&amp;"D")</f>
        <v>63732</v>
      </c>
      <c r="AA3496" s="109">
        <v>1.2083221774270569E-2</v>
      </c>
      <c r="AB3496" s="143">
        <f t="shared" si="118"/>
        <v>7.9936057773011271E-14</v>
      </c>
      <c r="AC3496" s="236" t="e">
        <v>#N/A</v>
      </c>
      <c r="AD3496" s="236">
        <v>1.2083221774190633E-2</v>
      </c>
    </row>
    <row r="3497" spans="23:30" x14ac:dyDescent="0.2">
      <c r="W3497" s="144"/>
      <c r="X3497" s="113" t="str">
        <f t="shared" si="117"/>
        <v>1w</v>
      </c>
      <c r="Y3497" s="106">
        <f>_xll.qlCalendarAdvance(Calendar,Y3496,X3497,"f",FALSE)</f>
        <v>63739</v>
      </c>
      <c r="Z3497" s="108">
        <f>_xll.qlCalendarAdvance(Calendar,Y3497,0&amp;"D")</f>
        <v>63739</v>
      </c>
      <c r="AA3497" s="109">
        <v>1.208390965985906E-2</v>
      </c>
      <c r="AB3497" s="143">
        <f t="shared" si="118"/>
        <v>7.9936057773011271E-14</v>
      </c>
      <c r="AC3497" s="236" t="e">
        <v>#N/A</v>
      </c>
      <c r="AD3497" s="236">
        <v>1.2083909659779124E-2</v>
      </c>
    </row>
    <row r="3498" spans="23:30" x14ac:dyDescent="0.2">
      <c r="W3498" s="144"/>
      <c r="X3498" s="113" t="str">
        <f t="shared" si="117"/>
        <v>1w</v>
      </c>
      <c r="Y3498" s="106">
        <f>_xll.qlCalendarAdvance(Calendar,Y3497,X3498,"f",FALSE)</f>
        <v>63746</v>
      </c>
      <c r="Z3498" s="108">
        <f>_xll.qlCalendarAdvance(Calendar,Y3498,0&amp;"D")</f>
        <v>63746</v>
      </c>
      <c r="AA3498" s="109">
        <v>1.2084583257117032E-2</v>
      </c>
      <c r="AB3498" s="143">
        <f t="shared" si="118"/>
        <v>0</v>
      </c>
      <c r="AC3498" s="236" t="e">
        <v>#N/A</v>
      </c>
      <c r="AD3498" s="236">
        <v>1.2084583257117032E-2</v>
      </c>
    </row>
    <row r="3499" spans="23:30" x14ac:dyDescent="0.2">
      <c r="W3499" s="144"/>
      <c r="X3499" s="113" t="str">
        <f t="shared" si="117"/>
        <v>1w</v>
      </c>
      <c r="Y3499" s="106">
        <f>_xll.qlCalendarAdvance(Calendar,Y3498,X3499,"f",FALSE)</f>
        <v>63753</v>
      </c>
      <c r="Z3499" s="108">
        <f>_xll.qlCalendarAdvance(Calendar,Y3499,0&amp;"D")</f>
        <v>63753</v>
      </c>
      <c r="AA3499" s="109">
        <v>1.2085242565884613E-2</v>
      </c>
      <c r="AB3499" s="143">
        <f t="shared" si="118"/>
        <v>0</v>
      </c>
      <c r="AC3499" s="236" t="e">
        <v>#N/A</v>
      </c>
      <c r="AD3499" s="236">
        <v>1.2085242565884613E-2</v>
      </c>
    </row>
    <row r="3500" spans="23:30" x14ac:dyDescent="0.2">
      <c r="W3500" s="144"/>
      <c r="X3500" s="113" t="str">
        <f t="shared" si="117"/>
        <v>1w</v>
      </c>
      <c r="Y3500" s="106">
        <f>_xll.qlCalendarAdvance(Calendar,Y3499,X3500,"f",FALSE)</f>
        <v>63760</v>
      </c>
      <c r="Z3500" s="108">
        <f>_xll.qlCalendarAdvance(Calendar,Y3500,0&amp;"D")</f>
        <v>63760</v>
      </c>
      <c r="AA3500" s="109">
        <v>1.2085887586241739E-2</v>
      </c>
      <c r="AB3500" s="143">
        <f t="shared" si="118"/>
        <v>0</v>
      </c>
      <c r="AC3500" s="236" t="e">
        <v>#N/A</v>
      </c>
      <c r="AD3500" s="236">
        <v>1.2085887586241739E-2</v>
      </c>
    </row>
    <row r="3501" spans="23:30" x14ac:dyDescent="0.2">
      <c r="W3501" s="144"/>
      <c r="X3501" s="113" t="str">
        <f t="shared" si="117"/>
        <v>1w</v>
      </c>
      <c r="Y3501" s="106">
        <f>_xll.qlCalendarAdvance(Calendar,Y3500,X3501,"f",FALSE)</f>
        <v>63767</v>
      </c>
      <c r="Z3501" s="108">
        <f>_xll.qlCalendarAdvance(Calendar,Y3501,0&amp;"D")</f>
        <v>63767</v>
      </c>
      <c r="AA3501" s="109">
        <v>1.2086518318188411E-2</v>
      </c>
      <c r="AB3501" s="143">
        <f t="shared" si="118"/>
        <v>0</v>
      </c>
      <c r="AC3501" s="236" t="e">
        <v>#N/A</v>
      </c>
      <c r="AD3501" s="236">
        <v>1.2086518318188411E-2</v>
      </c>
    </row>
    <row r="3502" spans="23:30" x14ac:dyDescent="0.2">
      <c r="W3502" s="144"/>
      <c r="X3502" s="113" t="str">
        <f t="shared" si="117"/>
        <v>1w</v>
      </c>
      <c r="Y3502" s="106">
        <f>_xll.qlCalendarAdvance(Calendar,Y3501,X3502,"f",FALSE)</f>
        <v>63774</v>
      </c>
      <c r="Z3502" s="108">
        <f>_xll.qlCalendarAdvance(Calendar,Y3502,0&amp;"D")</f>
        <v>63774</v>
      </c>
      <c r="AA3502" s="109">
        <v>1.2087134761644691E-2</v>
      </c>
      <c r="AB3502" s="143">
        <f t="shared" si="118"/>
        <v>0</v>
      </c>
      <c r="AC3502" s="236" t="e">
        <v>#N/A</v>
      </c>
      <c r="AD3502" s="236">
        <v>1.2087134761644691E-2</v>
      </c>
    </row>
    <row r="3503" spans="23:30" x14ac:dyDescent="0.2">
      <c r="W3503" s="144"/>
      <c r="X3503" s="113" t="str">
        <f t="shared" si="117"/>
        <v>1w</v>
      </c>
      <c r="Y3503" s="106">
        <f>_xll.qlCalendarAdvance(Calendar,Y3502,X3503,"f",FALSE)</f>
        <v>63781</v>
      </c>
      <c r="Z3503" s="108">
        <f>_xll.qlCalendarAdvance(Calendar,Y3503,0&amp;"D")</f>
        <v>63781</v>
      </c>
      <c r="AA3503" s="109">
        <v>1.2087736916850389E-2</v>
      </c>
      <c r="AB3503" s="143">
        <f t="shared" si="118"/>
        <v>0</v>
      </c>
      <c r="AC3503" s="236" t="e">
        <v>#N/A</v>
      </c>
      <c r="AD3503" s="236">
        <v>1.2087736916850389E-2</v>
      </c>
    </row>
    <row r="3504" spans="23:30" x14ac:dyDescent="0.2">
      <c r="W3504" s="144"/>
      <c r="X3504" s="113" t="str">
        <f t="shared" si="117"/>
        <v>1w</v>
      </c>
      <c r="Y3504" s="106">
        <f>_xll.qlCalendarAdvance(Calendar,Y3503,X3504,"f",FALSE)</f>
        <v>63788</v>
      </c>
      <c r="Z3504" s="108">
        <f>_xll.qlCalendarAdvance(Calendar,Y3504,0&amp;"D")</f>
        <v>63788</v>
      </c>
      <c r="AA3504" s="109">
        <v>1.2088324783405824E-2</v>
      </c>
      <c r="AB3504" s="143">
        <f t="shared" si="118"/>
        <v>0</v>
      </c>
      <c r="AC3504" s="236" t="e">
        <v>#N/A</v>
      </c>
      <c r="AD3504" s="236">
        <v>1.2088324783405824E-2</v>
      </c>
    </row>
    <row r="3505" spans="23:30" x14ac:dyDescent="0.2">
      <c r="W3505" s="144"/>
      <c r="X3505" s="113" t="str">
        <f t="shared" si="117"/>
        <v>1w</v>
      </c>
      <c r="Y3505" s="106">
        <f>_xll.qlCalendarAdvance(Calendar,Y3504,X3505,"f",FALSE)</f>
        <v>63795</v>
      </c>
      <c r="Z3505" s="108">
        <f>_xll.qlCalendarAdvance(Calendar,Y3505,0&amp;"D")</f>
        <v>63795</v>
      </c>
      <c r="AA3505" s="109">
        <v>1.2088898361790612E-2</v>
      </c>
      <c r="AB3505" s="143">
        <f t="shared" si="118"/>
        <v>0</v>
      </c>
      <c r="AC3505" s="236" t="e">
        <v>#N/A</v>
      </c>
      <c r="AD3505" s="236">
        <v>1.2088898361790612E-2</v>
      </c>
    </row>
    <row r="3506" spans="23:30" x14ac:dyDescent="0.2">
      <c r="W3506" s="144"/>
      <c r="X3506" s="113" t="str">
        <f t="shared" si="117"/>
        <v>1w</v>
      </c>
      <c r="Y3506" s="106">
        <f>_xll.qlCalendarAdvance(Calendar,Y3505,X3506,"f",FALSE)</f>
        <v>63802</v>
      </c>
      <c r="Z3506" s="108">
        <f>_xll.qlCalendarAdvance(Calendar,Y3506,0&amp;"D")</f>
        <v>63802</v>
      </c>
      <c r="AA3506" s="109">
        <v>1.2089457651605073E-2</v>
      </c>
      <c r="AB3506" s="143">
        <f t="shared" si="118"/>
        <v>0</v>
      </c>
      <c r="AC3506" s="236" t="e">
        <v>#N/A</v>
      </c>
      <c r="AD3506" s="236">
        <v>1.2089457651605073E-2</v>
      </c>
    </row>
    <row r="3507" spans="23:30" x14ac:dyDescent="0.2">
      <c r="W3507" s="144"/>
      <c r="X3507" s="113" t="str">
        <f t="shared" si="117"/>
        <v>1w</v>
      </c>
      <c r="Y3507" s="106">
        <f>_xll.qlCalendarAdvance(Calendar,Y3506,X3507,"f",FALSE)</f>
        <v>63809</v>
      </c>
      <c r="Z3507" s="108">
        <f>_xll.qlCalendarAdvance(Calendar,Y3507,0&amp;"D")</f>
        <v>63809</v>
      </c>
      <c r="AA3507" s="109">
        <v>1.209000265300908E-2</v>
      </c>
      <c r="AB3507" s="143">
        <f t="shared" si="118"/>
        <v>7.9936057773011271E-14</v>
      </c>
      <c r="AC3507" s="236" t="e">
        <v>#N/A</v>
      </c>
      <c r="AD3507" s="236">
        <v>1.2090002652929144E-2</v>
      </c>
    </row>
    <row r="3508" spans="23:30" x14ac:dyDescent="0.2">
      <c r="W3508" s="144"/>
      <c r="X3508" s="113" t="str">
        <f t="shared" si="117"/>
        <v>1w</v>
      </c>
      <c r="Y3508" s="106">
        <f>_xll.qlCalendarAdvance(Calendar,Y3507,X3508,"f",FALSE)</f>
        <v>63816</v>
      </c>
      <c r="Z3508" s="108">
        <f>_xll.qlCalendarAdvance(Calendar,Y3508,0&amp;"D")</f>
        <v>63816</v>
      </c>
      <c r="AA3508" s="109">
        <v>1.2090533365922695E-2</v>
      </c>
      <c r="AB3508" s="143">
        <f t="shared" si="118"/>
        <v>0</v>
      </c>
      <c r="AC3508" s="236" t="e">
        <v>#N/A</v>
      </c>
      <c r="AD3508" s="236">
        <v>1.2090533365922695E-2</v>
      </c>
    </row>
    <row r="3509" spans="23:30" x14ac:dyDescent="0.2">
      <c r="W3509" s="144"/>
      <c r="X3509" s="113" t="str">
        <f t="shared" si="117"/>
        <v>1w</v>
      </c>
      <c r="Y3509" s="106">
        <f>_xll.qlCalendarAdvance(Calendar,Y3508,X3509,"f",FALSE)</f>
        <v>63823</v>
      </c>
      <c r="Z3509" s="108">
        <f>_xll.qlCalendarAdvance(Calendar,Y3509,0&amp;"D")</f>
        <v>63823</v>
      </c>
      <c r="AA3509" s="109">
        <v>1.2091049790505792E-2</v>
      </c>
      <c r="AB3509" s="143">
        <f t="shared" si="118"/>
        <v>0</v>
      </c>
      <c r="AC3509" s="236" t="e">
        <v>#N/A</v>
      </c>
      <c r="AD3509" s="236">
        <v>1.2091049790505792E-2</v>
      </c>
    </row>
    <row r="3510" spans="23:30" x14ac:dyDescent="0.2">
      <c r="W3510" s="144"/>
      <c r="X3510" s="113" t="str">
        <f t="shared" si="117"/>
        <v>1w</v>
      </c>
      <c r="Y3510" s="106">
        <f>_xll.qlCalendarAdvance(Calendar,Y3509,X3510,"f",FALSE)</f>
        <v>63830</v>
      </c>
      <c r="Z3510" s="108">
        <f>_xll.qlCalendarAdvance(Calendar,Y3510,0&amp;"D")</f>
        <v>63830</v>
      </c>
      <c r="AA3510" s="109">
        <v>1.2091551926598498E-2</v>
      </c>
      <c r="AB3510" s="143">
        <f t="shared" si="118"/>
        <v>-7.9936057773011271E-14</v>
      </c>
      <c r="AC3510" s="236" t="e">
        <v>#N/A</v>
      </c>
      <c r="AD3510" s="236">
        <v>1.2091551926678434E-2</v>
      </c>
    </row>
    <row r="3511" spans="23:30" x14ac:dyDescent="0.2">
      <c r="W3511" s="144"/>
      <c r="X3511" s="113" t="str">
        <f t="shared" si="117"/>
        <v>1w</v>
      </c>
      <c r="Y3511" s="106">
        <f>_xll.qlCalendarAdvance(Calendar,Y3510,X3511,"f",FALSE)</f>
        <v>63837</v>
      </c>
      <c r="Z3511" s="108">
        <f>_xll.qlCalendarAdvance(Calendar,Y3511,0&amp;"D")</f>
        <v>63837</v>
      </c>
      <c r="AA3511" s="109">
        <v>1.2092039774360686E-2</v>
      </c>
      <c r="AB3511" s="143">
        <f t="shared" si="118"/>
        <v>0</v>
      </c>
      <c r="AC3511" s="236" t="e">
        <v>#N/A</v>
      </c>
      <c r="AD3511" s="236">
        <v>1.2092039774360686E-2</v>
      </c>
    </row>
    <row r="3512" spans="23:30" x14ac:dyDescent="0.2">
      <c r="W3512" s="144"/>
      <c r="X3512" s="113" t="str">
        <f t="shared" si="117"/>
        <v>1w</v>
      </c>
      <c r="Y3512" s="106">
        <f>_xll.qlCalendarAdvance(Calendar,Y3511,X3512,"f",FALSE)</f>
        <v>63844</v>
      </c>
      <c r="Z3512" s="108">
        <f>_xll.qlCalendarAdvance(Calendar,Y3512,0&amp;"D")</f>
        <v>63844</v>
      </c>
      <c r="AA3512" s="109">
        <v>1.2092513333632482E-2</v>
      </c>
      <c r="AB3512" s="143">
        <f t="shared" si="118"/>
        <v>0</v>
      </c>
      <c r="AC3512" s="236" t="e">
        <v>#N/A</v>
      </c>
      <c r="AD3512" s="236">
        <v>1.2092513333632482E-2</v>
      </c>
    </row>
    <row r="3513" spans="23:30" x14ac:dyDescent="0.2">
      <c r="W3513" s="144"/>
      <c r="X3513" s="113" t="str">
        <f t="shared" si="117"/>
        <v>1w</v>
      </c>
      <c r="Y3513" s="106">
        <f>_xll.qlCalendarAdvance(Calendar,Y3512,X3513,"f",FALSE)</f>
        <v>63851</v>
      </c>
      <c r="Z3513" s="108">
        <f>_xll.qlCalendarAdvance(Calendar,Y3513,0&amp;"D")</f>
        <v>63851</v>
      </c>
      <c r="AA3513" s="109">
        <v>1.2092972604413887E-2</v>
      </c>
      <c r="AB3513" s="143">
        <f t="shared" si="118"/>
        <v>0</v>
      </c>
      <c r="AC3513" s="236" t="e">
        <v>#N/A</v>
      </c>
      <c r="AD3513" s="236">
        <v>1.2092972604413887E-2</v>
      </c>
    </row>
    <row r="3514" spans="23:30" x14ac:dyDescent="0.2">
      <c r="W3514" s="144"/>
      <c r="X3514" s="113" t="str">
        <f t="shared" si="117"/>
        <v>1w</v>
      </c>
      <c r="Y3514" s="106">
        <f>_xll.qlCalendarAdvance(Calendar,Y3513,X3514,"f",FALSE)</f>
        <v>63858</v>
      </c>
      <c r="Z3514" s="108">
        <f>_xll.qlCalendarAdvance(Calendar,Y3514,0&amp;"D")</f>
        <v>63858</v>
      </c>
      <c r="AA3514" s="109">
        <v>1.209341758694471E-2</v>
      </c>
      <c r="AB3514" s="143">
        <f t="shared" si="118"/>
        <v>0</v>
      </c>
      <c r="AC3514" s="236" t="e">
        <v>#N/A</v>
      </c>
      <c r="AD3514" s="236">
        <v>1.209341758694471E-2</v>
      </c>
    </row>
    <row r="3515" spans="23:30" x14ac:dyDescent="0.2">
      <c r="W3515" s="144"/>
      <c r="X3515" s="113" t="str">
        <f t="shared" si="117"/>
        <v>1w</v>
      </c>
      <c r="Y3515" s="106">
        <f>_xll.qlCalendarAdvance(Calendar,Y3514,X3515,"f",FALSE)</f>
        <v>63865</v>
      </c>
      <c r="Z3515" s="108">
        <f>_xll.qlCalendarAdvance(Calendar,Y3515,0&amp;"D")</f>
        <v>63865</v>
      </c>
      <c r="AA3515" s="109">
        <v>1.2093848280905206E-2</v>
      </c>
      <c r="AB3515" s="143">
        <f t="shared" si="118"/>
        <v>0</v>
      </c>
      <c r="AC3515" s="236" t="e">
        <v>#N/A</v>
      </c>
      <c r="AD3515" s="236">
        <v>1.2093848280905206E-2</v>
      </c>
    </row>
    <row r="3516" spans="23:30" x14ac:dyDescent="0.2">
      <c r="W3516" s="144"/>
      <c r="X3516" s="113" t="str">
        <f t="shared" si="117"/>
        <v>1w</v>
      </c>
      <c r="Y3516" s="106">
        <f>_xll.qlCalendarAdvance(Calendar,Y3515,X3516,"f",FALSE)</f>
        <v>63872</v>
      </c>
      <c r="Z3516" s="108">
        <f>_xll.qlCalendarAdvance(Calendar,Y3516,0&amp;"D")</f>
        <v>63872</v>
      </c>
      <c r="AA3516" s="109">
        <v>1.2094264686455247E-2</v>
      </c>
      <c r="AB3516" s="143">
        <f t="shared" si="118"/>
        <v>0</v>
      </c>
      <c r="AC3516" s="236" t="e">
        <v>#N/A</v>
      </c>
      <c r="AD3516" s="236">
        <v>1.2094264686455247E-2</v>
      </c>
    </row>
    <row r="3517" spans="23:30" x14ac:dyDescent="0.2">
      <c r="W3517" s="144"/>
      <c r="X3517" s="113" t="str">
        <f t="shared" si="117"/>
        <v>1w</v>
      </c>
      <c r="Y3517" s="106">
        <f>_xll.qlCalendarAdvance(Calendar,Y3516,X3517,"f",FALSE)</f>
        <v>63879</v>
      </c>
      <c r="Z3517" s="108">
        <f>_xll.qlCalendarAdvance(Calendar,Y3517,0&amp;"D")</f>
        <v>63879</v>
      </c>
      <c r="AA3517" s="109">
        <v>1.209466680367477E-2</v>
      </c>
      <c r="AB3517" s="143">
        <f t="shared" si="118"/>
        <v>0</v>
      </c>
      <c r="AC3517" s="236" t="e">
        <v>#N/A</v>
      </c>
      <c r="AD3517" s="236">
        <v>1.209466680367477E-2</v>
      </c>
    </row>
    <row r="3518" spans="23:30" x14ac:dyDescent="0.2">
      <c r="W3518" s="144"/>
      <c r="X3518" s="113" t="str">
        <f t="shared" si="117"/>
        <v>1w</v>
      </c>
      <c r="Y3518" s="106">
        <f>_xll.qlCalendarAdvance(Calendar,Y3517,X3518,"f",FALSE)</f>
        <v>63886</v>
      </c>
      <c r="Z3518" s="108">
        <f>_xll.qlCalendarAdvance(Calendar,Y3518,0&amp;"D")</f>
        <v>63886</v>
      </c>
      <c r="AA3518" s="109">
        <v>1.2095054632323965E-2</v>
      </c>
      <c r="AB3518" s="143">
        <f t="shared" si="118"/>
        <v>0</v>
      </c>
      <c r="AC3518" s="236" t="e">
        <v>#N/A</v>
      </c>
      <c r="AD3518" s="236">
        <v>1.2095054632323965E-2</v>
      </c>
    </row>
    <row r="3519" spans="23:30" x14ac:dyDescent="0.2">
      <c r="W3519" s="144"/>
      <c r="X3519" s="113" t="str">
        <f t="shared" si="117"/>
        <v>1w</v>
      </c>
      <c r="Y3519" s="106">
        <f>_xll.qlCalendarAdvance(Calendar,Y3518,X3519,"f",FALSE)</f>
        <v>63893</v>
      </c>
      <c r="Z3519" s="108">
        <f>_xll.qlCalendarAdvance(Calendar,Y3519,0&amp;"D")</f>
        <v>63893</v>
      </c>
      <c r="AA3519" s="109">
        <v>1.2095428172562706E-2</v>
      </c>
      <c r="AB3519" s="143">
        <f t="shared" si="118"/>
        <v>0</v>
      </c>
      <c r="AC3519" s="236" t="e">
        <v>#N/A</v>
      </c>
      <c r="AD3519" s="236">
        <v>1.2095428172562706E-2</v>
      </c>
    </row>
    <row r="3520" spans="23:30" x14ac:dyDescent="0.2">
      <c r="W3520" s="144"/>
      <c r="X3520" s="113" t="str">
        <f t="shared" si="117"/>
        <v>1w</v>
      </c>
      <c r="Y3520" s="106">
        <f>_xll.qlCalendarAdvance(Calendar,Y3519,X3520,"f",FALSE)</f>
        <v>63900</v>
      </c>
      <c r="Z3520" s="108">
        <f>_xll.qlCalendarAdvance(Calendar,Y3520,0&amp;"D")</f>
        <v>63900</v>
      </c>
      <c r="AA3520" s="109">
        <v>1.2095787424470927E-2</v>
      </c>
      <c r="AB3520" s="143">
        <f t="shared" si="118"/>
        <v>0</v>
      </c>
      <c r="AC3520" s="236" t="e">
        <v>#N/A</v>
      </c>
      <c r="AD3520" s="236">
        <v>1.2095787424470927E-2</v>
      </c>
    </row>
    <row r="3521" spans="23:30" x14ac:dyDescent="0.2">
      <c r="W3521" s="144"/>
      <c r="X3521" s="113" t="str">
        <f t="shared" si="117"/>
        <v>1w</v>
      </c>
      <c r="Y3521" s="106">
        <f>_xll.qlCalendarAdvance(Calendar,Y3520,X3521,"f",FALSE)</f>
        <v>63907</v>
      </c>
      <c r="Z3521" s="108">
        <f>_xll.qlCalendarAdvance(Calendar,Y3521,0&amp;"D")</f>
        <v>63907</v>
      </c>
      <c r="AA3521" s="109">
        <v>1.2096132387888758E-2</v>
      </c>
      <c r="AB3521" s="143">
        <f t="shared" si="118"/>
        <v>0</v>
      </c>
      <c r="AC3521" s="236" t="e">
        <v>#N/A</v>
      </c>
      <c r="AD3521" s="236">
        <v>1.2096132387888758E-2</v>
      </c>
    </row>
    <row r="3522" spans="23:30" x14ac:dyDescent="0.2">
      <c r="W3522" s="144"/>
      <c r="X3522" s="113" t="str">
        <f t="shared" si="117"/>
        <v>1w</v>
      </c>
      <c r="Y3522" s="106">
        <f>_xll.qlCalendarAdvance(Calendar,Y3521,X3522,"f",FALSE)</f>
        <v>63915</v>
      </c>
      <c r="Z3522" s="108">
        <f>_xll.qlCalendarAdvance(Calendar,Y3522,0&amp;"D")</f>
        <v>63915</v>
      </c>
      <c r="AA3522" s="109">
        <v>1.2096509135801625E-2</v>
      </c>
      <c r="AB3522" s="143">
        <f t="shared" si="118"/>
        <v>0</v>
      </c>
      <c r="AC3522" s="236" t="e">
        <v>#N/A</v>
      </c>
      <c r="AD3522" s="236">
        <v>1.2096509135801625E-2</v>
      </c>
    </row>
    <row r="3523" spans="23:30" x14ac:dyDescent="0.2">
      <c r="W3523" s="144"/>
      <c r="X3523" s="113" t="str">
        <f t="shared" si="117"/>
        <v>1w</v>
      </c>
      <c r="Y3523" s="106">
        <f>_xll.qlCalendarAdvance(Calendar,Y3522,X3523,"f",FALSE)</f>
        <v>63922</v>
      </c>
      <c r="Z3523" s="108">
        <f>_xll.qlCalendarAdvance(Calendar,Y3523,0&amp;"D")</f>
        <v>63922</v>
      </c>
      <c r="AA3523" s="109">
        <v>1.2096823481071439E-2</v>
      </c>
      <c r="AB3523" s="143">
        <f t="shared" si="118"/>
        <v>-7.9936057773011271E-14</v>
      </c>
      <c r="AC3523" s="236" t="e">
        <v>#N/A</v>
      </c>
      <c r="AD3523" s="236">
        <v>1.2096823481151375E-2</v>
      </c>
    </row>
    <row r="3524" spans="23:30" x14ac:dyDescent="0.2">
      <c r="W3524" s="144"/>
      <c r="X3524" s="113" t="str">
        <f t="shared" si="117"/>
        <v>1w</v>
      </c>
      <c r="Y3524" s="106">
        <f>_xll.qlCalendarAdvance(Calendar,Y3523,X3524,"f",FALSE)</f>
        <v>63929</v>
      </c>
      <c r="Z3524" s="108">
        <f>_xll.qlCalendarAdvance(Calendar,Y3524,0&amp;"D")</f>
        <v>63929</v>
      </c>
      <c r="AA3524" s="109">
        <v>1.2097123538170607E-2</v>
      </c>
      <c r="AB3524" s="143">
        <f t="shared" si="118"/>
        <v>0</v>
      </c>
      <c r="AC3524" s="236" t="e">
        <v>#N/A</v>
      </c>
      <c r="AD3524" s="236">
        <v>1.2097123538170607E-2</v>
      </c>
    </row>
    <row r="3525" spans="23:30" x14ac:dyDescent="0.2">
      <c r="W3525" s="144"/>
      <c r="X3525" s="113" t="str">
        <f t="shared" si="117"/>
        <v>1w</v>
      </c>
      <c r="Y3525" s="106">
        <f>_xll.qlCalendarAdvance(Calendar,Y3524,X3525,"f",FALSE)</f>
        <v>63936</v>
      </c>
      <c r="Z3525" s="108">
        <f>_xll.qlCalendarAdvance(Calendar,Y3525,0&amp;"D")</f>
        <v>63936</v>
      </c>
      <c r="AA3525" s="109">
        <v>1.2097409306699447E-2</v>
      </c>
      <c r="AB3525" s="143">
        <f t="shared" si="118"/>
        <v>0</v>
      </c>
      <c r="AC3525" s="236" t="e">
        <v>#N/A</v>
      </c>
      <c r="AD3525" s="236">
        <v>1.2097409306699447E-2</v>
      </c>
    </row>
    <row r="3526" spans="23:30" x14ac:dyDescent="0.2">
      <c r="W3526" s="144"/>
      <c r="X3526" s="113" t="str">
        <f t="shared" si="117"/>
        <v>1w</v>
      </c>
      <c r="Y3526" s="106">
        <f>_xll.qlCalendarAdvance(Calendar,Y3525,X3526,"f",FALSE)</f>
        <v>63943</v>
      </c>
      <c r="Z3526" s="108">
        <f>_xll.qlCalendarAdvance(Calendar,Y3526,0&amp;"D")</f>
        <v>63943</v>
      </c>
      <c r="AA3526" s="109">
        <v>1.2097680786817833E-2</v>
      </c>
      <c r="AB3526" s="143">
        <f t="shared" si="118"/>
        <v>0</v>
      </c>
      <c r="AC3526" s="236" t="e">
        <v>#N/A</v>
      </c>
      <c r="AD3526" s="236">
        <v>1.2097680786817833E-2</v>
      </c>
    </row>
    <row r="3527" spans="23:30" x14ac:dyDescent="0.2">
      <c r="W3527" s="144"/>
      <c r="X3527" s="113" t="str">
        <f t="shared" si="117"/>
        <v>1w</v>
      </c>
      <c r="Y3527" s="106">
        <f>_xll.qlCalendarAdvance(Calendar,Y3526,X3527,"f",FALSE)</f>
        <v>63950</v>
      </c>
      <c r="Z3527" s="108">
        <f>_xll.qlCalendarAdvance(Calendar,Y3527,0&amp;"D")</f>
        <v>63950</v>
      </c>
      <c r="AA3527" s="109">
        <v>1.2097937978445827E-2</v>
      </c>
      <c r="AB3527" s="143">
        <f t="shared" si="118"/>
        <v>0</v>
      </c>
      <c r="AC3527" s="236" t="e">
        <v>#N/A</v>
      </c>
      <c r="AD3527" s="236">
        <v>1.2097937978445827E-2</v>
      </c>
    </row>
    <row r="3528" spans="23:30" x14ac:dyDescent="0.2">
      <c r="W3528" s="144"/>
      <c r="X3528" s="113" t="str">
        <f t="shared" si="117"/>
        <v>1w</v>
      </c>
      <c r="Y3528" s="106">
        <f>_xll.qlCalendarAdvance(Calendar,Y3527,X3528,"f",FALSE)</f>
        <v>63957</v>
      </c>
      <c r="Z3528" s="108">
        <f>_xll.qlCalendarAdvance(Calendar,Y3528,0&amp;"D")</f>
        <v>63957</v>
      </c>
      <c r="AA3528" s="109">
        <v>1.2098180881743303E-2</v>
      </c>
      <c r="AB3528" s="143">
        <f t="shared" si="118"/>
        <v>0</v>
      </c>
      <c r="AC3528" s="236" t="e">
        <v>#N/A</v>
      </c>
      <c r="AD3528" s="236">
        <v>1.2098180881743303E-2</v>
      </c>
    </row>
    <row r="3529" spans="23:30" x14ac:dyDescent="0.2">
      <c r="W3529" s="144"/>
      <c r="X3529" s="113" t="str">
        <f t="shared" si="117"/>
        <v>1w</v>
      </c>
      <c r="Y3529" s="106">
        <f>_xll.qlCalendarAdvance(Calendar,Y3528,X3529,"f",FALSE)</f>
        <v>63964</v>
      </c>
      <c r="Z3529" s="108">
        <f>_xll.qlCalendarAdvance(Calendar,Y3529,0&amp;"D")</f>
        <v>63964</v>
      </c>
      <c r="AA3529" s="109">
        <v>1.2098409496550389E-2</v>
      </c>
      <c r="AB3529" s="143">
        <f t="shared" si="118"/>
        <v>0</v>
      </c>
      <c r="AC3529" s="236" t="e">
        <v>#N/A</v>
      </c>
      <c r="AD3529" s="236">
        <v>1.2098409496550389E-2</v>
      </c>
    </row>
    <row r="3530" spans="23:30" x14ac:dyDescent="0.2">
      <c r="W3530" s="144"/>
      <c r="X3530" s="113" t="str">
        <f t="shared" si="117"/>
        <v>1w</v>
      </c>
      <c r="Y3530" s="106">
        <f>_xll.qlCalendarAdvance(Calendar,Y3529,X3530,"f",FALSE)</f>
        <v>63971</v>
      </c>
      <c r="Z3530" s="108">
        <f>_xll.qlCalendarAdvance(Calendar,Y3530,0&amp;"D")</f>
        <v>63971</v>
      </c>
      <c r="AA3530" s="109">
        <v>1.2098623822867083E-2</v>
      </c>
      <c r="AB3530" s="143">
        <f t="shared" si="118"/>
        <v>0</v>
      </c>
      <c r="AC3530" s="236" t="e">
        <v>#N/A</v>
      </c>
      <c r="AD3530" s="236">
        <v>1.2098623822867083E-2</v>
      </c>
    </row>
    <row r="3531" spans="23:30" x14ac:dyDescent="0.2">
      <c r="W3531" s="144"/>
      <c r="X3531" s="113" t="str">
        <f t="shared" si="117"/>
        <v>1w</v>
      </c>
      <c r="Y3531" s="106">
        <f>_xll.qlCalendarAdvance(Calendar,Y3530,X3531,"f",FALSE)</f>
        <v>63978</v>
      </c>
      <c r="Z3531" s="108">
        <f>_xll.qlCalendarAdvance(Calendar,Y3531,0&amp;"D")</f>
        <v>63978</v>
      </c>
      <c r="AA3531" s="109">
        <v>1.2098823860933194E-2</v>
      </c>
      <c r="AB3531" s="143">
        <f t="shared" si="118"/>
        <v>0</v>
      </c>
      <c r="AC3531" s="236" t="e">
        <v>#N/A</v>
      </c>
      <c r="AD3531" s="236">
        <v>1.2098823860933194E-2</v>
      </c>
    </row>
    <row r="3532" spans="23:30" x14ac:dyDescent="0.2">
      <c r="W3532" s="144"/>
      <c r="X3532" s="113" t="str">
        <f t="shared" si="117"/>
        <v>1w</v>
      </c>
      <c r="Y3532" s="106">
        <f>_xll.qlCalendarAdvance(Calendar,Y3531,X3532,"f",FALSE)</f>
        <v>63985</v>
      </c>
      <c r="Z3532" s="108">
        <f>_xll.qlCalendarAdvance(Calendar,Y3532,0&amp;"D")</f>
        <v>63985</v>
      </c>
      <c r="AA3532" s="109">
        <v>1.2099009610508915E-2</v>
      </c>
      <c r="AB3532" s="143">
        <f t="shared" si="118"/>
        <v>7.9936057773011271E-14</v>
      </c>
      <c r="AC3532" s="236" t="e">
        <v>#N/A</v>
      </c>
      <c r="AD3532" s="236">
        <v>1.2099009610428979E-2</v>
      </c>
    </row>
    <row r="3533" spans="23:30" x14ac:dyDescent="0.2">
      <c r="W3533" s="144"/>
      <c r="X3533" s="113" t="str">
        <f t="shared" ref="X3533:X3544" si="119">X3532</f>
        <v>1w</v>
      </c>
      <c r="Y3533" s="106">
        <f>_xll.qlCalendarAdvance(Calendar,Y3532,X3533,"f",FALSE)</f>
        <v>63992</v>
      </c>
      <c r="Z3533" s="108">
        <f>_xll.qlCalendarAdvance(Calendar,Y3533,0&amp;"D")</f>
        <v>63992</v>
      </c>
      <c r="AA3533" s="109">
        <v>1.2099181071514309E-2</v>
      </c>
      <c r="AB3533" s="143">
        <f t="shared" si="118"/>
        <v>0</v>
      </c>
      <c r="AC3533" s="236" t="e">
        <v>#N/A</v>
      </c>
      <c r="AD3533" s="236">
        <v>1.2099181071514309E-2</v>
      </c>
    </row>
    <row r="3534" spans="23:30" x14ac:dyDescent="0.2">
      <c r="W3534" s="144"/>
      <c r="X3534" s="113" t="str">
        <f t="shared" si="119"/>
        <v>1w</v>
      </c>
      <c r="Y3534" s="106">
        <f>_xll.qlCalendarAdvance(Calendar,Y3533,X3534,"f",FALSE)</f>
        <v>63999</v>
      </c>
      <c r="Z3534" s="108">
        <f>_xll.qlCalendarAdvance(Calendar,Y3534,0&amp;"D")</f>
        <v>63999</v>
      </c>
      <c r="AA3534" s="109">
        <v>1.209933824426912E-2</v>
      </c>
      <c r="AB3534" s="143">
        <f t="shared" si="118"/>
        <v>0</v>
      </c>
      <c r="AC3534" s="236" t="e">
        <v>#N/A</v>
      </c>
      <c r="AD3534" s="236">
        <v>1.209933824426912E-2</v>
      </c>
    </row>
    <row r="3535" spans="23:30" x14ac:dyDescent="0.2">
      <c r="W3535" s="144"/>
      <c r="X3535" s="113" t="str">
        <f t="shared" si="119"/>
        <v>1w</v>
      </c>
      <c r="Y3535" s="106">
        <f>_xll.qlCalendarAdvance(Calendar,Y3534,X3535,"f",FALSE)</f>
        <v>64006</v>
      </c>
      <c r="Z3535" s="108">
        <f>_xll.qlCalendarAdvance(Calendar,Y3535,0&amp;"D")</f>
        <v>64006</v>
      </c>
      <c r="AA3535" s="109">
        <v>1.209948112853354E-2</v>
      </c>
      <c r="AB3535" s="143">
        <f t="shared" si="118"/>
        <v>0</v>
      </c>
      <c r="AC3535" s="236" t="e">
        <v>#N/A</v>
      </c>
      <c r="AD3535" s="236">
        <v>1.209948112853354E-2</v>
      </c>
    </row>
    <row r="3536" spans="23:30" x14ac:dyDescent="0.2">
      <c r="W3536" s="144"/>
      <c r="X3536" s="113" t="str">
        <f t="shared" si="119"/>
        <v>1w</v>
      </c>
      <c r="Y3536" s="106">
        <f>_xll.qlCalendarAdvance(Calendar,Y3535,X3536,"f",FALSE)</f>
        <v>64013</v>
      </c>
      <c r="Z3536" s="108">
        <f>_xll.qlCalendarAdvance(Calendar,Y3536,0&amp;"D")</f>
        <v>64013</v>
      </c>
      <c r="AA3536" s="109">
        <v>1.2100456918334501E-2</v>
      </c>
      <c r="AB3536" s="143">
        <f t="shared" si="118"/>
        <v>0</v>
      </c>
      <c r="AC3536" s="236" t="e">
        <v>#N/A</v>
      </c>
      <c r="AD3536" s="236">
        <v>1.2100456918334501E-2</v>
      </c>
    </row>
    <row r="3537" spans="2:30" x14ac:dyDescent="0.2">
      <c r="W3537" s="144"/>
      <c r="X3537" s="113" t="str">
        <f t="shared" si="119"/>
        <v>1w</v>
      </c>
      <c r="Y3537" s="106">
        <f>_xll.qlCalendarAdvance(Calendar,Y3536,X3537,"f",FALSE)</f>
        <v>64020</v>
      </c>
      <c r="Z3537" s="108">
        <f>_xll.qlCalendarAdvance(Calendar,Y3537,0&amp;"D")</f>
        <v>64020</v>
      </c>
      <c r="AA3537" s="109">
        <v>1.2099724031831016E-2</v>
      </c>
      <c r="AB3537" s="143">
        <f t="shared" si="118"/>
        <v>0</v>
      </c>
      <c r="AC3537" s="236" t="e">
        <v>#N/A</v>
      </c>
      <c r="AD3537" s="236">
        <v>1.2099724031831016E-2</v>
      </c>
    </row>
    <row r="3538" spans="2:30" x14ac:dyDescent="0.2">
      <c r="W3538" s="144"/>
      <c r="X3538" s="113" t="str">
        <f t="shared" si="119"/>
        <v>1w</v>
      </c>
      <c r="Y3538" s="106">
        <f>_xll.qlCalendarAdvance(Calendar,Y3537,X3538,"f",FALSE)</f>
        <v>64027</v>
      </c>
      <c r="Z3538" s="108">
        <f>_xll.qlCalendarAdvance(Calendar,Y3538,0&amp;"D")</f>
        <v>64027</v>
      </c>
      <c r="AA3538" s="109">
        <v>1.20998240507042E-2</v>
      </c>
      <c r="AB3538" s="143">
        <f t="shared" si="118"/>
        <v>0</v>
      </c>
      <c r="AC3538" s="236" t="e">
        <v>#N/A</v>
      </c>
      <c r="AD3538" s="236">
        <v>1.20998240507042E-2</v>
      </c>
    </row>
    <row r="3539" spans="2:30" x14ac:dyDescent="0.2">
      <c r="B3539" s="106"/>
      <c r="C3539" s="108"/>
      <c r="D3539" s="109"/>
      <c r="E3539" s="109"/>
      <c r="W3539" s="144"/>
      <c r="X3539" s="113" t="str">
        <f t="shared" si="119"/>
        <v>1w</v>
      </c>
      <c r="Y3539" s="106">
        <f>_xll.qlCalendarAdvance(Calendar,Y3538,X3539,"f",FALSE)</f>
        <v>64034</v>
      </c>
      <c r="Z3539" s="108">
        <f>_xll.qlCalendarAdvance(Calendar,Y3539,0&amp;"D")</f>
        <v>64034</v>
      </c>
      <c r="AA3539" s="109">
        <v>1.2099909781406737E-2</v>
      </c>
      <c r="AB3539" s="143">
        <f t="shared" si="118"/>
        <v>0</v>
      </c>
      <c r="AC3539" s="236" t="e">
        <v>#N/A</v>
      </c>
      <c r="AD3539" s="236">
        <v>1.2099909781406737E-2</v>
      </c>
    </row>
    <row r="3540" spans="2:30" x14ac:dyDescent="0.2">
      <c r="B3540" s="106"/>
      <c r="C3540" s="108"/>
      <c r="D3540" s="109"/>
      <c r="E3540" s="109"/>
      <c r="W3540" s="144"/>
      <c r="X3540" s="113" t="str">
        <f t="shared" si="119"/>
        <v>1w</v>
      </c>
      <c r="Y3540" s="106">
        <f>_xll.qlCalendarAdvance(Calendar,Y3539,X3540,"f",FALSE)</f>
        <v>64041</v>
      </c>
      <c r="Z3540" s="108">
        <f>_xll.qlCalendarAdvance(Calendar,Y3540,0&amp;"D")</f>
        <v>64041</v>
      </c>
      <c r="AA3540" s="109">
        <v>1.2099981223538947E-2</v>
      </c>
      <c r="AB3540" s="143">
        <f t="shared" si="118"/>
        <v>0</v>
      </c>
      <c r="AC3540" s="236" t="e">
        <v>#N/A</v>
      </c>
      <c r="AD3540" s="236">
        <v>1.2099981223538947E-2</v>
      </c>
    </row>
    <row r="3541" spans="2:30" x14ac:dyDescent="0.2">
      <c r="B3541" s="106"/>
      <c r="C3541" s="108"/>
      <c r="D3541" s="109"/>
      <c r="E3541" s="109"/>
      <c r="W3541" s="144"/>
      <c r="X3541" s="113" t="str">
        <f t="shared" si="119"/>
        <v>1w</v>
      </c>
      <c r="Y3541" s="106">
        <f>_xll.qlCalendarAdvance(Calendar,Y3540,X3541,"f",FALSE)</f>
        <v>64048</v>
      </c>
      <c r="Z3541" s="108">
        <f>_xll.qlCalendarAdvance(Calendar,Y3541,0&amp;"D")</f>
        <v>64048</v>
      </c>
      <c r="AA3541" s="109">
        <v>1.2100038377180766E-2</v>
      </c>
      <c r="AB3541" s="143">
        <f t="shared" ref="AB3541:AB3544" si="120">AA3541-AD3541</f>
        <v>0</v>
      </c>
      <c r="AC3541" s="236" t="e">
        <v>#N/A</v>
      </c>
      <c r="AD3541" s="236">
        <v>1.2100038377180766E-2</v>
      </c>
    </row>
    <row r="3542" spans="2:30" x14ac:dyDescent="0.2">
      <c r="B3542" s="106"/>
      <c r="C3542" s="108"/>
      <c r="D3542" s="109"/>
      <c r="E3542" s="109"/>
      <c r="W3542" s="144"/>
      <c r="X3542" s="113" t="str">
        <f t="shared" si="119"/>
        <v>1w</v>
      </c>
      <c r="Y3542" s="106">
        <f>_xll.qlCalendarAdvance(Calendar,Y3541,X3542,"f",FALSE)</f>
        <v>64055</v>
      </c>
      <c r="Z3542" s="108">
        <f>_xll.qlCalendarAdvance(Calendar,Y3542,0&amp;"D")</f>
        <v>64055</v>
      </c>
      <c r="AA3542" s="109">
        <v>1.2100081242412131E-2</v>
      </c>
      <c r="AB3542" s="143">
        <f t="shared" si="120"/>
        <v>0</v>
      </c>
      <c r="AC3542" s="236" t="e">
        <v>#N/A</v>
      </c>
      <c r="AD3542" s="236">
        <v>1.2100081242412131E-2</v>
      </c>
    </row>
    <row r="3543" spans="2:30" x14ac:dyDescent="0.2">
      <c r="B3543" s="106"/>
      <c r="C3543" s="108"/>
      <c r="D3543" s="109"/>
      <c r="E3543" s="109"/>
      <c r="W3543" s="144"/>
      <c r="X3543" s="113" t="str">
        <f t="shared" si="119"/>
        <v>1w</v>
      </c>
      <c r="Y3543" s="106">
        <f>_xll.qlCalendarAdvance(Calendar,Y3542,X3543,"f",FALSE)</f>
        <v>64062</v>
      </c>
      <c r="Z3543" s="108">
        <f>_xll.qlCalendarAdvance(Calendar,Y3543,0&amp;"D")</f>
        <v>64062</v>
      </c>
      <c r="AA3543" s="109">
        <v>1.2100109819312976E-2</v>
      </c>
      <c r="AB3543" s="143">
        <f t="shared" si="120"/>
        <v>0</v>
      </c>
      <c r="AC3543" s="236" t="e">
        <v>#N/A</v>
      </c>
      <c r="AD3543" s="236">
        <v>1.2100109819312976E-2</v>
      </c>
    </row>
    <row r="3544" spans="2:30" ht="12" thickBot="1" x14ac:dyDescent="0.25">
      <c r="B3544" s="106"/>
      <c r="C3544" s="108"/>
      <c r="D3544" s="109"/>
      <c r="E3544" s="109"/>
      <c r="W3544" s="144"/>
      <c r="X3544" s="120" t="str">
        <f t="shared" si="119"/>
        <v>1w</v>
      </c>
      <c r="Y3544" s="111">
        <f>_xll.qlCalendarAdvance(Calendar,Y3543,X3544,"f",FALSE)</f>
        <v>64069</v>
      </c>
      <c r="Z3544" s="108">
        <f>_xll.qlCalendarAdvance(Calendar,Y3544,0&amp;"D")</f>
        <v>64069</v>
      </c>
      <c r="AA3544" s="110">
        <v>1.2100124107803367E-2</v>
      </c>
      <c r="AB3544" s="143">
        <f t="shared" si="120"/>
        <v>0</v>
      </c>
      <c r="AC3544" s="236" t="e">
        <v>#N/A</v>
      </c>
      <c r="AD3544" s="236">
        <v>1.2100124107803367E-2</v>
      </c>
    </row>
    <row r="3545" spans="2:30" x14ac:dyDescent="0.2">
      <c r="B3545" s="106"/>
      <c r="C3545" s="108"/>
      <c r="D3545" s="109"/>
      <c r="E3545" s="109"/>
    </row>
    <row r="3546" spans="2:30" x14ac:dyDescent="0.2">
      <c r="B3546" s="106"/>
      <c r="C3546" s="108"/>
      <c r="D3546" s="109"/>
      <c r="E3546" s="109"/>
    </row>
    <row r="3547" spans="2:30" x14ac:dyDescent="0.2">
      <c r="B3547" s="106"/>
      <c r="C3547" s="108"/>
      <c r="D3547" s="109"/>
      <c r="E3547" s="109"/>
    </row>
    <row r="3548" spans="2:30" x14ac:dyDescent="0.2">
      <c r="B3548" s="106"/>
      <c r="C3548" s="108"/>
      <c r="D3548" s="109"/>
      <c r="E3548" s="109"/>
    </row>
    <row r="3549" spans="2:30" x14ac:dyDescent="0.2">
      <c r="B3549" s="106"/>
      <c r="C3549" s="108"/>
      <c r="D3549" s="109"/>
      <c r="E3549" s="109"/>
    </row>
    <row r="3550" spans="2:30" x14ac:dyDescent="0.2">
      <c r="B3550" s="106"/>
      <c r="C3550" s="108"/>
      <c r="D3550" s="109"/>
      <c r="E3550" s="109"/>
    </row>
    <row r="3551" spans="2:30" x14ac:dyDescent="0.2">
      <c r="B3551" s="106"/>
      <c r="C3551" s="108"/>
      <c r="D3551" s="109"/>
      <c r="E3551" s="109"/>
      <c r="X3551" s="117"/>
    </row>
    <row r="3552" spans="2:30" x14ac:dyDescent="0.2">
      <c r="B3552" s="106"/>
      <c r="C3552" s="108"/>
      <c r="D3552" s="109"/>
      <c r="E3552" s="109"/>
      <c r="X3552" s="117"/>
    </row>
    <row r="3553" spans="2:24" x14ac:dyDescent="0.2">
      <c r="B3553" s="106"/>
      <c r="C3553" s="108"/>
      <c r="D3553" s="109"/>
      <c r="E3553" s="109"/>
      <c r="X3553" s="117"/>
    </row>
    <row r="3554" spans="2:24" x14ac:dyDescent="0.2">
      <c r="B3554" s="106"/>
      <c r="C3554" s="108"/>
      <c r="D3554" s="109"/>
      <c r="E3554" s="109"/>
      <c r="X3554" s="117"/>
    </row>
    <row r="3555" spans="2:24" x14ac:dyDescent="0.2">
      <c r="B3555" s="106"/>
      <c r="C3555" s="108"/>
      <c r="D3555" s="109"/>
      <c r="E3555" s="109"/>
      <c r="X3555" s="117"/>
    </row>
    <row r="3556" spans="2:24" x14ac:dyDescent="0.2">
      <c r="B3556" s="106"/>
      <c r="C3556" s="108"/>
      <c r="D3556" s="109"/>
      <c r="E3556" s="109"/>
      <c r="X3556" s="117"/>
    </row>
    <row r="3557" spans="2:24" x14ac:dyDescent="0.2">
      <c r="B3557" s="106"/>
      <c r="C3557" s="108"/>
      <c r="D3557" s="109"/>
      <c r="E3557" s="109"/>
      <c r="X3557" s="117"/>
    </row>
    <row r="3558" spans="2:24" x14ac:dyDescent="0.2">
      <c r="B3558" s="106"/>
      <c r="C3558" s="108"/>
      <c r="D3558" s="109"/>
      <c r="E3558" s="109"/>
      <c r="X3558" s="117"/>
    </row>
    <row r="3559" spans="2:24" x14ac:dyDescent="0.2">
      <c r="B3559" s="106"/>
      <c r="C3559" s="108"/>
      <c r="D3559" s="109"/>
      <c r="E3559" s="109"/>
      <c r="X3559" s="117"/>
    </row>
  </sheetData>
  <dataConsolidate/>
  <dataValidations disablePrompts="1" count="2">
    <dataValidation type="list" errorStyle="warning" allowBlank="1" showInputMessage="1" showErrorMessage="1" sqref="D53719 D119255 D184791 D250327 D315863 D381399 D446935 D512471 D578007 D643543 D709079 D774615 D840151 D905687 D971223">
      <formula1>"ON,1M,3M,6M,1Y"</formula1>
    </dataValidation>
    <dataValidation type="list" allowBlank="1" showInputMessage="1" showErrorMessage="1" sqref="C53719 C119255 C184791 C250327 C315863 C381399 C446935 C512471 C578007 C643543 C709079 C774615 C840151 C905687 C971223">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17" r:id="rId4" name="Length2">
              <controlPr defaultSize="0" print="0" autoFill="0" autoPict="0" macro="[0]!grphUpdate">
                <anchor moveWithCells="1">
                  <from>
                    <xdr:col>8</xdr:col>
                    <xdr:colOff>514350</xdr:colOff>
                    <xdr:row>22</xdr:row>
                    <xdr:rowOff>19050</xdr:rowOff>
                  </from>
                  <to>
                    <xdr:col>10</xdr:col>
                    <xdr:colOff>238125</xdr:colOff>
                    <xdr:row>24</xdr:row>
                    <xdr:rowOff>9525</xdr:rowOff>
                  </to>
                </anchor>
              </controlPr>
            </control>
          </mc:Choice>
        </mc:AlternateContent>
        <mc:AlternateContent xmlns:mc="http://schemas.openxmlformats.org/markup-compatibility/2006">
          <mc:Choice Requires="x14">
            <control shapeId="9218" r:id="rId5" name="Length1">
              <controlPr defaultSize="0" print="0" autoFill="0" autoPict="0" macro="[0]!grphUpdate" altText="1Y">
                <anchor moveWithCells="1">
                  <from>
                    <xdr:col>8</xdr:col>
                    <xdr:colOff>514350</xdr:colOff>
                    <xdr:row>19</xdr:row>
                    <xdr:rowOff>9525</xdr:rowOff>
                  </from>
                  <to>
                    <xdr:col>10</xdr:col>
                    <xdr:colOff>238125</xdr:colOff>
                    <xdr:row>21</xdr:row>
                    <xdr:rowOff>0</xdr:rowOff>
                  </to>
                </anchor>
              </controlPr>
            </control>
          </mc:Choice>
        </mc:AlternateContent>
        <mc:AlternateContent xmlns:mc="http://schemas.openxmlformats.org/markup-compatibility/2006">
          <mc:Choice Requires="x14">
            <control shapeId="9219" r:id="rId6" name="Length3">
              <controlPr defaultSize="0" print="0" autoFill="0" autoPict="0" macro="[0]!grphUpdate">
                <anchor moveWithCells="1">
                  <from>
                    <xdr:col>8</xdr:col>
                    <xdr:colOff>514350</xdr:colOff>
                    <xdr:row>25</xdr:row>
                    <xdr:rowOff>19050</xdr:rowOff>
                  </from>
                  <to>
                    <xdr:col>10</xdr:col>
                    <xdr:colOff>238125</xdr:colOff>
                    <xdr:row>27</xdr:row>
                    <xdr:rowOff>9525</xdr:rowOff>
                  </to>
                </anchor>
              </controlPr>
            </control>
          </mc:Choice>
        </mc:AlternateContent>
        <mc:AlternateContent xmlns:mc="http://schemas.openxmlformats.org/markup-compatibility/2006">
          <mc:Choice Requires="x14">
            <control shapeId="9221" r:id="rId7" name="Length0">
              <controlPr defaultSize="0" print="0" autoFill="0" autoPict="0" macro="[0]!grphUpdate">
                <anchor moveWithCells="1">
                  <from>
                    <xdr:col>8</xdr:col>
                    <xdr:colOff>514350</xdr:colOff>
                    <xdr:row>16</xdr:row>
                    <xdr:rowOff>28575</xdr:rowOff>
                  </from>
                  <to>
                    <xdr:col>10</xdr:col>
                    <xdr:colOff>238125</xdr:colOff>
                    <xdr:row>18</xdr:row>
                    <xdr:rowOff>19050</xdr:rowOff>
                  </to>
                </anchor>
              </controlPr>
            </control>
          </mc:Choice>
        </mc:AlternateContent>
        <mc:AlternateContent xmlns:mc="http://schemas.openxmlformats.org/markup-compatibility/2006">
          <mc:Choice Requires="x14">
            <control shapeId="9223" r:id="rId8" name="Length7">
              <controlPr defaultSize="0" print="0" autoFill="0" autoPict="0" macro="[0]!grphUpdate">
                <anchor moveWithCells="1">
                  <from>
                    <xdr:col>8</xdr:col>
                    <xdr:colOff>514350</xdr:colOff>
                    <xdr:row>37</xdr:row>
                    <xdr:rowOff>38100</xdr:rowOff>
                  </from>
                  <to>
                    <xdr:col>10</xdr:col>
                    <xdr:colOff>238125</xdr:colOff>
                    <xdr:row>39</xdr:row>
                    <xdr:rowOff>28575</xdr:rowOff>
                  </to>
                </anchor>
              </controlPr>
            </control>
          </mc:Choice>
        </mc:AlternateContent>
        <mc:AlternateContent xmlns:mc="http://schemas.openxmlformats.org/markup-compatibility/2006">
          <mc:Choice Requires="x14">
            <control shapeId="9224" r:id="rId9" name="Length6">
              <controlPr defaultSize="0" print="0" autoFill="0" autoPict="0" macro="[0]!grphUpdate">
                <anchor moveWithCells="1">
                  <from>
                    <xdr:col>8</xdr:col>
                    <xdr:colOff>514350</xdr:colOff>
                    <xdr:row>34</xdr:row>
                    <xdr:rowOff>38100</xdr:rowOff>
                  </from>
                  <to>
                    <xdr:col>10</xdr:col>
                    <xdr:colOff>238125</xdr:colOff>
                    <xdr:row>36</xdr:row>
                    <xdr:rowOff>19050</xdr:rowOff>
                  </to>
                </anchor>
              </controlPr>
            </control>
          </mc:Choice>
        </mc:AlternateContent>
        <mc:AlternateContent xmlns:mc="http://schemas.openxmlformats.org/markup-compatibility/2006">
          <mc:Choice Requires="x14">
            <control shapeId="9225" r:id="rId10" name="Length5">
              <controlPr defaultSize="0" print="0" autoFill="0" autoPict="0" macro="[0]!grphUpdate">
                <anchor moveWithCells="1">
                  <from>
                    <xdr:col>8</xdr:col>
                    <xdr:colOff>514350</xdr:colOff>
                    <xdr:row>31</xdr:row>
                    <xdr:rowOff>28575</xdr:rowOff>
                  </from>
                  <to>
                    <xdr:col>10</xdr:col>
                    <xdr:colOff>238125</xdr:colOff>
                    <xdr:row>33</xdr:row>
                    <xdr:rowOff>19050</xdr:rowOff>
                  </to>
                </anchor>
              </controlPr>
            </control>
          </mc:Choice>
        </mc:AlternateContent>
        <mc:AlternateContent xmlns:mc="http://schemas.openxmlformats.org/markup-compatibility/2006">
          <mc:Choice Requires="x14">
            <control shapeId="9226" r:id="rId11" name="Length4">
              <controlPr defaultSize="0" print="0" autoFill="0" autoPict="0" macro="[0]!grphUpdate">
                <anchor moveWithCells="1">
                  <from>
                    <xdr:col>8</xdr:col>
                    <xdr:colOff>514350</xdr:colOff>
                    <xdr:row>28</xdr:row>
                    <xdr:rowOff>28575</xdr:rowOff>
                  </from>
                  <to>
                    <xdr:col>10</xdr:col>
                    <xdr:colOff>238125</xdr:colOff>
                    <xdr:row>30</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46</vt:i4>
      </vt:variant>
    </vt:vector>
  </HeadingPairs>
  <TitlesOfParts>
    <vt:vector size="54" baseType="lpstr">
      <vt:lpstr>General Settings</vt:lpstr>
      <vt:lpstr>RateHelpers</vt:lpstr>
      <vt:lpstr>Selected</vt:lpstr>
      <vt:lpstr>Deposits</vt:lpstr>
      <vt:lpstr>IMM Eonia</vt:lpstr>
      <vt:lpstr>Swaps</vt:lpstr>
      <vt:lpstr>Jumps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Interpolator1st</vt:lpstr>
      <vt:lpstr>Interpolator2nd</vt:lpstr>
      <vt:lpstr>JumpDates</vt:lpstr>
      <vt:lpstr>JumpQuotes</vt:lpstr>
      <vt:lpstr>MaxECB</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RateHelpers1st</vt:lpstr>
      <vt:lpstr>RateHelpersIncluded</vt:lpstr>
      <vt:lpstr>RateHelpersIncluded1st</vt:lpstr>
      <vt:lpstr>RateHelpersPriority</vt:lpstr>
      <vt:lpstr>RateHelpersSelected</vt:lpstr>
      <vt:lpstr>RecalcTrigger</vt:lpstr>
      <vt:lpstr>SerializationPath</vt:lpstr>
      <vt:lpstr>Serialize</vt:lpstr>
      <vt:lpstr>SwapFixedFreq</vt:lpstr>
      <vt:lpstr>TraitsID</vt:lpstr>
      <vt:lpstr>Trigger</vt:lpstr>
      <vt:lpstr>YieldCurve</vt:lpstr>
      <vt:lpstr>YieldCurve1st</vt:lpstr>
      <vt:lpstr>YieldCurve2nd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2013-12-10T20:51:38Z</dcterms:created>
  <dcterms:modified xsi:type="dcterms:W3CDTF">2015-05-28T12:43:08Z</dcterms:modified>
</cp:coreProperties>
</file>